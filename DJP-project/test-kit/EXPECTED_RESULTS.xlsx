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_Category" sheetId="1" state="visible" r:id="rId1"/>
    <sheet xmlns:r="http://schemas.openxmlformats.org/officeDocument/2006/relationships" name="Rule_Spec" sheetId="2" state="visible" r:id="rId2"/>
    <sheet xmlns:r="http://schemas.openxmlformats.org/officeDocument/2006/relationships" name="Area_Rollups" sheetId="3" state="visible" r:id="rId3"/>
    <sheet xmlns:r="http://schemas.openxmlformats.org/officeDocument/2006/relationships" name="RSAR_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36" customWidth="1" min="4" max="4"/>
    <col width="11" customWidth="1" min="5" max="5"/>
    <col width="11" customWidth="1" min="6" max="6"/>
    <col width="11" customWidth="1" min="7" max="7"/>
    <col width="26" customWidth="1" min="8" max="8"/>
    <col width="15" customWidth="1" min="9" max="9"/>
    <col width="17" customWidth="1" min="10" max="10"/>
    <col width="17" customWidth="1" min="11" max="11"/>
    <col width="17" customWidth="1" min="12" max="12"/>
    <col width="15" customWidth="1" min="13" max="13"/>
    <col width="19" customWidth="1" min="14" max="14"/>
    <col width="20" customWidth="1" min="15" max="15"/>
    <col width="14" customWidth="1" min="16" max="16"/>
    <col width="20" customWidth="1" min="17" max="17"/>
    <col width="19" customWidth="1" min="18" max="18"/>
    <col width="30" customWidth="1" min="19" max="19"/>
    <col width="26" customWidth="1" min="20" max="20"/>
    <col width="18" customWidth="1" min="21" max="21"/>
    <col width="17" customWidth="1" min="22" max="22"/>
    <col width="14" customWidth="1" min="23" max="23"/>
    <col width="20" customWidth="1" min="24" max="24"/>
    <col width="11" customWidth="1" min="25" max="25"/>
    <col width="26" customWidth="1" min="26" max="26"/>
    <col width="16" customWidth="1" min="27" max="27"/>
    <col width="58" customWidth="1" min="28" max="28"/>
  </cols>
  <sheetData>
    <row r="1">
      <c r="A1" s="1" t="inlineStr">
        <is>
          <t>#</t>
        </is>
      </c>
      <c r="B1" s="1" t="inlineStr">
        <is>
          <t>SAP / Customer Code</t>
        </is>
      </c>
      <c r="C1" s="1" t="inlineStr">
        <is>
          <t>SFA Code</t>
        </is>
      </c>
      <c r="D1" s="1" t="inlineStr">
        <is>
          <t>Dealer Name</t>
        </is>
      </c>
      <c r="E1" s="1" t="inlineStr">
        <is>
          <t>Area</t>
        </is>
      </c>
      <c r="F1" s="1" t="inlineStr">
        <is>
          <t>Zone</t>
        </is>
      </c>
      <c r="G1" s="1" t="inlineStr">
        <is>
          <t>DOA</t>
        </is>
      </c>
      <c r="H1" s="1" t="inlineStr">
        <is>
          <t>DOA tier</t>
        </is>
      </c>
      <c r="I1" s="1" t="inlineStr">
        <is>
          <t>N  Potential</t>
        </is>
      </c>
      <c r="J1" s="1" t="inlineStr">
        <is>
          <t>O  Jun'26 Sale</t>
        </is>
      </c>
      <c r="K1" s="1" t="inlineStr">
        <is>
          <t>R  May'26 Sale</t>
        </is>
      </c>
      <c r="L1" s="1" t="inlineStr">
        <is>
          <t>Q  Jun'25 Sale</t>
        </is>
      </c>
      <c r="M1" s="1" t="inlineStr">
        <is>
          <t>S  6-Mth Avg</t>
        </is>
      </c>
      <c r="N1" s="1" t="inlineStr">
        <is>
          <t>P  Counter Share</t>
        </is>
      </c>
      <c r="O1" s="1" t="inlineStr">
        <is>
          <t>AL Area Potential</t>
        </is>
      </c>
      <c r="P1" s="1" t="inlineStr">
        <is>
          <t>AM Pot Rank</t>
        </is>
      </c>
      <c r="Q1" s="1" t="inlineStr">
        <is>
          <t>AN Pot Percentile</t>
        </is>
      </c>
      <c r="R1" s="1" t="inlineStr">
        <is>
          <t>AK Need-to-Grow?</t>
        </is>
      </c>
      <c r="S1" s="1" t="inlineStr">
        <is>
          <t>★ EXPECTED Final Category (col U)</t>
        </is>
      </c>
      <c r="T1" s="1" t="inlineStr">
        <is>
          <t>Rule branch hit</t>
        </is>
      </c>
      <c r="U1" s="1" t="inlineStr">
        <is>
          <t>AF Final Volume</t>
        </is>
      </c>
      <c r="V1" s="1" t="inlineStr">
        <is>
          <t>AH Area Volume</t>
        </is>
      </c>
      <c r="W1" s="1" t="inlineStr">
        <is>
          <t>AI Vol Rank</t>
        </is>
      </c>
      <c r="X1" s="1" t="inlineStr">
        <is>
          <t>AJ Vol Percentile</t>
        </is>
      </c>
      <c r="Y1" s="1" t="inlineStr">
        <is>
          <t>AG Grade</t>
        </is>
      </c>
      <c r="Z1" s="1" t="inlineStr">
        <is>
          <t>Current code would give</t>
        </is>
      </c>
      <c r="AA1" s="1" t="inlineStr">
        <is>
          <t>Code matches?</t>
        </is>
      </c>
      <c r="AB1" s="1" t="inlineStr">
        <is>
          <t>Why this row is in the kit</t>
        </is>
      </c>
    </row>
    <row r="2">
      <c r="A2" t="n">
        <v>1</v>
      </c>
      <c r="B2" t="inlineStr">
        <is>
          <t>1000001153</t>
        </is>
      </c>
      <c r="C2" t="inlineStr">
        <is>
          <t>WBR128</t>
        </is>
      </c>
      <c r="D2" t="inlineStr">
        <is>
          <t>R P ENTERPRISE</t>
        </is>
      </c>
      <c r="E2" t="inlineStr">
        <is>
          <t>ALIPURDUAR</t>
        </is>
      </c>
      <c r="F2" t="inlineStr">
        <is>
          <t>NB1</t>
        </is>
      </c>
      <c r="G2" t="inlineStr">
        <is>
          <t>03-Feb-21</t>
        </is>
      </c>
      <c r="H2" t="inlineStr">
        <is>
          <t>2 · Old (DOA &lt;= 2025-06-01)</t>
        </is>
      </c>
      <c r="I2" t="n">
        <v>10353</v>
      </c>
      <c r="J2" t="n">
        <v>1200</v>
      </c>
      <c r="K2" t="n">
        <v>1000</v>
      </c>
      <c r="L2" t="n">
        <v>1150</v>
      </c>
      <c r="M2" t="n">
        <v>1100</v>
      </c>
      <c r="N2" t="n">
        <v>0.115908</v>
      </c>
      <c r="O2" t="n">
        <v>28142</v>
      </c>
      <c r="P2" t="n">
        <v>1</v>
      </c>
      <c r="Q2" t="n">
        <v>1</v>
      </c>
      <c r="R2" t="inlineStr">
        <is>
          <t>Yes</t>
        </is>
      </c>
      <c r="S2" s="2" t="inlineStr">
        <is>
          <t>Need to Grow</t>
        </is>
      </c>
      <c r="T2" t="inlineStr">
        <is>
          <t>Old: AK=Yes</t>
        </is>
      </c>
      <c r="U2" t="n">
        <v>1200</v>
      </c>
      <c r="V2" t="n">
        <v>4220</v>
      </c>
      <c r="W2" t="n">
        <v>2</v>
      </c>
      <c r="X2" t="n">
        <v>0.64455</v>
      </c>
      <c r="Y2" t="inlineStr">
        <is>
          <t>A</t>
        </is>
      </c>
      <c r="Z2" t="inlineStr">
        <is>
          <t>Growing</t>
        </is>
      </c>
      <c r="AA2" s="3" t="inlineStr">
        <is>
          <t>MISMATCH</t>
        </is>
      </c>
      <c r="AB2" t="inlineStr">
        <is>
          <t>OLD tier + NTG (AN=1.00, share 11.6%)</t>
        </is>
      </c>
    </row>
    <row r="3">
      <c r="A3" t="n">
        <v>2</v>
      </c>
      <c r="B3" t="inlineStr">
        <is>
          <t>1000001141</t>
        </is>
      </c>
      <c r="C3" t="inlineStr">
        <is>
          <t>S141</t>
        </is>
      </c>
      <c r="D3" t="inlineStr">
        <is>
          <t>SAHA &amp; CO.</t>
        </is>
      </c>
      <c r="E3" t="inlineStr">
        <is>
          <t>ALIPURDUAR</t>
        </is>
      </c>
      <c r="F3" t="inlineStr">
        <is>
          <t>NB1</t>
        </is>
      </c>
      <c r="G3" t="inlineStr">
        <is>
          <t>28-Apr-08</t>
        </is>
      </c>
      <c r="H3" t="inlineStr">
        <is>
          <t>2 · Old (DOA &lt;= 2025-06-01)</t>
        </is>
      </c>
      <c r="I3" t="n">
        <v>6172</v>
      </c>
      <c r="J3" t="n">
        <v>1500</v>
      </c>
      <c r="K3" t="n">
        <v>1250</v>
      </c>
      <c r="L3" t="n">
        <v>1200</v>
      </c>
      <c r="M3" t="n">
        <v>1300</v>
      </c>
      <c r="N3" t="n">
        <v>0.243033</v>
      </c>
      <c r="O3" t="n">
        <v>28142</v>
      </c>
      <c r="P3" t="n">
        <v>2</v>
      </c>
      <c r="Q3" t="n">
        <v>0.632116</v>
      </c>
      <c r="R3" t="inlineStr">
        <is>
          <t>No</t>
        </is>
      </c>
      <c r="S3" s="2" t="inlineStr">
        <is>
          <t>Growing</t>
        </is>
      </c>
      <c r="T3" t="inlineStr">
        <is>
          <t>Old: O&gt;=Q</t>
        </is>
      </c>
      <c r="U3" t="n">
        <v>1500</v>
      </c>
      <c r="V3" t="n">
        <v>4220</v>
      </c>
      <c r="W3" t="n">
        <v>1</v>
      </c>
      <c r="X3" t="n">
        <v>1</v>
      </c>
      <c r="Y3" t="inlineStr">
        <is>
          <t>A</t>
        </is>
      </c>
      <c r="Z3" t="inlineStr">
        <is>
          <t>Growing</t>
        </is>
      </c>
      <c r="AA3" s="4" t="inlineStr">
        <is>
          <t>MATCH</t>
        </is>
      </c>
      <c r="AB3" t="inlineStr">
        <is>
          <t>OLD tier, AN&gt;60% but share 24.3% -&gt; no NTG, O&gt;=Q</t>
        </is>
      </c>
    </row>
    <row r="4">
      <c r="A4" t="n">
        <v>3</v>
      </c>
      <c r="B4" t="inlineStr">
        <is>
          <t>1000001144</t>
        </is>
      </c>
      <c r="C4" t="inlineStr">
        <is>
          <t>WBG075</t>
        </is>
      </c>
      <c r="D4" t="inlineStr">
        <is>
          <t>GARG ENTERPRISES</t>
        </is>
      </c>
      <c r="E4" t="inlineStr">
        <is>
          <t>ALIPURDUAR</t>
        </is>
      </c>
      <c r="F4" t="inlineStr">
        <is>
          <t>NB1</t>
        </is>
      </c>
      <c r="G4" t="inlineStr">
        <is>
          <t>04-May-19</t>
        </is>
      </c>
      <c r="H4" t="inlineStr">
        <is>
          <t>2 · Old (DOA &lt;= 2025-06-01)</t>
        </is>
      </c>
      <c r="I4" t="n">
        <v>5697</v>
      </c>
      <c r="J4" t="n">
        <v>800</v>
      </c>
      <c r="K4" t="n">
        <v>950</v>
      </c>
      <c r="L4" t="n">
        <v>1000</v>
      </c>
      <c r="M4" t="n">
        <v>900</v>
      </c>
      <c r="N4" t="n">
        <v>0.140425</v>
      </c>
      <c r="O4" t="n">
        <v>28142</v>
      </c>
      <c r="P4" t="n">
        <v>3</v>
      </c>
      <c r="Q4" t="n">
        <v>0.412799</v>
      </c>
      <c r="R4" t="inlineStr">
        <is>
          <t>No</t>
        </is>
      </c>
      <c r="S4" s="2" t="inlineStr">
        <is>
          <t>De-growing</t>
        </is>
      </c>
      <c r="T4" t="inlineStr">
        <is>
          <t>Old: O&lt;Q</t>
        </is>
      </c>
      <c r="U4" t="n">
        <v>800</v>
      </c>
      <c r="V4" t="n">
        <v>4220</v>
      </c>
      <c r="W4" t="n">
        <v>3</v>
      </c>
      <c r="X4" t="n">
        <v>0.36019</v>
      </c>
      <c r="Y4" t="inlineStr">
        <is>
          <t>C</t>
        </is>
      </c>
      <c r="Z4" t="inlineStr">
        <is>
          <t>De-growing</t>
        </is>
      </c>
      <c r="AA4" s="4" t="inlineStr">
        <is>
          <t>MATCH</t>
        </is>
      </c>
      <c r="AB4" t="inlineStr">
        <is>
          <t>OLD tier, O&lt;Q</t>
        </is>
      </c>
    </row>
    <row r="5">
      <c r="A5" t="n">
        <v>4</v>
      </c>
      <c r="B5" t="inlineStr">
        <is>
          <t>1000001140</t>
        </is>
      </c>
      <c r="C5" t="inlineStr">
        <is>
          <t>R132</t>
        </is>
      </c>
      <c r="D5" t="inlineStr">
        <is>
          <t>RADHA HARDWARE</t>
        </is>
      </c>
      <c r="E5" t="inlineStr">
        <is>
          <t>ALIPURDUAR</t>
        </is>
      </c>
      <c r="F5" t="inlineStr">
        <is>
          <t>NB1</t>
        </is>
      </c>
      <c r="G5" t="inlineStr">
        <is>
          <t>30-Jan-13</t>
        </is>
      </c>
      <c r="H5" t="inlineStr">
        <is>
          <t>2 · Old (DOA &lt;= 2025-06-01)</t>
        </is>
      </c>
      <c r="I5" t="n">
        <v>2000</v>
      </c>
      <c r="J5" t="n">
        <v>0</v>
      </c>
      <c r="K5" t="n">
        <v>180</v>
      </c>
      <c r="L5" t="n">
        <v>200</v>
      </c>
      <c r="M5" t="n">
        <v>150</v>
      </c>
      <c r="N5" t="n">
        <v>0</v>
      </c>
      <c r="O5" t="n">
        <v>28142</v>
      </c>
      <c r="P5" t="n">
        <v>4</v>
      </c>
      <c r="Q5" t="n">
        <v>0.210362</v>
      </c>
      <c r="R5" t="inlineStr">
        <is>
          <t>No</t>
        </is>
      </c>
      <c r="S5" s="2" t="inlineStr">
        <is>
          <t>Zero Lifter</t>
        </is>
      </c>
      <c r="T5" t="inlineStr">
        <is>
          <t>Old: O=0</t>
        </is>
      </c>
      <c r="U5" t="n">
        <v>150</v>
      </c>
      <c r="V5" t="n">
        <v>4220</v>
      </c>
      <c r="W5" t="n">
        <v>6</v>
      </c>
      <c r="X5" t="n">
        <v>0.049763</v>
      </c>
      <c r="Y5" t="inlineStr">
        <is>
          <t>D</t>
        </is>
      </c>
      <c r="Z5" t="inlineStr">
        <is>
          <t>Zero Lifter</t>
        </is>
      </c>
      <c r="AA5" s="4" t="inlineStr">
        <is>
          <t>MATCH</t>
        </is>
      </c>
      <c r="AB5" t="inlineStr">
        <is>
          <t>OLD tier, O=0 but S&gt;0</t>
        </is>
      </c>
    </row>
    <row r="6">
      <c r="A6" t="n">
        <v>5</v>
      </c>
      <c r="B6" t="inlineStr">
        <is>
          <t>1000001146</t>
        </is>
      </c>
      <c r="C6" t="inlineStr">
        <is>
          <t>WBH019</t>
        </is>
      </c>
      <c r="D6" t="inlineStr">
        <is>
          <t>HARI OM TRADERS (JALPAIGURI)</t>
        </is>
      </c>
      <c r="E6" t="inlineStr">
        <is>
          <t>ALIPURDUAR</t>
        </is>
      </c>
      <c r="F6" t="inlineStr">
        <is>
          <t>NB1</t>
        </is>
      </c>
      <c r="G6" t="inlineStr">
        <is>
          <t>07-Aug-15</t>
        </is>
      </c>
      <c r="H6" t="inlineStr">
        <is>
          <t>2 · Old (DOA &lt;= 2025-06-01)</t>
        </is>
      </c>
      <c r="I6" t="n">
        <v>1500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28142</v>
      </c>
      <c r="P6" t="n">
        <v>5</v>
      </c>
      <c r="Q6" t="n">
        <v>0.139294</v>
      </c>
      <c r="R6" t="inlineStr">
        <is>
          <t>No</t>
        </is>
      </c>
      <c r="S6" s="2" t="inlineStr">
        <is>
          <t>Churn</t>
        </is>
      </c>
      <c r="T6" t="inlineStr">
        <is>
          <t>Old: S=0</t>
        </is>
      </c>
      <c r="U6" t="n">
        <v>0</v>
      </c>
      <c r="V6" t="n">
        <v>4220</v>
      </c>
      <c r="W6" t="n">
        <v>8</v>
      </c>
      <c r="X6" t="n">
        <v>0</v>
      </c>
      <c r="Y6" t="inlineStr">
        <is>
          <t>D</t>
        </is>
      </c>
      <c r="Z6" t="inlineStr">
        <is>
          <t>Churn</t>
        </is>
      </c>
      <c r="AA6" s="4" t="inlineStr">
        <is>
          <t>MATCH</t>
        </is>
      </c>
      <c r="AB6" t="inlineStr">
        <is>
          <t>OLD tier, S=0 -&gt; Churn wins over Zero Lifter</t>
        </is>
      </c>
    </row>
    <row r="7">
      <c r="A7" t="n">
        <v>6</v>
      </c>
      <c r="B7" t="inlineStr">
        <is>
          <t>1000001150</t>
        </is>
      </c>
      <c r="C7" t="inlineStr">
        <is>
          <t>WBP050</t>
        </is>
      </c>
      <c r="D7" t="inlineStr">
        <is>
          <t>PUNAM TRADING</t>
        </is>
      </c>
      <c r="E7" t="inlineStr">
        <is>
          <t>ALIPURDUAR</t>
        </is>
      </c>
      <c r="F7" t="inlineStr">
        <is>
          <t>NB1</t>
        </is>
      </c>
      <c r="G7" t="inlineStr">
        <is>
          <t>15-Sep-25</t>
        </is>
      </c>
      <c r="H7" t="inlineStr">
        <is>
          <t>3 · Mid (DOA &lt;= 2026-01-02)</t>
        </is>
      </c>
      <c r="I7" t="n">
        <v>1218</v>
      </c>
      <c r="J7" t="n">
        <v>250</v>
      </c>
      <c r="K7" t="n">
        <v>300</v>
      </c>
      <c r="L7" t="n">
        <v>350</v>
      </c>
      <c r="M7" t="n">
        <v>400</v>
      </c>
      <c r="N7" t="n">
        <v>0.205255</v>
      </c>
      <c r="O7" t="n">
        <v>28142</v>
      </c>
      <c r="P7" t="n">
        <v>6</v>
      </c>
      <c r="Q7" t="n">
        <v>0.085992</v>
      </c>
      <c r="R7" t="inlineStr">
        <is>
          <t>No</t>
        </is>
      </c>
      <c r="S7" s="2" t="inlineStr">
        <is>
          <t>De-growing</t>
        </is>
      </c>
      <c r="T7" t="inlineStr">
        <is>
          <t>Mid: S&gt;O</t>
        </is>
      </c>
      <c r="U7" t="n">
        <v>250</v>
      </c>
      <c r="V7" t="n">
        <v>4220</v>
      </c>
      <c r="W7" t="n">
        <v>5</v>
      </c>
      <c r="X7" t="n">
        <v>0.109005</v>
      </c>
      <c r="Y7" t="inlineStr">
        <is>
          <t>D</t>
        </is>
      </c>
      <c r="Z7" t="inlineStr">
        <is>
          <t>De-growing</t>
        </is>
      </c>
      <c r="AA7" s="4" t="inlineStr">
        <is>
          <t>MATCH</t>
        </is>
      </c>
      <c r="AB7" t="inlineStr">
        <is>
          <t>MID tier (180d..1yr), S&gt;O</t>
        </is>
      </c>
    </row>
    <row r="8">
      <c r="A8" t="n">
        <v>7</v>
      </c>
      <c r="B8" t="inlineStr">
        <is>
          <t>1000001148</t>
        </is>
      </c>
      <c r="C8" t="inlineStr">
        <is>
          <t>WBM273</t>
        </is>
      </c>
      <c r="D8" t="inlineStr">
        <is>
          <t>MAHESWARI CEMENT AGENCY - ALIPURDUAR</t>
        </is>
      </c>
      <c r="E8" t="inlineStr">
        <is>
          <t>ALIPURDUAR</t>
        </is>
      </c>
      <c r="F8" t="inlineStr">
        <is>
          <t>NB1</t>
        </is>
      </c>
      <c r="G8" t="inlineStr">
        <is>
          <t>20-Nov-25</t>
        </is>
      </c>
      <c r="H8" t="inlineStr">
        <is>
          <t>3 · Mid (DOA &lt;= 2026-01-02)</t>
        </is>
      </c>
      <c r="I8" t="n">
        <v>690</v>
      </c>
      <c r="J8" t="n">
        <v>260</v>
      </c>
      <c r="K8" t="n">
        <v>180</v>
      </c>
      <c r="L8" t="n">
        <v>150</v>
      </c>
      <c r="M8" t="n">
        <v>200</v>
      </c>
      <c r="N8" t="n">
        <v>0.376812</v>
      </c>
      <c r="O8" t="n">
        <v>28142</v>
      </c>
      <c r="P8" t="n">
        <v>7</v>
      </c>
      <c r="Q8" t="n">
        <v>0.042712</v>
      </c>
      <c r="R8" t="inlineStr">
        <is>
          <t>No</t>
        </is>
      </c>
      <c r="S8" s="2" t="inlineStr">
        <is>
          <t>Growing</t>
        </is>
      </c>
      <c r="T8" t="inlineStr">
        <is>
          <t>Mid: S&lt;=O</t>
        </is>
      </c>
      <c r="U8" t="n">
        <v>260</v>
      </c>
      <c r="V8" t="n">
        <v>4220</v>
      </c>
      <c r="W8" t="n">
        <v>4</v>
      </c>
      <c r="X8" t="n">
        <v>0.170616</v>
      </c>
      <c r="Y8" t="inlineStr">
        <is>
          <t>D</t>
        </is>
      </c>
      <c r="Z8" t="inlineStr">
        <is>
          <t>Growing</t>
        </is>
      </c>
      <c r="AA8" s="4" t="inlineStr">
        <is>
          <t>MATCH</t>
        </is>
      </c>
      <c r="AB8" t="inlineStr">
        <is>
          <t>MID tier, S&lt;=O</t>
        </is>
      </c>
    </row>
    <row r="9">
      <c r="A9" t="n">
        <v>8</v>
      </c>
      <c r="B9" t="inlineStr">
        <is>
          <t>1000001147</t>
        </is>
      </c>
      <c r="C9" t="inlineStr">
        <is>
          <t>WBM272</t>
        </is>
      </c>
      <c r="D9" t="inlineStr">
        <is>
          <t>MAA BHABANI HARDWARE</t>
        </is>
      </c>
      <c r="E9" t="inlineStr">
        <is>
          <t>ALIPURDUAR</t>
        </is>
      </c>
      <c r="F9" t="inlineStr">
        <is>
          <t>NB1</t>
        </is>
      </c>
      <c r="G9" t="inlineStr">
        <is>
          <t>10-Mar-26</t>
        </is>
      </c>
      <c r="H9" t="inlineStr">
        <is>
          <t>4 · New (DOA &gt; 2026-01-02)</t>
        </is>
      </c>
      <c r="I9" t="n">
        <v>292</v>
      </c>
      <c r="J9" t="n">
        <v>60</v>
      </c>
      <c r="K9" t="n">
        <v>90</v>
      </c>
      <c r="L9" t="n">
        <v>0</v>
      </c>
      <c r="M9" t="n">
        <v>75</v>
      </c>
      <c r="N9" t="n">
        <v>0.205479</v>
      </c>
      <c r="O9" t="n">
        <v>28142</v>
      </c>
      <c r="P9" t="n">
        <v>8</v>
      </c>
      <c r="Q9" t="n">
        <v>0.018193</v>
      </c>
      <c r="R9" t="inlineStr">
        <is>
          <t>No</t>
        </is>
      </c>
      <c r="S9" s="2" t="inlineStr">
        <is>
          <t>De-growing</t>
        </is>
      </c>
      <c r="T9" t="inlineStr">
        <is>
          <t>New: R&gt;O</t>
        </is>
      </c>
      <c r="U9" t="n">
        <v>60</v>
      </c>
      <c r="V9" t="n">
        <v>4220</v>
      </c>
      <c r="W9" t="n">
        <v>7</v>
      </c>
      <c r="X9" t="n">
        <v>0.014218</v>
      </c>
      <c r="Y9" t="inlineStr">
        <is>
          <t>D</t>
        </is>
      </c>
      <c r="Z9" t="inlineStr">
        <is>
          <t>De-growing</t>
        </is>
      </c>
      <c r="AA9" s="4" t="inlineStr">
        <is>
          <t>MATCH</t>
        </is>
      </c>
      <c r="AB9" t="inlineStr">
        <is>
          <t>NEW tier (&lt;180d), R&gt;O</t>
        </is>
      </c>
    </row>
    <row r="10">
      <c r="A10" t="n">
        <v>9</v>
      </c>
      <c r="B10" t="inlineStr">
        <is>
          <t>1000001154</t>
        </is>
      </c>
      <c r="C10" t="inlineStr">
        <is>
          <t>WBS267</t>
        </is>
      </c>
      <c r="D10" t="inlineStr">
        <is>
          <t>SADHANA ENTERPRISE (MATHURABAGAN)</t>
        </is>
      </c>
      <c r="E10" t="inlineStr">
        <is>
          <t>ALIPURDUAR</t>
        </is>
      </c>
      <c r="F10" t="inlineStr">
        <is>
          <t>NB1</t>
        </is>
      </c>
      <c r="G10" t="inlineStr">
        <is>
          <t>20-Jun-26</t>
        </is>
      </c>
      <c r="H10" t="inlineStr">
        <is>
          <t>1 · Brand-new (DOA &gt;= 2026-06-16)</t>
        </is>
      </c>
      <c r="I10" t="n">
        <v>220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28142</v>
      </c>
      <c r="P10" t="n">
        <v>9</v>
      </c>
      <c r="Q10" t="n">
        <v>0.007816999999999999</v>
      </c>
      <c r="R10" t="inlineStr">
        <is>
          <t>No</t>
        </is>
      </c>
      <c r="S10" s="2" t="inlineStr">
        <is>
          <t>Growing</t>
        </is>
      </c>
      <c r="T10" t="inlineStr">
        <is>
          <t>DOA &gt;= B2-15</t>
        </is>
      </c>
      <c r="U10" t="n">
        <v>0</v>
      </c>
      <c r="V10" t="n">
        <v>4220</v>
      </c>
      <c r="W10" t="n">
        <v>8</v>
      </c>
      <c r="X10" t="n">
        <v>0</v>
      </c>
      <c r="Y10" t="inlineStr">
        <is>
          <t>D</t>
        </is>
      </c>
      <c r="Z10" t="inlineStr">
        <is>
          <t>Churn</t>
        </is>
      </c>
      <c r="AA10" s="3" t="inlineStr">
        <is>
          <t>MISMATCH</t>
        </is>
      </c>
      <c r="AB10" t="inlineStr">
        <is>
          <t>DOA within 15 days of B2 -&gt; forced Growing even with zero sales</t>
        </is>
      </c>
    </row>
    <row r="11">
      <c r="A11" t="n">
        <v>10</v>
      </c>
      <c r="B11" t="inlineStr">
        <is>
          <t>1000002043</t>
        </is>
      </c>
      <c r="C11" t="inlineStr">
        <is>
          <t>WBM282</t>
        </is>
      </c>
      <c r="D11" t="inlineStr">
        <is>
          <t>MD EMRAN ALI KHAN</t>
        </is>
      </c>
      <c r="E11" t="inlineStr">
        <is>
          <t>MALDA</t>
        </is>
      </c>
      <c r="F11" t="inlineStr">
        <is>
          <t>NB2</t>
        </is>
      </c>
      <c r="G11" t="inlineStr">
        <is>
          <t>05-Apr-26</t>
        </is>
      </c>
      <c r="H11" t="inlineStr">
        <is>
          <t>4 · New (DOA &gt; 2026-01-02)</t>
        </is>
      </c>
      <c r="I11" t="n">
        <v>306</v>
      </c>
      <c r="J11" t="n">
        <v>40</v>
      </c>
      <c r="K11" t="n">
        <v>90</v>
      </c>
      <c r="L11" t="n">
        <v>0</v>
      </c>
      <c r="M11" t="n">
        <v>70</v>
      </c>
      <c r="N11" t="n">
        <v>0.130719</v>
      </c>
      <c r="O11" t="n">
        <v>1593</v>
      </c>
      <c r="P11" t="n">
        <v>1</v>
      </c>
      <c r="Q11" t="n">
        <v>1</v>
      </c>
      <c r="R11" t="inlineStr">
        <is>
          <t>Yes</t>
        </is>
      </c>
      <c r="S11" s="2" t="inlineStr">
        <is>
          <t>Need to Grow</t>
        </is>
      </c>
      <c r="T11" t="inlineStr">
        <is>
          <t>New: AK=Yes</t>
        </is>
      </c>
      <c r="U11" t="n">
        <v>40</v>
      </c>
      <c r="V11" t="n">
        <v>222</v>
      </c>
      <c r="W11" t="n">
        <v>2</v>
      </c>
      <c r="X11" t="n">
        <v>0.63964</v>
      </c>
      <c r="Y11" t="inlineStr">
        <is>
          <t>A</t>
        </is>
      </c>
      <c r="Z11" t="inlineStr">
        <is>
          <t>De-growing</t>
        </is>
      </c>
      <c r="AA11" s="3" t="inlineStr">
        <is>
          <t>MISMATCH</t>
        </is>
      </c>
      <c r="AB11" t="inlineStr">
        <is>
          <t>NEW tier + NTG (AN=1.00, share 13.1%) -&gt; NTG beats R&gt;O</t>
        </is>
      </c>
    </row>
    <row r="12">
      <c r="A12" t="n">
        <v>11</v>
      </c>
      <c r="B12" t="inlineStr">
        <is>
          <t>1000001600</t>
        </is>
      </c>
      <c r="C12" t="inlineStr">
        <is>
          <t>WBK066</t>
        </is>
      </c>
      <c r="D12" t="inlineStr">
        <is>
          <t>KARIM ENTERPRISE</t>
        </is>
      </c>
      <c r="E12" t="inlineStr">
        <is>
          <t>MALDA</t>
        </is>
      </c>
      <c r="F12" t="inlineStr">
        <is>
          <t>NB2</t>
        </is>
      </c>
      <c r="G12" t="inlineStr">
        <is>
          <t>12-Aug-25</t>
        </is>
      </c>
      <c r="H12" t="inlineStr">
        <is>
          <t>3 · Mid (DOA &lt;= 2026-01-02)</t>
        </is>
      </c>
      <c r="I12" t="n">
        <v>280</v>
      </c>
      <c r="J12" t="n">
        <v>30</v>
      </c>
      <c r="K12" t="n">
        <v>100</v>
      </c>
      <c r="L12" t="n">
        <v>80</v>
      </c>
      <c r="M12" t="n">
        <v>95</v>
      </c>
      <c r="N12" t="n">
        <v>0.107143</v>
      </c>
      <c r="O12" t="n">
        <v>1593</v>
      </c>
      <c r="P12" t="n">
        <v>2</v>
      </c>
      <c r="Q12" t="n">
        <v>0.80791</v>
      </c>
      <c r="R12" t="inlineStr">
        <is>
          <t>Yes</t>
        </is>
      </c>
      <c r="S12" s="2" t="inlineStr">
        <is>
          <t>Need to Grow</t>
        </is>
      </c>
      <c r="T12" t="inlineStr">
        <is>
          <t>Mid: AK=Yes</t>
        </is>
      </c>
      <c r="U12" t="n">
        <v>30</v>
      </c>
      <c r="V12" t="n">
        <v>222</v>
      </c>
      <c r="W12" t="n">
        <v>3</v>
      </c>
      <c r="X12" t="n">
        <v>0.459459</v>
      </c>
      <c r="Y12" t="inlineStr">
        <is>
          <t>B</t>
        </is>
      </c>
      <c r="Z12" t="inlineStr">
        <is>
          <t>De-growing</t>
        </is>
      </c>
      <c r="AA12" s="3" t="inlineStr">
        <is>
          <t>MISMATCH</t>
        </is>
      </c>
      <c r="AB12" t="inlineStr">
        <is>
          <t>MID tier + NTG (share 10.7%) -&gt; NTG beats S&gt;O</t>
        </is>
      </c>
    </row>
    <row r="13">
      <c r="A13" t="n">
        <v>12</v>
      </c>
      <c r="B13" t="inlineStr">
        <is>
          <t>1000001609</t>
        </is>
      </c>
      <c r="C13" t="inlineStr">
        <is>
          <t>WBM235</t>
        </is>
      </c>
      <c r="D13" t="inlineStr">
        <is>
          <t>MURARI MOHAN RETAIL</t>
        </is>
      </c>
      <c r="E13" t="inlineStr">
        <is>
          <t>MALDA</t>
        </is>
      </c>
      <c r="F13" t="inlineStr">
        <is>
          <t>NB2</t>
        </is>
      </c>
      <c r="G13" t="inlineStr">
        <is>
          <t>25-Aug-18</t>
        </is>
      </c>
      <c r="H13" t="inlineStr">
        <is>
          <t>2 · Old (DOA &lt;= 2025-06-01)</t>
        </is>
      </c>
      <c r="I13" t="n">
        <v>271</v>
      </c>
      <c r="J13" t="n">
        <v>80</v>
      </c>
      <c r="K13" t="n">
        <v>70</v>
      </c>
      <c r="L13" t="n">
        <v>80</v>
      </c>
      <c r="M13" t="n">
        <v>75</v>
      </c>
      <c r="N13" t="n">
        <v>0.295203</v>
      </c>
      <c r="O13" t="n">
        <v>1593</v>
      </c>
      <c r="P13" t="n">
        <v>3</v>
      </c>
      <c r="Q13" t="n">
        <v>0.632141</v>
      </c>
      <c r="R13" t="inlineStr">
        <is>
          <t>No</t>
        </is>
      </c>
      <c r="S13" s="2" t="inlineStr">
        <is>
          <t>Growing</t>
        </is>
      </c>
      <c r="T13" t="inlineStr">
        <is>
          <t>Old: O&gt;=Q</t>
        </is>
      </c>
      <c r="U13" t="n">
        <v>80</v>
      </c>
      <c r="V13" t="n">
        <v>222</v>
      </c>
      <c r="W13" t="n">
        <v>1</v>
      </c>
      <c r="X13" t="n">
        <v>1</v>
      </c>
      <c r="Y13" t="inlineStr">
        <is>
          <t>A</t>
        </is>
      </c>
      <c r="Z13" t="inlineStr">
        <is>
          <t>Growing</t>
        </is>
      </c>
      <c r="AA13" s="4" t="inlineStr">
        <is>
          <t>MATCH</t>
        </is>
      </c>
      <c r="AB13" t="inlineStr">
        <is>
          <t>OLD tier, AN&gt;60% but share 29.5% -&gt; no NTG, O=Q boundary</t>
        </is>
      </c>
    </row>
    <row r="14">
      <c r="A14" t="n">
        <v>13</v>
      </c>
      <c r="B14" t="inlineStr">
        <is>
          <t>1000001587</t>
        </is>
      </c>
      <c r="C14" t="inlineStr">
        <is>
          <t>WBA035</t>
        </is>
      </c>
      <c r="D14" t="inlineStr">
        <is>
          <t>ADIL HARDWARE</t>
        </is>
      </c>
      <c r="E14" t="inlineStr">
        <is>
          <t>MALDA</t>
        </is>
      </c>
      <c r="F14" t="inlineStr">
        <is>
          <t>NB2</t>
        </is>
      </c>
      <c r="G14" t="inlineStr">
        <is>
          <t>16-Apr-15</t>
        </is>
      </c>
      <c r="H14" t="inlineStr">
        <is>
          <t>2 · Old (DOA &lt;= 2025-06-01)</t>
        </is>
      </c>
      <c r="I14" t="n">
        <v>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1593</v>
      </c>
      <c r="P14" t="n">
        <v>4</v>
      </c>
      <c r="Q14" t="n">
        <v>0.462021</v>
      </c>
      <c r="R14" t="inlineStr">
        <is>
          <t>No</t>
        </is>
      </c>
      <c r="S14" s="2" t="inlineStr">
        <is>
          <t>Churn</t>
        </is>
      </c>
      <c r="T14" t="inlineStr">
        <is>
          <t>Old: S=0</t>
        </is>
      </c>
      <c r="U14" t="n">
        <v>0</v>
      </c>
      <c r="V14" t="n">
        <v>222</v>
      </c>
      <c r="W14" t="n">
        <v>8</v>
      </c>
      <c r="X14" t="n">
        <v>0</v>
      </c>
      <c r="Y14" t="inlineStr">
        <is>
          <t>D</t>
        </is>
      </c>
      <c r="Z14" t="inlineStr">
        <is>
          <t>Churn</t>
        </is>
      </c>
      <c r="AA14" s="4" t="inlineStr">
        <is>
          <t>MATCH</t>
        </is>
      </c>
      <c r="AB14" t="inlineStr">
        <is>
          <t>OLD tier, S=0 -&gt; Churn</t>
        </is>
      </c>
    </row>
    <row r="15">
      <c r="A15" t="n">
        <v>14</v>
      </c>
      <c r="B15" t="inlineStr">
        <is>
          <t>1000001590</t>
        </is>
      </c>
      <c r="C15" t="inlineStr">
        <is>
          <t>WBA110</t>
        </is>
      </c>
      <c r="D15" t="inlineStr">
        <is>
          <t>ANSARI ENTERPRISE</t>
        </is>
      </c>
      <c r="E15" t="inlineStr">
        <is>
          <t>MALDA</t>
        </is>
      </c>
      <c r="F15" t="inlineStr">
        <is>
          <t>NB2</t>
        </is>
      </c>
      <c r="G15" t="inlineStr">
        <is>
          <t>10-Sep-19</t>
        </is>
      </c>
      <c r="H15" t="inlineStr">
        <is>
          <t>2 · Old (DOA &lt;= 2025-06-01)</t>
        </is>
      </c>
      <c r="I15" t="n">
        <v>146</v>
      </c>
      <c r="J15" t="n">
        <v>25</v>
      </c>
      <c r="K15" t="n">
        <v>35</v>
      </c>
      <c r="L15" t="n">
        <v>60</v>
      </c>
      <c r="M15" t="n">
        <v>30</v>
      </c>
      <c r="N15" t="n">
        <v>0.171233</v>
      </c>
      <c r="O15" t="n">
        <v>1593</v>
      </c>
      <c r="P15" t="n">
        <v>5</v>
      </c>
      <c r="Q15" t="n">
        <v>0.320151</v>
      </c>
      <c r="R15" t="inlineStr">
        <is>
          <t>No</t>
        </is>
      </c>
      <c r="S15" s="2" t="inlineStr">
        <is>
          <t>De-growing</t>
        </is>
      </c>
      <c r="T15" t="inlineStr">
        <is>
          <t>Old: O&lt;Q</t>
        </is>
      </c>
      <c r="U15" t="n">
        <v>25</v>
      </c>
      <c r="V15" t="n">
        <v>222</v>
      </c>
      <c r="W15" t="n">
        <v>4</v>
      </c>
      <c r="X15" t="n">
        <v>0.324324</v>
      </c>
      <c r="Y15" t="inlineStr">
        <is>
          <t>C</t>
        </is>
      </c>
      <c r="Z15" t="inlineStr">
        <is>
          <t>De-growing</t>
        </is>
      </c>
      <c r="AA15" s="4" t="inlineStr">
        <is>
          <t>MATCH</t>
        </is>
      </c>
      <c r="AB15" t="inlineStr">
        <is>
          <t>OLD tier, O&lt;Q</t>
        </is>
      </c>
    </row>
    <row r="16">
      <c r="A16" t="n">
        <v>15</v>
      </c>
      <c r="B16" t="inlineStr">
        <is>
          <t>1000002033</t>
        </is>
      </c>
      <c r="C16" t="inlineStr">
        <is>
          <t>WBM279</t>
        </is>
      </c>
      <c r="D16" t="inlineStr">
        <is>
          <t>MD YOUSUF ALI ENTERPRISE</t>
        </is>
      </c>
      <c r="E16" t="inlineStr">
        <is>
          <t>MALDA</t>
        </is>
      </c>
      <c r="F16" t="inlineStr">
        <is>
          <t>NB2</t>
        </is>
      </c>
      <c r="G16" t="inlineStr">
        <is>
          <t>28-Dec-25</t>
        </is>
      </c>
      <c r="H16" t="inlineStr">
        <is>
          <t>3 · Mid (DOA &lt;= 2026-01-02)</t>
        </is>
      </c>
      <c r="I16" t="n">
        <v>103</v>
      </c>
      <c r="J16" t="n">
        <v>0</v>
      </c>
      <c r="K16" t="n">
        <v>15</v>
      </c>
      <c r="L16" t="n">
        <v>20</v>
      </c>
      <c r="M16" t="n">
        <v>12</v>
      </c>
      <c r="N16" t="n">
        <v>0</v>
      </c>
      <c r="O16" t="n">
        <v>1593</v>
      </c>
      <c r="P16" t="n">
        <v>6</v>
      </c>
      <c r="Q16" t="n">
        <v>0.2285</v>
      </c>
      <c r="R16" t="inlineStr">
        <is>
          <t>No</t>
        </is>
      </c>
      <c r="S16" s="2" t="inlineStr">
        <is>
          <t>Zero Lifter</t>
        </is>
      </c>
      <c r="T16" t="inlineStr">
        <is>
          <t>Mid: O=0</t>
        </is>
      </c>
      <c r="U16" t="n">
        <v>12</v>
      </c>
      <c r="V16" t="n">
        <v>222</v>
      </c>
      <c r="W16" t="n">
        <v>7</v>
      </c>
      <c r="X16" t="n">
        <v>0.054054</v>
      </c>
      <c r="Y16" t="inlineStr">
        <is>
          <t>D</t>
        </is>
      </c>
      <c r="Z16" t="inlineStr">
        <is>
          <t>Zero Lifter</t>
        </is>
      </c>
      <c r="AA16" s="4" t="inlineStr">
        <is>
          <t>MATCH</t>
        </is>
      </c>
      <c r="AB16" t="inlineStr">
        <is>
          <t>MID tier boundary (DOA just &lt;= B2-180), O=0, S&gt;0</t>
        </is>
      </c>
    </row>
    <row r="17">
      <c r="A17" t="n">
        <v>16</v>
      </c>
      <c r="B17" t="inlineStr">
        <is>
          <t>1000001615</t>
        </is>
      </c>
      <c r="C17" t="inlineStr">
        <is>
          <t>WBR005</t>
        </is>
      </c>
      <c r="D17" t="inlineStr">
        <is>
          <t>ROY SUPPLIERS</t>
        </is>
      </c>
      <c r="E17" t="inlineStr">
        <is>
          <t>MALDA</t>
        </is>
      </c>
      <c r="F17" t="inlineStr">
        <is>
          <t>NB2</t>
        </is>
      </c>
      <c r="G17" t="inlineStr">
        <is>
          <t>03-Jan-26</t>
        </is>
      </c>
      <c r="H17" t="inlineStr">
        <is>
          <t>4 · New (DOA &gt; 2026-01-02)</t>
        </is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1593</v>
      </c>
      <c r="P17" t="n">
        <v>7</v>
      </c>
      <c r="Q17" t="n">
        <v>0.163842</v>
      </c>
      <c r="R17" t="inlineStr">
        <is>
          <t>No</t>
        </is>
      </c>
      <c r="S17" s="2" t="inlineStr">
        <is>
          <t>Zero Lifter</t>
        </is>
      </c>
      <c r="T17" t="inlineStr">
        <is>
          <t>New: O=0  (no Churn branch!)</t>
        </is>
      </c>
      <c r="U17" t="n">
        <v>0</v>
      </c>
      <c r="V17" t="n">
        <v>222</v>
      </c>
      <c r="W17" t="n">
        <v>8</v>
      </c>
      <c r="X17" t="n">
        <v>0</v>
      </c>
      <c r="Y17" t="inlineStr">
        <is>
          <t>D</t>
        </is>
      </c>
      <c r="Z17" t="inlineStr">
        <is>
          <t>Churn</t>
        </is>
      </c>
      <c r="AA17" s="3" t="inlineStr">
        <is>
          <t>MISMATCH</t>
        </is>
      </c>
      <c r="AB17" t="inlineStr">
        <is>
          <t>NEW tier boundary (DOA just &gt; B2-180): S=0 but NO Churn branch -&gt; Zero Lifter</t>
        </is>
      </c>
    </row>
    <row r="18">
      <c r="A18" t="n">
        <v>17</v>
      </c>
      <c r="B18" t="inlineStr">
        <is>
          <t>1000002018</t>
        </is>
      </c>
      <c r="C18" t="inlineStr">
        <is>
          <t>WBM277</t>
        </is>
      </c>
      <c r="D18" t="inlineStr">
        <is>
          <t>MAHAMMAD HARDWARE</t>
        </is>
      </c>
      <c r="E18" t="inlineStr">
        <is>
          <t>MALDA</t>
        </is>
      </c>
      <c r="F18" t="inlineStr">
        <is>
          <t>NB2</t>
        </is>
      </c>
      <c r="G18" t="inlineStr">
        <is>
          <t>14-Feb-26</t>
        </is>
      </c>
      <c r="H18" t="inlineStr">
        <is>
          <t>4 · New (DOA &gt; 2026-01-02)</t>
        </is>
      </c>
      <c r="I18" t="n">
        <v>93</v>
      </c>
      <c r="J18" t="n">
        <v>20</v>
      </c>
      <c r="K18" t="n">
        <v>20</v>
      </c>
      <c r="L18" t="n">
        <v>0</v>
      </c>
      <c r="M18" t="n">
        <v>20</v>
      </c>
      <c r="N18" t="n">
        <v>0.215054</v>
      </c>
      <c r="O18" t="n">
        <v>1593</v>
      </c>
      <c r="P18" t="n">
        <v>8</v>
      </c>
      <c r="Q18" t="n">
        <v>0.104206</v>
      </c>
      <c r="R18" t="inlineStr">
        <is>
          <t>No</t>
        </is>
      </c>
      <c r="S18" s="2" t="inlineStr">
        <is>
          <t>Growing</t>
        </is>
      </c>
      <c r="T18" t="inlineStr">
        <is>
          <t>New: R&lt;=O</t>
        </is>
      </c>
      <c r="U18" t="n">
        <v>20</v>
      </c>
      <c r="V18" t="n">
        <v>222</v>
      </c>
      <c r="W18" t="n">
        <v>5</v>
      </c>
      <c r="X18" t="n">
        <v>0.211712</v>
      </c>
      <c r="Y18" t="inlineStr">
        <is>
          <t>C</t>
        </is>
      </c>
      <c r="Z18" t="inlineStr">
        <is>
          <t>Need to Grow</t>
        </is>
      </c>
      <c r="AA18" s="3" t="inlineStr">
        <is>
          <t>MISMATCH</t>
        </is>
      </c>
      <c r="AB18" t="inlineStr">
        <is>
          <t>NEW tier, R=O boundary -&gt; Growing</t>
        </is>
      </c>
    </row>
    <row r="19">
      <c r="A19" t="n">
        <v>18</v>
      </c>
      <c r="B19" t="inlineStr">
        <is>
          <t>1000001611</t>
        </is>
      </c>
      <c r="C19" t="inlineStr">
        <is>
          <t>WBM247</t>
        </is>
      </c>
      <c r="D19" t="inlineStr">
        <is>
          <t>MD SAHAJAHAN</t>
        </is>
      </c>
      <c r="E19" t="inlineStr">
        <is>
          <t>MALDA</t>
        </is>
      </c>
      <c r="F19" t="inlineStr">
        <is>
          <t>NB2</t>
        </is>
      </c>
      <c r="G19" t="inlineStr">
        <is>
          <t>16-May-19</t>
        </is>
      </c>
      <c r="H19" t="inlineStr">
        <is>
          <t>2 · Old (DOA &lt;= 2025-06-01)</t>
        </is>
      </c>
      <c r="I19" t="n">
        <v>73</v>
      </c>
      <c r="J19" t="n">
        <v>15</v>
      </c>
      <c r="K19" t="n">
        <v>12</v>
      </c>
      <c r="L19" t="n">
        <v>15</v>
      </c>
      <c r="M19" t="n">
        <v>14</v>
      </c>
      <c r="N19" t="n">
        <v>0.205479</v>
      </c>
      <c r="O19" t="n">
        <v>1593</v>
      </c>
      <c r="P19" t="n">
        <v>9</v>
      </c>
      <c r="Q19" t="n">
        <v>0.045825</v>
      </c>
      <c r="R19" t="inlineStr">
        <is>
          <t>No</t>
        </is>
      </c>
      <c r="S19" s="2" t="inlineStr">
        <is>
          <t>Growing</t>
        </is>
      </c>
      <c r="T19" t="inlineStr">
        <is>
          <t>Old: O&gt;=Q</t>
        </is>
      </c>
      <c r="U19" t="n">
        <v>15</v>
      </c>
      <c r="V19" t="n">
        <v>222</v>
      </c>
      <c r="W19" t="n">
        <v>6</v>
      </c>
      <c r="X19" t="n">
        <v>0.121622</v>
      </c>
      <c r="Y19" t="inlineStr">
        <is>
          <t>D</t>
        </is>
      </c>
      <c r="Z19" t="inlineStr">
        <is>
          <t>Growing</t>
        </is>
      </c>
      <c r="AA19" s="4" t="inlineStr">
        <is>
          <t>MATCH</t>
        </is>
      </c>
      <c r="AB19" t="inlineStr">
        <is>
          <t>OLD tier, O=Q boundary -&gt; Growing</t>
        </is>
      </c>
    </row>
    <row r="20">
      <c r="A20" t="n">
        <v>19</v>
      </c>
      <c r="B20" t="inlineStr">
        <is>
          <t>(prospect)</t>
        </is>
      </c>
      <c r="C20" t="inlineStr">
        <is>
          <t>BHG030</t>
        </is>
      </c>
      <c r="D20" t="inlineStr">
        <is>
          <t>GANESH ENTERPRIESES</t>
        </is>
      </c>
      <c r="E20" t="inlineStr">
        <is>
          <t>BEGUSARAI</t>
        </is>
      </c>
      <c r="F20" t="inlineStr">
        <is>
          <t>BH-2</t>
        </is>
      </c>
      <c r="G20" t="inlineStr">
        <is>
          <t>New</t>
        </is>
      </c>
      <c r="H20" t="inlineStr">
        <is>
          <t>0 · Prospect (DOA='New')</t>
        </is>
      </c>
      <c r="I20" t="n">
        <v>400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400</v>
      </c>
      <c r="P20" t="n">
        <v>1</v>
      </c>
      <c r="Q20" t="n">
        <v>1</v>
      </c>
      <c r="R20" t="inlineStr">
        <is>
          <t>No</t>
        </is>
      </c>
      <c r="S20" s="2" t="inlineStr">
        <is>
          <t>Prospective</t>
        </is>
      </c>
      <c r="T20" t="inlineStr">
        <is>
          <t>DOA="New"</t>
        </is>
      </c>
      <c r="U20" t="n">
        <v>160</v>
      </c>
      <c r="V20" t="n">
        <v>160</v>
      </c>
      <c r="W20" t="n">
        <v>1</v>
      </c>
      <c r="X20" t="n">
        <v>1</v>
      </c>
      <c r="Y20" t="inlineStr">
        <is>
          <t>A</t>
        </is>
      </c>
      <c r="Z20" t="inlineStr">
        <is>
          <t>Prospective</t>
        </is>
      </c>
      <c r="AA20" s="4" t="inlineStr">
        <is>
          <t>MATCH</t>
        </is>
      </c>
      <c r="AB20" t="inlineStr">
        <is>
          <t>Prospect intake</t>
        </is>
      </c>
    </row>
    <row r="21">
      <c r="A21" t="n">
        <v>20</v>
      </c>
      <c r="B21" t="inlineStr">
        <is>
          <t>(prospect)</t>
        </is>
      </c>
      <c r="C21" t="inlineStr">
        <is>
          <t>NSRE50063</t>
        </is>
      </c>
      <c r="D21" t="inlineStr">
        <is>
          <t>SOURABH ENTERPRISES</t>
        </is>
      </c>
      <c r="E21" t="inlineStr">
        <is>
          <t>BHAGALPUR</t>
        </is>
      </c>
      <c r="F21" t="inlineStr">
        <is>
          <t>BH-2</t>
        </is>
      </c>
      <c r="G21" t="inlineStr">
        <is>
          <t>New</t>
        </is>
      </c>
      <c r="H21" t="inlineStr">
        <is>
          <t>0 · Prospect (DOA='New')</t>
        </is>
      </c>
      <c r="I21" t="n">
        <v>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500</v>
      </c>
      <c r="P21" t="n">
        <v>1</v>
      </c>
      <c r="Q21" t="n">
        <v>1</v>
      </c>
      <c r="R21" t="inlineStr">
        <is>
          <t>No</t>
        </is>
      </c>
      <c r="S21" s="2" t="inlineStr">
        <is>
          <t>Prospective</t>
        </is>
      </c>
      <c r="T21" t="inlineStr">
        <is>
          <t>DOA="New"</t>
        </is>
      </c>
      <c r="U21" t="n">
        <v>200</v>
      </c>
      <c r="V21" t="n">
        <v>200</v>
      </c>
      <c r="W21" t="n">
        <v>1</v>
      </c>
      <c r="X21" t="n">
        <v>1</v>
      </c>
      <c r="Y21" t="inlineStr">
        <is>
          <t>A</t>
        </is>
      </c>
      <c r="Z21" t="inlineStr">
        <is>
          <t>Prospective</t>
        </is>
      </c>
      <c r="AA21" s="4" t="inlineStr">
        <is>
          <t>MATCH</t>
        </is>
      </c>
      <c r="AB21" t="inlineStr">
        <is>
          <t>Prospect intake</t>
        </is>
      </c>
    </row>
    <row r="22">
      <c r="A22" t="n">
        <v>21</v>
      </c>
      <c r="B22" t="inlineStr">
        <is>
          <t>(prospect)</t>
        </is>
      </c>
      <c r="C22" t="inlineStr">
        <is>
          <t>WBN114</t>
        </is>
      </c>
      <c r="D22" t="inlineStr">
        <is>
          <t>NEW LOCKNATH BUILDERS</t>
        </is>
      </c>
      <c r="E22" t="inlineStr">
        <is>
          <t>COOCHBEHAR</t>
        </is>
      </c>
      <c r="F22" t="inlineStr">
        <is>
          <t>NB-1</t>
        </is>
      </c>
      <c r="G22" t="inlineStr">
        <is>
          <t>New</t>
        </is>
      </c>
      <c r="H22" t="inlineStr">
        <is>
          <t>0 · Prospect (DOA='New')</t>
        </is>
      </c>
      <c r="I22" t="n">
        <v>200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200</v>
      </c>
      <c r="P22" t="n">
        <v>1</v>
      </c>
      <c r="Q22" t="n">
        <v>1</v>
      </c>
      <c r="R22" t="inlineStr">
        <is>
          <t>No</t>
        </is>
      </c>
      <c r="S22" s="2" t="inlineStr">
        <is>
          <t>Prospective</t>
        </is>
      </c>
      <c r="T22" t="inlineStr">
        <is>
          <t>DOA="New"</t>
        </is>
      </c>
      <c r="U22" t="n">
        <v>80</v>
      </c>
      <c r="V22" t="n">
        <v>80</v>
      </c>
      <c r="W22" t="n">
        <v>1</v>
      </c>
      <c r="X22" t="n">
        <v>1</v>
      </c>
      <c r="Y22" t="inlineStr">
        <is>
          <t>A</t>
        </is>
      </c>
      <c r="Z22" t="inlineStr">
        <is>
          <t>Prospective</t>
        </is>
      </c>
      <c r="AA22" s="4" t="inlineStr">
        <is>
          <t>MATCH</t>
        </is>
      </c>
      <c r="AB22" t="inlineStr">
        <is>
          <t>Prospect intake</t>
        </is>
      </c>
    </row>
    <row r="23">
      <c r="A23" t="n">
        <v>22</v>
      </c>
      <c r="B23" t="inlineStr">
        <is>
          <t>(prospect)</t>
        </is>
      </c>
      <c r="C23" t="inlineStr">
        <is>
          <t>NSRE19295</t>
        </is>
      </c>
      <c r="D23" t="inlineStr">
        <is>
          <t>MAA DURGA HARDWARE</t>
        </is>
      </c>
      <c r="E23" t="inlineStr">
        <is>
          <t>DAKSHIN DINAJPUR</t>
        </is>
      </c>
      <c r="F23" t="inlineStr">
        <is>
          <t>NB-2</t>
        </is>
      </c>
      <c r="G23" t="inlineStr">
        <is>
          <t>New</t>
        </is>
      </c>
      <c r="H23" t="inlineStr">
        <is>
          <t>0 · Prospect (DOA='New')</t>
        </is>
      </c>
      <c r="I23" t="n">
        <v>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200</v>
      </c>
      <c r="P23" t="n">
        <v>1</v>
      </c>
      <c r="Q23" t="n">
        <v>1</v>
      </c>
      <c r="R23" t="inlineStr">
        <is>
          <t>No</t>
        </is>
      </c>
      <c r="S23" s="2" t="inlineStr">
        <is>
          <t>Prospective</t>
        </is>
      </c>
      <c r="T23" t="inlineStr">
        <is>
          <t>DOA="New"</t>
        </is>
      </c>
      <c r="U23" t="n">
        <v>40</v>
      </c>
      <c r="V23" t="n">
        <v>80</v>
      </c>
      <c r="W23" t="n">
        <v>1</v>
      </c>
      <c r="X23" t="n">
        <v>1</v>
      </c>
      <c r="Y23" t="inlineStr">
        <is>
          <t>A</t>
        </is>
      </c>
      <c r="Z23" t="inlineStr">
        <is>
          <t>Prospective</t>
        </is>
      </c>
      <c r="AA23" s="4" t="inlineStr">
        <is>
          <t>MATCH</t>
        </is>
      </c>
      <c r="AB23" t="inlineStr">
        <is>
          <t>Prospect intake</t>
        </is>
      </c>
    </row>
    <row r="24">
      <c r="A24" t="n">
        <v>23</v>
      </c>
      <c r="B24" t="inlineStr">
        <is>
          <t>(prospect)</t>
        </is>
      </c>
      <c r="C24" t="inlineStr">
        <is>
          <t>WBS304</t>
        </is>
      </c>
      <c r="D24" t="inlineStr">
        <is>
          <t>PAUL ENTERPRISE</t>
        </is>
      </c>
      <c r="E24" t="inlineStr">
        <is>
          <t>DAKSHIN DINAJPUR</t>
        </is>
      </c>
      <c r="F24" t="inlineStr">
        <is>
          <t>NB-2</t>
        </is>
      </c>
      <c r="G24" t="inlineStr">
        <is>
          <t>New</t>
        </is>
      </c>
      <c r="H24" t="inlineStr">
        <is>
          <t>0 · Prospect (DOA='New')</t>
        </is>
      </c>
      <c r="I24" t="n">
        <v>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200</v>
      </c>
      <c r="P24" t="n">
        <v>1</v>
      </c>
      <c r="Q24" t="n">
        <v>1</v>
      </c>
      <c r="R24" t="inlineStr">
        <is>
          <t>No</t>
        </is>
      </c>
      <c r="S24" s="2" t="inlineStr">
        <is>
          <t>Prospective</t>
        </is>
      </c>
      <c r="T24" t="inlineStr">
        <is>
          <t>DOA="New"</t>
        </is>
      </c>
      <c r="U24" t="n">
        <v>40</v>
      </c>
      <c r="V24" t="n">
        <v>80</v>
      </c>
      <c r="W24" t="n">
        <v>1</v>
      </c>
      <c r="X24" t="n">
        <v>1</v>
      </c>
      <c r="Y24" t="inlineStr">
        <is>
          <t>A</t>
        </is>
      </c>
      <c r="Z24" t="inlineStr">
        <is>
          <t>Prospective</t>
        </is>
      </c>
      <c r="AA24" s="4" t="inlineStr">
        <is>
          <t>MATCH</t>
        </is>
      </c>
      <c r="AB24" t="inlineStr">
        <is>
          <t>Prospect intake</t>
        </is>
      </c>
    </row>
    <row r="25">
      <c r="A25" t="n">
        <v>24</v>
      </c>
      <c r="B25" t="inlineStr">
        <is>
          <t>(prospect)</t>
        </is>
      </c>
      <c r="C25" t="inlineStr">
        <is>
          <t>WBJ055</t>
        </is>
      </c>
      <c r="D25" t="inlineStr">
        <is>
          <t>MANORAMA BUILDERS</t>
        </is>
      </c>
      <c r="E25" t="inlineStr">
        <is>
          <t>DARJEELING PLAINS</t>
        </is>
      </c>
      <c r="F25" t="inlineStr">
        <is>
          <t>NB-1</t>
        </is>
      </c>
      <c r="G25" t="inlineStr">
        <is>
          <t>New</t>
        </is>
      </c>
      <c r="H25" t="inlineStr">
        <is>
          <t>0 · Prospect (DOA='New')</t>
        </is>
      </c>
      <c r="I25" t="n">
        <v>350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350</v>
      </c>
      <c r="P25" t="n">
        <v>1</v>
      </c>
      <c r="Q25" t="n">
        <v>1</v>
      </c>
      <c r="R25" t="inlineStr">
        <is>
          <t>No</t>
        </is>
      </c>
      <c r="S25" s="2" t="inlineStr">
        <is>
          <t>Prospective</t>
        </is>
      </c>
      <c r="T25" t="inlineStr">
        <is>
          <t>DOA="New"</t>
        </is>
      </c>
      <c r="U25" t="n">
        <v>140</v>
      </c>
      <c r="V25" t="n">
        <v>140</v>
      </c>
      <c r="W25" t="n">
        <v>1</v>
      </c>
      <c r="X25" t="n">
        <v>1</v>
      </c>
      <c r="Y25" t="inlineStr">
        <is>
          <t>A</t>
        </is>
      </c>
      <c r="Z25" t="inlineStr">
        <is>
          <t>Prospective</t>
        </is>
      </c>
      <c r="AA25" s="4" t="inlineStr">
        <is>
          <t>MATCH</t>
        </is>
      </c>
      <c r="AB25" t="inlineStr">
        <is>
          <t>Prospect intake</t>
        </is>
      </c>
    </row>
    <row r="26">
      <c r="A26" t="n">
        <v>25</v>
      </c>
      <c r="B26" t="inlineStr">
        <is>
          <t>(prospect)</t>
        </is>
      </c>
      <c r="C26" t="inlineStr">
        <is>
          <t>SDRE02232</t>
        </is>
      </c>
      <c r="D26" t="inlineStr">
        <is>
          <t>KESHAB CHANDRA</t>
        </is>
      </c>
      <c r="E26" t="inlineStr">
        <is>
          <t>JALPAIGURI</t>
        </is>
      </c>
      <c r="F26" t="inlineStr">
        <is>
          <t>NB-1</t>
        </is>
      </c>
      <c r="G26" t="inlineStr">
        <is>
          <t>New</t>
        </is>
      </c>
      <c r="H26" t="inlineStr">
        <is>
          <t>0 · Prospect (DOA='New')</t>
        </is>
      </c>
      <c r="I26" t="n">
        <v>200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200</v>
      </c>
      <c r="P26" t="n">
        <v>1</v>
      </c>
      <c r="Q26" t="n">
        <v>1</v>
      </c>
      <c r="R26" t="inlineStr">
        <is>
          <t>No</t>
        </is>
      </c>
      <c r="S26" s="2" t="inlineStr">
        <is>
          <t>Prospective</t>
        </is>
      </c>
      <c r="T26" t="inlineStr">
        <is>
          <t>DOA="New"</t>
        </is>
      </c>
      <c r="U26" t="n">
        <v>80</v>
      </c>
      <c r="V26" t="n">
        <v>80</v>
      </c>
      <c r="W26" t="n">
        <v>1</v>
      </c>
      <c r="X26" t="n">
        <v>1</v>
      </c>
      <c r="Y26" t="inlineStr">
        <is>
          <t>A</t>
        </is>
      </c>
      <c r="Z26" t="inlineStr">
        <is>
          <t>Prospective</t>
        </is>
      </c>
      <c r="AA26" s="4" t="inlineStr">
        <is>
          <t>MATCH</t>
        </is>
      </c>
      <c r="AB26" t="inlineStr">
        <is>
          <t>Prospect intake</t>
        </is>
      </c>
    </row>
    <row r="27">
      <c r="A27" t="n">
        <v>26</v>
      </c>
      <c r="B27" t="inlineStr">
        <is>
          <t>(prospect)</t>
        </is>
      </c>
      <c r="C27" t="inlineStr">
        <is>
          <t>9162839842</t>
        </is>
      </c>
      <c r="D27" t="inlineStr">
        <is>
          <t>HADDI ENTERPRISES</t>
        </is>
      </c>
      <c r="E27" t="inlineStr">
        <is>
          <t>KATIHAR</t>
        </is>
      </c>
      <c r="F27" t="inlineStr">
        <is>
          <t>BH-1</t>
        </is>
      </c>
      <c r="G27" t="inlineStr">
        <is>
          <t>New</t>
        </is>
      </c>
      <c r="H27" t="inlineStr">
        <is>
          <t>0 · Prospect (DOA='New')</t>
        </is>
      </c>
      <c r="I27" t="n">
        <v>200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300</v>
      </c>
      <c r="P27" t="n">
        <v>1</v>
      </c>
      <c r="Q27" t="n">
        <v>1</v>
      </c>
      <c r="R27" t="inlineStr">
        <is>
          <t>No</t>
        </is>
      </c>
      <c r="S27" s="2" t="inlineStr">
        <is>
          <t>Prospective</t>
        </is>
      </c>
      <c r="T27" t="inlineStr">
        <is>
          <t>DOA="New"</t>
        </is>
      </c>
      <c r="U27" t="n">
        <v>80</v>
      </c>
      <c r="V27" t="n">
        <v>120</v>
      </c>
      <c r="W27" t="n">
        <v>1</v>
      </c>
      <c r="X27" t="n">
        <v>1</v>
      </c>
      <c r="Y27" t="inlineStr">
        <is>
          <t>A</t>
        </is>
      </c>
      <c r="Z27" t="inlineStr">
        <is>
          <t>Prospective</t>
        </is>
      </c>
      <c r="AA27" s="4" t="inlineStr">
        <is>
          <t>MATCH</t>
        </is>
      </c>
      <c r="AB27" t="inlineStr">
        <is>
          <t>Prospect intake</t>
        </is>
      </c>
    </row>
    <row r="28">
      <c r="A28" t="n">
        <v>27</v>
      </c>
      <c r="B28" t="inlineStr">
        <is>
          <t>(prospect)</t>
        </is>
      </c>
      <c r="C28" t="inlineStr">
        <is>
          <t>BHM111</t>
        </is>
      </c>
      <c r="D28" t="inlineStr">
        <is>
          <t>MD SHAHANAWAZ ALAM</t>
        </is>
      </c>
      <c r="E28" t="inlineStr">
        <is>
          <t>KATIHAR</t>
        </is>
      </c>
      <c r="F28" t="inlineStr">
        <is>
          <t>BH-1</t>
        </is>
      </c>
      <c r="G28" t="inlineStr">
        <is>
          <t>New</t>
        </is>
      </c>
      <c r="H28" t="inlineStr">
        <is>
          <t>0 · Prospect (DOA='New')</t>
        </is>
      </c>
      <c r="I28" t="n">
        <v>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300</v>
      </c>
      <c r="P28" t="n">
        <v>2</v>
      </c>
      <c r="Q28" t="n">
        <v>0.333333</v>
      </c>
      <c r="R28" t="inlineStr">
        <is>
          <t>No</t>
        </is>
      </c>
      <c r="S28" s="2" t="inlineStr">
        <is>
          <t>Prospective</t>
        </is>
      </c>
      <c r="T28" t="inlineStr">
        <is>
          <t>DOA="New"</t>
        </is>
      </c>
      <c r="U28" t="n">
        <v>40</v>
      </c>
      <c r="V28" t="n">
        <v>120</v>
      </c>
      <c r="W28" t="n">
        <v>2</v>
      </c>
      <c r="X28" t="n">
        <v>0.333333</v>
      </c>
      <c r="Y28" t="inlineStr">
        <is>
          <t>C</t>
        </is>
      </c>
      <c r="Z28" t="inlineStr">
        <is>
          <t>Prospective</t>
        </is>
      </c>
      <c r="AA28" s="4" t="inlineStr">
        <is>
          <t>MATCH</t>
        </is>
      </c>
      <c r="AB28" t="inlineStr">
        <is>
          <t>Prospect intake</t>
        </is>
      </c>
    </row>
    <row r="29">
      <c r="A29" t="n">
        <v>28</v>
      </c>
      <c r="B29" t="inlineStr">
        <is>
          <t>(prospect)</t>
        </is>
      </c>
      <c r="C29" t="inlineStr">
        <is>
          <t>NSRE07029</t>
        </is>
      </c>
      <c r="D29" t="inlineStr">
        <is>
          <t>NAIYER TRADERS</t>
        </is>
      </c>
      <c r="E29" t="inlineStr">
        <is>
          <t>KISHANGANJ</t>
        </is>
      </c>
      <c r="F29" t="inlineStr">
        <is>
          <t>BH-1</t>
        </is>
      </c>
      <c r="G29" t="inlineStr">
        <is>
          <t>New</t>
        </is>
      </c>
      <c r="H29" t="inlineStr">
        <is>
          <t>0 · Prospect (DOA='New')</t>
        </is>
      </c>
      <c r="I29" t="n">
        <v>150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250</v>
      </c>
      <c r="P29" t="n">
        <v>1</v>
      </c>
      <c r="Q29" t="n">
        <v>1</v>
      </c>
      <c r="R29" t="inlineStr">
        <is>
          <t>No</t>
        </is>
      </c>
      <c r="S29" s="2" t="inlineStr">
        <is>
          <t>Prospective</t>
        </is>
      </c>
      <c r="T29" t="inlineStr">
        <is>
          <t>DOA="New"</t>
        </is>
      </c>
      <c r="U29" t="n">
        <v>60</v>
      </c>
      <c r="V29" t="n">
        <v>100</v>
      </c>
      <c r="W29" t="n">
        <v>1</v>
      </c>
      <c r="X29" t="n">
        <v>1</v>
      </c>
      <c r="Y29" t="inlineStr">
        <is>
          <t>A</t>
        </is>
      </c>
      <c r="Z29" t="inlineStr">
        <is>
          <t>Prospective</t>
        </is>
      </c>
      <c r="AA29" s="4" t="inlineStr">
        <is>
          <t>MATCH</t>
        </is>
      </c>
      <c r="AB29" t="inlineStr">
        <is>
          <t>Prospect intake</t>
        </is>
      </c>
    </row>
    <row r="30">
      <c r="A30" t="n">
        <v>29</v>
      </c>
      <c r="B30" t="inlineStr">
        <is>
          <t>(prospect)</t>
        </is>
      </c>
      <c r="C30" t="inlineStr">
        <is>
          <t>BHJ041</t>
        </is>
      </c>
      <c r="D30" t="inlineStr">
        <is>
          <t>JALALGARH TRADERS</t>
        </is>
      </c>
      <c r="E30" t="inlineStr">
        <is>
          <t>KISHANGANJ</t>
        </is>
      </c>
      <c r="F30" t="inlineStr">
        <is>
          <t>BH-1</t>
        </is>
      </c>
      <c r="G30" t="inlineStr">
        <is>
          <t>New</t>
        </is>
      </c>
      <c r="H30" t="inlineStr">
        <is>
          <t>0 · Prospect (DOA='New')</t>
        </is>
      </c>
      <c r="I30" t="n">
        <v>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250</v>
      </c>
      <c r="P30" t="n">
        <v>2</v>
      </c>
      <c r="Q30" t="n">
        <v>0.4</v>
      </c>
      <c r="R30" t="inlineStr">
        <is>
          <t>No</t>
        </is>
      </c>
      <c r="S30" s="2" t="inlineStr">
        <is>
          <t>Prospective</t>
        </is>
      </c>
      <c r="T30" t="inlineStr">
        <is>
          <t>DOA="New"</t>
        </is>
      </c>
      <c r="U30" t="n">
        <v>40</v>
      </c>
      <c r="V30" t="n">
        <v>100</v>
      </c>
      <c r="W30" t="n">
        <v>2</v>
      </c>
      <c r="X30" t="n">
        <v>0.4</v>
      </c>
      <c r="Y30" t="inlineStr">
        <is>
          <t>C</t>
        </is>
      </c>
      <c r="Z30" t="inlineStr">
        <is>
          <t>Prospective</t>
        </is>
      </c>
      <c r="AA30" s="4" t="inlineStr">
        <is>
          <t>MATCH</t>
        </is>
      </c>
      <c r="AB30" t="inlineStr">
        <is>
          <t>Prospect intake</t>
        </is>
      </c>
    </row>
    <row r="31">
      <c r="A31" t="n">
        <v>30</v>
      </c>
      <c r="B31" t="inlineStr">
        <is>
          <t>(prospect)</t>
        </is>
      </c>
      <c r="C31" t="inlineStr">
        <is>
          <t>BHS001</t>
        </is>
      </c>
      <c r="D31" t="inlineStr">
        <is>
          <t>SAKUTLA CEMENT AGENCY</t>
        </is>
      </c>
      <c r="E31" t="inlineStr">
        <is>
          <t>MUZAFFARPUR</t>
        </is>
      </c>
      <c r="F31" t="inlineStr">
        <is>
          <t>BH-2</t>
        </is>
      </c>
      <c r="G31" t="inlineStr">
        <is>
          <t>New</t>
        </is>
      </c>
      <c r="H31" t="inlineStr">
        <is>
          <t>0 · Prospect (DOA='New')</t>
        </is>
      </c>
      <c r="I31" t="n">
        <v>200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300</v>
      </c>
      <c r="P31" t="n">
        <v>1</v>
      </c>
      <c r="Q31" t="n">
        <v>1</v>
      </c>
      <c r="R31" t="inlineStr">
        <is>
          <t>No</t>
        </is>
      </c>
      <c r="S31" s="2" t="inlineStr">
        <is>
          <t>Prospective</t>
        </is>
      </c>
      <c r="T31" t="inlineStr">
        <is>
          <t>DOA="New"</t>
        </is>
      </c>
      <c r="U31" t="n">
        <v>80</v>
      </c>
      <c r="V31" t="n">
        <v>120</v>
      </c>
      <c r="W31" t="n">
        <v>1</v>
      </c>
      <c r="X31" t="n">
        <v>1</v>
      </c>
      <c r="Y31" t="inlineStr">
        <is>
          <t>A</t>
        </is>
      </c>
      <c r="Z31" t="inlineStr">
        <is>
          <t>Prospective</t>
        </is>
      </c>
      <c r="AA31" s="4" t="inlineStr">
        <is>
          <t>MATCH</t>
        </is>
      </c>
      <c r="AB31" t="inlineStr">
        <is>
          <t>Prospect intake</t>
        </is>
      </c>
    </row>
    <row r="32">
      <c r="A32" t="n">
        <v>31</v>
      </c>
      <c r="B32" t="inlineStr">
        <is>
          <t>(prospect)</t>
        </is>
      </c>
      <c r="C32" t="inlineStr">
        <is>
          <t>7091848061</t>
        </is>
      </c>
      <c r="D32" t="inlineStr">
        <is>
          <t>M/S JANKI TRADERS</t>
        </is>
      </c>
      <c r="E32" t="inlineStr">
        <is>
          <t>MUZAFFARPUR</t>
        </is>
      </c>
      <c r="F32" t="inlineStr">
        <is>
          <t>BH-2</t>
        </is>
      </c>
      <c r="G32" t="inlineStr">
        <is>
          <t>New</t>
        </is>
      </c>
      <c r="H32" t="inlineStr">
        <is>
          <t>0 · Prospect (DOA='New')</t>
        </is>
      </c>
      <c r="I32" t="n">
        <v>100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300</v>
      </c>
      <c r="P32" t="n">
        <v>2</v>
      </c>
      <c r="Q32" t="n">
        <v>0.333333</v>
      </c>
      <c r="R32" t="inlineStr">
        <is>
          <t>No</t>
        </is>
      </c>
      <c r="S32" s="2" t="inlineStr">
        <is>
          <t>Prospective</t>
        </is>
      </c>
      <c r="T32" t="inlineStr">
        <is>
          <t>DOA="New"</t>
        </is>
      </c>
      <c r="U32" t="n">
        <v>40</v>
      </c>
      <c r="V32" t="n">
        <v>120</v>
      </c>
      <c r="W32" t="n">
        <v>2</v>
      </c>
      <c r="X32" t="n">
        <v>0.333333</v>
      </c>
      <c r="Y32" t="inlineStr">
        <is>
          <t>C</t>
        </is>
      </c>
      <c r="Z32" t="inlineStr">
        <is>
          <t>Prospective</t>
        </is>
      </c>
      <c r="AA32" s="4" t="inlineStr">
        <is>
          <t>MATCH</t>
        </is>
      </c>
      <c r="AB32" t="inlineStr">
        <is>
          <t>Prospect intake</t>
        </is>
      </c>
    </row>
    <row r="33">
      <c r="A33" t="n">
        <v>32</v>
      </c>
      <c r="B33" t="inlineStr">
        <is>
          <t>(prospect)</t>
        </is>
      </c>
      <c r="C33" t="inlineStr">
        <is>
          <t>BHV025</t>
        </is>
      </c>
      <c r="D33" t="inlineStr">
        <is>
          <t>VARUN HARDWARE</t>
        </is>
      </c>
      <c r="E33" t="inlineStr">
        <is>
          <t>PURNIA</t>
        </is>
      </c>
      <c r="F33" t="inlineStr">
        <is>
          <t>BH-1</t>
        </is>
      </c>
      <c r="G33" t="inlineStr">
        <is>
          <t>New</t>
        </is>
      </c>
      <c r="H33" t="inlineStr">
        <is>
          <t>0 · Prospect (DOA='New')</t>
        </is>
      </c>
      <c r="I33" t="n">
        <v>250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250</v>
      </c>
      <c r="P33" t="n">
        <v>1</v>
      </c>
      <c r="Q33" t="n">
        <v>1</v>
      </c>
      <c r="R33" t="inlineStr">
        <is>
          <t>No</t>
        </is>
      </c>
      <c r="S33" s="2" t="inlineStr">
        <is>
          <t>Prospective</t>
        </is>
      </c>
      <c r="T33" t="inlineStr">
        <is>
          <t>DOA="New"</t>
        </is>
      </c>
      <c r="U33" t="n">
        <v>100</v>
      </c>
      <c r="V33" t="n">
        <v>100</v>
      </c>
      <c r="W33" t="n">
        <v>1</v>
      </c>
      <c r="X33" t="n">
        <v>1</v>
      </c>
      <c r="Y33" t="inlineStr">
        <is>
          <t>A</t>
        </is>
      </c>
      <c r="Z33" t="inlineStr">
        <is>
          <t>Prospective</t>
        </is>
      </c>
      <c r="AA33" s="4" t="inlineStr">
        <is>
          <t>MATCH</t>
        </is>
      </c>
      <c r="AB33" t="inlineStr">
        <is>
          <t>Prospect intake</t>
        </is>
      </c>
    </row>
    <row r="34">
      <c r="A34" t="n">
        <v>33</v>
      </c>
      <c r="B34" t="inlineStr">
        <is>
          <t>(prospect)</t>
        </is>
      </c>
      <c r="C34" t="inlineStr">
        <is>
          <t>NSRE11166</t>
        </is>
      </c>
      <c r="D34" t="inlineStr">
        <is>
          <t>DENZONG ENTERPRISE</t>
        </is>
      </c>
      <c r="E34" t="inlineStr">
        <is>
          <t>SIKKIM</t>
        </is>
      </c>
      <c r="F34" t="inlineStr">
        <is>
          <t>NB-1</t>
        </is>
      </c>
      <c r="G34" t="inlineStr">
        <is>
          <t>New</t>
        </is>
      </c>
      <c r="H34" t="inlineStr">
        <is>
          <t>0 · Prospect (DOA='New')</t>
        </is>
      </c>
      <c r="I34" t="n">
        <v>300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300</v>
      </c>
      <c r="P34" t="n">
        <v>1</v>
      </c>
      <c r="Q34" t="n">
        <v>1</v>
      </c>
      <c r="R34" t="inlineStr">
        <is>
          <t>No</t>
        </is>
      </c>
      <c r="S34" s="2" t="inlineStr">
        <is>
          <t>Prospective</t>
        </is>
      </c>
      <c r="T34" t="inlineStr">
        <is>
          <t>DOA="New"</t>
        </is>
      </c>
      <c r="U34" t="n">
        <v>120</v>
      </c>
      <c r="V34" t="n">
        <v>120</v>
      </c>
      <c r="W34" t="n">
        <v>1</v>
      </c>
      <c r="X34" t="n">
        <v>1</v>
      </c>
      <c r="Y34" t="inlineStr">
        <is>
          <t>A</t>
        </is>
      </c>
      <c r="Z34" t="inlineStr">
        <is>
          <t>Prospective</t>
        </is>
      </c>
      <c r="AA34" s="4" t="inlineStr">
        <is>
          <t>MATCH</t>
        </is>
      </c>
      <c r="AB34" t="inlineStr">
        <is>
          <t>Prospect intake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46" customWidth="1" min="3" max="3"/>
    <col width="60" customWidth="1" min="4" max="4"/>
  </cols>
  <sheetData>
    <row r="1">
      <c r="A1" s="5" t="inlineStr">
        <is>
          <t>FINAL CATEGORY  —  column U of the client master (M.xlsx), transcribed from the live formula</t>
        </is>
      </c>
    </row>
    <row r="2">
      <c r="A2" t="inlineStr"/>
    </row>
    <row r="3">
      <c r="A3" t="inlineStr">
        <is>
          <t>Source formula (M.xlsx, Master sheet, cell U5):</t>
        </is>
      </c>
    </row>
    <row r="4">
      <c r="A4">
        <f>IFS(T5="New","Prospective", T5&gt;=$B$2-15,"Growing",</f>
        <v/>
      </c>
    </row>
    <row r="5">
      <c r="A5" t="inlineStr">
        <is>
          <t xml:space="preserve">     T5&lt;=DATE(YEAR($B$2)-1,MONTH($B$2)-1,1), IFS(S5=0,"Churn",O5=0,"Zero Lifter",AK5="yes","Need to Grow",O5&gt;=Q5,"Growing",O5&lt;Q5,"De-growing"),</t>
        </is>
      </c>
    </row>
    <row r="6">
      <c r="A6" t="inlineStr">
        <is>
          <t xml:space="preserve">     T5&lt;=$B$2-180,                           IFS(S5=0,"Churn",O5=0,"Zero Lifter",AK5="yes","Need to Grow",S5&gt;O5,"De-growing",S5&lt;=O5,"Growing"),</t>
        </is>
      </c>
    </row>
    <row r="7">
      <c r="A7" t="inlineStr">
        <is>
          <t xml:space="preserve">     T5&gt;$B$2-180,                            IFS(            O5=0,"Zero Lifter",AK5="yes","Need to Grow",R5&gt;O5,"De-growing",R5&lt;=O5,"Growing"))</t>
        </is>
      </c>
    </row>
    <row r="8">
      <c r="A8" t="inlineStr"/>
    </row>
    <row r="9">
      <c r="A9" t="inlineStr">
        <is>
          <t>Verified: reproduces 12,656 / 12,658 rows (99.98%) of the client master. The 2 exceptions are rows</t>
        </is>
      </c>
    </row>
    <row r="10">
      <c r="A10" t="inlineStr">
        <is>
          <t>with a BLANK DOA — Excel reads blank as 0, so they fall into the 'Old' tier. Treat blank DOA as 'very old'.</t>
        </is>
      </c>
    </row>
    <row r="11">
      <c r="A11" t="inlineStr"/>
    </row>
    <row r="12">
      <c r="A12" t="inlineStr">
        <is>
          <t>Symbols</t>
        </is>
      </c>
    </row>
    <row r="13">
      <c r="A13" t="inlineStr">
        <is>
          <t>$B$2</t>
        </is>
      </c>
      <c r="B13" t="inlineStr">
        <is>
          <t>Planning anchor date</t>
        </is>
      </c>
      <c r="C13" t="inlineStr">
        <is>
          <t>2026-07-01</t>
        </is>
      </c>
      <c r="D13">
        <f> 1st of planning month</f>
        <v/>
      </c>
    </row>
    <row r="14">
      <c r="A14" t="inlineStr">
        <is>
          <t>T</t>
        </is>
      </c>
      <c r="B14" t="inlineStr">
        <is>
          <t>DOA (date of activation)</t>
        </is>
      </c>
      <c r="C14" t="inlineStr"/>
      <c r="D14" t="inlineStr">
        <is>
          <t>'New' for prospect rows</t>
        </is>
      </c>
    </row>
    <row r="15">
      <c r="A15" t="inlineStr">
        <is>
          <t>N</t>
        </is>
      </c>
      <c r="B15" t="inlineStr">
        <is>
          <t>Counter Potential</t>
        </is>
      </c>
      <c r="C15" t="inlineStr"/>
      <c r="D15" t="inlineStr">
        <is>
          <t>from SBG  (sbg_potential)</t>
        </is>
      </c>
    </row>
    <row r="16">
      <c r="A16" t="inlineStr">
        <is>
          <t>O</t>
        </is>
      </c>
      <c r="B16" t="inlineStr">
        <is>
          <t>Current-month sale</t>
        </is>
      </c>
      <c r="C16" t="inlineStr">
        <is>
          <t>2026-06</t>
        </is>
      </c>
      <c r="D16" t="inlineStr">
        <is>
          <t>planning month − 1</t>
        </is>
      </c>
    </row>
    <row r="17">
      <c r="A17" t="inlineStr">
        <is>
          <t>R</t>
        </is>
      </c>
      <c r="B17" t="inlineStr">
        <is>
          <t>Previous-month sale</t>
        </is>
      </c>
      <c r="C17" t="inlineStr">
        <is>
          <t>2026-05</t>
        </is>
      </c>
      <c r="D17" t="inlineStr">
        <is>
          <t>⚠ THE COLUMN MISSING FROM THE DEALER-PERFORMANCE EXPORT</t>
        </is>
      </c>
    </row>
    <row r="18">
      <c r="A18" t="inlineStr">
        <is>
          <t>Q</t>
        </is>
      </c>
      <c r="B18" t="inlineStr">
        <is>
          <t>Same month last year</t>
        </is>
      </c>
      <c r="C18" t="inlineStr">
        <is>
          <t>2025-06</t>
        </is>
      </c>
      <c r="D18" t="inlineStr"/>
    </row>
    <row r="19">
      <c r="A19" t="inlineStr">
        <is>
          <t>S</t>
        </is>
      </c>
      <c r="B19" t="inlineStr">
        <is>
          <t>Last 6 months average</t>
        </is>
      </c>
      <c r="C19" t="inlineStr">
        <is>
          <t>2026-01 … 2026-06</t>
        </is>
      </c>
      <c r="D19" t="inlineStr">
        <is>
          <t>mean of the 6 monthly sales</t>
        </is>
      </c>
    </row>
    <row r="20">
      <c r="A20" t="inlineStr">
        <is>
          <t>P</t>
        </is>
      </c>
      <c r="B20" t="inlineStr">
        <is>
          <t>Counter share</t>
        </is>
      </c>
      <c r="C20">
        <f>O/N</f>
        <v/>
      </c>
      <c r="D20" t="inlineStr"/>
    </row>
    <row r="21">
      <c r="A21" t="inlineStr">
        <is>
          <t>AK</t>
        </is>
      </c>
      <c r="B21" t="inlineStr">
        <is>
          <t>Need to grow?</t>
        </is>
      </c>
      <c r="C21">
        <f>IF(AND(AN&gt;60%, P&lt;20%, T&lt;&gt;"New"),"Yes","No")</f>
        <v/>
      </c>
      <c r="D21" t="inlineStr"/>
    </row>
    <row r="22">
      <c r="A22" t="inlineStr">
        <is>
          <t>AN</t>
        </is>
      </c>
      <c r="B22" t="inlineStr">
        <is>
          <t>Area potential percentile</t>
        </is>
      </c>
      <c r="C22">
        <f>SUMIFS(N, Area, area, AM, "&gt;="&amp;AM)/AL</f>
        <v/>
      </c>
      <c r="D22" t="inlineStr">
        <is>
          <t>cumulative Pareto share</t>
        </is>
      </c>
    </row>
    <row r="23">
      <c r="A23" t="inlineStr">
        <is>
          <t>AM</t>
        </is>
      </c>
      <c r="B23" t="inlineStr">
        <is>
          <t>Area potential rank</t>
        </is>
      </c>
      <c r="C23">
        <f>COUNTIFS(Area,area,N,"&gt;"&amp;N)+1</f>
        <v/>
      </c>
      <c r="D23" t="inlineStr">
        <is>
          <t>1 = highest potential</t>
        </is>
      </c>
    </row>
    <row r="24">
      <c r="A24" t="inlineStr">
        <is>
          <t>AL</t>
        </is>
      </c>
      <c r="B24" t="inlineStr">
        <is>
          <t>Area potential total</t>
        </is>
      </c>
      <c r="C24">
        <f>SUMIF(Area, area, N)</f>
        <v/>
      </c>
      <c r="D24" t="inlineStr"/>
    </row>
    <row r="25">
      <c r="A25" t="inlineStr"/>
    </row>
    <row r="26">
      <c r="A26" t="inlineStr">
        <is>
          <t>Date cut-offs for this kit (planning month 2026-07)</t>
        </is>
      </c>
    </row>
    <row r="27">
      <c r="A27" t="inlineStr">
        <is>
          <t>$B$2 − 15</t>
        </is>
      </c>
      <c r="B27" t="inlineStr">
        <is>
          <t>2026-06-16</t>
        </is>
      </c>
      <c r="C27" t="inlineStr">
        <is>
          <t>DOA on/after this → Growing, no matter what the sales are</t>
        </is>
      </c>
    </row>
    <row r="28">
      <c r="A28" t="inlineStr">
        <is>
          <t>DATE(Y−1,M−1,1)</t>
        </is>
      </c>
      <c r="B28" t="inlineStr">
        <is>
          <t>2025-06-01</t>
        </is>
      </c>
      <c r="C28" t="inlineStr">
        <is>
          <t>DOA on/before this → 'Old' tier  (compares O vs Q)</t>
        </is>
      </c>
    </row>
    <row r="29">
      <c r="A29" t="inlineStr">
        <is>
          <t>$B$2 − 180</t>
        </is>
      </c>
      <c r="B29" t="inlineStr">
        <is>
          <t>2026-01-02</t>
        </is>
      </c>
      <c r="C29" t="inlineStr">
        <is>
          <t>DOA on/before this (and after the Old cut-off) → 'Mid' tier (compares S vs O)</t>
        </is>
      </c>
    </row>
    <row r="30">
      <c r="A30" t="inlineStr"/>
      <c r="B30" t="inlineStr"/>
      <c r="C30" t="inlineStr">
        <is>
          <t>DOA after 2026-01-02 → 'New' tier (compares R vs O) — this tier has NO Churn branch</t>
        </is>
      </c>
    </row>
    <row r="31">
      <c r="A31" t="inlineStr"/>
    </row>
    <row r="32">
      <c r="A32" t="inlineStr">
        <is>
          <t>Downstream</t>
        </is>
      </c>
    </row>
    <row r="33">
      <c r="A33" t="inlineStr">
        <is>
          <t>AF Final Volume</t>
        </is>
      </c>
      <c r="B33" t="inlineStr">
        <is>
          <t>Prospective→N*0.4 | Need to Grow/Growing/De-growing→O | Churn→0 | Zero Lifter→S</t>
        </is>
      </c>
    </row>
    <row r="34">
      <c r="A34" t="inlineStr">
        <is>
          <t>AG Grade</t>
        </is>
      </c>
      <c r="B34" t="inlineStr">
        <is>
          <t>AJ&gt;60%→A | AJ&gt;40%→B | AJ&gt;=20%→C | else D</t>
        </is>
      </c>
    </row>
    <row r="35">
      <c r="A35" t="inlineStr">
        <is>
          <t>AJ Area vol percentile</t>
        </is>
      </c>
      <c r="B35">
        <f>SUMIFS(AF, Area, area, AI, "&gt;="&amp;AI)/AH</f>
        <v/>
      </c>
    </row>
    <row r="36">
      <c r="A36" t="inlineStr"/>
    </row>
    <row r="37">
      <c r="A37" t="inlineStr">
        <is>
          <t>⚠ GAPS IN THE CURRENT CODE  (src/engines/pjp/classification.engine.js)</t>
        </is>
      </c>
    </row>
    <row r="38">
      <c r="A38" t="inlineStr">
        <is>
          <t>1</t>
        </is>
      </c>
      <c r="B38" t="inlineStr">
        <is>
          <t>classifyDealer() ignores DOA entirely — there are no DOA tiers. It always compares CM vs PM.</t>
        </is>
      </c>
    </row>
    <row r="39">
      <c r="A39" t="inlineStr">
        <is>
          <t>2</t>
        </is>
      </c>
      <c r="B39" t="inlineStr">
        <is>
          <t>needToGrow is computed in pjp.engine.js stage 4 and passed into classifyDealer(), but the function never reads it,</t>
        </is>
      </c>
    </row>
    <row r="40">
      <c r="A40" t="inlineStr"/>
      <c r="B40" t="inlineStr">
        <is>
          <t>so 'Need to Grow' is only ever produced by CM == PM. In the client master it is produced by AK='Yes'.</t>
        </is>
      </c>
    </row>
    <row r="41">
      <c r="A41" t="inlineStr">
        <is>
          <t>3</t>
        </is>
      </c>
      <c r="B41" t="inlineStr">
        <is>
          <t>'Need to Grow' must NOT come from CM == PM. Remove that branch.</t>
        </is>
      </c>
    </row>
    <row r="42">
      <c r="A42" t="inlineStr">
        <is>
          <t>4</t>
        </is>
      </c>
      <c r="B42" t="inlineStr">
        <is>
          <t>Churn requires S (6-month avg) = 0 only — not CM=0 AND PM=0 AND 6M=0.</t>
        </is>
      </c>
    </row>
    <row r="43">
      <c r="A43" t="inlineStr">
        <is>
          <t>5</t>
        </is>
      </c>
      <c r="B43" t="inlineStr">
        <is>
          <t>In the 'New' tier (DOA newer than B2−180) Churn is impossible; a zero-sales dealer there is a Zero Lifter.</t>
        </is>
      </c>
    </row>
    <row r="44">
      <c r="A44" t="inlineStr">
        <is>
          <t>6</t>
        </is>
      </c>
      <c r="B44" t="inlineStr">
        <is>
          <t>Classification uses rsarSixMonthAverage. In the client master S comes from the Dealer-Performance 6-month series,</t>
        </is>
      </c>
    </row>
    <row r="45">
      <c r="A45" t="inlineStr"/>
      <c r="B45" t="inlineStr">
        <is>
          <t>and O / R / Q all come from Dealer Performance (DLRWISE) — not from RSAR. RSAR-first precedence is wrong.</t>
        </is>
      </c>
    </row>
    <row r="46">
      <c r="A46" t="inlineStr"/>
      <c r="B46" t="inlineStr">
        <is>
          <t>In this kit RSAR and Dealer Performance are numerically identical, so either path gives the same answer.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7" customWidth="1" min="4" max="4"/>
    <col width="11" customWidth="1" min="5" max="5"/>
    <col width="13" customWidth="1" min="6" max="6"/>
    <col width="15" customWidth="1" min="7" max="7"/>
    <col width="14" customWidth="1" min="8" max="8"/>
    <col width="11" customWidth="1" min="9" max="9"/>
    <col width="14" customWidth="1" min="10" max="10"/>
  </cols>
  <sheetData>
    <row r="1">
      <c r="A1" s="1" t="inlineStr">
        <is>
          <t>Area</t>
        </is>
      </c>
      <c r="B1" s="1" t="inlineStr">
        <is>
          <t>Dealers+Prospects</t>
        </is>
      </c>
      <c r="C1" s="1" t="inlineStr">
        <is>
          <t>AL Area Potential</t>
        </is>
      </c>
      <c r="D1" s="1" t="inlineStr">
        <is>
          <t>AH Area Volume</t>
        </is>
      </c>
      <c r="E1" s="1" t="inlineStr">
        <is>
          <t>Growing</t>
        </is>
      </c>
      <c r="F1" s="1" t="inlineStr">
        <is>
          <t>De-growing</t>
        </is>
      </c>
      <c r="G1" s="1" t="inlineStr">
        <is>
          <t>Need to Grow</t>
        </is>
      </c>
      <c r="H1" s="1" t="inlineStr">
        <is>
          <t>Zero Lifter</t>
        </is>
      </c>
      <c r="I1" s="1" t="inlineStr">
        <is>
          <t>Churn</t>
        </is>
      </c>
      <c r="J1" s="1" t="inlineStr">
        <is>
          <t>Prospective</t>
        </is>
      </c>
    </row>
    <row r="2">
      <c r="A2" t="inlineStr">
        <is>
          <t>ALIPURDUAR</t>
        </is>
      </c>
      <c r="B2" t="n">
        <v>9</v>
      </c>
      <c r="C2" t="n">
        <v>28142</v>
      </c>
      <c r="D2" t="n">
        <v>4220</v>
      </c>
      <c r="E2" t="n">
        <v>3</v>
      </c>
      <c r="F2" t="n">
        <v>3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BEGUSARAI</t>
        </is>
      </c>
      <c r="B3" t="n">
        <v>1</v>
      </c>
      <c r="C3" t="n">
        <v>400</v>
      </c>
      <c r="D3" t="n">
        <v>160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inlineStr">
        <is>
          <t>BHAGALPUR</t>
        </is>
      </c>
      <c r="B4" t="n">
        <v>1</v>
      </c>
      <c r="C4" t="n">
        <v>500</v>
      </c>
      <c r="D4" t="n">
        <v>200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COOCHBEHAR</t>
        </is>
      </c>
      <c r="B5" t="n">
        <v>1</v>
      </c>
      <c r="C5" t="n">
        <v>200</v>
      </c>
      <c r="D5" t="n">
        <v>80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DAKSHIN DINAJPUR</t>
        </is>
      </c>
      <c r="B6" t="n">
        <v>2</v>
      </c>
      <c r="C6" t="n">
        <v>200</v>
      </c>
      <c r="D6" t="n">
        <v>80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</row>
    <row r="7">
      <c r="A7" t="inlineStr">
        <is>
          <t>DARJEELING PLAINS</t>
        </is>
      </c>
      <c r="B7" t="n">
        <v>1</v>
      </c>
      <c r="C7" t="n">
        <v>350</v>
      </c>
      <c r="D7" t="n">
        <v>140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JALPAIGURI</t>
        </is>
      </c>
      <c r="B8" t="n">
        <v>1</v>
      </c>
      <c r="C8" t="n">
        <v>200</v>
      </c>
      <c r="D8" t="n">
        <v>80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KATIHAR</t>
        </is>
      </c>
      <c r="B9" t="n">
        <v>2</v>
      </c>
      <c r="C9" t="n">
        <v>300</v>
      </c>
      <c r="D9" t="n">
        <v>120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</row>
    <row r="10">
      <c r="A10" t="inlineStr">
        <is>
          <t>KISHANGANJ</t>
        </is>
      </c>
      <c r="B10" t="n">
        <v>2</v>
      </c>
      <c r="C10" t="n">
        <v>250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</row>
    <row r="11">
      <c r="A11" t="inlineStr">
        <is>
          <t>MALDA</t>
        </is>
      </c>
      <c r="B11" t="n">
        <v>9</v>
      </c>
      <c r="C11" t="n">
        <v>1593</v>
      </c>
      <c r="D11" t="n">
        <v>222</v>
      </c>
      <c r="E11" t="n">
        <v>3</v>
      </c>
      <c r="F11" t="n">
        <v>1</v>
      </c>
      <c r="G11" t="n">
        <v>2</v>
      </c>
      <c r="H11" t="n">
        <v>2</v>
      </c>
      <c r="I11" t="n">
        <v>1</v>
      </c>
      <c r="J11" t="n">
        <v>0</v>
      </c>
    </row>
    <row r="12">
      <c r="A12" t="inlineStr">
        <is>
          <t>MUZAFFARPUR</t>
        </is>
      </c>
      <c r="B12" t="n">
        <v>2</v>
      </c>
      <c r="C12" t="n">
        <v>300</v>
      </c>
      <c r="D12" t="n">
        <v>120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</row>
    <row r="13">
      <c r="A13" t="inlineStr">
        <is>
          <t>PURNIA</t>
        </is>
      </c>
      <c r="B13" t="n">
        <v>1</v>
      </c>
      <c r="C13" t="n">
        <v>250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</row>
    <row r="14">
      <c r="A14" t="inlineStr">
        <is>
          <t>SIKKIM</t>
        </is>
      </c>
      <c r="B14" t="n">
        <v>1</v>
      </c>
      <c r="C14" t="n">
        <v>300</v>
      </c>
      <c r="D14" t="n">
        <v>120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8" customWidth="1" min="10" max="10"/>
    <col width="30" customWidth="1" min="11" max="11"/>
  </cols>
  <sheetData>
    <row r="1">
      <c r="A1" s="1" t="inlineStr">
        <is>
          <t>Linked Dealer Code</t>
        </is>
      </c>
      <c r="B1" s="1" t="inlineStr">
        <is>
          <t>Dealer Name</t>
        </is>
      </c>
      <c r="C1" s="1" t="inlineStr">
        <is>
          <t>Jan-26</t>
        </is>
      </c>
      <c r="D1" s="1" t="inlineStr">
        <is>
          <t>Feb-26</t>
        </is>
      </c>
      <c r="E1" s="1" t="inlineStr">
        <is>
          <t>Mar-26</t>
        </is>
      </c>
      <c r="F1" s="1" t="inlineStr">
        <is>
          <t>Apr-26</t>
        </is>
      </c>
      <c r="G1" s="1" t="inlineStr">
        <is>
          <t>May-26</t>
        </is>
      </c>
      <c r="H1" s="1" t="inlineStr">
        <is>
          <t>Jun-26</t>
        </is>
      </c>
      <c r="I1" s="1" t="inlineStr">
        <is>
          <t>6-Mth Total</t>
        </is>
      </c>
      <c r="J1" s="1" t="inlineStr">
        <is>
          <t>6-Mth Avg (= S)</t>
        </is>
      </c>
      <c r="K1" s="1">
        <f> Dealer Performance series?</f>
        <v/>
      </c>
    </row>
    <row r="2">
      <c r="A2" t="inlineStr">
        <is>
          <t>1000001153</t>
        </is>
      </c>
      <c r="B2" t="inlineStr">
        <is>
          <t>R P ENTERPRISE</t>
        </is>
      </c>
      <c r="C2" t="n">
        <v>1100</v>
      </c>
      <c r="D2" t="n">
        <v>1100</v>
      </c>
      <c r="E2" t="n">
        <v>1100</v>
      </c>
      <c r="F2" t="n">
        <v>1100</v>
      </c>
      <c r="G2" t="n">
        <v>1000</v>
      </c>
      <c r="H2" t="n">
        <v>1200</v>
      </c>
      <c r="I2" t="n">
        <v>6600</v>
      </c>
      <c r="J2" t="n">
        <v>1100</v>
      </c>
      <c r="K2" t="inlineStr">
        <is>
          <t>YES</t>
        </is>
      </c>
    </row>
    <row r="3">
      <c r="A3" t="inlineStr">
        <is>
          <t>1000001141</t>
        </is>
      </c>
      <c r="B3" t="inlineStr">
        <is>
          <t>SAHA &amp; CO.</t>
        </is>
      </c>
      <c r="C3" t="n">
        <v>1262.5</v>
      </c>
      <c r="D3" t="n">
        <v>1262.5</v>
      </c>
      <c r="E3" t="n">
        <v>1262.5</v>
      </c>
      <c r="F3" t="n">
        <v>1262.5</v>
      </c>
      <c r="G3" t="n">
        <v>1250</v>
      </c>
      <c r="H3" t="n">
        <v>1500</v>
      </c>
      <c r="I3" t="n">
        <v>7800</v>
      </c>
      <c r="J3" t="n">
        <v>1300</v>
      </c>
      <c r="K3" t="inlineStr">
        <is>
          <t>YES</t>
        </is>
      </c>
    </row>
    <row r="4">
      <c r="A4" t="inlineStr">
        <is>
          <t>1000001144</t>
        </is>
      </c>
      <c r="B4" t="inlineStr">
        <is>
          <t>GARG ENTERPRISES</t>
        </is>
      </c>
      <c r="C4" t="n">
        <v>912.5</v>
      </c>
      <c r="D4" t="n">
        <v>912.5</v>
      </c>
      <c r="E4" t="n">
        <v>912.5</v>
      </c>
      <c r="F4" t="n">
        <v>912.5</v>
      </c>
      <c r="G4" t="n">
        <v>950</v>
      </c>
      <c r="H4" t="n">
        <v>800</v>
      </c>
      <c r="I4" t="n">
        <v>5400</v>
      </c>
      <c r="J4" t="n">
        <v>900</v>
      </c>
      <c r="K4" t="inlineStr">
        <is>
          <t>YES</t>
        </is>
      </c>
    </row>
    <row r="5">
      <c r="A5" t="inlineStr">
        <is>
          <t>1000001140</t>
        </is>
      </c>
      <c r="B5" t="inlineStr">
        <is>
          <t>RADHA HARDWARE</t>
        </is>
      </c>
      <c r="C5" t="n">
        <v>180</v>
      </c>
      <c r="D5" t="n">
        <v>180</v>
      </c>
      <c r="E5" t="n">
        <v>180</v>
      </c>
      <c r="F5" t="n">
        <v>180</v>
      </c>
      <c r="G5" t="n">
        <v>180</v>
      </c>
      <c r="H5" t="n">
        <v>0</v>
      </c>
      <c r="I5" t="n">
        <v>900</v>
      </c>
      <c r="J5" t="n">
        <v>150</v>
      </c>
      <c r="K5" t="inlineStr">
        <is>
          <t>YES</t>
        </is>
      </c>
    </row>
    <row r="6">
      <c r="A6" t="inlineStr">
        <is>
          <t>1000001146</t>
        </is>
      </c>
      <c r="B6" t="inlineStr">
        <is>
          <t>HARI OM TRADERS (JALPAIGURI)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YES</t>
        </is>
      </c>
    </row>
    <row r="7">
      <c r="A7" t="inlineStr">
        <is>
          <t>1000001150</t>
        </is>
      </c>
      <c r="B7" t="inlineStr">
        <is>
          <t>PUNAM TRADING</t>
        </is>
      </c>
      <c r="C7" t="n">
        <v>462.5</v>
      </c>
      <c r="D7" t="n">
        <v>462.5</v>
      </c>
      <c r="E7" t="n">
        <v>462.5</v>
      </c>
      <c r="F7" t="n">
        <v>462.5</v>
      </c>
      <c r="G7" t="n">
        <v>300</v>
      </c>
      <c r="H7" t="n">
        <v>250</v>
      </c>
      <c r="I7" t="n">
        <v>2400</v>
      </c>
      <c r="J7" t="n">
        <v>400</v>
      </c>
      <c r="K7" t="inlineStr">
        <is>
          <t>YES</t>
        </is>
      </c>
    </row>
    <row r="8">
      <c r="A8" t="inlineStr">
        <is>
          <t>1000001148</t>
        </is>
      </c>
      <c r="B8" t="inlineStr">
        <is>
          <t>MAHESWARI CEMENT AGENCY - ALIPURDUAR</t>
        </is>
      </c>
      <c r="C8" t="n">
        <v>190</v>
      </c>
      <c r="D8" t="n">
        <v>190</v>
      </c>
      <c r="E8" t="n">
        <v>190</v>
      </c>
      <c r="F8" t="n">
        <v>190</v>
      </c>
      <c r="G8" t="n">
        <v>180</v>
      </c>
      <c r="H8" t="n">
        <v>260</v>
      </c>
      <c r="I8" t="n">
        <v>1200</v>
      </c>
      <c r="J8" t="n">
        <v>200</v>
      </c>
      <c r="K8" t="inlineStr">
        <is>
          <t>YES</t>
        </is>
      </c>
    </row>
    <row r="9">
      <c r="A9" t="inlineStr">
        <is>
          <t>1000001147</t>
        </is>
      </c>
      <c r="B9" t="inlineStr">
        <is>
          <t>MAA BHABANI HARDWARE</t>
        </is>
      </c>
      <c r="C9" t="n">
        <v>75</v>
      </c>
      <c r="D9" t="n">
        <v>75</v>
      </c>
      <c r="E9" t="n">
        <v>75</v>
      </c>
      <c r="F9" t="n">
        <v>75</v>
      </c>
      <c r="G9" t="n">
        <v>90</v>
      </c>
      <c r="H9" t="n">
        <v>60</v>
      </c>
      <c r="I9" t="n">
        <v>450</v>
      </c>
      <c r="J9" t="n">
        <v>75</v>
      </c>
      <c r="K9" t="inlineStr">
        <is>
          <t>YES</t>
        </is>
      </c>
    </row>
    <row r="10">
      <c r="A10" t="inlineStr">
        <is>
          <t>1000001154</t>
        </is>
      </c>
      <c r="B10" t="inlineStr">
        <is>
          <t>SADHANA ENTERPRISE (MATHURABAGAN)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YES</t>
        </is>
      </c>
    </row>
    <row r="11">
      <c r="A11" t="inlineStr">
        <is>
          <t>1000002043</t>
        </is>
      </c>
      <c r="B11" t="inlineStr">
        <is>
          <t>MD EMRAN ALI KHAN</t>
        </is>
      </c>
      <c r="C11" t="n">
        <v>72.5</v>
      </c>
      <c r="D11" t="n">
        <v>72.5</v>
      </c>
      <c r="E11" t="n">
        <v>72.5</v>
      </c>
      <c r="F11" t="n">
        <v>72.5</v>
      </c>
      <c r="G11" t="n">
        <v>90</v>
      </c>
      <c r="H11" t="n">
        <v>40</v>
      </c>
      <c r="I11" t="n">
        <v>420</v>
      </c>
      <c r="J11" t="n">
        <v>70</v>
      </c>
      <c r="K11" t="inlineStr">
        <is>
          <t>YES</t>
        </is>
      </c>
    </row>
    <row r="12">
      <c r="A12" t="inlineStr">
        <is>
          <t>1000001600</t>
        </is>
      </c>
      <c r="B12" t="inlineStr">
        <is>
          <t>KARIM ENTERPRISE</t>
        </is>
      </c>
      <c r="C12" t="n">
        <v>110</v>
      </c>
      <c r="D12" t="n">
        <v>110</v>
      </c>
      <c r="E12" t="n">
        <v>110</v>
      </c>
      <c r="F12" t="n">
        <v>110</v>
      </c>
      <c r="G12" t="n">
        <v>100</v>
      </c>
      <c r="H12" t="n">
        <v>30</v>
      </c>
      <c r="I12" t="n">
        <v>570</v>
      </c>
      <c r="J12" t="n">
        <v>95</v>
      </c>
      <c r="K12" t="inlineStr">
        <is>
          <t>YES</t>
        </is>
      </c>
    </row>
    <row r="13">
      <c r="A13" t="inlineStr">
        <is>
          <t>1000001609</t>
        </is>
      </c>
      <c r="B13" t="inlineStr">
        <is>
          <t>MURARI MOHAN RETAIL</t>
        </is>
      </c>
      <c r="C13" t="n">
        <v>75</v>
      </c>
      <c r="D13" t="n">
        <v>75</v>
      </c>
      <c r="E13" t="n">
        <v>75</v>
      </c>
      <c r="F13" t="n">
        <v>75</v>
      </c>
      <c r="G13" t="n">
        <v>70</v>
      </c>
      <c r="H13" t="n">
        <v>80</v>
      </c>
      <c r="I13" t="n">
        <v>450</v>
      </c>
      <c r="J13" t="n">
        <v>75</v>
      </c>
      <c r="K13" t="inlineStr">
        <is>
          <t>YES</t>
        </is>
      </c>
    </row>
    <row r="14">
      <c r="A14" t="inlineStr">
        <is>
          <t>1000001587</t>
        </is>
      </c>
      <c r="B14" t="inlineStr">
        <is>
          <t>ADIL HARDWARE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YES</t>
        </is>
      </c>
    </row>
    <row r="15">
      <c r="A15" t="inlineStr">
        <is>
          <t>1000001590</t>
        </is>
      </c>
      <c r="B15" t="inlineStr">
        <is>
          <t>ANSARI ENTERPRISE</t>
        </is>
      </c>
      <c r="C15" t="n">
        <v>30</v>
      </c>
      <c r="D15" t="n">
        <v>30</v>
      </c>
      <c r="E15" t="n">
        <v>30</v>
      </c>
      <c r="F15" t="n">
        <v>30</v>
      </c>
      <c r="G15" t="n">
        <v>35</v>
      </c>
      <c r="H15" t="n">
        <v>25</v>
      </c>
      <c r="I15" t="n">
        <v>180</v>
      </c>
      <c r="J15" t="n">
        <v>30</v>
      </c>
      <c r="K15" t="inlineStr">
        <is>
          <t>YES</t>
        </is>
      </c>
    </row>
    <row r="16">
      <c r="A16" t="inlineStr">
        <is>
          <t>1000002033</t>
        </is>
      </c>
      <c r="B16" t="inlineStr">
        <is>
          <t>MD YOUSUF ALI ENTERPRISE</t>
        </is>
      </c>
      <c r="C16" t="n">
        <v>14.25</v>
      </c>
      <c r="D16" t="n">
        <v>14.25</v>
      </c>
      <c r="E16" t="n">
        <v>14.25</v>
      </c>
      <c r="F16" t="n">
        <v>14.25</v>
      </c>
      <c r="G16" t="n">
        <v>15</v>
      </c>
      <c r="H16" t="n">
        <v>0</v>
      </c>
      <c r="I16" t="n">
        <v>72</v>
      </c>
      <c r="J16" t="n">
        <v>12</v>
      </c>
      <c r="K16" t="inlineStr">
        <is>
          <t>YES</t>
        </is>
      </c>
    </row>
    <row r="17">
      <c r="A17" t="inlineStr">
        <is>
          <t>1000001615</t>
        </is>
      </c>
      <c r="B17" t="inlineStr">
        <is>
          <t>ROY SUPPLIERS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YES</t>
        </is>
      </c>
    </row>
    <row r="18">
      <c r="A18" t="inlineStr">
        <is>
          <t>1000002018</t>
        </is>
      </c>
      <c r="B18" t="inlineStr">
        <is>
          <t>MAHAMMAD HARDWARE</t>
        </is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120</v>
      </c>
      <c r="J18" t="n">
        <v>20</v>
      </c>
      <c r="K18" t="inlineStr">
        <is>
          <t>YES</t>
        </is>
      </c>
    </row>
    <row r="19">
      <c r="A19" t="inlineStr">
        <is>
          <t>1000001611</t>
        </is>
      </c>
      <c r="B19" t="inlineStr">
        <is>
          <t>MD SAHAJAHAN</t>
        </is>
      </c>
      <c r="C19" t="n">
        <v>14.25</v>
      </c>
      <c r="D19" t="n">
        <v>14.25</v>
      </c>
      <c r="E19" t="n">
        <v>14.25</v>
      </c>
      <c r="F19" t="n">
        <v>14.25</v>
      </c>
      <c r="G19" t="n">
        <v>12</v>
      </c>
      <c r="H19" t="n">
        <v>15</v>
      </c>
      <c r="I19" t="n">
        <v>84</v>
      </c>
      <c r="J19" t="n">
        <v>14</v>
      </c>
      <c r="K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2026-09-13T15:34:20Z</dcterms:created>
  <dcterms:modified xmlns:dcterms="http://purl.org/dc/terms/" xmlns:xsi="http://www.w3.org/2001/XMLSchema-instance" xsi:type="dcterms:W3CDTF">2026-09-13T15:34:20Z</dcterms:modified>
</cp:coreProperties>
</file>