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barnik Lahiri\Downloads\"/>
    </mc:Choice>
  </mc:AlternateContent>
  <xr:revisionPtr revIDLastSave="0" documentId="8_{8C7F47A6-4DA9-4572-8C1D-464B29752CEF}" xr6:coauthVersionLast="47" xr6:coauthVersionMax="47" xr10:uidLastSave="{00000000-0000-0000-0000-000000000000}"/>
  <bookViews>
    <workbookView xWindow="-108" yWindow="-108" windowWidth="23256" windowHeight="12456" xr2:uid="{427995F6-9404-4229-A157-A9DA73B6D47F}"/>
  </bookViews>
  <sheets>
    <sheet name="DLRWISE (3)" sheetId="1" r:id="rId1"/>
  </sheets>
  <externalReferences>
    <externalReference r:id="rId2"/>
  </externalReferences>
  <definedNames>
    <definedName name="_xlnm._FilterDatabase" localSheetId="0" hidden="1">'DLRWISE (3)'!$A$2:$AD$1766</definedName>
    <definedName name="_xlcn.WorksheetConnection_DLRWISE3A2E17301">'DLRWISE (3)'!$A$2:$E$1603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E1766" i="1" l="1"/>
  <c r="Y1766" i="1"/>
  <c r="V1766" i="1"/>
  <c r="W1766" i="1" s="1"/>
  <c r="U1766" i="1"/>
  <c r="X1766" i="1" s="1"/>
  <c r="P1766" i="1"/>
  <c r="Q1766" i="1" s="1"/>
  <c r="O1766" i="1"/>
  <c r="L1766" i="1"/>
  <c r="J1766" i="1"/>
  <c r="M1766" i="1" s="1"/>
  <c r="AE1765" i="1"/>
  <c r="Y1765" i="1"/>
  <c r="V1765" i="1"/>
  <c r="W1765" i="1" s="1"/>
  <c r="U1765" i="1"/>
  <c r="X1765" i="1" s="1"/>
  <c r="P1765" i="1"/>
  <c r="Q1765" i="1" s="1"/>
  <c r="O1765" i="1"/>
  <c r="L1765" i="1"/>
  <c r="J1765" i="1"/>
  <c r="M1765" i="1" s="1"/>
  <c r="AE1764" i="1"/>
  <c r="Y1764" i="1"/>
  <c r="V1764" i="1"/>
  <c r="W1764" i="1" s="1"/>
  <c r="U1764" i="1"/>
  <c r="X1764" i="1" s="1"/>
  <c r="P1764" i="1"/>
  <c r="Q1764" i="1" s="1"/>
  <c r="O1764" i="1"/>
  <c r="L1764" i="1"/>
  <c r="J1764" i="1"/>
  <c r="M1764" i="1" s="1"/>
  <c r="AE1763" i="1"/>
  <c r="Y1763" i="1"/>
  <c r="V1763" i="1"/>
  <c r="W1763" i="1" s="1"/>
  <c r="U1763" i="1"/>
  <c r="X1763" i="1" s="1"/>
  <c r="P1763" i="1"/>
  <c r="Q1763" i="1" s="1"/>
  <c r="O1763" i="1"/>
  <c r="L1763" i="1"/>
  <c r="J1763" i="1"/>
  <c r="M1763" i="1" s="1"/>
  <c r="AE1762" i="1"/>
  <c r="Y1762" i="1"/>
  <c r="V1762" i="1"/>
  <c r="W1762" i="1" s="1"/>
  <c r="U1762" i="1"/>
  <c r="X1762" i="1" s="1"/>
  <c r="P1762" i="1"/>
  <c r="Q1762" i="1" s="1"/>
  <c r="O1762" i="1"/>
  <c r="L1762" i="1"/>
  <c r="J1762" i="1"/>
  <c r="M1762" i="1" s="1"/>
  <c r="AE1761" i="1"/>
  <c r="Y1761" i="1"/>
  <c r="V1761" i="1"/>
  <c r="W1761" i="1" s="1"/>
  <c r="U1761" i="1"/>
  <c r="X1761" i="1" s="1"/>
  <c r="P1761" i="1"/>
  <c r="Q1761" i="1" s="1"/>
  <c r="O1761" i="1"/>
  <c r="L1761" i="1"/>
  <c r="J1761" i="1"/>
  <c r="M1761" i="1" s="1"/>
  <c r="AE1760" i="1"/>
  <c r="Y1760" i="1"/>
  <c r="V1760" i="1"/>
  <c r="W1760" i="1" s="1"/>
  <c r="U1760" i="1"/>
  <c r="X1760" i="1" s="1"/>
  <c r="P1760" i="1"/>
  <c r="Q1760" i="1" s="1"/>
  <c r="O1760" i="1"/>
  <c r="L1760" i="1"/>
  <c r="J1760" i="1"/>
  <c r="M1760" i="1" s="1"/>
  <c r="AE1759" i="1"/>
  <c r="Y1759" i="1"/>
  <c r="V1759" i="1"/>
  <c r="W1759" i="1" s="1"/>
  <c r="U1759" i="1"/>
  <c r="X1759" i="1" s="1"/>
  <c r="P1759" i="1"/>
  <c r="Q1759" i="1" s="1"/>
  <c r="O1759" i="1"/>
  <c r="L1759" i="1"/>
  <c r="J1759" i="1"/>
  <c r="M1759" i="1" s="1"/>
  <c r="AE1758" i="1"/>
  <c r="Y1758" i="1"/>
  <c r="V1758" i="1"/>
  <c r="W1758" i="1" s="1"/>
  <c r="U1758" i="1"/>
  <c r="X1758" i="1" s="1"/>
  <c r="P1758" i="1"/>
  <c r="Q1758" i="1" s="1"/>
  <c r="O1758" i="1"/>
  <c r="L1758" i="1"/>
  <c r="J1758" i="1"/>
  <c r="M1758" i="1" s="1"/>
  <c r="AE1757" i="1"/>
  <c r="Y1757" i="1"/>
  <c r="V1757" i="1"/>
  <c r="W1757" i="1" s="1"/>
  <c r="U1757" i="1"/>
  <c r="X1757" i="1" s="1"/>
  <c r="P1757" i="1"/>
  <c r="Q1757" i="1" s="1"/>
  <c r="O1757" i="1"/>
  <c r="L1757" i="1"/>
  <c r="J1757" i="1"/>
  <c r="M1757" i="1" s="1"/>
  <c r="AE1756" i="1"/>
  <c r="Y1756" i="1"/>
  <c r="V1756" i="1"/>
  <c r="W1756" i="1" s="1"/>
  <c r="U1756" i="1"/>
  <c r="X1756" i="1" s="1"/>
  <c r="P1756" i="1"/>
  <c r="Q1756" i="1" s="1"/>
  <c r="O1756" i="1"/>
  <c r="L1756" i="1"/>
  <c r="J1756" i="1"/>
  <c r="M1756" i="1" s="1"/>
  <c r="AE1755" i="1"/>
  <c r="Y1755" i="1"/>
  <c r="V1755" i="1"/>
  <c r="W1755" i="1" s="1"/>
  <c r="U1755" i="1"/>
  <c r="X1755" i="1" s="1"/>
  <c r="P1755" i="1"/>
  <c r="Q1755" i="1" s="1"/>
  <c r="O1755" i="1"/>
  <c r="L1755" i="1"/>
  <c r="J1755" i="1"/>
  <c r="M1755" i="1" s="1"/>
  <c r="AE1754" i="1"/>
  <c r="Y1754" i="1"/>
  <c r="V1754" i="1"/>
  <c r="W1754" i="1" s="1"/>
  <c r="U1754" i="1"/>
  <c r="X1754" i="1" s="1"/>
  <c r="P1754" i="1"/>
  <c r="Q1754" i="1" s="1"/>
  <c r="O1754" i="1"/>
  <c r="L1754" i="1"/>
  <c r="J1754" i="1"/>
  <c r="M1754" i="1" s="1"/>
  <c r="AE1753" i="1"/>
  <c r="Y1753" i="1"/>
  <c r="V1753" i="1"/>
  <c r="W1753" i="1" s="1"/>
  <c r="U1753" i="1"/>
  <c r="X1753" i="1" s="1"/>
  <c r="P1753" i="1"/>
  <c r="Q1753" i="1" s="1"/>
  <c r="O1753" i="1"/>
  <c r="L1753" i="1"/>
  <c r="J1753" i="1"/>
  <c r="M1753" i="1" s="1"/>
  <c r="AE1752" i="1"/>
  <c r="Y1752" i="1"/>
  <c r="V1752" i="1"/>
  <c r="W1752" i="1" s="1"/>
  <c r="U1752" i="1"/>
  <c r="X1752" i="1" s="1"/>
  <c r="P1752" i="1"/>
  <c r="Q1752" i="1" s="1"/>
  <c r="O1752" i="1"/>
  <c r="L1752" i="1"/>
  <c r="J1752" i="1"/>
  <c r="M1752" i="1" s="1"/>
  <c r="AE1751" i="1"/>
  <c r="Y1751" i="1"/>
  <c r="V1751" i="1"/>
  <c r="W1751" i="1" s="1"/>
  <c r="U1751" i="1"/>
  <c r="X1751" i="1" s="1"/>
  <c r="P1751" i="1"/>
  <c r="Q1751" i="1" s="1"/>
  <c r="O1751" i="1"/>
  <c r="L1751" i="1"/>
  <c r="J1751" i="1"/>
  <c r="M1751" i="1" s="1"/>
  <c r="AE1750" i="1"/>
  <c r="Y1750" i="1"/>
  <c r="V1750" i="1"/>
  <c r="W1750" i="1" s="1"/>
  <c r="U1750" i="1"/>
  <c r="X1750" i="1" s="1"/>
  <c r="P1750" i="1"/>
  <c r="Q1750" i="1" s="1"/>
  <c r="O1750" i="1"/>
  <c r="L1750" i="1"/>
  <c r="J1750" i="1"/>
  <c r="M1750" i="1" s="1"/>
  <c r="AE1749" i="1"/>
  <c r="Y1749" i="1"/>
  <c r="V1749" i="1"/>
  <c r="W1749" i="1" s="1"/>
  <c r="U1749" i="1"/>
  <c r="X1749" i="1" s="1"/>
  <c r="P1749" i="1"/>
  <c r="Q1749" i="1" s="1"/>
  <c r="O1749" i="1"/>
  <c r="L1749" i="1"/>
  <c r="J1749" i="1"/>
  <c r="M1749" i="1" s="1"/>
  <c r="AE1748" i="1"/>
  <c r="Y1748" i="1"/>
  <c r="V1748" i="1"/>
  <c r="W1748" i="1" s="1"/>
  <c r="U1748" i="1"/>
  <c r="X1748" i="1" s="1"/>
  <c r="P1748" i="1"/>
  <c r="Q1748" i="1" s="1"/>
  <c r="O1748" i="1"/>
  <c r="L1748" i="1"/>
  <c r="J1748" i="1"/>
  <c r="M1748" i="1" s="1"/>
  <c r="AE1747" i="1"/>
  <c r="Y1747" i="1"/>
  <c r="V1747" i="1"/>
  <c r="W1747" i="1" s="1"/>
  <c r="U1747" i="1"/>
  <c r="X1747" i="1" s="1"/>
  <c r="P1747" i="1"/>
  <c r="Q1747" i="1" s="1"/>
  <c r="O1747" i="1"/>
  <c r="L1747" i="1"/>
  <c r="J1747" i="1"/>
  <c r="M1747" i="1" s="1"/>
  <c r="AE1746" i="1"/>
  <c r="Y1746" i="1"/>
  <c r="V1746" i="1"/>
  <c r="W1746" i="1" s="1"/>
  <c r="U1746" i="1"/>
  <c r="X1746" i="1" s="1"/>
  <c r="P1746" i="1"/>
  <c r="Q1746" i="1" s="1"/>
  <c r="O1746" i="1"/>
  <c r="L1746" i="1"/>
  <c r="J1746" i="1"/>
  <c r="M1746" i="1" s="1"/>
  <c r="AE1745" i="1"/>
  <c r="Y1745" i="1"/>
  <c r="V1745" i="1"/>
  <c r="W1745" i="1" s="1"/>
  <c r="U1745" i="1"/>
  <c r="X1745" i="1" s="1"/>
  <c r="P1745" i="1"/>
  <c r="Q1745" i="1" s="1"/>
  <c r="O1745" i="1"/>
  <c r="L1745" i="1"/>
  <c r="J1745" i="1"/>
  <c r="M1745" i="1" s="1"/>
  <c r="AE1744" i="1"/>
  <c r="Y1744" i="1"/>
  <c r="V1744" i="1"/>
  <c r="W1744" i="1" s="1"/>
  <c r="U1744" i="1"/>
  <c r="X1744" i="1" s="1"/>
  <c r="P1744" i="1"/>
  <c r="Q1744" i="1" s="1"/>
  <c r="O1744" i="1"/>
  <c r="L1744" i="1"/>
  <c r="J1744" i="1"/>
  <c r="M1744" i="1" s="1"/>
  <c r="A1744" i="1"/>
  <c r="AE1743" i="1"/>
  <c r="Y1743" i="1"/>
  <c r="V1743" i="1"/>
  <c r="W1743" i="1" s="1"/>
  <c r="U1743" i="1"/>
  <c r="X1743" i="1" s="1"/>
  <c r="P1743" i="1"/>
  <c r="Q1743" i="1" s="1"/>
  <c r="O1743" i="1"/>
  <c r="L1743" i="1"/>
  <c r="J1743" i="1"/>
  <c r="M1743" i="1" s="1"/>
  <c r="AE1742" i="1"/>
  <c r="Y1742" i="1"/>
  <c r="V1742" i="1"/>
  <c r="W1742" i="1" s="1"/>
  <c r="U1742" i="1"/>
  <c r="X1742" i="1" s="1"/>
  <c r="P1742" i="1"/>
  <c r="Q1742" i="1" s="1"/>
  <c r="O1742" i="1"/>
  <c r="L1742" i="1"/>
  <c r="J1742" i="1"/>
  <c r="M1742" i="1" s="1"/>
  <c r="AE1741" i="1"/>
  <c r="Y1741" i="1"/>
  <c r="V1741" i="1"/>
  <c r="W1741" i="1" s="1"/>
  <c r="U1741" i="1"/>
  <c r="X1741" i="1" s="1"/>
  <c r="P1741" i="1"/>
  <c r="Q1741" i="1" s="1"/>
  <c r="O1741" i="1"/>
  <c r="L1741" i="1"/>
  <c r="J1741" i="1"/>
  <c r="M1741" i="1" s="1"/>
  <c r="AE1740" i="1"/>
  <c r="Y1740" i="1"/>
  <c r="V1740" i="1"/>
  <c r="W1740" i="1" s="1"/>
  <c r="U1740" i="1"/>
  <c r="X1740" i="1" s="1"/>
  <c r="P1740" i="1"/>
  <c r="Q1740" i="1" s="1"/>
  <c r="O1740" i="1"/>
  <c r="L1740" i="1"/>
  <c r="J1740" i="1"/>
  <c r="M1740" i="1" s="1"/>
  <c r="AE1739" i="1"/>
  <c r="Y1739" i="1"/>
  <c r="V1739" i="1"/>
  <c r="W1739" i="1" s="1"/>
  <c r="U1739" i="1"/>
  <c r="X1739" i="1" s="1"/>
  <c r="P1739" i="1"/>
  <c r="Q1739" i="1" s="1"/>
  <c r="O1739" i="1"/>
  <c r="L1739" i="1"/>
  <c r="J1739" i="1"/>
  <c r="M1739" i="1" s="1"/>
  <c r="AE1738" i="1"/>
  <c r="Y1738" i="1"/>
  <c r="V1738" i="1"/>
  <c r="W1738" i="1" s="1"/>
  <c r="U1738" i="1"/>
  <c r="X1738" i="1" s="1"/>
  <c r="P1738" i="1"/>
  <c r="Q1738" i="1" s="1"/>
  <c r="O1738" i="1"/>
  <c r="L1738" i="1"/>
  <c r="J1738" i="1"/>
  <c r="M1738" i="1" s="1"/>
  <c r="AE1737" i="1"/>
  <c r="Y1737" i="1"/>
  <c r="V1737" i="1"/>
  <c r="W1737" i="1" s="1"/>
  <c r="U1737" i="1"/>
  <c r="X1737" i="1" s="1"/>
  <c r="P1737" i="1"/>
  <c r="Q1737" i="1" s="1"/>
  <c r="O1737" i="1"/>
  <c r="L1737" i="1"/>
  <c r="J1737" i="1"/>
  <c r="M1737" i="1" s="1"/>
  <c r="AE1736" i="1"/>
  <c r="Y1736" i="1"/>
  <c r="V1736" i="1"/>
  <c r="W1736" i="1" s="1"/>
  <c r="U1736" i="1"/>
  <c r="X1736" i="1" s="1"/>
  <c r="P1736" i="1"/>
  <c r="Q1736" i="1" s="1"/>
  <c r="O1736" i="1"/>
  <c r="L1736" i="1"/>
  <c r="J1736" i="1"/>
  <c r="M1736" i="1" s="1"/>
  <c r="AE1735" i="1"/>
  <c r="Y1735" i="1"/>
  <c r="V1735" i="1"/>
  <c r="W1735" i="1" s="1"/>
  <c r="U1735" i="1"/>
  <c r="X1735" i="1" s="1"/>
  <c r="P1735" i="1"/>
  <c r="Q1735" i="1" s="1"/>
  <c r="O1735" i="1"/>
  <c r="L1735" i="1"/>
  <c r="J1735" i="1"/>
  <c r="M1735" i="1" s="1"/>
  <c r="AE1734" i="1"/>
  <c r="Y1734" i="1"/>
  <c r="V1734" i="1"/>
  <c r="W1734" i="1" s="1"/>
  <c r="U1734" i="1"/>
  <c r="X1734" i="1" s="1"/>
  <c r="P1734" i="1"/>
  <c r="Q1734" i="1" s="1"/>
  <c r="O1734" i="1"/>
  <c r="L1734" i="1"/>
  <c r="J1734" i="1"/>
  <c r="M1734" i="1" s="1"/>
  <c r="AE1733" i="1"/>
  <c r="Y1733" i="1"/>
  <c r="V1733" i="1"/>
  <c r="W1733" i="1" s="1"/>
  <c r="U1733" i="1"/>
  <c r="X1733" i="1" s="1"/>
  <c r="P1733" i="1"/>
  <c r="Q1733" i="1" s="1"/>
  <c r="O1733" i="1"/>
  <c r="L1733" i="1"/>
  <c r="J1733" i="1"/>
  <c r="M1733" i="1" s="1"/>
  <c r="AE1732" i="1"/>
  <c r="Y1732" i="1"/>
  <c r="V1732" i="1"/>
  <c r="W1732" i="1" s="1"/>
  <c r="U1732" i="1"/>
  <c r="X1732" i="1" s="1"/>
  <c r="P1732" i="1"/>
  <c r="Q1732" i="1" s="1"/>
  <c r="O1732" i="1"/>
  <c r="L1732" i="1"/>
  <c r="J1732" i="1"/>
  <c r="M1732" i="1" s="1"/>
  <c r="AE1731" i="1"/>
  <c r="Y1731" i="1"/>
  <c r="W1731" i="1"/>
  <c r="V1731" i="1"/>
  <c r="U1731" i="1"/>
  <c r="X1731" i="1" s="1"/>
  <c r="P1731" i="1"/>
  <c r="Q1731" i="1" s="1"/>
  <c r="O1731" i="1"/>
  <c r="L1731" i="1"/>
  <c r="J1731" i="1"/>
  <c r="M1731" i="1" s="1"/>
  <c r="AE1730" i="1"/>
  <c r="Y1730" i="1"/>
  <c r="V1730" i="1"/>
  <c r="W1730" i="1" s="1"/>
  <c r="U1730" i="1"/>
  <c r="X1730" i="1" s="1"/>
  <c r="P1730" i="1"/>
  <c r="Q1730" i="1" s="1"/>
  <c r="O1730" i="1"/>
  <c r="L1730" i="1"/>
  <c r="J1730" i="1"/>
  <c r="M1730" i="1" s="1"/>
  <c r="AE1729" i="1"/>
  <c r="Y1729" i="1"/>
  <c r="V1729" i="1"/>
  <c r="W1729" i="1" s="1"/>
  <c r="U1729" i="1"/>
  <c r="X1729" i="1" s="1"/>
  <c r="P1729" i="1"/>
  <c r="Q1729" i="1" s="1"/>
  <c r="O1729" i="1"/>
  <c r="L1729" i="1"/>
  <c r="J1729" i="1"/>
  <c r="M1729" i="1" s="1"/>
  <c r="AE1728" i="1"/>
  <c r="Y1728" i="1"/>
  <c r="V1728" i="1"/>
  <c r="W1728" i="1" s="1"/>
  <c r="U1728" i="1"/>
  <c r="X1728" i="1" s="1"/>
  <c r="P1728" i="1"/>
  <c r="Q1728" i="1" s="1"/>
  <c r="O1728" i="1"/>
  <c r="L1728" i="1"/>
  <c r="J1728" i="1"/>
  <c r="M1728" i="1" s="1"/>
  <c r="AE1727" i="1"/>
  <c r="Y1727" i="1"/>
  <c r="V1727" i="1"/>
  <c r="W1727" i="1" s="1"/>
  <c r="U1727" i="1"/>
  <c r="X1727" i="1" s="1"/>
  <c r="P1727" i="1"/>
  <c r="Q1727" i="1" s="1"/>
  <c r="O1727" i="1"/>
  <c r="L1727" i="1"/>
  <c r="J1727" i="1"/>
  <c r="M1727" i="1" s="1"/>
  <c r="AE1726" i="1"/>
  <c r="Y1726" i="1"/>
  <c r="V1726" i="1"/>
  <c r="W1726" i="1" s="1"/>
  <c r="U1726" i="1"/>
  <c r="X1726" i="1" s="1"/>
  <c r="P1726" i="1"/>
  <c r="Q1726" i="1" s="1"/>
  <c r="O1726" i="1"/>
  <c r="L1726" i="1"/>
  <c r="J1726" i="1"/>
  <c r="M1726" i="1" s="1"/>
  <c r="AE1725" i="1"/>
  <c r="Y1725" i="1"/>
  <c r="V1725" i="1"/>
  <c r="W1725" i="1" s="1"/>
  <c r="U1725" i="1"/>
  <c r="X1725" i="1" s="1"/>
  <c r="P1725" i="1"/>
  <c r="Q1725" i="1" s="1"/>
  <c r="O1725" i="1"/>
  <c r="L1725" i="1"/>
  <c r="J1725" i="1"/>
  <c r="M1725" i="1" s="1"/>
  <c r="AE1724" i="1"/>
  <c r="Y1724" i="1"/>
  <c r="V1724" i="1"/>
  <c r="W1724" i="1" s="1"/>
  <c r="U1724" i="1"/>
  <c r="X1724" i="1" s="1"/>
  <c r="P1724" i="1"/>
  <c r="Q1724" i="1" s="1"/>
  <c r="O1724" i="1"/>
  <c r="L1724" i="1"/>
  <c r="J1724" i="1"/>
  <c r="M1724" i="1" s="1"/>
  <c r="AE1723" i="1"/>
  <c r="Y1723" i="1"/>
  <c r="V1723" i="1"/>
  <c r="W1723" i="1" s="1"/>
  <c r="U1723" i="1"/>
  <c r="X1723" i="1" s="1"/>
  <c r="P1723" i="1"/>
  <c r="Q1723" i="1" s="1"/>
  <c r="O1723" i="1"/>
  <c r="L1723" i="1"/>
  <c r="J1723" i="1"/>
  <c r="M1723" i="1" s="1"/>
  <c r="AE1722" i="1"/>
  <c r="Y1722" i="1"/>
  <c r="V1722" i="1"/>
  <c r="W1722" i="1" s="1"/>
  <c r="U1722" i="1"/>
  <c r="X1722" i="1" s="1"/>
  <c r="P1722" i="1"/>
  <c r="Q1722" i="1" s="1"/>
  <c r="O1722" i="1"/>
  <c r="L1722" i="1"/>
  <c r="J1722" i="1"/>
  <c r="M1722" i="1" s="1"/>
  <c r="AE1721" i="1"/>
  <c r="Y1721" i="1"/>
  <c r="V1721" i="1"/>
  <c r="W1721" i="1" s="1"/>
  <c r="U1721" i="1"/>
  <c r="X1721" i="1" s="1"/>
  <c r="P1721" i="1"/>
  <c r="Q1721" i="1" s="1"/>
  <c r="O1721" i="1"/>
  <c r="L1721" i="1"/>
  <c r="J1721" i="1"/>
  <c r="M1721" i="1" s="1"/>
  <c r="AE1720" i="1"/>
  <c r="Y1720" i="1"/>
  <c r="V1720" i="1"/>
  <c r="W1720" i="1" s="1"/>
  <c r="U1720" i="1"/>
  <c r="X1720" i="1" s="1"/>
  <c r="P1720" i="1"/>
  <c r="Q1720" i="1" s="1"/>
  <c r="O1720" i="1"/>
  <c r="L1720" i="1"/>
  <c r="J1720" i="1"/>
  <c r="M1720" i="1" s="1"/>
  <c r="AE1719" i="1"/>
  <c r="Y1719" i="1"/>
  <c r="V1719" i="1"/>
  <c r="W1719" i="1" s="1"/>
  <c r="U1719" i="1"/>
  <c r="X1719" i="1" s="1"/>
  <c r="P1719" i="1"/>
  <c r="Q1719" i="1" s="1"/>
  <c r="O1719" i="1"/>
  <c r="L1719" i="1"/>
  <c r="J1719" i="1"/>
  <c r="M1719" i="1" s="1"/>
  <c r="AE1718" i="1"/>
  <c r="Y1718" i="1"/>
  <c r="V1718" i="1"/>
  <c r="W1718" i="1" s="1"/>
  <c r="U1718" i="1"/>
  <c r="X1718" i="1" s="1"/>
  <c r="P1718" i="1"/>
  <c r="Q1718" i="1" s="1"/>
  <c r="O1718" i="1"/>
  <c r="L1718" i="1"/>
  <c r="J1718" i="1"/>
  <c r="M1718" i="1" s="1"/>
  <c r="AE1717" i="1"/>
  <c r="V1717" i="1"/>
  <c r="W1717" i="1" s="1"/>
  <c r="U1717" i="1"/>
  <c r="P1717" i="1"/>
  <c r="Q1717" i="1" s="1"/>
  <c r="O1717" i="1"/>
  <c r="L1717" i="1"/>
  <c r="J1717" i="1"/>
  <c r="M1717" i="1" s="1"/>
  <c r="AE1716" i="1"/>
  <c r="Y1716" i="1"/>
  <c r="V1716" i="1"/>
  <c r="W1716" i="1" s="1"/>
  <c r="U1716" i="1"/>
  <c r="X1716" i="1" s="1"/>
  <c r="P1716" i="1"/>
  <c r="Q1716" i="1" s="1"/>
  <c r="O1716" i="1"/>
  <c r="L1716" i="1"/>
  <c r="J1716" i="1"/>
  <c r="M1716" i="1" s="1"/>
  <c r="AE1715" i="1"/>
  <c r="Y1715" i="1"/>
  <c r="V1715" i="1"/>
  <c r="W1715" i="1" s="1"/>
  <c r="U1715" i="1"/>
  <c r="X1715" i="1" s="1"/>
  <c r="P1715" i="1"/>
  <c r="Q1715" i="1" s="1"/>
  <c r="O1715" i="1"/>
  <c r="L1715" i="1"/>
  <c r="J1715" i="1"/>
  <c r="M1715" i="1" s="1"/>
  <c r="AE1714" i="1"/>
  <c r="Y1714" i="1"/>
  <c r="V1714" i="1"/>
  <c r="W1714" i="1" s="1"/>
  <c r="U1714" i="1"/>
  <c r="X1714" i="1" s="1"/>
  <c r="P1714" i="1"/>
  <c r="Q1714" i="1" s="1"/>
  <c r="O1714" i="1"/>
  <c r="L1714" i="1"/>
  <c r="J1714" i="1"/>
  <c r="M1714" i="1" s="1"/>
  <c r="AE1713" i="1"/>
  <c r="V1713" i="1"/>
  <c r="W1713" i="1" s="1"/>
  <c r="U1713" i="1"/>
  <c r="P1713" i="1"/>
  <c r="Q1713" i="1" s="1"/>
  <c r="O1713" i="1"/>
  <c r="L1713" i="1"/>
  <c r="J1713" i="1"/>
  <c r="M1713" i="1" s="1"/>
  <c r="AE1712" i="1"/>
  <c r="Y1712" i="1"/>
  <c r="V1712" i="1"/>
  <c r="W1712" i="1" s="1"/>
  <c r="U1712" i="1"/>
  <c r="X1712" i="1" s="1"/>
  <c r="P1712" i="1"/>
  <c r="Q1712" i="1" s="1"/>
  <c r="O1712" i="1"/>
  <c r="L1712" i="1"/>
  <c r="J1712" i="1"/>
  <c r="M1712" i="1" s="1"/>
  <c r="G1712" i="1"/>
  <c r="A1712" i="1"/>
  <c r="AE1711" i="1"/>
  <c r="Y1711" i="1"/>
  <c r="V1711" i="1"/>
  <c r="W1711" i="1" s="1"/>
  <c r="U1711" i="1"/>
  <c r="X1711" i="1" s="1"/>
  <c r="P1711" i="1"/>
  <c r="Q1711" i="1" s="1"/>
  <c r="O1711" i="1"/>
  <c r="L1711" i="1"/>
  <c r="J1711" i="1"/>
  <c r="M1711" i="1" s="1"/>
  <c r="G1711" i="1"/>
  <c r="A1711" i="1"/>
  <c r="AE1710" i="1"/>
  <c r="Y1710" i="1"/>
  <c r="V1710" i="1"/>
  <c r="W1710" i="1" s="1"/>
  <c r="U1710" i="1"/>
  <c r="X1710" i="1" s="1"/>
  <c r="P1710" i="1"/>
  <c r="Q1710" i="1" s="1"/>
  <c r="O1710" i="1"/>
  <c r="L1710" i="1"/>
  <c r="J1710" i="1"/>
  <c r="M1710" i="1" s="1"/>
  <c r="G1710" i="1"/>
  <c r="A1710" i="1"/>
  <c r="AE1709" i="1"/>
  <c r="Y1709" i="1"/>
  <c r="V1709" i="1"/>
  <c r="W1709" i="1" s="1"/>
  <c r="U1709" i="1"/>
  <c r="X1709" i="1" s="1"/>
  <c r="P1709" i="1"/>
  <c r="Q1709" i="1" s="1"/>
  <c r="O1709" i="1"/>
  <c r="L1709" i="1"/>
  <c r="J1709" i="1"/>
  <c r="M1709" i="1" s="1"/>
  <c r="G1709" i="1"/>
  <c r="A1709" i="1"/>
  <c r="AE1708" i="1"/>
  <c r="Y1708" i="1"/>
  <c r="V1708" i="1"/>
  <c r="W1708" i="1" s="1"/>
  <c r="U1708" i="1"/>
  <c r="X1708" i="1" s="1"/>
  <c r="P1708" i="1"/>
  <c r="Q1708" i="1" s="1"/>
  <c r="O1708" i="1"/>
  <c r="L1708" i="1"/>
  <c r="J1708" i="1"/>
  <c r="M1708" i="1" s="1"/>
  <c r="G1708" i="1"/>
  <c r="A1708" i="1"/>
  <c r="AE1707" i="1"/>
  <c r="Y1707" i="1"/>
  <c r="V1707" i="1"/>
  <c r="W1707" i="1" s="1"/>
  <c r="U1707" i="1"/>
  <c r="X1707" i="1" s="1"/>
  <c r="P1707" i="1"/>
  <c r="Q1707" i="1" s="1"/>
  <c r="O1707" i="1"/>
  <c r="L1707" i="1"/>
  <c r="J1707" i="1"/>
  <c r="M1707" i="1" s="1"/>
  <c r="G1707" i="1"/>
  <c r="A1707" i="1"/>
  <c r="AE1706" i="1"/>
  <c r="Y1706" i="1"/>
  <c r="V1706" i="1"/>
  <c r="W1706" i="1" s="1"/>
  <c r="U1706" i="1"/>
  <c r="X1706" i="1" s="1"/>
  <c r="P1706" i="1"/>
  <c r="Q1706" i="1" s="1"/>
  <c r="O1706" i="1"/>
  <c r="L1706" i="1"/>
  <c r="J1706" i="1"/>
  <c r="M1706" i="1" s="1"/>
  <c r="G1706" i="1"/>
  <c r="A1706" i="1"/>
  <c r="AE1705" i="1"/>
  <c r="Y1705" i="1"/>
  <c r="V1705" i="1"/>
  <c r="W1705" i="1" s="1"/>
  <c r="U1705" i="1"/>
  <c r="X1705" i="1" s="1"/>
  <c r="P1705" i="1"/>
  <c r="Q1705" i="1" s="1"/>
  <c r="O1705" i="1"/>
  <c r="L1705" i="1"/>
  <c r="J1705" i="1"/>
  <c r="M1705" i="1" s="1"/>
  <c r="G1705" i="1"/>
  <c r="A1705" i="1"/>
  <c r="AE1704" i="1"/>
  <c r="Y1704" i="1"/>
  <c r="V1704" i="1"/>
  <c r="W1704" i="1" s="1"/>
  <c r="U1704" i="1"/>
  <c r="X1704" i="1" s="1"/>
  <c r="P1704" i="1"/>
  <c r="Q1704" i="1" s="1"/>
  <c r="O1704" i="1"/>
  <c r="L1704" i="1"/>
  <c r="J1704" i="1"/>
  <c r="M1704" i="1" s="1"/>
  <c r="G1704" i="1"/>
  <c r="A1704" i="1"/>
  <c r="AE1703" i="1"/>
  <c r="Y1703" i="1"/>
  <c r="V1703" i="1"/>
  <c r="W1703" i="1" s="1"/>
  <c r="U1703" i="1"/>
  <c r="X1703" i="1" s="1"/>
  <c r="P1703" i="1"/>
  <c r="Q1703" i="1" s="1"/>
  <c r="O1703" i="1"/>
  <c r="L1703" i="1"/>
  <c r="J1703" i="1"/>
  <c r="M1703" i="1" s="1"/>
  <c r="G1703" i="1"/>
  <c r="A1703" i="1"/>
  <c r="AE1702" i="1"/>
  <c r="Y1702" i="1"/>
  <c r="V1702" i="1"/>
  <c r="W1702" i="1" s="1"/>
  <c r="U1702" i="1"/>
  <c r="X1702" i="1" s="1"/>
  <c r="S1702" i="1"/>
  <c r="P1702" i="1"/>
  <c r="Q1702" i="1" s="1"/>
  <c r="O1702" i="1"/>
  <c r="R1702" i="1" s="1"/>
  <c r="L1702" i="1"/>
  <c r="J1702" i="1"/>
  <c r="M1702" i="1" s="1"/>
  <c r="G1702" i="1"/>
  <c r="A1702" i="1"/>
  <c r="AE1701" i="1"/>
  <c r="Y1701" i="1"/>
  <c r="V1701" i="1"/>
  <c r="W1701" i="1" s="1"/>
  <c r="U1701" i="1"/>
  <c r="X1701" i="1" s="1"/>
  <c r="P1701" i="1"/>
  <c r="Q1701" i="1" s="1"/>
  <c r="O1701" i="1"/>
  <c r="L1701" i="1"/>
  <c r="J1701" i="1"/>
  <c r="M1701" i="1" s="1"/>
  <c r="G1701" i="1"/>
  <c r="A1701" i="1"/>
  <c r="AE1700" i="1"/>
  <c r="Y1700" i="1"/>
  <c r="V1700" i="1"/>
  <c r="W1700" i="1" s="1"/>
  <c r="U1700" i="1"/>
  <c r="X1700" i="1" s="1"/>
  <c r="P1700" i="1"/>
  <c r="Q1700" i="1" s="1"/>
  <c r="O1700" i="1"/>
  <c r="L1700" i="1"/>
  <c r="J1700" i="1"/>
  <c r="M1700" i="1" s="1"/>
  <c r="G1700" i="1"/>
  <c r="A1700" i="1"/>
  <c r="AE1699" i="1"/>
  <c r="Y1699" i="1"/>
  <c r="V1699" i="1"/>
  <c r="W1699" i="1" s="1"/>
  <c r="U1699" i="1"/>
  <c r="X1699" i="1" s="1"/>
  <c r="P1699" i="1"/>
  <c r="Q1699" i="1" s="1"/>
  <c r="O1699" i="1"/>
  <c r="L1699" i="1"/>
  <c r="J1699" i="1"/>
  <c r="M1699" i="1" s="1"/>
  <c r="G1699" i="1"/>
  <c r="A1699" i="1"/>
  <c r="AE1698" i="1"/>
  <c r="Y1698" i="1"/>
  <c r="V1698" i="1"/>
  <c r="W1698" i="1" s="1"/>
  <c r="U1698" i="1"/>
  <c r="X1698" i="1" s="1"/>
  <c r="P1698" i="1"/>
  <c r="Q1698" i="1" s="1"/>
  <c r="O1698" i="1"/>
  <c r="L1698" i="1"/>
  <c r="J1698" i="1"/>
  <c r="M1698" i="1" s="1"/>
  <c r="G1698" i="1"/>
  <c r="A1698" i="1"/>
  <c r="AE1697" i="1"/>
  <c r="Y1697" i="1"/>
  <c r="V1697" i="1"/>
  <c r="W1697" i="1" s="1"/>
  <c r="U1697" i="1"/>
  <c r="X1697" i="1" s="1"/>
  <c r="P1697" i="1"/>
  <c r="Q1697" i="1" s="1"/>
  <c r="O1697" i="1"/>
  <c r="L1697" i="1"/>
  <c r="J1697" i="1"/>
  <c r="M1697" i="1" s="1"/>
  <c r="G1697" i="1"/>
  <c r="A1697" i="1"/>
  <c r="AE1696" i="1"/>
  <c r="Y1696" i="1"/>
  <c r="V1696" i="1"/>
  <c r="W1696" i="1" s="1"/>
  <c r="U1696" i="1"/>
  <c r="X1696" i="1" s="1"/>
  <c r="P1696" i="1"/>
  <c r="Q1696" i="1" s="1"/>
  <c r="O1696" i="1"/>
  <c r="L1696" i="1"/>
  <c r="J1696" i="1"/>
  <c r="M1696" i="1" s="1"/>
  <c r="G1696" i="1"/>
  <c r="A1696" i="1"/>
  <c r="AE1695" i="1"/>
  <c r="Y1695" i="1"/>
  <c r="V1695" i="1"/>
  <c r="W1695" i="1" s="1"/>
  <c r="U1695" i="1"/>
  <c r="X1695" i="1" s="1"/>
  <c r="P1695" i="1"/>
  <c r="Q1695" i="1" s="1"/>
  <c r="O1695" i="1"/>
  <c r="L1695" i="1"/>
  <c r="J1695" i="1"/>
  <c r="M1695" i="1" s="1"/>
  <c r="G1695" i="1"/>
  <c r="A1695" i="1"/>
  <c r="AE1694" i="1"/>
  <c r="Y1694" i="1"/>
  <c r="V1694" i="1"/>
  <c r="W1694" i="1" s="1"/>
  <c r="U1694" i="1"/>
  <c r="X1694" i="1" s="1"/>
  <c r="P1694" i="1"/>
  <c r="Q1694" i="1" s="1"/>
  <c r="O1694" i="1"/>
  <c r="L1694" i="1"/>
  <c r="J1694" i="1"/>
  <c r="M1694" i="1" s="1"/>
  <c r="G1694" i="1"/>
  <c r="A1694" i="1"/>
  <c r="AE1693" i="1"/>
  <c r="Y1693" i="1"/>
  <c r="V1693" i="1"/>
  <c r="W1693" i="1" s="1"/>
  <c r="U1693" i="1"/>
  <c r="X1693" i="1" s="1"/>
  <c r="P1693" i="1"/>
  <c r="Q1693" i="1" s="1"/>
  <c r="O1693" i="1"/>
  <c r="L1693" i="1"/>
  <c r="J1693" i="1"/>
  <c r="M1693" i="1" s="1"/>
  <c r="G1693" i="1"/>
  <c r="A1693" i="1"/>
  <c r="AE1692" i="1"/>
  <c r="Y1692" i="1"/>
  <c r="V1692" i="1"/>
  <c r="W1692" i="1" s="1"/>
  <c r="U1692" i="1"/>
  <c r="X1692" i="1" s="1"/>
  <c r="P1692" i="1"/>
  <c r="Q1692" i="1" s="1"/>
  <c r="O1692" i="1"/>
  <c r="L1692" i="1"/>
  <c r="J1692" i="1"/>
  <c r="M1692" i="1" s="1"/>
  <c r="G1692" i="1"/>
  <c r="A1692" i="1"/>
  <c r="AE1691" i="1"/>
  <c r="Y1691" i="1"/>
  <c r="V1691" i="1"/>
  <c r="W1691" i="1" s="1"/>
  <c r="U1691" i="1"/>
  <c r="X1691" i="1" s="1"/>
  <c r="P1691" i="1"/>
  <c r="Q1691" i="1" s="1"/>
  <c r="O1691" i="1"/>
  <c r="L1691" i="1"/>
  <c r="J1691" i="1"/>
  <c r="M1691" i="1" s="1"/>
  <c r="G1691" i="1"/>
  <c r="A1691" i="1"/>
  <c r="AE1690" i="1"/>
  <c r="Y1690" i="1"/>
  <c r="V1690" i="1"/>
  <c r="W1690" i="1" s="1"/>
  <c r="U1690" i="1"/>
  <c r="X1690" i="1" s="1"/>
  <c r="S1690" i="1"/>
  <c r="P1690" i="1"/>
  <c r="Q1690" i="1" s="1"/>
  <c r="O1690" i="1"/>
  <c r="R1690" i="1" s="1"/>
  <c r="L1690" i="1"/>
  <c r="J1690" i="1"/>
  <c r="M1690" i="1" s="1"/>
  <c r="G1690" i="1"/>
  <c r="A1690" i="1"/>
  <c r="AE1689" i="1"/>
  <c r="V1689" i="1"/>
  <c r="W1689" i="1" s="1"/>
  <c r="U1689" i="1"/>
  <c r="P1689" i="1"/>
  <c r="Q1689" i="1" s="1"/>
  <c r="O1689" i="1"/>
  <c r="L1689" i="1"/>
  <c r="J1689" i="1"/>
  <c r="M1689" i="1" s="1"/>
  <c r="G1689" i="1"/>
  <c r="A1689" i="1"/>
  <c r="AE1688" i="1"/>
  <c r="V1688" i="1"/>
  <c r="W1688" i="1" s="1"/>
  <c r="U1688" i="1"/>
  <c r="S1688" i="1"/>
  <c r="P1688" i="1"/>
  <c r="Q1688" i="1" s="1"/>
  <c r="O1688" i="1"/>
  <c r="R1688" i="1" s="1"/>
  <c r="L1688" i="1"/>
  <c r="J1688" i="1"/>
  <c r="M1688" i="1" s="1"/>
  <c r="G1688" i="1"/>
  <c r="A1688" i="1"/>
  <c r="AE1687" i="1"/>
  <c r="Y1687" i="1"/>
  <c r="V1687" i="1"/>
  <c r="W1687" i="1" s="1"/>
  <c r="U1687" i="1"/>
  <c r="X1687" i="1" s="1"/>
  <c r="S1687" i="1"/>
  <c r="P1687" i="1"/>
  <c r="Q1687" i="1" s="1"/>
  <c r="O1687" i="1"/>
  <c r="R1687" i="1" s="1"/>
  <c r="L1687" i="1"/>
  <c r="J1687" i="1"/>
  <c r="M1687" i="1" s="1"/>
  <c r="G1687" i="1"/>
  <c r="A1687" i="1"/>
  <c r="AE1686" i="1"/>
  <c r="V1686" i="1"/>
  <c r="W1686" i="1" s="1"/>
  <c r="U1686" i="1"/>
  <c r="S1686" i="1"/>
  <c r="P1686" i="1"/>
  <c r="Q1686" i="1" s="1"/>
  <c r="O1686" i="1"/>
  <c r="R1686" i="1" s="1"/>
  <c r="L1686" i="1"/>
  <c r="J1686" i="1"/>
  <c r="M1686" i="1" s="1"/>
  <c r="G1686" i="1"/>
  <c r="A1686" i="1"/>
  <c r="AE1685" i="1"/>
  <c r="Y1685" i="1"/>
  <c r="V1685" i="1"/>
  <c r="W1685" i="1" s="1"/>
  <c r="U1685" i="1"/>
  <c r="X1685" i="1" s="1"/>
  <c r="P1685" i="1"/>
  <c r="Q1685" i="1" s="1"/>
  <c r="O1685" i="1"/>
  <c r="L1685" i="1"/>
  <c r="J1685" i="1"/>
  <c r="M1685" i="1" s="1"/>
  <c r="G1685" i="1"/>
  <c r="A1685" i="1"/>
  <c r="AE1684" i="1"/>
  <c r="Y1684" i="1"/>
  <c r="V1684" i="1"/>
  <c r="W1684" i="1" s="1"/>
  <c r="U1684" i="1"/>
  <c r="X1684" i="1" s="1"/>
  <c r="P1684" i="1"/>
  <c r="Q1684" i="1" s="1"/>
  <c r="O1684" i="1"/>
  <c r="L1684" i="1"/>
  <c r="J1684" i="1"/>
  <c r="M1684" i="1" s="1"/>
  <c r="G1684" i="1"/>
  <c r="A1684" i="1"/>
  <c r="AE1683" i="1"/>
  <c r="Y1683" i="1"/>
  <c r="V1683" i="1"/>
  <c r="W1683" i="1" s="1"/>
  <c r="U1683" i="1"/>
  <c r="X1683" i="1" s="1"/>
  <c r="S1683" i="1"/>
  <c r="P1683" i="1"/>
  <c r="Q1683" i="1" s="1"/>
  <c r="O1683" i="1"/>
  <c r="R1683" i="1" s="1"/>
  <c r="L1683" i="1"/>
  <c r="J1683" i="1"/>
  <c r="M1683" i="1" s="1"/>
  <c r="G1683" i="1"/>
  <c r="A1683" i="1"/>
  <c r="AE1682" i="1"/>
  <c r="Y1682" i="1"/>
  <c r="V1682" i="1"/>
  <c r="W1682" i="1" s="1"/>
  <c r="U1682" i="1"/>
  <c r="X1682" i="1" s="1"/>
  <c r="P1682" i="1"/>
  <c r="Q1682" i="1" s="1"/>
  <c r="O1682" i="1"/>
  <c r="L1682" i="1"/>
  <c r="J1682" i="1"/>
  <c r="M1682" i="1" s="1"/>
  <c r="G1682" i="1"/>
  <c r="A1682" i="1"/>
  <c r="AE1681" i="1"/>
  <c r="Y1681" i="1"/>
  <c r="V1681" i="1"/>
  <c r="W1681" i="1" s="1"/>
  <c r="U1681" i="1"/>
  <c r="X1681" i="1" s="1"/>
  <c r="S1681" i="1"/>
  <c r="P1681" i="1"/>
  <c r="Q1681" i="1" s="1"/>
  <c r="O1681" i="1"/>
  <c r="R1681" i="1" s="1"/>
  <c r="L1681" i="1"/>
  <c r="J1681" i="1"/>
  <c r="M1681" i="1" s="1"/>
  <c r="G1681" i="1"/>
  <c r="A1681" i="1"/>
  <c r="AE1680" i="1"/>
  <c r="Y1680" i="1"/>
  <c r="V1680" i="1"/>
  <c r="W1680" i="1" s="1"/>
  <c r="U1680" i="1"/>
  <c r="X1680" i="1" s="1"/>
  <c r="S1680" i="1"/>
  <c r="P1680" i="1"/>
  <c r="Q1680" i="1" s="1"/>
  <c r="O1680" i="1"/>
  <c r="R1680" i="1" s="1"/>
  <c r="L1680" i="1"/>
  <c r="J1680" i="1"/>
  <c r="M1680" i="1" s="1"/>
  <c r="G1680" i="1"/>
  <c r="A1680" i="1"/>
  <c r="AE1679" i="1"/>
  <c r="V1679" i="1"/>
  <c r="W1679" i="1" s="1"/>
  <c r="U1679" i="1"/>
  <c r="S1679" i="1"/>
  <c r="R1679" i="1"/>
  <c r="P1679" i="1"/>
  <c r="Q1679" i="1" s="1"/>
  <c r="O1679" i="1"/>
  <c r="L1679" i="1"/>
  <c r="J1679" i="1"/>
  <c r="M1679" i="1" s="1"/>
  <c r="G1679" i="1"/>
  <c r="A1679" i="1"/>
  <c r="AE1678" i="1"/>
  <c r="Y1678" i="1"/>
  <c r="V1678" i="1"/>
  <c r="W1678" i="1" s="1"/>
  <c r="U1678" i="1"/>
  <c r="X1678" i="1" s="1"/>
  <c r="Q1678" i="1"/>
  <c r="P1678" i="1"/>
  <c r="O1678" i="1"/>
  <c r="L1678" i="1"/>
  <c r="J1678" i="1"/>
  <c r="M1678" i="1" s="1"/>
  <c r="G1678" i="1"/>
  <c r="A1678" i="1"/>
  <c r="AE1677" i="1"/>
  <c r="Y1677" i="1"/>
  <c r="V1677" i="1"/>
  <c r="W1677" i="1" s="1"/>
  <c r="U1677" i="1"/>
  <c r="X1677" i="1" s="1"/>
  <c r="P1677" i="1"/>
  <c r="Q1677" i="1" s="1"/>
  <c r="O1677" i="1"/>
  <c r="L1677" i="1"/>
  <c r="J1677" i="1"/>
  <c r="M1677" i="1" s="1"/>
  <c r="G1677" i="1"/>
  <c r="A1677" i="1"/>
  <c r="AE1676" i="1"/>
  <c r="Y1676" i="1"/>
  <c r="V1676" i="1"/>
  <c r="W1676" i="1" s="1"/>
  <c r="U1676" i="1"/>
  <c r="X1676" i="1" s="1"/>
  <c r="P1676" i="1"/>
  <c r="Q1676" i="1" s="1"/>
  <c r="O1676" i="1"/>
  <c r="L1676" i="1"/>
  <c r="J1676" i="1"/>
  <c r="M1676" i="1" s="1"/>
  <c r="G1676" i="1"/>
  <c r="AE1675" i="1"/>
  <c r="Y1675" i="1"/>
  <c r="V1675" i="1"/>
  <c r="W1675" i="1" s="1"/>
  <c r="U1675" i="1"/>
  <c r="X1675" i="1" s="1"/>
  <c r="S1675" i="1"/>
  <c r="P1675" i="1"/>
  <c r="Q1675" i="1" s="1"/>
  <c r="O1675" i="1"/>
  <c r="R1675" i="1" s="1"/>
  <c r="L1675" i="1"/>
  <c r="J1675" i="1"/>
  <c r="M1675" i="1" s="1"/>
  <c r="G1675" i="1"/>
  <c r="AE1674" i="1"/>
  <c r="Y1674" i="1"/>
  <c r="V1674" i="1"/>
  <c r="W1674" i="1" s="1"/>
  <c r="U1674" i="1"/>
  <c r="X1674" i="1" s="1"/>
  <c r="S1674" i="1"/>
  <c r="P1674" i="1"/>
  <c r="Q1674" i="1" s="1"/>
  <c r="O1674" i="1"/>
  <c r="R1674" i="1" s="1"/>
  <c r="L1674" i="1"/>
  <c r="J1674" i="1"/>
  <c r="M1674" i="1" s="1"/>
  <c r="G1674" i="1"/>
  <c r="AE1673" i="1"/>
  <c r="Y1673" i="1"/>
  <c r="V1673" i="1"/>
  <c r="W1673" i="1" s="1"/>
  <c r="U1673" i="1"/>
  <c r="X1673" i="1" s="1"/>
  <c r="P1673" i="1"/>
  <c r="Q1673" i="1" s="1"/>
  <c r="O1673" i="1"/>
  <c r="L1673" i="1"/>
  <c r="J1673" i="1"/>
  <c r="M1673" i="1" s="1"/>
  <c r="G1673" i="1"/>
  <c r="AE1672" i="1"/>
  <c r="Y1672" i="1"/>
  <c r="V1672" i="1"/>
  <c r="W1672" i="1" s="1"/>
  <c r="U1672" i="1"/>
  <c r="X1672" i="1" s="1"/>
  <c r="P1672" i="1"/>
  <c r="Q1672" i="1" s="1"/>
  <c r="O1672" i="1"/>
  <c r="L1672" i="1"/>
  <c r="J1672" i="1"/>
  <c r="M1672" i="1" s="1"/>
  <c r="G1672" i="1"/>
  <c r="AE1671" i="1"/>
  <c r="Y1671" i="1"/>
  <c r="V1671" i="1"/>
  <c r="W1671" i="1" s="1"/>
  <c r="U1671" i="1"/>
  <c r="X1671" i="1" s="1"/>
  <c r="P1671" i="1"/>
  <c r="Q1671" i="1" s="1"/>
  <c r="O1671" i="1"/>
  <c r="L1671" i="1"/>
  <c r="J1671" i="1"/>
  <c r="M1671" i="1" s="1"/>
  <c r="G1671" i="1"/>
  <c r="AE1670" i="1"/>
  <c r="Y1670" i="1"/>
  <c r="V1670" i="1"/>
  <c r="W1670" i="1" s="1"/>
  <c r="U1670" i="1"/>
  <c r="X1670" i="1" s="1"/>
  <c r="P1670" i="1"/>
  <c r="Q1670" i="1" s="1"/>
  <c r="O1670" i="1"/>
  <c r="L1670" i="1"/>
  <c r="J1670" i="1"/>
  <c r="M1670" i="1" s="1"/>
  <c r="G1670" i="1"/>
  <c r="AE1669" i="1"/>
  <c r="Y1669" i="1"/>
  <c r="V1669" i="1"/>
  <c r="W1669" i="1" s="1"/>
  <c r="U1669" i="1"/>
  <c r="X1669" i="1" s="1"/>
  <c r="P1669" i="1"/>
  <c r="Q1669" i="1" s="1"/>
  <c r="O1669" i="1"/>
  <c r="L1669" i="1"/>
  <c r="J1669" i="1"/>
  <c r="M1669" i="1" s="1"/>
  <c r="G1669" i="1"/>
  <c r="AE1668" i="1"/>
  <c r="Y1668" i="1"/>
  <c r="V1668" i="1"/>
  <c r="W1668" i="1" s="1"/>
  <c r="U1668" i="1"/>
  <c r="X1668" i="1" s="1"/>
  <c r="P1668" i="1"/>
  <c r="Q1668" i="1" s="1"/>
  <c r="O1668" i="1"/>
  <c r="L1668" i="1"/>
  <c r="J1668" i="1"/>
  <c r="M1668" i="1" s="1"/>
  <c r="G1668" i="1"/>
  <c r="AE1667" i="1"/>
  <c r="Y1667" i="1"/>
  <c r="V1667" i="1"/>
  <c r="W1667" i="1" s="1"/>
  <c r="U1667" i="1"/>
  <c r="X1667" i="1" s="1"/>
  <c r="S1667" i="1"/>
  <c r="P1667" i="1"/>
  <c r="Q1667" i="1" s="1"/>
  <c r="O1667" i="1"/>
  <c r="R1667" i="1" s="1"/>
  <c r="L1667" i="1"/>
  <c r="J1667" i="1"/>
  <c r="M1667" i="1" s="1"/>
  <c r="G1667" i="1"/>
  <c r="AE1666" i="1"/>
  <c r="Y1666" i="1"/>
  <c r="V1666" i="1"/>
  <c r="W1666" i="1" s="1"/>
  <c r="U1666" i="1"/>
  <c r="X1666" i="1" s="1"/>
  <c r="P1666" i="1"/>
  <c r="Q1666" i="1" s="1"/>
  <c r="O1666" i="1"/>
  <c r="L1666" i="1"/>
  <c r="J1666" i="1"/>
  <c r="M1666" i="1" s="1"/>
  <c r="G1666" i="1"/>
  <c r="AE1665" i="1"/>
  <c r="Y1665" i="1"/>
  <c r="V1665" i="1"/>
  <c r="W1665" i="1" s="1"/>
  <c r="U1665" i="1"/>
  <c r="X1665" i="1" s="1"/>
  <c r="P1665" i="1"/>
  <c r="Q1665" i="1" s="1"/>
  <c r="O1665" i="1"/>
  <c r="L1665" i="1"/>
  <c r="J1665" i="1"/>
  <c r="M1665" i="1" s="1"/>
  <c r="G1665" i="1"/>
  <c r="AE1664" i="1"/>
  <c r="Y1664" i="1"/>
  <c r="V1664" i="1"/>
  <c r="W1664" i="1" s="1"/>
  <c r="U1664" i="1"/>
  <c r="X1664" i="1" s="1"/>
  <c r="P1664" i="1"/>
  <c r="Q1664" i="1" s="1"/>
  <c r="O1664" i="1"/>
  <c r="L1664" i="1"/>
  <c r="J1664" i="1"/>
  <c r="M1664" i="1" s="1"/>
  <c r="G1664" i="1"/>
  <c r="AE1663" i="1"/>
  <c r="Y1663" i="1"/>
  <c r="V1663" i="1"/>
  <c r="W1663" i="1" s="1"/>
  <c r="U1663" i="1"/>
  <c r="X1663" i="1" s="1"/>
  <c r="S1663" i="1"/>
  <c r="P1663" i="1"/>
  <c r="Q1663" i="1" s="1"/>
  <c r="O1663" i="1"/>
  <c r="R1663" i="1" s="1"/>
  <c r="L1663" i="1"/>
  <c r="J1663" i="1"/>
  <c r="M1663" i="1" s="1"/>
  <c r="G1663" i="1"/>
  <c r="AE1662" i="1"/>
  <c r="V1662" i="1"/>
  <c r="W1662" i="1" s="1"/>
  <c r="U1662" i="1"/>
  <c r="S1662" i="1"/>
  <c r="P1662" i="1"/>
  <c r="Q1662" i="1" s="1"/>
  <c r="O1662" i="1"/>
  <c r="R1662" i="1" s="1"/>
  <c r="L1662" i="1"/>
  <c r="J1662" i="1"/>
  <c r="M1662" i="1" s="1"/>
  <c r="G1662" i="1"/>
  <c r="AE1661" i="1"/>
  <c r="Y1661" i="1"/>
  <c r="V1661" i="1"/>
  <c r="W1661" i="1" s="1"/>
  <c r="U1661" i="1"/>
  <c r="X1661" i="1" s="1"/>
  <c r="P1661" i="1"/>
  <c r="Q1661" i="1" s="1"/>
  <c r="O1661" i="1"/>
  <c r="L1661" i="1"/>
  <c r="J1661" i="1"/>
  <c r="M1661" i="1" s="1"/>
  <c r="G1661" i="1"/>
  <c r="AE1660" i="1"/>
  <c r="Y1660" i="1"/>
  <c r="V1660" i="1"/>
  <c r="W1660" i="1" s="1"/>
  <c r="U1660" i="1"/>
  <c r="X1660" i="1" s="1"/>
  <c r="P1660" i="1"/>
  <c r="Q1660" i="1" s="1"/>
  <c r="O1660" i="1"/>
  <c r="L1660" i="1"/>
  <c r="J1660" i="1"/>
  <c r="M1660" i="1" s="1"/>
  <c r="G1660" i="1"/>
  <c r="AE1659" i="1"/>
  <c r="Y1659" i="1"/>
  <c r="V1659" i="1"/>
  <c r="W1659" i="1" s="1"/>
  <c r="U1659" i="1"/>
  <c r="X1659" i="1" s="1"/>
  <c r="P1659" i="1"/>
  <c r="Q1659" i="1" s="1"/>
  <c r="O1659" i="1"/>
  <c r="L1659" i="1"/>
  <c r="J1659" i="1"/>
  <c r="M1659" i="1" s="1"/>
  <c r="G1659" i="1"/>
  <c r="AE1658" i="1"/>
  <c r="Y1658" i="1"/>
  <c r="V1658" i="1"/>
  <c r="W1658" i="1" s="1"/>
  <c r="U1658" i="1"/>
  <c r="X1658" i="1" s="1"/>
  <c r="P1658" i="1"/>
  <c r="Q1658" i="1" s="1"/>
  <c r="O1658" i="1"/>
  <c r="L1658" i="1"/>
  <c r="J1658" i="1"/>
  <c r="M1658" i="1" s="1"/>
  <c r="G1658" i="1"/>
  <c r="AE1657" i="1"/>
  <c r="Y1657" i="1"/>
  <c r="V1657" i="1"/>
  <c r="W1657" i="1" s="1"/>
  <c r="U1657" i="1"/>
  <c r="X1657" i="1" s="1"/>
  <c r="P1657" i="1"/>
  <c r="Q1657" i="1" s="1"/>
  <c r="O1657" i="1"/>
  <c r="L1657" i="1"/>
  <c r="J1657" i="1"/>
  <c r="M1657" i="1" s="1"/>
  <c r="G1657" i="1"/>
  <c r="AE1656" i="1"/>
  <c r="Y1656" i="1"/>
  <c r="V1656" i="1"/>
  <c r="W1656" i="1" s="1"/>
  <c r="U1656" i="1"/>
  <c r="X1656" i="1" s="1"/>
  <c r="P1656" i="1"/>
  <c r="Q1656" i="1" s="1"/>
  <c r="O1656" i="1"/>
  <c r="L1656" i="1"/>
  <c r="J1656" i="1"/>
  <c r="M1656" i="1" s="1"/>
  <c r="G1656" i="1"/>
  <c r="AE1655" i="1"/>
  <c r="Y1655" i="1"/>
  <c r="V1655" i="1"/>
  <c r="W1655" i="1" s="1"/>
  <c r="U1655" i="1"/>
  <c r="X1655" i="1" s="1"/>
  <c r="P1655" i="1"/>
  <c r="Q1655" i="1" s="1"/>
  <c r="O1655" i="1"/>
  <c r="L1655" i="1"/>
  <c r="J1655" i="1"/>
  <c r="M1655" i="1" s="1"/>
  <c r="G1655" i="1"/>
  <c r="AE1654" i="1"/>
  <c r="Y1654" i="1"/>
  <c r="V1654" i="1"/>
  <c r="W1654" i="1" s="1"/>
  <c r="U1654" i="1"/>
  <c r="X1654" i="1" s="1"/>
  <c r="P1654" i="1"/>
  <c r="Q1654" i="1" s="1"/>
  <c r="O1654" i="1"/>
  <c r="L1654" i="1"/>
  <c r="J1654" i="1"/>
  <c r="M1654" i="1" s="1"/>
  <c r="G1654" i="1"/>
  <c r="AE1653" i="1"/>
  <c r="Y1653" i="1"/>
  <c r="V1653" i="1"/>
  <c r="W1653" i="1" s="1"/>
  <c r="U1653" i="1"/>
  <c r="X1653" i="1" s="1"/>
  <c r="P1653" i="1"/>
  <c r="Q1653" i="1" s="1"/>
  <c r="O1653" i="1"/>
  <c r="L1653" i="1"/>
  <c r="J1653" i="1"/>
  <c r="M1653" i="1" s="1"/>
  <c r="G1653" i="1"/>
  <c r="AE1652" i="1"/>
  <c r="Y1652" i="1"/>
  <c r="V1652" i="1"/>
  <c r="W1652" i="1" s="1"/>
  <c r="U1652" i="1"/>
  <c r="X1652" i="1" s="1"/>
  <c r="P1652" i="1"/>
  <c r="Q1652" i="1" s="1"/>
  <c r="O1652" i="1"/>
  <c r="L1652" i="1"/>
  <c r="J1652" i="1"/>
  <c r="M1652" i="1" s="1"/>
  <c r="G1652" i="1"/>
  <c r="AE1651" i="1"/>
  <c r="V1651" i="1"/>
  <c r="W1651" i="1" s="1"/>
  <c r="U1651" i="1"/>
  <c r="P1651" i="1"/>
  <c r="Q1651" i="1" s="1"/>
  <c r="O1651" i="1"/>
  <c r="L1651" i="1"/>
  <c r="J1651" i="1"/>
  <c r="M1651" i="1" s="1"/>
  <c r="G1651" i="1"/>
  <c r="AE1650" i="1"/>
  <c r="Y1650" i="1"/>
  <c r="V1650" i="1"/>
  <c r="W1650" i="1" s="1"/>
  <c r="U1650" i="1"/>
  <c r="X1650" i="1" s="1"/>
  <c r="P1650" i="1"/>
  <c r="Q1650" i="1" s="1"/>
  <c r="O1650" i="1"/>
  <c r="L1650" i="1"/>
  <c r="J1650" i="1"/>
  <c r="M1650" i="1" s="1"/>
  <c r="G1650" i="1"/>
  <c r="AE1649" i="1"/>
  <c r="Y1649" i="1"/>
  <c r="V1649" i="1"/>
  <c r="W1649" i="1" s="1"/>
  <c r="U1649" i="1"/>
  <c r="X1649" i="1" s="1"/>
  <c r="P1649" i="1"/>
  <c r="Q1649" i="1" s="1"/>
  <c r="O1649" i="1"/>
  <c r="L1649" i="1"/>
  <c r="J1649" i="1"/>
  <c r="M1649" i="1" s="1"/>
  <c r="G1649" i="1"/>
  <c r="AE1648" i="1"/>
  <c r="Y1648" i="1"/>
  <c r="V1648" i="1"/>
  <c r="W1648" i="1" s="1"/>
  <c r="U1648" i="1"/>
  <c r="X1648" i="1" s="1"/>
  <c r="P1648" i="1"/>
  <c r="Q1648" i="1" s="1"/>
  <c r="O1648" i="1"/>
  <c r="L1648" i="1"/>
  <c r="J1648" i="1"/>
  <c r="M1648" i="1" s="1"/>
  <c r="G1648" i="1"/>
  <c r="AE1647" i="1"/>
  <c r="Y1647" i="1"/>
  <c r="V1647" i="1"/>
  <c r="W1647" i="1" s="1"/>
  <c r="U1647" i="1"/>
  <c r="X1647" i="1" s="1"/>
  <c r="P1647" i="1"/>
  <c r="Q1647" i="1" s="1"/>
  <c r="O1647" i="1"/>
  <c r="L1647" i="1"/>
  <c r="J1647" i="1"/>
  <c r="M1647" i="1" s="1"/>
  <c r="G1647" i="1"/>
  <c r="AE1646" i="1"/>
  <c r="Y1646" i="1"/>
  <c r="V1646" i="1"/>
  <c r="W1646" i="1" s="1"/>
  <c r="U1646" i="1"/>
  <c r="X1646" i="1" s="1"/>
  <c r="P1646" i="1"/>
  <c r="Q1646" i="1" s="1"/>
  <c r="O1646" i="1"/>
  <c r="L1646" i="1"/>
  <c r="J1646" i="1"/>
  <c r="M1646" i="1" s="1"/>
  <c r="G1646" i="1"/>
  <c r="AE1645" i="1"/>
  <c r="Y1645" i="1"/>
  <c r="V1645" i="1"/>
  <c r="W1645" i="1" s="1"/>
  <c r="U1645" i="1"/>
  <c r="X1645" i="1" s="1"/>
  <c r="P1645" i="1"/>
  <c r="Q1645" i="1" s="1"/>
  <c r="O1645" i="1"/>
  <c r="L1645" i="1"/>
  <c r="J1645" i="1"/>
  <c r="M1645" i="1" s="1"/>
  <c r="G1645" i="1"/>
  <c r="AE1644" i="1"/>
  <c r="Y1644" i="1"/>
  <c r="V1644" i="1"/>
  <c r="W1644" i="1" s="1"/>
  <c r="U1644" i="1"/>
  <c r="X1644" i="1" s="1"/>
  <c r="P1644" i="1"/>
  <c r="Q1644" i="1" s="1"/>
  <c r="O1644" i="1"/>
  <c r="L1644" i="1"/>
  <c r="J1644" i="1"/>
  <c r="M1644" i="1" s="1"/>
  <c r="G1644" i="1"/>
  <c r="AE1643" i="1"/>
  <c r="Y1643" i="1"/>
  <c r="V1643" i="1"/>
  <c r="W1643" i="1" s="1"/>
  <c r="U1643" i="1"/>
  <c r="X1643" i="1" s="1"/>
  <c r="S1643" i="1"/>
  <c r="P1643" i="1"/>
  <c r="Q1643" i="1" s="1"/>
  <c r="O1643" i="1"/>
  <c r="R1643" i="1" s="1"/>
  <c r="L1643" i="1"/>
  <c r="J1643" i="1"/>
  <c r="M1643" i="1" s="1"/>
  <c r="G1643" i="1"/>
  <c r="AE1642" i="1"/>
  <c r="Y1642" i="1"/>
  <c r="V1642" i="1"/>
  <c r="W1642" i="1" s="1"/>
  <c r="U1642" i="1"/>
  <c r="X1642" i="1" s="1"/>
  <c r="P1642" i="1"/>
  <c r="Q1642" i="1" s="1"/>
  <c r="O1642" i="1"/>
  <c r="L1642" i="1"/>
  <c r="J1642" i="1"/>
  <c r="M1642" i="1" s="1"/>
  <c r="G1642" i="1"/>
  <c r="AE1641" i="1"/>
  <c r="Y1641" i="1"/>
  <c r="V1641" i="1"/>
  <c r="W1641" i="1" s="1"/>
  <c r="U1641" i="1"/>
  <c r="X1641" i="1" s="1"/>
  <c r="P1641" i="1"/>
  <c r="Q1641" i="1" s="1"/>
  <c r="O1641" i="1"/>
  <c r="L1641" i="1"/>
  <c r="J1641" i="1"/>
  <c r="M1641" i="1" s="1"/>
  <c r="G1641" i="1"/>
  <c r="AE1640" i="1"/>
  <c r="Y1640" i="1"/>
  <c r="V1640" i="1"/>
  <c r="W1640" i="1" s="1"/>
  <c r="U1640" i="1"/>
  <c r="X1640" i="1" s="1"/>
  <c r="P1640" i="1"/>
  <c r="Q1640" i="1" s="1"/>
  <c r="O1640" i="1"/>
  <c r="L1640" i="1"/>
  <c r="J1640" i="1"/>
  <c r="M1640" i="1" s="1"/>
  <c r="G1640" i="1"/>
  <c r="AE1639" i="1"/>
  <c r="Y1639" i="1"/>
  <c r="V1639" i="1"/>
  <c r="W1639" i="1" s="1"/>
  <c r="U1639" i="1"/>
  <c r="X1639" i="1" s="1"/>
  <c r="P1639" i="1"/>
  <c r="Q1639" i="1" s="1"/>
  <c r="O1639" i="1"/>
  <c r="L1639" i="1"/>
  <c r="J1639" i="1"/>
  <c r="M1639" i="1" s="1"/>
  <c r="G1639" i="1"/>
  <c r="AE1638" i="1"/>
  <c r="Y1638" i="1"/>
  <c r="V1638" i="1"/>
  <c r="W1638" i="1" s="1"/>
  <c r="U1638" i="1"/>
  <c r="X1638" i="1" s="1"/>
  <c r="S1638" i="1"/>
  <c r="P1638" i="1"/>
  <c r="Q1638" i="1" s="1"/>
  <c r="O1638" i="1"/>
  <c r="R1638" i="1" s="1"/>
  <c r="L1638" i="1"/>
  <c r="J1638" i="1"/>
  <c r="M1638" i="1" s="1"/>
  <c r="G1638" i="1"/>
  <c r="AE1637" i="1"/>
  <c r="Y1637" i="1"/>
  <c r="V1637" i="1"/>
  <c r="W1637" i="1" s="1"/>
  <c r="U1637" i="1"/>
  <c r="X1637" i="1" s="1"/>
  <c r="P1637" i="1"/>
  <c r="Q1637" i="1" s="1"/>
  <c r="O1637" i="1"/>
  <c r="L1637" i="1"/>
  <c r="J1637" i="1"/>
  <c r="M1637" i="1" s="1"/>
  <c r="G1637" i="1"/>
  <c r="AE1636" i="1"/>
  <c r="Y1636" i="1"/>
  <c r="V1636" i="1"/>
  <c r="W1636" i="1" s="1"/>
  <c r="U1636" i="1"/>
  <c r="X1636" i="1" s="1"/>
  <c r="S1636" i="1"/>
  <c r="P1636" i="1"/>
  <c r="Q1636" i="1" s="1"/>
  <c r="O1636" i="1"/>
  <c r="R1636" i="1" s="1"/>
  <c r="L1636" i="1"/>
  <c r="J1636" i="1"/>
  <c r="M1636" i="1" s="1"/>
  <c r="G1636" i="1"/>
  <c r="AE1635" i="1"/>
  <c r="Y1635" i="1"/>
  <c r="V1635" i="1"/>
  <c r="W1635" i="1" s="1"/>
  <c r="U1635" i="1"/>
  <c r="X1635" i="1" s="1"/>
  <c r="S1635" i="1"/>
  <c r="P1635" i="1"/>
  <c r="Q1635" i="1" s="1"/>
  <c r="O1635" i="1"/>
  <c r="R1635" i="1" s="1"/>
  <c r="L1635" i="1"/>
  <c r="J1635" i="1"/>
  <c r="M1635" i="1" s="1"/>
  <c r="G1635" i="1"/>
  <c r="AE1634" i="1"/>
  <c r="Y1634" i="1"/>
  <c r="V1634" i="1"/>
  <c r="W1634" i="1" s="1"/>
  <c r="U1634" i="1"/>
  <c r="X1634" i="1" s="1"/>
  <c r="S1634" i="1"/>
  <c r="P1634" i="1"/>
  <c r="Q1634" i="1" s="1"/>
  <c r="O1634" i="1"/>
  <c r="R1634" i="1" s="1"/>
  <c r="L1634" i="1"/>
  <c r="J1634" i="1"/>
  <c r="M1634" i="1" s="1"/>
  <c r="G1634" i="1"/>
  <c r="AE1633" i="1"/>
  <c r="Y1633" i="1"/>
  <c r="V1633" i="1"/>
  <c r="W1633" i="1" s="1"/>
  <c r="U1633" i="1"/>
  <c r="X1633" i="1" s="1"/>
  <c r="P1633" i="1"/>
  <c r="Q1633" i="1" s="1"/>
  <c r="O1633" i="1"/>
  <c r="L1633" i="1"/>
  <c r="J1633" i="1"/>
  <c r="M1633" i="1" s="1"/>
  <c r="G1633" i="1"/>
  <c r="AE1632" i="1"/>
  <c r="Y1632" i="1"/>
  <c r="V1632" i="1"/>
  <c r="W1632" i="1" s="1"/>
  <c r="U1632" i="1"/>
  <c r="X1632" i="1" s="1"/>
  <c r="P1632" i="1"/>
  <c r="Q1632" i="1" s="1"/>
  <c r="O1632" i="1"/>
  <c r="L1632" i="1"/>
  <c r="J1632" i="1"/>
  <c r="M1632" i="1" s="1"/>
  <c r="G1632" i="1"/>
  <c r="AE1631" i="1"/>
  <c r="Y1631" i="1"/>
  <c r="V1631" i="1"/>
  <c r="W1631" i="1" s="1"/>
  <c r="U1631" i="1"/>
  <c r="X1631" i="1" s="1"/>
  <c r="P1631" i="1"/>
  <c r="Q1631" i="1" s="1"/>
  <c r="O1631" i="1"/>
  <c r="L1631" i="1"/>
  <c r="J1631" i="1"/>
  <c r="M1631" i="1" s="1"/>
  <c r="G1631" i="1"/>
  <c r="AE1630" i="1"/>
  <c r="Y1630" i="1"/>
  <c r="V1630" i="1"/>
  <c r="W1630" i="1" s="1"/>
  <c r="U1630" i="1"/>
  <c r="X1630" i="1" s="1"/>
  <c r="P1630" i="1"/>
  <c r="Q1630" i="1" s="1"/>
  <c r="O1630" i="1"/>
  <c r="L1630" i="1"/>
  <c r="J1630" i="1"/>
  <c r="M1630" i="1" s="1"/>
  <c r="G1630" i="1"/>
  <c r="AE1629" i="1"/>
  <c r="Y1629" i="1"/>
  <c r="V1629" i="1"/>
  <c r="W1629" i="1" s="1"/>
  <c r="U1629" i="1"/>
  <c r="X1629" i="1" s="1"/>
  <c r="P1629" i="1"/>
  <c r="Q1629" i="1" s="1"/>
  <c r="O1629" i="1"/>
  <c r="L1629" i="1"/>
  <c r="J1629" i="1"/>
  <c r="M1629" i="1" s="1"/>
  <c r="G1629" i="1"/>
  <c r="AE1628" i="1"/>
  <c r="Y1628" i="1"/>
  <c r="V1628" i="1"/>
  <c r="W1628" i="1" s="1"/>
  <c r="U1628" i="1"/>
  <c r="X1628" i="1" s="1"/>
  <c r="S1628" i="1"/>
  <c r="P1628" i="1"/>
  <c r="Q1628" i="1" s="1"/>
  <c r="O1628" i="1"/>
  <c r="R1628" i="1" s="1"/>
  <c r="L1628" i="1"/>
  <c r="J1628" i="1"/>
  <c r="M1628" i="1" s="1"/>
  <c r="G1628" i="1"/>
  <c r="AE1627" i="1"/>
  <c r="Y1627" i="1"/>
  <c r="V1627" i="1"/>
  <c r="W1627" i="1" s="1"/>
  <c r="U1627" i="1"/>
  <c r="X1627" i="1" s="1"/>
  <c r="P1627" i="1"/>
  <c r="Q1627" i="1" s="1"/>
  <c r="O1627" i="1"/>
  <c r="L1627" i="1"/>
  <c r="J1627" i="1"/>
  <c r="M1627" i="1" s="1"/>
  <c r="G1627" i="1"/>
  <c r="AE1626" i="1"/>
  <c r="V1626" i="1"/>
  <c r="W1626" i="1" s="1"/>
  <c r="U1626" i="1"/>
  <c r="S1626" i="1"/>
  <c r="P1626" i="1"/>
  <c r="Q1626" i="1" s="1"/>
  <c r="O1626" i="1"/>
  <c r="R1626" i="1" s="1"/>
  <c r="L1626" i="1"/>
  <c r="J1626" i="1"/>
  <c r="M1626" i="1" s="1"/>
  <c r="G1626" i="1"/>
  <c r="AE1625" i="1"/>
  <c r="Y1625" i="1"/>
  <c r="V1625" i="1"/>
  <c r="W1625" i="1" s="1"/>
  <c r="U1625" i="1"/>
  <c r="X1625" i="1" s="1"/>
  <c r="P1625" i="1"/>
  <c r="Q1625" i="1" s="1"/>
  <c r="O1625" i="1"/>
  <c r="L1625" i="1"/>
  <c r="J1625" i="1"/>
  <c r="M1625" i="1" s="1"/>
  <c r="G1625" i="1"/>
  <c r="AE1624" i="1"/>
  <c r="Y1624" i="1"/>
  <c r="V1624" i="1"/>
  <c r="W1624" i="1" s="1"/>
  <c r="U1624" i="1"/>
  <c r="X1624" i="1" s="1"/>
  <c r="P1624" i="1"/>
  <c r="Q1624" i="1" s="1"/>
  <c r="O1624" i="1"/>
  <c r="L1624" i="1"/>
  <c r="J1624" i="1"/>
  <c r="M1624" i="1" s="1"/>
  <c r="G1624" i="1"/>
  <c r="AE1623" i="1"/>
  <c r="V1623" i="1"/>
  <c r="W1623" i="1" s="1"/>
  <c r="U1623" i="1"/>
  <c r="S1623" i="1"/>
  <c r="P1623" i="1"/>
  <c r="Q1623" i="1" s="1"/>
  <c r="O1623" i="1"/>
  <c r="R1623" i="1" s="1"/>
  <c r="L1623" i="1"/>
  <c r="J1623" i="1"/>
  <c r="M1623" i="1" s="1"/>
  <c r="G1623" i="1"/>
  <c r="AE1622" i="1"/>
  <c r="Y1622" i="1"/>
  <c r="V1622" i="1"/>
  <c r="W1622" i="1" s="1"/>
  <c r="U1622" i="1"/>
  <c r="X1622" i="1" s="1"/>
  <c r="P1622" i="1"/>
  <c r="Q1622" i="1" s="1"/>
  <c r="O1622" i="1"/>
  <c r="L1622" i="1"/>
  <c r="J1622" i="1"/>
  <c r="M1622" i="1" s="1"/>
  <c r="G1622" i="1"/>
  <c r="AE1621" i="1"/>
  <c r="Y1621" i="1"/>
  <c r="V1621" i="1"/>
  <c r="W1621" i="1" s="1"/>
  <c r="U1621" i="1"/>
  <c r="X1621" i="1" s="1"/>
  <c r="P1621" i="1"/>
  <c r="Q1621" i="1" s="1"/>
  <c r="O1621" i="1"/>
  <c r="L1621" i="1"/>
  <c r="J1621" i="1"/>
  <c r="M1621" i="1" s="1"/>
  <c r="G1621" i="1"/>
  <c r="AE1620" i="1"/>
  <c r="V1620" i="1"/>
  <c r="W1620" i="1" s="1"/>
  <c r="U1620" i="1"/>
  <c r="S1620" i="1"/>
  <c r="P1620" i="1"/>
  <c r="Q1620" i="1" s="1"/>
  <c r="O1620" i="1"/>
  <c r="R1620" i="1" s="1"/>
  <c r="L1620" i="1"/>
  <c r="J1620" i="1"/>
  <c r="M1620" i="1" s="1"/>
  <c r="G1620" i="1"/>
  <c r="AE1619" i="1"/>
  <c r="Y1619" i="1"/>
  <c r="V1619" i="1"/>
  <c r="W1619" i="1" s="1"/>
  <c r="U1619" i="1"/>
  <c r="X1619" i="1" s="1"/>
  <c r="P1619" i="1"/>
  <c r="Q1619" i="1" s="1"/>
  <c r="O1619" i="1"/>
  <c r="L1619" i="1"/>
  <c r="J1619" i="1"/>
  <c r="M1619" i="1" s="1"/>
  <c r="G1619" i="1"/>
  <c r="AE1618" i="1"/>
  <c r="Y1618" i="1"/>
  <c r="V1618" i="1"/>
  <c r="W1618" i="1" s="1"/>
  <c r="U1618" i="1"/>
  <c r="X1618" i="1" s="1"/>
  <c r="S1618" i="1"/>
  <c r="P1618" i="1"/>
  <c r="Q1618" i="1" s="1"/>
  <c r="O1618" i="1"/>
  <c r="R1618" i="1" s="1"/>
  <c r="L1618" i="1"/>
  <c r="J1618" i="1"/>
  <c r="M1618" i="1" s="1"/>
  <c r="G1618" i="1"/>
  <c r="AE1617" i="1"/>
  <c r="Y1617" i="1"/>
  <c r="V1617" i="1"/>
  <c r="W1617" i="1" s="1"/>
  <c r="U1617" i="1"/>
  <c r="X1617" i="1" s="1"/>
  <c r="P1617" i="1"/>
  <c r="Q1617" i="1" s="1"/>
  <c r="O1617" i="1"/>
  <c r="L1617" i="1"/>
  <c r="J1617" i="1"/>
  <c r="M1617" i="1" s="1"/>
  <c r="G1617" i="1"/>
  <c r="AE1616" i="1"/>
  <c r="Y1616" i="1"/>
  <c r="V1616" i="1"/>
  <c r="W1616" i="1" s="1"/>
  <c r="U1616" i="1"/>
  <c r="X1616" i="1" s="1"/>
  <c r="P1616" i="1"/>
  <c r="Q1616" i="1" s="1"/>
  <c r="O1616" i="1"/>
  <c r="L1616" i="1"/>
  <c r="J1616" i="1"/>
  <c r="M1616" i="1" s="1"/>
  <c r="G1616" i="1"/>
  <c r="AE1615" i="1"/>
  <c r="Y1615" i="1"/>
  <c r="V1615" i="1"/>
  <c r="W1615" i="1" s="1"/>
  <c r="U1615" i="1"/>
  <c r="X1615" i="1" s="1"/>
  <c r="P1615" i="1"/>
  <c r="Q1615" i="1" s="1"/>
  <c r="O1615" i="1"/>
  <c r="L1615" i="1"/>
  <c r="J1615" i="1"/>
  <c r="M1615" i="1" s="1"/>
  <c r="G1615" i="1"/>
  <c r="AE1614" i="1"/>
  <c r="Y1614" i="1"/>
  <c r="V1614" i="1"/>
  <c r="W1614" i="1" s="1"/>
  <c r="U1614" i="1"/>
  <c r="X1614" i="1" s="1"/>
  <c r="S1614" i="1"/>
  <c r="P1614" i="1"/>
  <c r="Q1614" i="1" s="1"/>
  <c r="O1614" i="1"/>
  <c r="R1614" i="1" s="1"/>
  <c r="L1614" i="1"/>
  <c r="J1614" i="1"/>
  <c r="M1614" i="1" s="1"/>
  <c r="G1614" i="1"/>
  <c r="AE1613" i="1"/>
  <c r="Y1613" i="1"/>
  <c r="V1613" i="1"/>
  <c r="W1613" i="1" s="1"/>
  <c r="U1613" i="1"/>
  <c r="X1613" i="1" s="1"/>
  <c r="S1613" i="1"/>
  <c r="P1613" i="1"/>
  <c r="Q1613" i="1" s="1"/>
  <c r="O1613" i="1"/>
  <c r="R1613" i="1" s="1"/>
  <c r="L1613" i="1"/>
  <c r="J1613" i="1"/>
  <c r="M1613" i="1" s="1"/>
  <c r="G1613" i="1"/>
  <c r="AE1612" i="1"/>
  <c r="Y1612" i="1"/>
  <c r="V1612" i="1"/>
  <c r="W1612" i="1" s="1"/>
  <c r="U1612" i="1"/>
  <c r="X1612" i="1" s="1"/>
  <c r="S1612" i="1"/>
  <c r="P1612" i="1"/>
  <c r="Q1612" i="1" s="1"/>
  <c r="O1612" i="1"/>
  <c r="R1612" i="1" s="1"/>
  <c r="L1612" i="1"/>
  <c r="J1612" i="1"/>
  <c r="M1612" i="1" s="1"/>
  <c r="G1612" i="1"/>
  <c r="AE1611" i="1"/>
  <c r="Y1611" i="1"/>
  <c r="V1611" i="1"/>
  <c r="W1611" i="1" s="1"/>
  <c r="U1611" i="1"/>
  <c r="X1611" i="1" s="1"/>
  <c r="P1611" i="1"/>
  <c r="Q1611" i="1" s="1"/>
  <c r="O1611" i="1"/>
  <c r="L1611" i="1"/>
  <c r="J1611" i="1"/>
  <c r="M1611" i="1" s="1"/>
  <c r="G1611" i="1"/>
  <c r="AE1610" i="1"/>
  <c r="V1610" i="1"/>
  <c r="W1610" i="1" s="1"/>
  <c r="U1610" i="1"/>
  <c r="S1610" i="1"/>
  <c r="P1610" i="1"/>
  <c r="Q1610" i="1" s="1"/>
  <c r="O1610" i="1"/>
  <c r="R1610" i="1" s="1"/>
  <c r="L1610" i="1"/>
  <c r="J1610" i="1"/>
  <c r="M1610" i="1" s="1"/>
  <c r="G1610" i="1"/>
  <c r="AE1609" i="1"/>
  <c r="Y1609" i="1"/>
  <c r="V1609" i="1"/>
  <c r="W1609" i="1" s="1"/>
  <c r="U1609" i="1"/>
  <c r="X1609" i="1" s="1"/>
  <c r="S1609" i="1"/>
  <c r="P1609" i="1"/>
  <c r="Q1609" i="1" s="1"/>
  <c r="O1609" i="1"/>
  <c r="R1609" i="1" s="1"/>
  <c r="L1609" i="1"/>
  <c r="J1609" i="1"/>
  <c r="M1609" i="1" s="1"/>
  <c r="G1609" i="1"/>
  <c r="AE1608" i="1"/>
  <c r="Y1608" i="1"/>
  <c r="V1608" i="1"/>
  <c r="W1608" i="1" s="1"/>
  <c r="U1608" i="1"/>
  <c r="X1608" i="1" s="1"/>
  <c r="P1608" i="1"/>
  <c r="Q1608" i="1" s="1"/>
  <c r="O1608" i="1"/>
  <c r="L1608" i="1"/>
  <c r="J1608" i="1"/>
  <c r="M1608" i="1" s="1"/>
  <c r="G1608" i="1"/>
  <c r="AE1607" i="1"/>
  <c r="Y1607" i="1"/>
  <c r="V1607" i="1"/>
  <c r="W1607" i="1" s="1"/>
  <c r="U1607" i="1"/>
  <c r="X1607" i="1" s="1"/>
  <c r="P1607" i="1"/>
  <c r="Q1607" i="1" s="1"/>
  <c r="O1607" i="1"/>
  <c r="L1607" i="1"/>
  <c r="J1607" i="1"/>
  <c r="M1607" i="1" s="1"/>
  <c r="G1607" i="1"/>
  <c r="AE1606" i="1"/>
  <c r="Y1606" i="1"/>
  <c r="V1606" i="1"/>
  <c r="W1606" i="1" s="1"/>
  <c r="U1606" i="1"/>
  <c r="X1606" i="1" s="1"/>
  <c r="S1606" i="1"/>
  <c r="P1606" i="1"/>
  <c r="Q1606" i="1" s="1"/>
  <c r="O1606" i="1"/>
  <c r="R1606" i="1" s="1"/>
  <c r="L1606" i="1"/>
  <c r="J1606" i="1"/>
  <c r="M1606" i="1" s="1"/>
  <c r="G1606" i="1"/>
  <c r="AE1605" i="1"/>
  <c r="Y1605" i="1"/>
  <c r="V1605" i="1"/>
  <c r="W1605" i="1" s="1"/>
  <c r="U1605" i="1"/>
  <c r="X1605" i="1" s="1"/>
  <c r="S1605" i="1"/>
  <c r="P1605" i="1"/>
  <c r="Q1605" i="1" s="1"/>
  <c r="O1605" i="1"/>
  <c r="R1605" i="1" s="1"/>
  <c r="L1605" i="1"/>
  <c r="J1605" i="1"/>
  <c r="M1605" i="1" s="1"/>
  <c r="G1605" i="1"/>
  <c r="AE1604" i="1"/>
  <c r="Y1604" i="1"/>
  <c r="V1604" i="1"/>
  <c r="W1604" i="1" s="1"/>
  <c r="U1604" i="1"/>
  <c r="X1604" i="1" s="1"/>
  <c r="P1604" i="1"/>
  <c r="Q1604" i="1" s="1"/>
  <c r="O1604" i="1"/>
  <c r="L1604" i="1"/>
  <c r="J1604" i="1"/>
  <c r="M1604" i="1" s="1"/>
  <c r="G1604" i="1"/>
  <c r="AE1603" i="1"/>
  <c r="Y1603" i="1"/>
  <c r="V1603" i="1"/>
  <c r="W1603" i="1" s="1"/>
  <c r="U1603" i="1"/>
  <c r="X1603" i="1" s="1"/>
  <c r="S1603" i="1"/>
  <c r="P1603" i="1"/>
  <c r="Q1603" i="1" s="1"/>
  <c r="O1603" i="1"/>
  <c r="R1603" i="1" s="1"/>
  <c r="L1603" i="1"/>
  <c r="J1603" i="1"/>
  <c r="M1603" i="1" s="1"/>
  <c r="G1603" i="1"/>
  <c r="AE1602" i="1"/>
  <c r="Y1602" i="1"/>
  <c r="V1602" i="1"/>
  <c r="W1602" i="1" s="1"/>
  <c r="U1602" i="1"/>
  <c r="X1602" i="1" s="1"/>
  <c r="S1602" i="1"/>
  <c r="P1602" i="1"/>
  <c r="Q1602" i="1" s="1"/>
  <c r="O1602" i="1"/>
  <c r="R1602" i="1" s="1"/>
  <c r="L1602" i="1"/>
  <c r="J1602" i="1"/>
  <c r="M1602" i="1" s="1"/>
  <c r="G1602" i="1"/>
  <c r="AE1601" i="1"/>
  <c r="V1601" i="1"/>
  <c r="W1601" i="1" s="1"/>
  <c r="U1601" i="1"/>
  <c r="P1601" i="1"/>
  <c r="Q1601" i="1" s="1"/>
  <c r="O1601" i="1"/>
  <c r="L1601" i="1"/>
  <c r="J1601" i="1"/>
  <c r="M1601" i="1" s="1"/>
  <c r="G1601" i="1"/>
  <c r="AE1600" i="1"/>
  <c r="Y1600" i="1"/>
  <c r="V1600" i="1"/>
  <c r="W1600" i="1" s="1"/>
  <c r="U1600" i="1"/>
  <c r="X1600" i="1" s="1"/>
  <c r="P1600" i="1"/>
  <c r="Q1600" i="1" s="1"/>
  <c r="O1600" i="1"/>
  <c r="L1600" i="1"/>
  <c r="J1600" i="1"/>
  <c r="M1600" i="1" s="1"/>
  <c r="G1600" i="1"/>
  <c r="AE1599" i="1"/>
  <c r="Y1599" i="1"/>
  <c r="V1599" i="1"/>
  <c r="W1599" i="1" s="1"/>
  <c r="U1599" i="1"/>
  <c r="X1599" i="1" s="1"/>
  <c r="S1599" i="1"/>
  <c r="P1599" i="1"/>
  <c r="Q1599" i="1" s="1"/>
  <c r="O1599" i="1"/>
  <c r="R1599" i="1" s="1"/>
  <c r="L1599" i="1"/>
  <c r="J1599" i="1"/>
  <c r="M1599" i="1" s="1"/>
  <c r="G1599" i="1"/>
  <c r="AE1598" i="1"/>
  <c r="Y1598" i="1"/>
  <c r="V1598" i="1"/>
  <c r="W1598" i="1" s="1"/>
  <c r="U1598" i="1"/>
  <c r="X1598" i="1" s="1"/>
  <c r="P1598" i="1"/>
  <c r="Q1598" i="1" s="1"/>
  <c r="O1598" i="1"/>
  <c r="L1598" i="1"/>
  <c r="J1598" i="1"/>
  <c r="M1598" i="1" s="1"/>
  <c r="G1598" i="1"/>
  <c r="AE1597" i="1"/>
  <c r="Y1597" i="1"/>
  <c r="V1597" i="1"/>
  <c r="W1597" i="1" s="1"/>
  <c r="U1597" i="1"/>
  <c r="X1597" i="1" s="1"/>
  <c r="S1597" i="1"/>
  <c r="P1597" i="1"/>
  <c r="Q1597" i="1" s="1"/>
  <c r="O1597" i="1"/>
  <c r="R1597" i="1" s="1"/>
  <c r="L1597" i="1"/>
  <c r="J1597" i="1"/>
  <c r="M1597" i="1" s="1"/>
  <c r="G1597" i="1"/>
  <c r="AE1596" i="1"/>
  <c r="Y1596" i="1"/>
  <c r="V1596" i="1"/>
  <c r="W1596" i="1" s="1"/>
  <c r="U1596" i="1"/>
  <c r="X1596" i="1" s="1"/>
  <c r="S1596" i="1"/>
  <c r="P1596" i="1"/>
  <c r="Q1596" i="1" s="1"/>
  <c r="O1596" i="1"/>
  <c r="R1596" i="1" s="1"/>
  <c r="L1596" i="1"/>
  <c r="J1596" i="1"/>
  <c r="M1596" i="1" s="1"/>
  <c r="G1596" i="1"/>
  <c r="AE1595" i="1"/>
  <c r="Y1595" i="1"/>
  <c r="V1595" i="1"/>
  <c r="W1595" i="1" s="1"/>
  <c r="U1595" i="1"/>
  <c r="X1595" i="1" s="1"/>
  <c r="P1595" i="1"/>
  <c r="Q1595" i="1" s="1"/>
  <c r="O1595" i="1"/>
  <c r="L1595" i="1"/>
  <c r="J1595" i="1"/>
  <c r="M1595" i="1" s="1"/>
  <c r="G1595" i="1"/>
  <c r="AE1594" i="1"/>
  <c r="Y1594" i="1"/>
  <c r="V1594" i="1"/>
  <c r="W1594" i="1" s="1"/>
  <c r="U1594" i="1"/>
  <c r="X1594" i="1" s="1"/>
  <c r="S1594" i="1"/>
  <c r="P1594" i="1"/>
  <c r="Q1594" i="1" s="1"/>
  <c r="O1594" i="1"/>
  <c r="R1594" i="1" s="1"/>
  <c r="L1594" i="1"/>
  <c r="J1594" i="1"/>
  <c r="M1594" i="1" s="1"/>
  <c r="G1594" i="1"/>
  <c r="AE1593" i="1"/>
  <c r="Y1593" i="1"/>
  <c r="V1593" i="1"/>
  <c r="W1593" i="1" s="1"/>
  <c r="U1593" i="1"/>
  <c r="X1593" i="1" s="1"/>
  <c r="P1593" i="1"/>
  <c r="Q1593" i="1" s="1"/>
  <c r="O1593" i="1"/>
  <c r="L1593" i="1"/>
  <c r="J1593" i="1"/>
  <c r="M1593" i="1" s="1"/>
  <c r="G1593" i="1"/>
  <c r="AE1592" i="1"/>
  <c r="Y1592" i="1"/>
  <c r="V1592" i="1"/>
  <c r="W1592" i="1" s="1"/>
  <c r="U1592" i="1"/>
  <c r="X1592" i="1" s="1"/>
  <c r="P1592" i="1"/>
  <c r="Q1592" i="1" s="1"/>
  <c r="O1592" i="1"/>
  <c r="L1592" i="1"/>
  <c r="J1592" i="1"/>
  <c r="M1592" i="1" s="1"/>
  <c r="G1592" i="1"/>
  <c r="AE1591" i="1"/>
  <c r="Y1591" i="1"/>
  <c r="V1591" i="1"/>
  <c r="W1591" i="1" s="1"/>
  <c r="U1591" i="1"/>
  <c r="X1591" i="1" s="1"/>
  <c r="P1591" i="1"/>
  <c r="Q1591" i="1" s="1"/>
  <c r="O1591" i="1"/>
  <c r="L1591" i="1"/>
  <c r="J1591" i="1"/>
  <c r="M1591" i="1" s="1"/>
  <c r="G1591" i="1"/>
  <c r="AE1590" i="1"/>
  <c r="Y1590" i="1"/>
  <c r="V1590" i="1"/>
  <c r="W1590" i="1" s="1"/>
  <c r="U1590" i="1"/>
  <c r="X1590" i="1" s="1"/>
  <c r="P1590" i="1"/>
  <c r="Q1590" i="1" s="1"/>
  <c r="O1590" i="1"/>
  <c r="L1590" i="1"/>
  <c r="J1590" i="1"/>
  <c r="M1590" i="1" s="1"/>
  <c r="G1590" i="1"/>
  <c r="AE1589" i="1"/>
  <c r="Y1589" i="1"/>
  <c r="V1589" i="1"/>
  <c r="W1589" i="1" s="1"/>
  <c r="U1589" i="1"/>
  <c r="X1589" i="1" s="1"/>
  <c r="S1589" i="1"/>
  <c r="P1589" i="1"/>
  <c r="Q1589" i="1" s="1"/>
  <c r="O1589" i="1"/>
  <c r="R1589" i="1" s="1"/>
  <c r="L1589" i="1"/>
  <c r="J1589" i="1"/>
  <c r="M1589" i="1" s="1"/>
  <c r="G1589" i="1"/>
  <c r="AE1588" i="1"/>
  <c r="Y1588" i="1"/>
  <c r="V1588" i="1"/>
  <c r="W1588" i="1" s="1"/>
  <c r="U1588" i="1"/>
  <c r="X1588" i="1" s="1"/>
  <c r="S1588" i="1"/>
  <c r="P1588" i="1"/>
  <c r="Q1588" i="1" s="1"/>
  <c r="O1588" i="1"/>
  <c r="R1588" i="1" s="1"/>
  <c r="L1588" i="1"/>
  <c r="J1588" i="1"/>
  <c r="M1588" i="1" s="1"/>
  <c r="G1588" i="1"/>
  <c r="AE1587" i="1"/>
  <c r="Y1587" i="1"/>
  <c r="V1587" i="1"/>
  <c r="W1587" i="1" s="1"/>
  <c r="U1587" i="1"/>
  <c r="X1587" i="1" s="1"/>
  <c r="S1587" i="1"/>
  <c r="P1587" i="1"/>
  <c r="Q1587" i="1" s="1"/>
  <c r="O1587" i="1"/>
  <c r="R1587" i="1" s="1"/>
  <c r="L1587" i="1"/>
  <c r="J1587" i="1"/>
  <c r="M1587" i="1" s="1"/>
  <c r="G1587" i="1"/>
  <c r="AE1586" i="1"/>
  <c r="Y1586" i="1"/>
  <c r="V1586" i="1"/>
  <c r="W1586" i="1" s="1"/>
  <c r="U1586" i="1"/>
  <c r="X1586" i="1" s="1"/>
  <c r="S1586" i="1"/>
  <c r="P1586" i="1"/>
  <c r="Q1586" i="1" s="1"/>
  <c r="O1586" i="1"/>
  <c r="R1586" i="1" s="1"/>
  <c r="L1586" i="1"/>
  <c r="J1586" i="1"/>
  <c r="M1586" i="1" s="1"/>
  <c r="G1586" i="1"/>
  <c r="AE1585" i="1"/>
  <c r="Y1585" i="1"/>
  <c r="V1585" i="1"/>
  <c r="W1585" i="1" s="1"/>
  <c r="U1585" i="1"/>
  <c r="X1585" i="1" s="1"/>
  <c r="S1585" i="1"/>
  <c r="P1585" i="1"/>
  <c r="Q1585" i="1" s="1"/>
  <c r="O1585" i="1"/>
  <c r="R1585" i="1" s="1"/>
  <c r="L1585" i="1"/>
  <c r="J1585" i="1"/>
  <c r="M1585" i="1" s="1"/>
  <c r="G1585" i="1"/>
  <c r="AE1584" i="1"/>
  <c r="Y1584" i="1"/>
  <c r="V1584" i="1"/>
  <c r="W1584" i="1" s="1"/>
  <c r="U1584" i="1"/>
  <c r="X1584" i="1" s="1"/>
  <c r="P1584" i="1"/>
  <c r="Q1584" i="1" s="1"/>
  <c r="O1584" i="1"/>
  <c r="L1584" i="1"/>
  <c r="J1584" i="1"/>
  <c r="M1584" i="1" s="1"/>
  <c r="G1584" i="1"/>
  <c r="AE1583" i="1"/>
  <c r="Y1583" i="1"/>
  <c r="V1583" i="1"/>
  <c r="W1583" i="1" s="1"/>
  <c r="U1583" i="1"/>
  <c r="X1583" i="1" s="1"/>
  <c r="P1583" i="1"/>
  <c r="Q1583" i="1" s="1"/>
  <c r="O1583" i="1"/>
  <c r="L1583" i="1"/>
  <c r="J1583" i="1"/>
  <c r="M1583" i="1" s="1"/>
  <c r="G1583" i="1"/>
  <c r="AE1582" i="1"/>
  <c r="Y1582" i="1"/>
  <c r="V1582" i="1"/>
  <c r="W1582" i="1" s="1"/>
  <c r="U1582" i="1"/>
  <c r="X1582" i="1" s="1"/>
  <c r="P1582" i="1"/>
  <c r="Q1582" i="1" s="1"/>
  <c r="O1582" i="1"/>
  <c r="L1582" i="1"/>
  <c r="J1582" i="1"/>
  <c r="M1582" i="1" s="1"/>
  <c r="G1582" i="1"/>
  <c r="AE1581" i="1"/>
  <c r="Y1581" i="1"/>
  <c r="V1581" i="1"/>
  <c r="W1581" i="1" s="1"/>
  <c r="U1581" i="1"/>
  <c r="X1581" i="1" s="1"/>
  <c r="P1581" i="1"/>
  <c r="Q1581" i="1" s="1"/>
  <c r="O1581" i="1"/>
  <c r="L1581" i="1"/>
  <c r="J1581" i="1"/>
  <c r="M1581" i="1" s="1"/>
  <c r="G1581" i="1"/>
  <c r="AE1580" i="1"/>
  <c r="V1580" i="1"/>
  <c r="W1580" i="1" s="1"/>
  <c r="U1580" i="1"/>
  <c r="P1580" i="1"/>
  <c r="Q1580" i="1" s="1"/>
  <c r="O1580" i="1"/>
  <c r="L1580" i="1"/>
  <c r="J1580" i="1"/>
  <c r="M1580" i="1" s="1"/>
  <c r="G1580" i="1"/>
  <c r="AE1579" i="1"/>
  <c r="Y1579" i="1"/>
  <c r="V1579" i="1"/>
  <c r="W1579" i="1" s="1"/>
  <c r="U1579" i="1"/>
  <c r="X1579" i="1" s="1"/>
  <c r="P1579" i="1"/>
  <c r="Q1579" i="1" s="1"/>
  <c r="O1579" i="1"/>
  <c r="L1579" i="1"/>
  <c r="J1579" i="1"/>
  <c r="M1579" i="1" s="1"/>
  <c r="G1579" i="1"/>
  <c r="AE1578" i="1"/>
  <c r="Y1578" i="1"/>
  <c r="V1578" i="1"/>
  <c r="W1578" i="1" s="1"/>
  <c r="U1578" i="1"/>
  <c r="X1578" i="1" s="1"/>
  <c r="P1578" i="1"/>
  <c r="Q1578" i="1" s="1"/>
  <c r="O1578" i="1"/>
  <c r="L1578" i="1"/>
  <c r="J1578" i="1"/>
  <c r="M1578" i="1" s="1"/>
  <c r="G1578" i="1"/>
  <c r="AE1577" i="1"/>
  <c r="Y1577" i="1"/>
  <c r="V1577" i="1"/>
  <c r="W1577" i="1" s="1"/>
  <c r="U1577" i="1"/>
  <c r="X1577" i="1" s="1"/>
  <c r="S1577" i="1"/>
  <c r="P1577" i="1"/>
  <c r="Q1577" i="1" s="1"/>
  <c r="O1577" i="1"/>
  <c r="R1577" i="1" s="1"/>
  <c r="L1577" i="1"/>
  <c r="J1577" i="1"/>
  <c r="M1577" i="1" s="1"/>
  <c r="G1577" i="1"/>
  <c r="AE1576" i="1"/>
  <c r="Y1576" i="1"/>
  <c r="V1576" i="1"/>
  <c r="W1576" i="1" s="1"/>
  <c r="U1576" i="1"/>
  <c r="X1576" i="1" s="1"/>
  <c r="P1576" i="1"/>
  <c r="Q1576" i="1" s="1"/>
  <c r="O1576" i="1"/>
  <c r="L1576" i="1"/>
  <c r="J1576" i="1"/>
  <c r="M1576" i="1" s="1"/>
  <c r="G1576" i="1"/>
  <c r="AE1575" i="1"/>
  <c r="V1575" i="1"/>
  <c r="W1575" i="1" s="1"/>
  <c r="U1575" i="1"/>
  <c r="S1575" i="1"/>
  <c r="P1575" i="1"/>
  <c r="Q1575" i="1" s="1"/>
  <c r="O1575" i="1"/>
  <c r="R1575" i="1" s="1"/>
  <c r="L1575" i="1"/>
  <c r="J1575" i="1"/>
  <c r="M1575" i="1" s="1"/>
  <c r="G1575" i="1"/>
  <c r="AE1574" i="1"/>
  <c r="Y1574" i="1"/>
  <c r="V1574" i="1"/>
  <c r="W1574" i="1" s="1"/>
  <c r="U1574" i="1"/>
  <c r="X1574" i="1" s="1"/>
  <c r="P1574" i="1"/>
  <c r="Q1574" i="1" s="1"/>
  <c r="O1574" i="1"/>
  <c r="L1574" i="1"/>
  <c r="J1574" i="1"/>
  <c r="M1574" i="1" s="1"/>
  <c r="G1574" i="1"/>
  <c r="AE1573" i="1"/>
  <c r="Y1573" i="1"/>
  <c r="V1573" i="1"/>
  <c r="W1573" i="1" s="1"/>
  <c r="U1573" i="1"/>
  <c r="X1573" i="1" s="1"/>
  <c r="P1573" i="1"/>
  <c r="Q1573" i="1" s="1"/>
  <c r="O1573" i="1"/>
  <c r="L1573" i="1"/>
  <c r="J1573" i="1"/>
  <c r="M1573" i="1" s="1"/>
  <c r="G1573" i="1"/>
  <c r="AE1572" i="1"/>
  <c r="Y1572" i="1"/>
  <c r="V1572" i="1"/>
  <c r="W1572" i="1" s="1"/>
  <c r="U1572" i="1"/>
  <c r="X1572" i="1" s="1"/>
  <c r="P1572" i="1"/>
  <c r="Q1572" i="1" s="1"/>
  <c r="O1572" i="1"/>
  <c r="L1572" i="1"/>
  <c r="J1572" i="1"/>
  <c r="M1572" i="1" s="1"/>
  <c r="G1572" i="1"/>
  <c r="AE1571" i="1"/>
  <c r="Y1571" i="1"/>
  <c r="V1571" i="1"/>
  <c r="W1571" i="1" s="1"/>
  <c r="U1571" i="1"/>
  <c r="X1571" i="1" s="1"/>
  <c r="P1571" i="1"/>
  <c r="Q1571" i="1" s="1"/>
  <c r="O1571" i="1"/>
  <c r="L1571" i="1"/>
  <c r="J1571" i="1"/>
  <c r="M1571" i="1" s="1"/>
  <c r="G1571" i="1"/>
  <c r="AE1570" i="1"/>
  <c r="Y1570" i="1"/>
  <c r="V1570" i="1"/>
  <c r="W1570" i="1" s="1"/>
  <c r="U1570" i="1"/>
  <c r="X1570" i="1" s="1"/>
  <c r="P1570" i="1"/>
  <c r="Q1570" i="1" s="1"/>
  <c r="O1570" i="1"/>
  <c r="L1570" i="1"/>
  <c r="J1570" i="1"/>
  <c r="M1570" i="1" s="1"/>
  <c r="G1570" i="1"/>
  <c r="AE1569" i="1"/>
  <c r="V1569" i="1"/>
  <c r="W1569" i="1" s="1"/>
  <c r="U1569" i="1"/>
  <c r="S1569" i="1"/>
  <c r="P1569" i="1"/>
  <c r="Q1569" i="1" s="1"/>
  <c r="O1569" i="1"/>
  <c r="R1569" i="1" s="1"/>
  <c r="L1569" i="1"/>
  <c r="J1569" i="1"/>
  <c r="M1569" i="1" s="1"/>
  <c r="G1569" i="1"/>
  <c r="AE1568" i="1"/>
  <c r="V1568" i="1"/>
  <c r="W1568" i="1" s="1"/>
  <c r="U1568" i="1"/>
  <c r="P1568" i="1"/>
  <c r="Q1568" i="1" s="1"/>
  <c r="O1568" i="1"/>
  <c r="L1568" i="1"/>
  <c r="J1568" i="1"/>
  <c r="M1568" i="1" s="1"/>
  <c r="G1568" i="1"/>
  <c r="AE1567" i="1"/>
  <c r="Y1567" i="1"/>
  <c r="V1567" i="1"/>
  <c r="W1567" i="1" s="1"/>
  <c r="U1567" i="1"/>
  <c r="X1567" i="1" s="1"/>
  <c r="P1567" i="1"/>
  <c r="Q1567" i="1" s="1"/>
  <c r="O1567" i="1"/>
  <c r="L1567" i="1"/>
  <c r="J1567" i="1"/>
  <c r="M1567" i="1" s="1"/>
  <c r="G1567" i="1"/>
  <c r="AE1566" i="1"/>
  <c r="Y1566" i="1"/>
  <c r="V1566" i="1"/>
  <c r="W1566" i="1" s="1"/>
  <c r="U1566" i="1"/>
  <c r="X1566" i="1" s="1"/>
  <c r="P1566" i="1"/>
  <c r="Q1566" i="1" s="1"/>
  <c r="O1566" i="1"/>
  <c r="L1566" i="1"/>
  <c r="J1566" i="1"/>
  <c r="M1566" i="1" s="1"/>
  <c r="G1566" i="1"/>
  <c r="AE1565" i="1"/>
  <c r="Y1565" i="1"/>
  <c r="V1565" i="1"/>
  <c r="W1565" i="1" s="1"/>
  <c r="U1565" i="1"/>
  <c r="X1565" i="1" s="1"/>
  <c r="P1565" i="1"/>
  <c r="Q1565" i="1" s="1"/>
  <c r="O1565" i="1"/>
  <c r="L1565" i="1"/>
  <c r="J1565" i="1"/>
  <c r="M1565" i="1" s="1"/>
  <c r="G1565" i="1"/>
  <c r="AE1564" i="1"/>
  <c r="Y1564" i="1"/>
  <c r="V1564" i="1"/>
  <c r="W1564" i="1" s="1"/>
  <c r="U1564" i="1"/>
  <c r="X1564" i="1" s="1"/>
  <c r="S1564" i="1"/>
  <c r="P1564" i="1"/>
  <c r="Q1564" i="1" s="1"/>
  <c r="O1564" i="1"/>
  <c r="R1564" i="1" s="1"/>
  <c r="L1564" i="1"/>
  <c r="J1564" i="1"/>
  <c r="M1564" i="1" s="1"/>
  <c r="G1564" i="1"/>
  <c r="AE1563" i="1"/>
  <c r="Y1563" i="1"/>
  <c r="V1563" i="1"/>
  <c r="W1563" i="1" s="1"/>
  <c r="U1563" i="1"/>
  <c r="X1563" i="1" s="1"/>
  <c r="P1563" i="1"/>
  <c r="Q1563" i="1" s="1"/>
  <c r="O1563" i="1"/>
  <c r="L1563" i="1"/>
  <c r="J1563" i="1"/>
  <c r="M1563" i="1" s="1"/>
  <c r="G1563" i="1"/>
  <c r="AE1562" i="1"/>
  <c r="Y1562" i="1"/>
  <c r="V1562" i="1"/>
  <c r="W1562" i="1" s="1"/>
  <c r="U1562" i="1"/>
  <c r="X1562" i="1" s="1"/>
  <c r="P1562" i="1"/>
  <c r="Q1562" i="1" s="1"/>
  <c r="O1562" i="1"/>
  <c r="L1562" i="1"/>
  <c r="J1562" i="1"/>
  <c r="M1562" i="1" s="1"/>
  <c r="G1562" i="1"/>
  <c r="AE1561" i="1"/>
  <c r="Y1561" i="1"/>
  <c r="V1561" i="1"/>
  <c r="W1561" i="1" s="1"/>
  <c r="U1561" i="1"/>
  <c r="X1561" i="1" s="1"/>
  <c r="S1561" i="1"/>
  <c r="P1561" i="1"/>
  <c r="Q1561" i="1" s="1"/>
  <c r="O1561" i="1"/>
  <c r="R1561" i="1" s="1"/>
  <c r="L1561" i="1"/>
  <c r="J1561" i="1"/>
  <c r="M1561" i="1" s="1"/>
  <c r="G1561" i="1"/>
  <c r="AE1560" i="1"/>
  <c r="Y1560" i="1"/>
  <c r="V1560" i="1"/>
  <c r="W1560" i="1" s="1"/>
  <c r="U1560" i="1"/>
  <c r="X1560" i="1" s="1"/>
  <c r="S1560" i="1"/>
  <c r="P1560" i="1"/>
  <c r="Q1560" i="1" s="1"/>
  <c r="O1560" i="1"/>
  <c r="R1560" i="1" s="1"/>
  <c r="L1560" i="1"/>
  <c r="J1560" i="1"/>
  <c r="M1560" i="1" s="1"/>
  <c r="G1560" i="1"/>
  <c r="AE1559" i="1"/>
  <c r="Y1559" i="1"/>
  <c r="V1559" i="1"/>
  <c r="W1559" i="1" s="1"/>
  <c r="U1559" i="1"/>
  <c r="X1559" i="1" s="1"/>
  <c r="S1559" i="1"/>
  <c r="P1559" i="1"/>
  <c r="Q1559" i="1" s="1"/>
  <c r="O1559" i="1"/>
  <c r="R1559" i="1" s="1"/>
  <c r="L1559" i="1"/>
  <c r="J1559" i="1"/>
  <c r="M1559" i="1" s="1"/>
  <c r="G1559" i="1"/>
  <c r="AE1558" i="1"/>
  <c r="Y1558" i="1"/>
  <c r="V1558" i="1"/>
  <c r="W1558" i="1" s="1"/>
  <c r="U1558" i="1"/>
  <c r="X1558" i="1" s="1"/>
  <c r="S1558" i="1"/>
  <c r="P1558" i="1"/>
  <c r="Q1558" i="1" s="1"/>
  <c r="O1558" i="1"/>
  <c r="R1558" i="1" s="1"/>
  <c r="L1558" i="1"/>
  <c r="J1558" i="1"/>
  <c r="M1558" i="1" s="1"/>
  <c r="G1558" i="1"/>
  <c r="AE1557" i="1"/>
  <c r="Y1557" i="1"/>
  <c r="V1557" i="1"/>
  <c r="W1557" i="1" s="1"/>
  <c r="U1557" i="1"/>
  <c r="X1557" i="1" s="1"/>
  <c r="S1557" i="1"/>
  <c r="P1557" i="1"/>
  <c r="Q1557" i="1" s="1"/>
  <c r="O1557" i="1"/>
  <c r="R1557" i="1" s="1"/>
  <c r="L1557" i="1"/>
  <c r="J1557" i="1"/>
  <c r="M1557" i="1" s="1"/>
  <c r="G1557" i="1"/>
  <c r="AE1556" i="1"/>
  <c r="Y1556" i="1"/>
  <c r="V1556" i="1"/>
  <c r="W1556" i="1" s="1"/>
  <c r="U1556" i="1"/>
  <c r="X1556" i="1" s="1"/>
  <c r="S1556" i="1"/>
  <c r="P1556" i="1"/>
  <c r="Q1556" i="1" s="1"/>
  <c r="O1556" i="1"/>
  <c r="R1556" i="1" s="1"/>
  <c r="L1556" i="1"/>
  <c r="J1556" i="1"/>
  <c r="M1556" i="1" s="1"/>
  <c r="G1556" i="1"/>
  <c r="AE1555" i="1"/>
  <c r="Y1555" i="1"/>
  <c r="V1555" i="1"/>
  <c r="W1555" i="1" s="1"/>
  <c r="U1555" i="1"/>
  <c r="X1555" i="1" s="1"/>
  <c r="S1555" i="1"/>
  <c r="P1555" i="1"/>
  <c r="Q1555" i="1" s="1"/>
  <c r="O1555" i="1"/>
  <c r="R1555" i="1" s="1"/>
  <c r="L1555" i="1"/>
  <c r="J1555" i="1"/>
  <c r="M1555" i="1" s="1"/>
  <c r="G1555" i="1"/>
  <c r="AE1554" i="1"/>
  <c r="Y1554" i="1"/>
  <c r="V1554" i="1"/>
  <c r="W1554" i="1" s="1"/>
  <c r="U1554" i="1"/>
  <c r="X1554" i="1" s="1"/>
  <c r="P1554" i="1"/>
  <c r="Q1554" i="1" s="1"/>
  <c r="O1554" i="1"/>
  <c r="L1554" i="1"/>
  <c r="J1554" i="1"/>
  <c r="M1554" i="1" s="1"/>
  <c r="G1554" i="1"/>
  <c r="AE1553" i="1"/>
  <c r="Y1553" i="1"/>
  <c r="V1553" i="1"/>
  <c r="W1553" i="1" s="1"/>
  <c r="U1553" i="1"/>
  <c r="X1553" i="1" s="1"/>
  <c r="P1553" i="1"/>
  <c r="Q1553" i="1" s="1"/>
  <c r="O1553" i="1"/>
  <c r="L1553" i="1"/>
  <c r="J1553" i="1"/>
  <c r="M1553" i="1" s="1"/>
  <c r="G1553" i="1"/>
  <c r="AE1552" i="1"/>
  <c r="Y1552" i="1"/>
  <c r="V1552" i="1"/>
  <c r="W1552" i="1" s="1"/>
  <c r="U1552" i="1"/>
  <c r="X1552" i="1" s="1"/>
  <c r="S1552" i="1"/>
  <c r="P1552" i="1"/>
  <c r="Q1552" i="1" s="1"/>
  <c r="O1552" i="1"/>
  <c r="R1552" i="1" s="1"/>
  <c r="L1552" i="1"/>
  <c r="J1552" i="1"/>
  <c r="M1552" i="1" s="1"/>
  <c r="G1552" i="1"/>
  <c r="AE1551" i="1"/>
  <c r="Y1551" i="1"/>
  <c r="V1551" i="1"/>
  <c r="W1551" i="1" s="1"/>
  <c r="U1551" i="1"/>
  <c r="X1551" i="1" s="1"/>
  <c r="S1551" i="1"/>
  <c r="P1551" i="1"/>
  <c r="Q1551" i="1" s="1"/>
  <c r="O1551" i="1"/>
  <c r="R1551" i="1" s="1"/>
  <c r="L1551" i="1"/>
  <c r="J1551" i="1"/>
  <c r="M1551" i="1" s="1"/>
  <c r="G1551" i="1"/>
  <c r="AE1550" i="1"/>
  <c r="Y1550" i="1"/>
  <c r="V1550" i="1"/>
  <c r="W1550" i="1" s="1"/>
  <c r="U1550" i="1"/>
  <c r="X1550" i="1" s="1"/>
  <c r="S1550" i="1"/>
  <c r="P1550" i="1"/>
  <c r="Q1550" i="1" s="1"/>
  <c r="O1550" i="1"/>
  <c r="R1550" i="1" s="1"/>
  <c r="L1550" i="1"/>
  <c r="J1550" i="1"/>
  <c r="M1550" i="1" s="1"/>
  <c r="G1550" i="1"/>
  <c r="AE1549" i="1"/>
  <c r="Y1549" i="1"/>
  <c r="V1549" i="1"/>
  <c r="W1549" i="1" s="1"/>
  <c r="U1549" i="1"/>
  <c r="X1549" i="1" s="1"/>
  <c r="S1549" i="1"/>
  <c r="P1549" i="1"/>
  <c r="Q1549" i="1" s="1"/>
  <c r="O1549" i="1"/>
  <c r="R1549" i="1" s="1"/>
  <c r="L1549" i="1"/>
  <c r="J1549" i="1"/>
  <c r="M1549" i="1" s="1"/>
  <c r="G1549" i="1"/>
  <c r="AE1548" i="1"/>
  <c r="Y1548" i="1"/>
  <c r="V1548" i="1"/>
  <c r="W1548" i="1" s="1"/>
  <c r="U1548" i="1"/>
  <c r="X1548" i="1" s="1"/>
  <c r="P1548" i="1"/>
  <c r="Q1548" i="1" s="1"/>
  <c r="O1548" i="1"/>
  <c r="L1548" i="1"/>
  <c r="J1548" i="1"/>
  <c r="M1548" i="1" s="1"/>
  <c r="G1548" i="1"/>
  <c r="AE1547" i="1"/>
  <c r="Y1547" i="1"/>
  <c r="V1547" i="1"/>
  <c r="W1547" i="1" s="1"/>
  <c r="U1547" i="1"/>
  <c r="X1547" i="1" s="1"/>
  <c r="P1547" i="1"/>
  <c r="Q1547" i="1" s="1"/>
  <c r="O1547" i="1"/>
  <c r="L1547" i="1"/>
  <c r="J1547" i="1"/>
  <c r="M1547" i="1" s="1"/>
  <c r="G1547" i="1"/>
  <c r="AE1546" i="1"/>
  <c r="Y1546" i="1"/>
  <c r="V1546" i="1"/>
  <c r="W1546" i="1" s="1"/>
  <c r="U1546" i="1"/>
  <c r="X1546" i="1" s="1"/>
  <c r="P1546" i="1"/>
  <c r="Q1546" i="1" s="1"/>
  <c r="O1546" i="1"/>
  <c r="L1546" i="1"/>
  <c r="J1546" i="1"/>
  <c r="M1546" i="1" s="1"/>
  <c r="G1546" i="1"/>
  <c r="AE1545" i="1"/>
  <c r="Y1545" i="1"/>
  <c r="V1545" i="1"/>
  <c r="W1545" i="1" s="1"/>
  <c r="U1545" i="1"/>
  <c r="X1545" i="1" s="1"/>
  <c r="S1545" i="1"/>
  <c r="P1545" i="1"/>
  <c r="Q1545" i="1" s="1"/>
  <c r="O1545" i="1"/>
  <c r="R1545" i="1" s="1"/>
  <c r="L1545" i="1"/>
  <c r="J1545" i="1"/>
  <c r="M1545" i="1" s="1"/>
  <c r="G1545" i="1"/>
  <c r="AE1544" i="1"/>
  <c r="Y1544" i="1"/>
  <c r="V1544" i="1"/>
  <c r="W1544" i="1" s="1"/>
  <c r="U1544" i="1"/>
  <c r="X1544" i="1" s="1"/>
  <c r="S1544" i="1"/>
  <c r="P1544" i="1"/>
  <c r="Q1544" i="1" s="1"/>
  <c r="O1544" i="1"/>
  <c r="R1544" i="1" s="1"/>
  <c r="L1544" i="1"/>
  <c r="J1544" i="1"/>
  <c r="M1544" i="1" s="1"/>
  <c r="G1544" i="1"/>
  <c r="AE1543" i="1"/>
  <c r="Y1543" i="1"/>
  <c r="V1543" i="1"/>
  <c r="W1543" i="1" s="1"/>
  <c r="U1543" i="1"/>
  <c r="X1543" i="1" s="1"/>
  <c r="P1543" i="1"/>
  <c r="Q1543" i="1" s="1"/>
  <c r="O1543" i="1"/>
  <c r="L1543" i="1"/>
  <c r="J1543" i="1"/>
  <c r="M1543" i="1" s="1"/>
  <c r="G1543" i="1"/>
  <c r="AE1542" i="1"/>
  <c r="Y1542" i="1"/>
  <c r="V1542" i="1"/>
  <c r="W1542" i="1" s="1"/>
  <c r="U1542" i="1"/>
  <c r="X1542" i="1" s="1"/>
  <c r="P1542" i="1"/>
  <c r="Q1542" i="1" s="1"/>
  <c r="O1542" i="1"/>
  <c r="L1542" i="1"/>
  <c r="J1542" i="1"/>
  <c r="M1542" i="1" s="1"/>
  <c r="G1542" i="1"/>
  <c r="AE1541" i="1"/>
  <c r="Y1541" i="1"/>
  <c r="V1541" i="1"/>
  <c r="W1541" i="1" s="1"/>
  <c r="U1541" i="1"/>
  <c r="X1541" i="1" s="1"/>
  <c r="S1541" i="1"/>
  <c r="P1541" i="1"/>
  <c r="Q1541" i="1" s="1"/>
  <c r="O1541" i="1"/>
  <c r="R1541" i="1" s="1"/>
  <c r="L1541" i="1"/>
  <c r="J1541" i="1"/>
  <c r="M1541" i="1" s="1"/>
  <c r="G1541" i="1"/>
  <c r="AE1540" i="1"/>
  <c r="Y1540" i="1"/>
  <c r="V1540" i="1"/>
  <c r="W1540" i="1" s="1"/>
  <c r="U1540" i="1"/>
  <c r="X1540" i="1" s="1"/>
  <c r="P1540" i="1"/>
  <c r="Q1540" i="1" s="1"/>
  <c r="O1540" i="1"/>
  <c r="L1540" i="1"/>
  <c r="J1540" i="1"/>
  <c r="M1540" i="1" s="1"/>
  <c r="G1540" i="1"/>
  <c r="AE1539" i="1"/>
  <c r="Y1539" i="1"/>
  <c r="V1539" i="1"/>
  <c r="W1539" i="1" s="1"/>
  <c r="U1539" i="1"/>
  <c r="X1539" i="1" s="1"/>
  <c r="P1539" i="1"/>
  <c r="Q1539" i="1" s="1"/>
  <c r="O1539" i="1"/>
  <c r="L1539" i="1"/>
  <c r="J1539" i="1"/>
  <c r="M1539" i="1" s="1"/>
  <c r="G1539" i="1"/>
  <c r="AE1538" i="1"/>
  <c r="Y1538" i="1"/>
  <c r="V1538" i="1"/>
  <c r="W1538" i="1" s="1"/>
  <c r="U1538" i="1"/>
  <c r="X1538" i="1" s="1"/>
  <c r="P1538" i="1"/>
  <c r="Q1538" i="1" s="1"/>
  <c r="O1538" i="1"/>
  <c r="L1538" i="1"/>
  <c r="J1538" i="1"/>
  <c r="M1538" i="1" s="1"/>
  <c r="G1538" i="1"/>
  <c r="AE1537" i="1"/>
  <c r="Y1537" i="1"/>
  <c r="V1537" i="1"/>
  <c r="W1537" i="1" s="1"/>
  <c r="U1537" i="1"/>
  <c r="X1537" i="1" s="1"/>
  <c r="S1537" i="1"/>
  <c r="P1537" i="1"/>
  <c r="Q1537" i="1" s="1"/>
  <c r="O1537" i="1"/>
  <c r="R1537" i="1" s="1"/>
  <c r="L1537" i="1"/>
  <c r="J1537" i="1"/>
  <c r="M1537" i="1" s="1"/>
  <c r="G1537" i="1"/>
  <c r="AE1536" i="1"/>
  <c r="Y1536" i="1"/>
  <c r="V1536" i="1"/>
  <c r="W1536" i="1" s="1"/>
  <c r="U1536" i="1"/>
  <c r="X1536" i="1" s="1"/>
  <c r="P1536" i="1"/>
  <c r="Q1536" i="1" s="1"/>
  <c r="O1536" i="1"/>
  <c r="L1536" i="1"/>
  <c r="J1536" i="1"/>
  <c r="M1536" i="1" s="1"/>
  <c r="G1536" i="1"/>
  <c r="AE1535" i="1"/>
  <c r="Y1535" i="1"/>
  <c r="V1535" i="1"/>
  <c r="W1535" i="1" s="1"/>
  <c r="U1535" i="1"/>
  <c r="X1535" i="1" s="1"/>
  <c r="P1535" i="1"/>
  <c r="Q1535" i="1" s="1"/>
  <c r="O1535" i="1"/>
  <c r="L1535" i="1"/>
  <c r="J1535" i="1"/>
  <c r="M1535" i="1" s="1"/>
  <c r="G1535" i="1"/>
  <c r="AE1534" i="1"/>
  <c r="Y1534" i="1"/>
  <c r="V1534" i="1"/>
  <c r="W1534" i="1" s="1"/>
  <c r="U1534" i="1"/>
  <c r="X1534" i="1" s="1"/>
  <c r="S1534" i="1"/>
  <c r="P1534" i="1"/>
  <c r="Q1534" i="1" s="1"/>
  <c r="O1534" i="1"/>
  <c r="R1534" i="1" s="1"/>
  <c r="L1534" i="1"/>
  <c r="J1534" i="1"/>
  <c r="M1534" i="1" s="1"/>
  <c r="G1534" i="1"/>
  <c r="AE1533" i="1"/>
  <c r="Y1533" i="1"/>
  <c r="V1533" i="1"/>
  <c r="W1533" i="1" s="1"/>
  <c r="U1533" i="1"/>
  <c r="X1533" i="1" s="1"/>
  <c r="S1533" i="1"/>
  <c r="P1533" i="1"/>
  <c r="Q1533" i="1" s="1"/>
  <c r="O1533" i="1"/>
  <c r="R1533" i="1" s="1"/>
  <c r="L1533" i="1"/>
  <c r="J1533" i="1"/>
  <c r="M1533" i="1" s="1"/>
  <c r="G1533" i="1"/>
  <c r="AE1532" i="1"/>
  <c r="Y1532" i="1"/>
  <c r="V1532" i="1"/>
  <c r="W1532" i="1" s="1"/>
  <c r="U1532" i="1"/>
  <c r="X1532" i="1" s="1"/>
  <c r="S1532" i="1"/>
  <c r="P1532" i="1"/>
  <c r="Q1532" i="1" s="1"/>
  <c r="O1532" i="1"/>
  <c r="R1532" i="1" s="1"/>
  <c r="L1532" i="1"/>
  <c r="J1532" i="1"/>
  <c r="M1532" i="1" s="1"/>
  <c r="G1532" i="1"/>
  <c r="AE1531" i="1"/>
  <c r="Y1531" i="1"/>
  <c r="V1531" i="1"/>
  <c r="W1531" i="1" s="1"/>
  <c r="U1531" i="1"/>
  <c r="X1531" i="1" s="1"/>
  <c r="P1531" i="1"/>
  <c r="Q1531" i="1" s="1"/>
  <c r="O1531" i="1"/>
  <c r="L1531" i="1"/>
  <c r="J1531" i="1"/>
  <c r="M1531" i="1" s="1"/>
  <c r="G1531" i="1"/>
  <c r="AE1530" i="1"/>
  <c r="Y1530" i="1"/>
  <c r="V1530" i="1"/>
  <c r="W1530" i="1" s="1"/>
  <c r="U1530" i="1"/>
  <c r="X1530" i="1" s="1"/>
  <c r="P1530" i="1"/>
  <c r="Q1530" i="1" s="1"/>
  <c r="O1530" i="1"/>
  <c r="L1530" i="1"/>
  <c r="J1530" i="1"/>
  <c r="M1530" i="1" s="1"/>
  <c r="G1530" i="1"/>
  <c r="AE1529" i="1"/>
  <c r="Y1529" i="1"/>
  <c r="V1529" i="1"/>
  <c r="W1529" i="1" s="1"/>
  <c r="U1529" i="1"/>
  <c r="X1529" i="1" s="1"/>
  <c r="P1529" i="1"/>
  <c r="Q1529" i="1" s="1"/>
  <c r="O1529" i="1"/>
  <c r="L1529" i="1"/>
  <c r="J1529" i="1"/>
  <c r="M1529" i="1" s="1"/>
  <c r="G1529" i="1"/>
  <c r="AE1528" i="1"/>
  <c r="Y1528" i="1"/>
  <c r="V1528" i="1"/>
  <c r="W1528" i="1" s="1"/>
  <c r="U1528" i="1"/>
  <c r="X1528" i="1" s="1"/>
  <c r="P1528" i="1"/>
  <c r="Q1528" i="1" s="1"/>
  <c r="O1528" i="1"/>
  <c r="L1528" i="1"/>
  <c r="J1528" i="1"/>
  <c r="M1528" i="1" s="1"/>
  <c r="G1528" i="1"/>
  <c r="AE1527" i="1"/>
  <c r="Y1527" i="1"/>
  <c r="V1527" i="1"/>
  <c r="W1527" i="1" s="1"/>
  <c r="U1527" i="1"/>
  <c r="X1527" i="1" s="1"/>
  <c r="P1527" i="1"/>
  <c r="Q1527" i="1" s="1"/>
  <c r="O1527" i="1"/>
  <c r="L1527" i="1"/>
  <c r="J1527" i="1"/>
  <c r="M1527" i="1" s="1"/>
  <c r="G1527" i="1"/>
  <c r="AE1526" i="1"/>
  <c r="Y1526" i="1"/>
  <c r="V1526" i="1"/>
  <c r="W1526" i="1" s="1"/>
  <c r="U1526" i="1"/>
  <c r="X1526" i="1" s="1"/>
  <c r="S1526" i="1"/>
  <c r="P1526" i="1"/>
  <c r="Q1526" i="1" s="1"/>
  <c r="O1526" i="1"/>
  <c r="R1526" i="1" s="1"/>
  <c r="L1526" i="1"/>
  <c r="J1526" i="1"/>
  <c r="M1526" i="1" s="1"/>
  <c r="G1526" i="1"/>
  <c r="AE1525" i="1"/>
  <c r="Y1525" i="1"/>
  <c r="V1525" i="1"/>
  <c r="W1525" i="1" s="1"/>
  <c r="U1525" i="1"/>
  <c r="X1525" i="1" s="1"/>
  <c r="P1525" i="1"/>
  <c r="Q1525" i="1" s="1"/>
  <c r="O1525" i="1"/>
  <c r="L1525" i="1"/>
  <c r="J1525" i="1"/>
  <c r="M1525" i="1" s="1"/>
  <c r="G1525" i="1"/>
  <c r="AE1524" i="1"/>
  <c r="Y1524" i="1"/>
  <c r="V1524" i="1"/>
  <c r="W1524" i="1" s="1"/>
  <c r="U1524" i="1"/>
  <c r="X1524" i="1" s="1"/>
  <c r="S1524" i="1"/>
  <c r="P1524" i="1"/>
  <c r="Q1524" i="1" s="1"/>
  <c r="O1524" i="1"/>
  <c r="R1524" i="1" s="1"/>
  <c r="L1524" i="1"/>
  <c r="J1524" i="1"/>
  <c r="M1524" i="1" s="1"/>
  <c r="G1524" i="1"/>
  <c r="AE1523" i="1"/>
  <c r="Y1523" i="1"/>
  <c r="V1523" i="1"/>
  <c r="W1523" i="1" s="1"/>
  <c r="U1523" i="1"/>
  <c r="X1523" i="1" s="1"/>
  <c r="S1523" i="1"/>
  <c r="P1523" i="1"/>
  <c r="Q1523" i="1" s="1"/>
  <c r="O1523" i="1"/>
  <c r="R1523" i="1" s="1"/>
  <c r="L1523" i="1"/>
  <c r="J1523" i="1"/>
  <c r="M1523" i="1" s="1"/>
  <c r="G1523" i="1"/>
  <c r="AE1522" i="1"/>
  <c r="Y1522" i="1"/>
  <c r="V1522" i="1"/>
  <c r="W1522" i="1" s="1"/>
  <c r="U1522" i="1"/>
  <c r="X1522" i="1" s="1"/>
  <c r="P1522" i="1"/>
  <c r="Q1522" i="1" s="1"/>
  <c r="O1522" i="1"/>
  <c r="L1522" i="1"/>
  <c r="J1522" i="1"/>
  <c r="M1522" i="1" s="1"/>
  <c r="G1522" i="1"/>
  <c r="AE1521" i="1"/>
  <c r="Y1521" i="1"/>
  <c r="V1521" i="1"/>
  <c r="W1521" i="1" s="1"/>
  <c r="U1521" i="1"/>
  <c r="X1521" i="1" s="1"/>
  <c r="P1521" i="1"/>
  <c r="Q1521" i="1" s="1"/>
  <c r="O1521" i="1"/>
  <c r="L1521" i="1"/>
  <c r="J1521" i="1"/>
  <c r="M1521" i="1" s="1"/>
  <c r="G1521" i="1"/>
  <c r="AE1520" i="1"/>
  <c r="Y1520" i="1"/>
  <c r="V1520" i="1"/>
  <c r="W1520" i="1" s="1"/>
  <c r="U1520" i="1"/>
  <c r="X1520" i="1" s="1"/>
  <c r="P1520" i="1"/>
  <c r="Q1520" i="1" s="1"/>
  <c r="O1520" i="1"/>
  <c r="L1520" i="1"/>
  <c r="J1520" i="1"/>
  <c r="M1520" i="1" s="1"/>
  <c r="G1520" i="1"/>
  <c r="AE1519" i="1"/>
  <c r="Y1519" i="1"/>
  <c r="V1519" i="1"/>
  <c r="W1519" i="1" s="1"/>
  <c r="U1519" i="1"/>
  <c r="X1519" i="1" s="1"/>
  <c r="P1519" i="1"/>
  <c r="Q1519" i="1" s="1"/>
  <c r="O1519" i="1"/>
  <c r="L1519" i="1"/>
  <c r="J1519" i="1"/>
  <c r="M1519" i="1" s="1"/>
  <c r="G1519" i="1"/>
  <c r="AE1518" i="1"/>
  <c r="Y1518" i="1"/>
  <c r="V1518" i="1"/>
  <c r="W1518" i="1" s="1"/>
  <c r="U1518" i="1"/>
  <c r="X1518" i="1" s="1"/>
  <c r="P1518" i="1"/>
  <c r="Q1518" i="1" s="1"/>
  <c r="O1518" i="1"/>
  <c r="L1518" i="1"/>
  <c r="J1518" i="1"/>
  <c r="M1518" i="1" s="1"/>
  <c r="G1518" i="1"/>
  <c r="AE1517" i="1"/>
  <c r="Y1517" i="1"/>
  <c r="V1517" i="1"/>
  <c r="W1517" i="1" s="1"/>
  <c r="U1517" i="1"/>
  <c r="X1517" i="1" s="1"/>
  <c r="S1517" i="1"/>
  <c r="P1517" i="1"/>
  <c r="Q1517" i="1" s="1"/>
  <c r="O1517" i="1"/>
  <c r="R1517" i="1" s="1"/>
  <c r="L1517" i="1"/>
  <c r="J1517" i="1"/>
  <c r="M1517" i="1" s="1"/>
  <c r="G1517" i="1"/>
  <c r="AE1516" i="1"/>
  <c r="Y1516" i="1"/>
  <c r="V1516" i="1"/>
  <c r="W1516" i="1" s="1"/>
  <c r="U1516" i="1"/>
  <c r="X1516" i="1" s="1"/>
  <c r="P1516" i="1"/>
  <c r="Q1516" i="1" s="1"/>
  <c r="O1516" i="1"/>
  <c r="L1516" i="1"/>
  <c r="J1516" i="1"/>
  <c r="M1516" i="1" s="1"/>
  <c r="G1516" i="1"/>
  <c r="AE1515" i="1"/>
  <c r="Y1515" i="1"/>
  <c r="V1515" i="1"/>
  <c r="W1515" i="1" s="1"/>
  <c r="U1515" i="1"/>
  <c r="X1515" i="1" s="1"/>
  <c r="P1515" i="1"/>
  <c r="Q1515" i="1" s="1"/>
  <c r="O1515" i="1"/>
  <c r="L1515" i="1"/>
  <c r="J1515" i="1"/>
  <c r="M1515" i="1" s="1"/>
  <c r="G1515" i="1"/>
  <c r="AE1514" i="1"/>
  <c r="Y1514" i="1"/>
  <c r="V1514" i="1"/>
  <c r="W1514" i="1" s="1"/>
  <c r="U1514" i="1"/>
  <c r="X1514" i="1" s="1"/>
  <c r="P1514" i="1"/>
  <c r="Q1514" i="1" s="1"/>
  <c r="O1514" i="1"/>
  <c r="L1514" i="1"/>
  <c r="J1514" i="1"/>
  <c r="M1514" i="1" s="1"/>
  <c r="G1514" i="1"/>
  <c r="AE1513" i="1"/>
  <c r="Y1513" i="1"/>
  <c r="V1513" i="1"/>
  <c r="W1513" i="1" s="1"/>
  <c r="U1513" i="1"/>
  <c r="X1513" i="1" s="1"/>
  <c r="S1513" i="1"/>
  <c r="P1513" i="1"/>
  <c r="Q1513" i="1" s="1"/>
  <c r="O1513" i="1"/>
  <c r="R1513" i="1" s="1"/>
  <c r="L1513" i="1"/>
  <c r="J1513" i="1"/>
  <c r="M1513" i="1" s="1"/>
  <c r="G1513" i="1"/>
  <c r="AE1512" i="1"/>
  <c r="Y1512" i="1"/>
  <c r="V1512" i="1"/>
  <c r="W1512" i="1" s="1"/>
  <c r="U1512" i="1"/>
  <c r="X1512" i="1" s="1"/>
  <c r="S1512" i="1"/>
  <c r="P1512" i="1"/>
  <c r="Q1512" i="1" s="1"/>
  <c r="O1512" i="1"/>
  <c r="R1512" i="1" s="1"/>
  <c r="L1512" i="1"/>
  <c r="J1512" i="1"/>
  <c r="M1512" i="1" s="1"/>
  <c r="G1512" i="1"/>
  <c r="AE1511" i="1"/>
  <c r="Y1511" i="1"/>
  <c r="V1511" i="1"/>
  <c r="W1511" i="1" s="1"/>
  <c r="U1511" i="1"/>
  <c r="X1511" i="1" s="1"/>
  <c r="P1511" i="1"/>
  <c r="Q1511" i="1" s="1"/>
  <c r="O1511" i="1"/>
  <c r="L1511" i="1"/>
  <c r="J1511" i="1"/>
  <c r="M1511" i="1" s="1"/>
  <c r="G1511" i="1"/>
  <c r="AE1510" i="1"/>
  <c r="Y1510" i="1"/>
  <c r="V1510" i="1"/>
  <c r="W1510" i="1" s="1"/>
  <c r="U1510" i="1"/>
  <c r="X1510" i="1" s="1"/>
  <c r="P1510" i="1"/>
  <c r="Q1510" i="1" s="1"/>
  <c r="O1510" i="1"/>
  <c r="L1510" i="1"/>
  <c r="J1510" i="1"/>
  <c r="M1510" i="1" s="1"/>
  <c r="G1510" i="1"/>
  <c r="AE1509" i="1"/>
  <c r="Y1509" i="1"/>
  <c r="V1509" i="1"/>
  <c r="W1509" i="1" s="1"/>
  <c r="U1509" i="1"/>
  <c r="X1509" i="1" s="1"/>
  <c r="P1509" i="1"/>
  <c r="Q1509" i="1" s="1"/>
  <c r="O1509" i="1"/>
  <c r="L1509" i="1"/>
  <c r="J1509" i="1"/>
  <c r="M1509" i="1" s="1"/>
  <c r="G1509" i="1"/>
  <c r="AE1508" i="1"/>
  <c r="Y1508" i="1"/>
  <c r="V1508" i="1"/>
  <c r="W1508" i="1" s="1"/>
  <c r="U1508" i="1"/>
  <c r="X1508" i="1" s="1"/>
  <c r="P1508" i="1"/>
  <c r="Q1508" i="1" s="1"/>
  <c r="O1508" i="1"/>
  <c r="L1508" i="1"/>
  <c r="J1508" i="1"/>
  <c r="M1508" i="1" s="1"/>
  <c r="G1508" i="1"/>
  <c r="AE1507" i="1"/>
  <c r="Y1507" i="1"/>
  <c r="V1507" i="1"/>
  <c r="W1507" i="1" s="1"/>
  <c r="U1507" i="1"/>
  <c r="X1507" i="1" s="1"/>
  <c r="S1507" i="1"/>
  <c r="P1507" i="1"/>
  <c r="Q1507" i="1" s="1"/>
  <c r="O1507" i="1"/>
  <c r="R1507" i="1" s="1"/>
  <c r="L1507" i="1"/>
  <c r="J1507" i="1"/>
  <c r="M1507" i="1" s="1"/>
  <c r="G1507" i="1"/>
  <c r="AE1506" i="1"/>
  <c r="Y1506" i="1"/>
  <c r="V1506" i="1"/>
  <c r="W1506" i="1" s="1"/>
  <c r="U1506" i="1"/>
  <c r="X1506" i="1" s="1"/>
  <c r="P1506" i="1"/>
  <c r="Q1506" i="1" s="1"/>
  <c r="O1506" i="1"/>
  <c r="L1506" i="1"/>
  <c r="J1506" i="1"/>
  <c r="M1506" i="1" s="1"/>
  <c r="G1506" i="1"/>
  <c r="AE1505" i="1"/>
  <c r="Y1505" i="1"/>
  <c r="V1505" i="1"/>
  <c r="W1505" i="1" s="1"/>
  <c r="U1505" i="1"/>
  <c r="X1505" i="1" s="1"/>
  <c r="S1505" i="1"/>
  <c r="P1505" i="1"/>
  <c r="Q1505" i="1" s="1"/>
  <c r="O1505" i="1"/>
  <c r="R1505" i="1" s="1"/>
  <c r="L1505" i="1"/>
  <c r="J1505" i="1"/>
  <c r="M1505" i="1" s="1"/>
  <c r="G1505" i="1"/>
  <c r="AE1504" i="1"/>
  <c r="Y1504" i="1"/>
  <c r="V1504" i="1"/>
  <c r="W1504" i="1" s="1"/>
  <c r="U1504" i="1"/>
  <c r="X1504" i="1" s="1"/>
  <c r="P1504" i="1"/>
  <c r="Q1504" i="1" s="1"/>
  <c r="O1504" i="1"/>
  <c r="L1504" i="1"/>
  <c r="J1504" i="1"/>
  <c r="M1504" i="1" s="1"/>
  <c r="G1504" i="1"/>
  <c r="AE1503" i="1"/>
  <c r="Y1503" i="1"/>
  <c r="V1503" i="1"/>
  <c r="W1503" i="1" s="1"/>
  <c r="U1503" i="1"/>
  <c r="X1503" i="1" s="1"/>
  <c r="S1503" i="1"/>
  <c r="P1503" i="1"/>
  <c r="Q1503" i="1" s="1"/>
  <c r="O1503" i="1"/>
  <c r="R1503" i="1" s="1"/>
  <c r="L1503" i="1"/>
  <c r="J1503" i="1"/>
  <c r="M1503" i="1" s="1"/>
  <c r="G1503" i="1"/>
  <c r="AE1502" i="1"/>
  <c r="Y1502" i="1"/>
  <c r="V1502" i="1"/>
  <c r="W1502" i="1" s="1"/>
  <c r="U1502" i="1"/>
  <c r="X1502" i="1" s="1"/>
  <c r="S1502" i="1"/>
  <c r="P1502" i="1"/>
  <c r="Q1502" i="1" s="1"/>
  <c r="O1502" i="1"/>
  <c r="R1502" i="1" s="1"/>
  <c r="L1502" i="1"/>
  <c r="J1502" i="1"/>
  <c r="M1502" i="1" s="1"/>
  <c r="G1502" i="1"/>
  <c r="AE1501" i="1"/>
  <c r="Y1501" i="1"/>
  <c r="V1501" i="1"/>
  <c r="W1501" i="1" s="1"/>
  <c r="U1501" i="1"/>
  <c r="X1501" i="1" s="1"/>
  <c r="P1501" i="1"/>
  <c r="Q1501" i="1" s="1"/>
  <c r="O1501" i="1"/>
  <c r="L1501" i="1"/>
  <c r="J1501" i="1"/>
  <c r="M1501" i="1" s="1"/>
  <c r="G1501" i="1"/>
  <c r="AE1500" i="1"/>
  <c r="Y1500" i="1"/>
  <c r="V1500" i="1"/>
  <c r="W1500" i="1" s="1"/>
  <c r="U1500" i="1"/>
  <c r="X1500" i="1" s="1"/>
  <c r="S1500" i="1"/>
  <c r="P1500" i="1"/>
  <c r="Q1500" i="1" s="1"/>
  <c r="O1500" i="1"/>
  <c r="R1500" i="1" s="1"/>
  <c r="L1500" i="1"/>
  <c r="J1500" i="1"/>
  <c r="M1500" i="1" s="1"/>
  <c r="G1500" i="1"/>
  <c r="AE1499" i="1"/>
  <c r="Y1499" i="1"/>
  <c r="V1499" i="1"/>
  <c r="W1499" i="1" s="1"/>
  <c r="U1499" i="1"/>
  <c r="X1499" i="1" s="1"/>
  <c r="S1499" i="1"/>
  <c r="P1499" i="1"/>
  <c r="Q1499" i="1" s="1"/>
  <c r="O1499" i="1"/>
  <c r="R1499" i="1" s="1"/>
  <c r="L1499" i="1"/>
  <c r="J1499" i="1"/>
  <c r="M1499" i="1" s="1"/>
  <c r="G1499" i="1"/>
  <c r="AE1498" i="1"/>
  <c r="Y1498" i="1"/>
  <c r="V1498" i="1"/>
  <c r="W1498" i="1" s="1"/>
  <c r="U1498" i="1"/>
  <c r="X1498" i="1" s="1"/>
  <c r="P1498" i="1"/>
  <c r="Q1498" i="1" s="1"/>
  <c r="O1498" i="1"/>
  <c r="L1498" i="1"/>
  <c r="J1498" i="1"/>
  <c r="M1498" i="1" s="1"/>
  <c r="G1498" i="1"/>
  <c r="AE1497" i="1"/>
  <c r="Y1497" i="1"/>
  <c r="V1497" i="1"/>
  <c r="W1497" i="1" s="1"/>
  <c r="U1497" i="1"/>
  <c r="X1497" i="1" s="1"/>
  <c r="P1497" i="1"/>
  <c r="Q1497" i="1" s="1"/>
  <c r="O1497" i="1"/>
  <c r="L1497" i="1"/>
  <c r="J1497" i="1"/>
  <c r="M1497" i="1" s="1"/>
  <c r="G1497" i="1"/>
  <c r="AE1496" i="1"/>
  <c r="Y1496" i="1"/>
  <c r="V1496" i="1"/>
  <c r="W1496" i="1" s="1"/>
  <c r="U1496" i="1"/>
  <c r="X1496" i="1" s="1"/>
  <c r="S1496" i="1"/>
  <c r="P1496" i="1"/>
  <c r="Q1496" i="1" s="1"/>
  <c r="O1496" i="1"/>
  <c r="R1496" i="1" s="1"/>
  <c r="L1496" i="1"/>
  <c r="J1496" i="1"/>
  <c r="M1496" i="1" s="1"/>
  <c r="G1496" i="1"/>
  <c r="AE1495" i="1"/>
  <c r="Y1495" i="1"/>
  <c r="V1495" i="1"/>
  <c r="W1495" i="1" s="1"/>
  <c r="U1495" i="1"/>
  <c r="X1495" i="1" s="1"/>
  <c r="S1495" i="1"/>
  <c r="P1495" i="1"/>
  <c r="Q1495" i="1" s="1"/>
  <c r="O1495" i="1"/>
  <c r="R1495" i="1" s="1"/>
  <c r="L1495" i="1"/>
  <c r="J1495" i="1"/>
  <c r="M1495" i="1" s="1"/>
  <c r="G1495" i="1"/>
  <c r="AE1494" i="1"/>
  <c r="Y1494" i="1"/>
  <c r="V1494" i="1"/>
  <c r="W1494" i="1" s="1"/>
  <c r="U1494" i="1"/>
  <c r="X1494" i="1" s="1"/>
  <c r="P1494" i="1"/>
  <c r="Q1494" i="1" s="1"/>
  <c r="O1494" i="1"/>
  <c r="L1494" i="1"/>
  <c r="J1494" i="1"/>
  <c r="M1494" i="1" s="1"/>
  <c r="G1494" i="1"/>
  <c r="AE1493" i="1"/>
  <c r="Y1493" i="1"/>
  <c r="V1493" i="1"/>
  <c r="W1493" i="1" s="1"/>
  <c r="U1493" i="1"/>
  <c r="X1493" i="1" s="1"/>
  <c r="P1493" i="1"/>
  <c r="Q1493" i="1" s="1"/>
  <c r="O1493" i="1"/>
  <c r="L1493" i="1"/>
  <c r="J1493" i="1"/>
  <c r="M1493" i="1" s="1"/>
  <c r="G1493" i="1"/>
  <c r="AE1492" i="1"/>
  <c r="Y1492" i="1"/>
  <c r="V1492" i="1"/>
  <c r="W1492" i="1" s="1"/>
  <c r="U1492" i="1"/>
  <c r="X1492" i="1" s="1"/>
  <c r="S1492" i="1"/>
  <c r="P1492" i="1"/>
  <c r="Q1492" i="1" s="1"/>
  <c r="O1492" i="1"/>
  <c r="R1492" i="1" s="1"/>
  <c r="L1492" i="1"/>
  <c r="J1492" i="1"/>
  <c r="M1492" i="1" s="1"/>
  <c r="G1492" i="1"/>
  <c r="AE1491" i="1"/>
  <c r="Y1491" i="1"/>
  <c r="V1491" i="1"/>
  <c r="W1491" i="1" s="1"/>
  <c r="U1491" i="1"/>
  <c r="X1491" i="1" s="1"/>
  <c r="P1491" i="1"/>
  <c r="Q1491" i="1" s="1"/>
  <c r="O1491" i="1"/>
  <c r="L1491" i="1"/>
  <c r="J1491" i="1"/>
  <c r="M1491" i="1" s="1"/>
  <c r="G1491" i="1"/>
  <c r="AE1490" i="1"/>
  <c r="Y1490" i="1"/>
  <c r="V1490" i="1"/>
  <c r="W1490" i="1" s="1"/>
  <c r="U1490" i="1"/>
  <c r="X1490" i="1" s="1"/>
  <c r="P1490" i="1"/>
  <c r="Q1490" i="1" s="1"/>
  <c r="O1490" i="1"/>
  <c r="L1490" i="1"/>
  <c r="J1490" i="1"/>
  <c r="M1490" i="1" s="1"/>
  <c r="G1490" i="1"/>
  <c r="AE1489" i="1"/>
  <c r="Y1489" i="1"/>
  <c r="V1489" i="1"/>
  <c r="W1489" i="1" s="1"/>
  <c r="U1489" i="1"/>
  <c r="X1489" i="1" s="1"/>
  <c r="P1489" i="1"/>
  <c r="Q1489" i="1" s="1"/>
  <c r="O1489" i="1"/>
  <c r="L1489" i="1"/>
  <c r="J1489" i="1"/>
  <c r="M1489" i="1" s="1"/>
  <c r="G1489" i="1"/>
  <c r="AE1488" i="1"/>
  <c r="Y1488" i="1"/>
  <c r="V1488" i="1"/>
  <c r="W1488" i="1" s="1"/>
  <c r="U1488" i="1"/>
  <c r="X1488" i="1" s="1"/>
  <c r="P1488" i="1"/>
  <c r="Q1488" i="1" s="1"/>
  <c r="O1488" i="1"/>
  <c r="L1488" i="1"/>
  <c r="J1488" i="1"/>
  <c r="M1488" i="1" s="1"/>
  <c r="G1488" i="1"/>
  <c r="AE1487" i="1"/>
  <c r="Y1487" i="1"/>
  <c r="V1487" i="1"/>
  <c r="W1487" i="1" s="1"/>
  <c r="U1487" i="1"/>
  <c r="X1487" i="1" s="1"/>
  <c r="S1487" i="1"/>
  <c r="P1487" i="1"/>
  <c r="Q1487" i="1" s="1"/>
  <c r="O1487" i="1"/>
  <c r="R1487" i="1" s="1"/>
  <c r="L1487" i="1"/>
  <c r="J1487" i="1"/>
  <c r="M1487" i="1" s="1"/>
  <c r="G1487" i="1"/>
  <c r="AE1486" i="1"/>
  <c r="Y1486" i="1"/>
  <c r="V1486" i="1"/>
  <c r="W1486" i="1" s="1"/>
  <c r="U1486" i="1"/>
  <c r="X1486" i="1" s="1"/>
  <c r="S1486" i="1"/>
  <c r="P1486" i="1"/>
  <c r="Q1486" i="1" s="1"/>
  <c r="O1486" i="1"/>
  <c r="R1486" i="1" s="1"/>
  <c r="L1486" i="1"/>
  <c r="J1486" i="1"/>
  <c r="M1486" i="1" s="1"/>
  <c r="G1486" i="1"/>
  <c r="AE1485" i="1"/>
  <c r="Y1485" i="1"/>
  <c r="V1485" i="1"/>
  <c r="W1485" i="1" s="1"/>
  <c r="U1485" i="1"/>
  <c r="X1485" i="1" s="1"/>
  <c r="S1485" i="1"/>
  <c r="P1485" i="1"/>
  <c r="Q1485" i="1" s="1"/>
  <c r="O1485" i="1"/>
  <c r="R1485" i="1" s="1"/>
  <c r="L1485" i="1"/>
  <c r="J1485" i="1"/>
  <c r="M1485" i="1" s="1"/>
  <c r="G1485" i="1"/>
  <c r="AE1484" i="1"/>
  <c r="Y1484" i="1"/>
  <c r="V1484" i="1"/>
  <c r="W1484" i="1" s="1"/>
  <c r="U1484" i="1"/>
  <c r="X1484" i="1" s="1"/>
  <c r="P1484" i="1"/>
  <c r="Q1484" i="1" s="1"/>
  <c r="O1484" i="1"/>
  <c r="L1484" i="1"/>
  <c r="J1484" i="1"/>
  <c r="M1484" i="1" s="1"/>
  <c r="G1484" i="1"/>
  <c r="AE1483" i="1"/>
  <c r="Y1483" i="1"/>
  <c r="V1483" i="1"/>
  <c r="W1483" i="1" s="1"/>
  <c r="U1483" i="1"/>
  <c r="X1483" i="1" s="1"/>
  <c r="P1483" i="1"/>
  <c r="Q1483" i="1" s="1"/>
  <c r="O1483" i="1"/>
  <c r="L1483" i="1"/>
  <c r="J1483" i="1"/>
  <c r="M1483" i="1" s="1"/>
  <c r="G1483" i="1"/>
  <c r="AE1482" i="1"/>
  <c r="Y1482" i="1"/>
  <c r="V1482" i="1"/>
  <c r="W1482" i="1" s="1"/>
  <c r="U1482" i="1"/>
  <c r="X1482" i="1" s="1"/>
  <c r="P1482" i="1"/>
  <c r="Q1482" i="1" s="1"/>
  <c r="O1482" i="1"/>
  <c r="L1482" i="1"/>
  <c r="J1482" i="1"/>
  <c r="M1482" i="1" s="1"/>
  <c r="G1482" i="1"/>
  <c r="AE1481" i="1"/>
  <c r="Y1481" i="1"/>
  <c r="V1481" i="1"/>
  <c r="W1481" i="1" s="1"/>
  <c r="U1481" i="1"/>
  <c r="X1481" i="1" s="1"/>
  <c r="S1481" i="1"/>
  <c r="P1481" i="1"/>
  <c r="Q1481" i="1" s="1"/>
  <c r="O1481" i="1"/>
  <c r="R1481" i="1" s="1"/>
  <c r="L1481" i="1"/>
  <c r="J1481" i="1"/>
  <c r="M1481" i="1" s="1"/>
  <c r="G1481" i="1"/>
  <c r="AE1480" i="1"/>
  <c r="Y1480" i="1"/>
  <c r="V1480" i="1"/>
  <c r="W1480" i="1" s="1"/>
  <c r="U1480" i="1"/>
  <c r="X1480" i="1" s="1"/>
  <c r="P1480" i="1"/>
  <c r="Q1480" i="1" s="1"/>
  <c r="O1480" i="1"/>
  <c r="L1480" i="1"/>
  <c r="J1480" i="1"/>
  <c r="M1480" i="1" s="1"/>
  <c r="G1480" i="1"/>
  <c r="AE1479" i="1"/>
  <c r="Y1479" i="1"/>
  <c r="V1479" i="1"/>
  <c r="W1479" i="1" s="1"/>
  <c r="U1479" i="1"/>
  <c r="X1479" i="1" s="1"/>
  <c r="P1479" i="1"/>
  <c r="Q1479" i="1" s="1"/>
  <c r="O1479" i="1"/>
  <c r="L1479" i="1"/>
  <c r="J1479" i="1"/>
  <c r="M1479" i="1" s="1"/>
  <c r="G1479" i="1"/>
  <c r="AE1478" i="1"/>
  <c r="Y1478" i="1"/>
  <c r="V1478" i="1"/>
  <c r="W1478" i="1" s="1"/>
  <c r="U1478" i="1"/>
  <c r="X1478" i="1" s="1"/>
  <c r="S1478" i="1"/>
  <c r="P1478" i="1"/>
  <c r="Q1478" i="1" s="1"/>
  <c r="O1478" i="1"/>
  <c r="R1478" i="1" s="1"/>
  <c r="L1478" i="1"/>
  <c r="J1478" i="1"/>
  <c r="M1478" i="1" s="1"/>
  <c r="G1478" i="1"/>
  <c r="AE1477" i="1"/>
  <c r="Y1477" i="1"/>
  <c r="V1477" i="1"/>
  <c r="W1477" i="1" s="1"/>
  <c r="U1477" i="1"/>
  <c r="X1477" i="1" s="1"/>
  <c r="P1477" i="1"/>
  <c r="Q1477" i="1" s="1"/>
  <c r="O1477" i="1"/>
  <c r="L1477" i="1"/>
  <c r="J1477" i="1"/>
  <c r="M1477" i="1" s="1"/>
  <c r="G1477" i="1"/>
  <c r="AE1476" i="1"/>
  <c r="Y1476" i="1"/>
  <c r="V1476" i="1"/>
  <c r="W1476" i="1" s="1"/>
  <c r="U1476" i="1"/>
  <c r="X1476" i="1" s="1"/>
  <c r="S1476" i="1"/>
  <c r="P1476" i="1"/>
  <c r="Q1476" i="1" s="1"/>
  <c r="O1476" i="1"/>
  <c r="R1476" i="1" s="1"/>
  <c r="L1476" i="1"/>
  <c r="J1476" i="1"/>
  <c r="M1476" i="1" s="1"/>
  <c r="G1476" i="1"/>
  <c r="AE1475" i="1"/>
  <c r="Y1475" i="1"/>
  <c r="V1475" i="1"/>
  <c r="W1475" i="1" s="1"/>
  <c r="U1475" i="1"/>
  <c r="X1475" i="1" s="1"/>
  <c r="P1475" i="1"/>
  <c r="Q1475" i="1" s="1"/>
  <c r="O1475" i="1"/>
  <c r="L1475" i="1"/>
  <c r="J1475" i="1"/>
  <c r="M1475" i="1" s="1"/>
  <c r="G1475" i="1"/>
  <c r="AE1474" i="1"/>
  <c r="Y1474" i="1"/>
  <c r="V1474" i="1"/>
  <c r="W1474" i="1" s="1"/>
  <c r="U1474" i="1"/>
  <c r="X1474" i="1" s="1"/>
  <c r="S1474" i="1"/>
  <c r="Q1474" i="1"/>
  <c r="P1474" i="1"/>
  <c r="O1474" i="1"/>
  <c r="R1474" i="1" s="1"/>
  <c r="L1474" i="1"/>
  <c r="J1474" i="1"/>
  <c r="M1474" i="1" s="1"/>
  <c r="G1474" i="1"/>
  <c r="AE1473" i="1"/>
  <c r="Y1473" i="1"/>
  <c r="V1473" i="1"/>
  <c r="W1473" i="1" s="1"/>
  <c r="U1473" i="1"/>
  <c r="X1473" i="1" s="1"/>
  <c r="S1473" i="1"/>
  <c r="P1473" i="1"/>
  <c r="Q1473" i="1" s="1"/>
  <c r="O1473" i="1"/>
  <c r="R1473" i="1" s="1"/>
  <c r="L1473" i="1"/>
  <c r="J1473" i="1"/>
  <c r="M1473" i="1" s="1"/>
  <c r="G1473" i="1"/>
  <c r="AE1472" i="1"/>
  <c r="Y1472" i="1"/>
  <c r="V1472" i="1"/>
  <c r="W1472" i="1" s="1"/>
  <c r="U1472" i="1"/>
  <c r="X1472" i="1" s="1"/>
  <c r="S1472" i="1"/>
  <c r="P1472" i="1"/>
  <c r="Q1472" i="1" s="1"/>
  <c r="O1472" i="1"/>
  <c r="R1472" i="1" s="1"/>
  <c r="L1472" i="1"/>
  <c r="J1472" i="1"/>
  <c r="M1472" i="1" s="1"/>
  <c r="G1472" i="1"/>
  <c r="AE1471" i="1"/>
  <c r="Y1471" i="1"/>
  <c r="V1471" i="1"/>
  <c r="W1471" i="1" s="1"/>
  <c r="U1471" i="1"/>
  <c r="X1471" i="1" s="1"/>
  <c r="P1471" i="1"/>
  <c r="Q1471" i="1" s="1"/>
  <c r="O1471" i="1"/>
  <c r="L1471" i="1"/>
  <c r="J1471" i="1"/>
  <c r="M1471" i="1" s="1"/>
  <c r="G1471" i="1"/>
  <c r="AE1470" i="1"/>
  <c r="Y1470" i="1"/>
  <c r="V1470" i="1"/>
  <c r="W1470" i="1" s="1"/>
  <c r="U1470" i="1"/>
  <c r="X1470" i="1" s="1"/>
  <c r="P1470" i="1"/>
  <c r="Q1470" i="1" s="1"/>
  <c r="O1470" i="1"/>
  <c r="L1470" i="1"/>
  <c r="J1470" i="1"/>
  <c r="M1470" i="1" s="1"/>
  <c r="G1470" i="1"/>
  <c r="AE1469" i="1"/>
  <c r="Y1469" i="1"/>
  <c r="V1469" i="1"/>
  <c r="W1469" i="1" s="1"/>
  <c r="U1469" i="1"/>
  <c r="X1469" i="1" s="1"/>
  <c r="P1469" i="1"/>
  <c r="Q1469" i="1" s="1"/>
  <c r="O1469" i="1"/>
  <c r="L1469" i="1"/>
  <c r="J1469" i="1"/>
  <c r="M1469" i="1" s="1"/>
  <c r="G1469" i="1"/>
  <c r="AE1468" i="1"/>
  <c r="Y1468" i="1"/>
  <c r="V1468" i="1"/>
  <c r="W1468" i="1" s="1"/>
  <c r="U1468" i="1"/>
  <c r="X1468" i="1" s="1"/>
  <c r="P1468" i="1"/>
  <c r="Q1468" i="1" s="1"/>
  <c r="O1468" i="1"/>
  <c r="L1468" i="1"/>
  <c r="J1468" i="1"/>
  <c r="M1468" i="1" s="1"/>
  <c r="G1468" i="1"/>
  <c r="AE1467" i="1"/>
  <c r="Y1467" i="1"/>
  <c r="V1467" i="1"/>
  <c r="W1467" i="1" s="1"/>
  <c r="U1467" i="1"/>
  <c r="X1467" i="1" s="1"/>
  <c r="P1467" i="1"/>
  <c r="Q1467" i="1" s="1"/>
  <c r="O1467" i="1"/>
  <c r="L1467" i="1"/>
  <c r="J1467" i="1"/>
  <c r="M1467" i="1" s="1"/>
  <c r="G1467" i="1"/>
  <c r="C1467" i="1"/>
  <c r="AE1466" i="1"/>
  <c r="Y1466" i="1"/>
  <c r="V1466" i="1"/>
  <c r="W1466" i="1" s="1"/>
  <c r="U1466" i="1"/>
  <c r="X1466" i="1" s="1"/>
  <c r="P1466" i="1"/>
  <c r="Q1466" i="1" s="1"/>
  <c r="O1466" i="1"/>
  <c r="L1466" i="1"/>
  <c r="J1466" i="1"/>
  <c r="M1466" i="1" s="1"/>
  <c r="G1466" i="1"/>
  <c r="AE1465" i="1"/>
  <c r="Y1465" i="1"/>
  <c r="V1465" i="1"/>
  <c r="W1465" i="1" s="1"/>
  <c r="U1465" i="1"/>
  <c r="X1465" i="1" s="1"/>
  <c r="P1465" i="1"/>
  <c r="Q1465" i="1" s="1"/>
  <c r="O1465" i="1"/>
  <c r="L1465" i="1"/>
  <c r="J1465" i="1"/>
  <c r="M1465" i="1" s="1"/>
  <c r="G1465" i="1"/>
  <c r="AE1464" i="1"/>
  <c r="Y1464" i="1"/>
  <c r="V1464" i="1"/>
  <c r="W1464" i="1" s="1"/>
  <c r="U1464" i="1"/>
  <c r="X1464" i="1" s="1"/>
  <c r="P1464" i="1"/>
  <c r="Q1464" i="1" s="1"/>
  <c r="O1464" i="1"/>
  <c r="L1464" i="1"/>
  <c r="J1464" i="1"/>
  <c r="M1464" i="1" s="1"/>
  <c r="G1464" i="1"/>
  <c r="AE1463" i="1"/>
  <c r="Y1463" i="1"/>
  <c r="V1463" i="1"/>
  <c r="W1463" i="1" s="1"/>
  <c r="U1463" i="1"/>
  <c r="X1463" i="1" s="1"/>
  <c r="S1463" i="1"/>
  <c r="P1463" i="1"/>
  <c r="Q1463" i="1" s="1"/>
  <c r="O1463" i="1"/>
  <c r="R1463" i="1" s="1"/>
  <c r="L1463" i="1"/>
  <c r="J1463" i="1"/>
  <c r="M1463" i="1" s="1"/>
  <c r="G1463" i="1"/>
  <c r="AE1462" i="1"/>
  <c r="Y1462" i="1"/>
  <c r="V1462" i="1"/>
  <c r="W1462" i="1" s="1"/>
  <c r="U1462" i="1"/>
  <c r="X1462" i="1" s="1"/>
  <c r="P1462" i="1"/>
  <c r="Q1462" i="1" s="1"/>
  <c r="O1462" i="1"/>
  <c r="L1462" i="1"/>
  <c r="J1462" i="1"/>
  <c r="M1462" i="1" s="1"/>
  <c r="G1462" i="1"/>
  <c r="AE1461" i="1"/>
  <c r="Y1461" i="1"/>
  <c r="V1461" i="1"/>
  <c r="W1461" i="1" s="1"/>
  <c r="U1461" i="1"/>
  <c r="X1461" i="1" s="1"/>
  <c r="P1461" i="1"/>
  <c r="Q1461" i="1" s="1"/>
  <c r="O1461" i="1"/>
  <c r="L1461" i="1"/>
  <c r="J1461" i="1"/>
  <c r="M1461" i="1" s="1"/>
  <c r="G1461" i="1"/>
  <c r="AE1460" i="1"/>
  <c r="Y1460" i="1"/>
  <c r="V1460" i="1"/>
  <c r="W1460" i="1" s="1"/>
  <c r="U1460" i="1"/>
  <c r="X1460" i="1" s="1"/>
  <c r="P1460" i="1"/>
  <c r="Q1460" i="1" s="1"/>
  <c r="O1460" i="1"/>
  <c r="L1460" i="1"/>
  <c r="J1460" i="1"/>
  <c r="M1460" i="1" s="1"/>
  <c r="G1460" i="1"/>
  <c r="AE1459" i="1"/>
  <c r="Y1459" i="1"/>
  <c r="V1459" i="1"/>
  <c r="W1459" i="1" s="1"/>
  <c r="U1459" i="1"/>
  <c r="X1459" i="1" s="1"/>
  <c r="S1459" i="1"/>
  <c r="P1459" i="1"/>
  <c r="Q1459" i="1" s="1"/>
  <c r="O1459" i="1"/>
  <c r="R1459" i="1" s="1"/>
  <c r="L1459" i="1"/>
  <c r="J1459" i="1"/>
  <c r="M1459" i="1" s="1"/>
  <c r="G1459" i="1"/>
  <c r="AE1458" i="1"/>
  <c r="Y1458" i="1"/>
  <c r="V1458" i="1"/>
  <c r="W1458" i="1" s="1"/>
  <c r="U1458" i="1"/>
  <c r="X1458" i="1" s="1"/>
  <c r="S1458" i="1"/>
  <c r="P1458" i="1"/>
  <c r="Q1458" i="1" s="1"/>
  <c r="O1458" i="1"/>
  <c r="R1458" i="1" s="1"/>
  <c r="L1458" i="1"/>
  <c r="J1458" i="1"/>
  <c r="M1458" i="1" s="1"/>
  <c r="G1458" i="1"/>
  <c r="AE1457" i="1"/>
  <c r="Y1457" i="1"/>
  <c r="V1457" i="1"/>
  <c r="W1457" i="1" s="1"/>
  <c r="U1457" i="1"/>
  <c r="X1457" i="1" s="1"/>
  <c r="S1457" i="1"/>
  <c r="P1457" i="1"/>
  <c r="Q1457" i="1" s="1"/>
  <c r="O1457" i="1"/>
  <c r="R1457" i="1" s="1"/>
  <c r="L1457" i="1"/>
  <c r="J1457" i="1"/>
  <c r="M1457" i="1" s="1"/>
  <c r="G1457" i="1"/>
  <c r="AE1456" i="1"/>
  <c r="Y1456" i="1"/>
  <c r="V1456" i="1"/>
  <c r="W1456" i="1" s="1"/>
  <c r="U1456" i="1"/>
  <c r="X1456" i="1" s="1"/>
  <c r="S1456" i="1"/>
  <c r="P1456" i="1"/>
  <c r="Q1456" i="1" s="1"/>
  <c r="O1456" i="1"/>
  <c r="R1456" i="1" s="1"/>
  <c r="L1456" i="1"/>
  <c r="J1456" i="1"/>
  <c r="M1456" i="1" s="1"/>
  <c r="G1456" i="1"/>
  <c r="AE1455" i="1"/>
  <c r="Y1455" i="1"/>
  <c r="V1455" i="1"/>
  <c r="W1455" i="1" s="1"/>
  <c r="U1455" i="1"/>
  <c r="X1455" i="1" s="1"/>
  <c r="S1455" i="1"/>
  <c r="P1455" i="1"/>
  <c r="Q1455" i="1" s="1"/>
  <c r="O1455" i="1"/>
  <c r="R1455" i="1" s="1"/>
  <c r="L1455" i="1"/>
  <c r="J1455" i="1"/>
  <c r="M1455" i="1" s="1"/>
  <c r="G1455" i="1"/>
  <c r="AE1454" i="1"/>
  <c r="Y1454" i="1"/>
  <c r="V1454" i="1"/>
  <c r="W1454" i="1" s="1"/>
  <c r="U1454" i="1"/>
  <c r="X1454" i="1" s="1"/>
  <c r="P1454" i="1"/>
  <c r="Q1454" i="1" s="1"/>
  <c r="O1454" i="1"/>
  <c r="L1454" i="1"/>
  <c r="J1454" i="1"/>
  <c r="M1454" i="1" s="1"/>
  <c r="G1454" i="1"/>
  <c r="AE1453" i="1"/>
  <c r="Y1453" i="1"/>
  <c r="V1453" i="1"/>
  <c r="W1453" i="1" s="1"/>
  <c r="U1453" i="1"/>
  <c r="X1453" i="1" s="1"/>
  <c r="P1453" i="1"/>
  <c r="Q1453" i="1" s="1"/>
  <c r="O1453" i="1"/>
  <c r="L1453" i="1"/>
  <c r="J1453" i="1"/>
  <c r="M1453" i="1" s="1"/>
  <c r="G1453" i="1"/>
  <c r="AE1452" i="1"/>
  <c r="Y1452" i="1"/>
  <c r="V1452" i="1"/>
  <c r="W1452" i="1" s="1"/>
  <c r="U1452" i="1"/>
  <c r="X1452" i="1" s="1"/>
  <c r="S1452" i="1"/>
  <c r="P1452" i="1"/>
  <c r="Q1452" i="1" s="1"/>
  <c r="O1452" i="1"/>
  <c r="R1452" i="1" s="1"/>
  <c r="L1452" i="1"/>
  <c r="J1452" i="1"/>
  <c r="M1452" i="1" s="1"/>
  <c r="G1452" i="1"/>
  <c r="AE1451" i="1"/>
  <c r="Y1451" i="1"/>
  <c r="V1451" i="1"/>
  <c r="W1451" i="1" s="1"/>
  <c r="U1451" i="1"/>
  <c r="X1451" i="1" s="1"/>
  <c r="P1451" i="1"/>
  <c r="Q1451" i="1" s="1"/>
  <c r="O1451" i="1"/>
  <c r="L1451" i="1"/>
  <c r="J1451" i="1"/>
  <c r="M1451" i="1" s="1"/>
  <c r="G1451" i="1"/>
  <c r="AE1450" i="1"/>
  <c r="Y1450" i="1"/>
  <c r="V1450" i="1"/>
  <c r="W1450" i="1" s="1"/>
  <c r="U1450" i="1"/>
  <c r="X1450" i="1" s="1"/>
  <c r="P1450" i="1"/>
  <c r="Q1450" i="1" s="1"/>
  <c r="O1450" i="1"/>
  <c r="L1450" i="1"/>
  <c r="J1450" i="1"/>
  <c r="M1450" i="1" s="1"/>
  <c r="G1450" i="1"/>
  <c r="AE1449" i="1"/>
  <c r="Y1449" i="1"/>
  <c r="V1449" i="1"/>
  <c r="W1449" i="1" s="1"/>
  <c r="U1449" i="1"/>
  <c r="X1449" i="1" s="1"/>
  <c r="Q1449" i="1"/>
  <c r="P1449" i="1"/>
  <c r="O1449" i="1"/>
  <c r="L1449" i="1"/>
  <c r="J1449" i="1"/>
  <c r="M1449" i="1" s="1"/>
  <c r="G1449" i="1"/>
  <c r="AE1448" i="1"/>
  <c r="Y1448" i="1"/>
  <c r="V1448" i="1"/>
  <c r="W1448" i="1" s="1"/>
  <c r="U1448" i="1"/>
  <c r="X1448" i="1" s="1"/>
  <c r="P1448" i="1"/>
  <c r="Q1448" i="1" s="1"/>
  <c r="O1448" i="1"/>
  <c r="L1448" i="1"/>
  <c r="J1448" i="1"/>
  <c r="M1448" i="1" s="1"/>
  <c r="G1448" i="1"/>
  <c r="AE1447" i="1"/>
  <c r="Y1447" i="1"/>
  <c r="V1447" i="1"/>
  <c r="W1447" i="1" s="1"/>
  <c r="U1447" i="1"/>
  <c r="X1447" i="1" s="1"/>
  <c r="P1447" i="1"/>
  <c r="Q1447" i="1" s="1"/>
  <c r="O1447" i="1"/>
  <c r="L1447" i="1"/>
  <c r="J1447" i="1"/>
  <c r="M1447" i="1" s="1"/>
  <c r="G1447" i="1"/>
  <c r="AE1446" i="1"/>
  <c r="Y1446" i="1"/>
  <c r="V1446" i="1"/>
  <c r="W1446" i="1" s="1"/>
  <c r="U1446" i="1"/>
  <c r="X1446" i="1" s="1"/>
  <c r="P1446" i="1"/>
  <c r="Q1446" i="1" s="1"/>
  <c r="O1446" i="1"/>
  <c r="L1446" i="1"/>
  <c r="J1446" i="1"/>
  <c r="M1446" i="1" s="1"/>
  <c r="G1446" i="1"/>
  <c r="AE1445" i="1"/>
  <c r="Y1445" i="1"/>
  <c r="V1445" i="1"/>
  <c r="W1445" i="1" s="1"/>
  <c r="U1445" i="1"/>
  <c r="X1445" i="1" s="1"/>
  <c r="S1445" i="1"/>
  <c r="P1445" i="1"/>
  <c r="Q1445" i="1" s="1"/>
  <c r="O1445" i="1"/>
  <c r="R1445" i="1" s="1"/>
  <c r="L1445" i="1"/>
  <c r="J1445" i="1"/>
  <c r="M1445" i="1" s="1"/>
  <c r="G1445" i="1"/>
  <c r="AE1444" i="1"/>
  <c r="Y1444" i="1"/>
  <c r="V1444" i="1"/>
  <c r="W1444" i="1" s="1"/>
  <c r="U1444" i="1"/>
  <c r="X1444" i="1" s="1"/>
  <c r="S1444" i="1"/>
  <c r="P1444" i="1"/>
  <c r="Q1444" i="1" s="1"/>
  <c r="O1444" i="1"/>
  <c r="R1444" i="1" s="1"/>
  <c r="L1444" i="1"/>
  <c r="J1444" i="1"/>
  <c r="M1444" i="1" s="1"/>
  <c r="G1444" i="1"/>
  <c r="AE1443" i="1"/>
  <c r="Y1443" i="1"/>
  <c r="V1443" i="1"/>
  <c r="W1443" i="1" s="1"/>
  <c r="U1443" i="1"/>
  <c r="X1443" i="1" s="1"/>
  <c r="S1443" i="1"/>
  <c r="P1443" i="1"/>
  <c r="Q1443" i="1" s="1"/>
  <c r="O1443" i="1"/>
  <c r="R1443" i="1" s="1"/>
  <c r="L1443" i="1"/>
  <c r="J1443" i="1"/>
  <c r="M1443" i="1" s="1"/>
  <c r="G1443" i="1"/>
  <c r="AE1442" i="1"/>
  <c r="Y1442" i="1"/>
  <c r="V1442" i="1"/>
  <c r="W1442" i="1" s="1"/>
  <c r="U1442" i="1"/>
  <c r="X1442" i="1" s="1"/>
  <c r="P1442" i="1"/>
  <c r="Q1442" i="1" s="1"/>
  <c r="O1442" i="1"/>
  <c r="L1442" i="1"/>
  <c r="J1442" i="1"/>
  <c r="M1442" i="1" s="1"/>
  <c r="G1442" i="1"/>
  <c r="AE1441" i="1"/>
  <c r="Y1441" i="1"/>
  <c r="V1441" i="1"/>
  <c r="W1441" i="1" s="1"/>
  <c r="U1441" i="1"/>
  <c r="X1441" i="1" s="1"/>
  <c r="P1441" i="1"/>
  <c r="Q1441" i="1" s="1"/>
  <c r="O1441" i="1"/>
  <c r="L1441" i="1"/>
  <c r="J1441" i="1"/>
  <c r="M1441" i="1" s="1"/>
  <c r="G1441" i="1"/>
  <c r="AE1440" i="1"/>
  <c r="Y1440" i="1"/>
  <c r="V1440" i="1"/>
  <c r="W1440" i="1" s="1"/>
  <c r="U1440" i="1"/>
  <c r="X1440" i="1" s="1"/>
  <c r="S1440" i="1"/>
  <c r="P1440" i="1"/>
  <c r="Q1440" i="1" s="1"/>
  <c r="O1440" i="1"/>
  <c r="R1440" i="1" s="1"/>
  <c r="L1440" i="1"/>
  <c r="J1440" i="1"/>
  <c r="M1440" i="1" s="1"/>
  <c r="G1440" i="1"/>
  <c r="AE1439" i="1"/>
  <c r="Y1439" i="1"/>
  <c r="V1439" i="1"/>
  <c r="W1439" i="1" s="1"/>
  <c r="U1439" i="1"/>
  <c r="X1439" i="1" s="1"/>
  <c r="P1439" i="1"/>
  <c r="Q1439" i="1" s="1"/>
  <c r="O1439" i="1"/>
  <c r="L1439" i="1"/>
  <c r="J1439" i="1"/>
  <c r="M1439" i="1" s="1"/>
  <c r="G1439" i="1"/>
  <c r="AE1438" i="1"/>
  <c r="Y1438" i="1"/>
  <c r="V1438" i="1"/>
  <c r="W1438" i="1" s="1"/>
  <c r="U1438" i="1"/>
  <c r="X1438" i="1" s="1"/>
  <c r="P1438" i="1"/>
  <c r="Q1438" i="1" s="1"/>
  <c r="O1438" i="1"/>
  <c r="L1438" i="1"/>
  <c r="J1438" i="1"/>
  <c r="M1438" i="1" s="1"/>
  <c r="G1438" i="1"/>
  <c r="AE1437" i="1"/>
  <c r="Y1437" i="1"/>
  <c r="V1437" i="1"/>
  <c r="W1437" i="1" s="1"/>
  <c r="U1437" i="1"/>
  <c r="X1437" i="1" s="1"/>
  <c r="P1437" i="1"/>
  <c r="Q1437" i="1" s="1"/>
  <c r="O1437" i="1"/>
  <c r="L1437" i="1"/>
  <c r="J1437" i="1"/>
  <c r="M1437" i="1" s="1"/>
  <c r="G1437" i="1"/>
  <c r="AE1436" i="1"/>
  <c r="Y1436" i="1"/>
  <c r="V1436" i="1"/>
  <c r="W1436" i="1" s="1"/>
  <c r="U1436" i="1"/>
  <c r="X1436" i="1" s="1"/>
  <c r="P1436" i="1"/>
  <c r="Q1436" i="1" s="1"/>
  <c r="O1436" i="1"/>
  <c r="L1436" i="1"/>
  <c r="J1436" i="1"/>
  <c r="M1436" i="1" s="1"/>
  <c r="G1436" i="1"/>
  <c r="AE1435" i="1"/>
  <c r="Y1435" i="1"/>
  <c r="V1435" i="1"/>
  <c r="W1435" i="1" s="1"/>
  <c r="U1435" i="1"/>
  <c r="X1435" i="1" s="1"/>
  <c r="P1435" i="1"/>
  <c r="Q1435" i="1" s="1"/>
  <c r="O1435" i="1"/>
  <c r="L1435" i="1"/>
  <c r="J1435" i="1"/>
  <c r="M1435" i="1" s="1"/>
  <c r="G1435" i="1"/>
  <c r="AE1434" i="1"/>
  <c r="Y1434" i="1"/>
  <c r="V1434" i="1"/>
  <c r="W1434" i="1" s="1"/>
  <c r="U1434" i="1"/>
  <c r="X1434" i="1" s="1"/>
  <c r="P1434" i="1"/>
  <c r="Q1434" i="1" s="1"/>
  <c r="O1434" i="1"/>
  <c r="L1434" i="1"/>
  <c r="J1434" i="1"/>
  <c r="M1434" i="1" s="1"/>
  <c r="G1434" i="1"/>
  <c r="AE1433" i="1"/>
  <c r="Y1433" i="1"/>
  <c r="V1433" i="1"/>
  <c r="W1433" i="1" s="1"/>
  <c r="U1433" i="1"/>
  <c r="X1433" i="1" s="1"/>
  <c r="P1433" i="1"/>
  <c r="Q1433" i="1" s="1"/>
  <c r="O1433" i="1"/>
  <c r="L1433" i="1"/>
  <c r="J1433" i="1"/>
  <c r="M1433" i="1" s="1"/>
  <c r="G1433" i="1"/>
  <c r="AE1432" i="1"/>
  <c r="Y1432" i="1"/>
  <c r="V1432" i="1"/>
  <c r="W1432" i="1" s="1"/>
  <c r="U1432" i="1"/>
  <c r="X1432" i="1" s="1"/>
  <c r="S1432" i="1"/>
  <c r="P1432" i="1"/>
  <c r="Q1432" i="1" s="1"/>
  <c r="O1432" i="1"/>
  <c r="R1432" i="1" s="1"/>
  <c r="L1432" i="1"/>
  <c r="J1432" i="1"/>
  <c r="M1432" i="1" s="1"/>
  <c r="G1432" i="1"/>
  <c r="AE1431" i="1"/>
  <c r="Y1431" i="1"/>
  <c r="V1431" i="1"/>
  <c r="W1431" i="1" s="1"/>
  <c r="U1431" i="1"/>
  <c r="X1431" i="1" s="1"/>
  <c r="S1431" i="1"/>
  <c r="P1431" i="1"/>
  <c r="Q1431" i="1" s="1"/>
  <c r="O1431" i="1"/>
  <c r="R1431" i="1" s="1"/>
  <c r="L1431" i="1"/>
  <c r="J1431" i="1"/>
  <c r="M1431" i="1" s="1"/>
  <c r="G1431" i="1"/>
  <c r="AE1430" i="1"/>
  <c r="Y1430" i="1"/>
  <c r="V1430" i="1"/>
  <c r="W1430" i="1" s="1"/>
  <c r="U1430" i="1"/>
  <c r="X1430" i="1" s="1"/>
  <c r="P1430" i="1"/>
  <c r="Q1430" i="1" s="1"/>
  <c r="O1430" i="1"/>
  <c r="L1430" i="1"/>
  <c r="J1430" i="1"/>
  <c r="M1430" i="1" s="1"/>
  <c r="G1430" i="1"/>
  <c r="AE1429" i="1"/>
  <c r="Y1429" i="1"/>
  <c r="V1429" i="1"/>
  <c r="W1429" i="1" s="1"/>
  <c r="U1429" i="1"/>
  <c r="X1429" i="1" s="1"/>
  <c r="P1429" i="1"/>
  <c r="Q1429" i="1" s="1"/>
  <c r="O1429" i="1"/>
  <c r="L1429" i="1"/>
  <c r="J1429" i="1"/>
  <c r="M1429" i="1" s="1"/>
  <c r="G1429" i="1"/>
  <c r="AE1428" i="1"/>
  <c r="Y1428" i="1"/>
  <c r="V1428" i="1"/>
  <c r="W1428" i="1" s="1"/>
  <c r="U1428" i="1"/>
  <c r="X1428" i="1" s="1"/>
  <c r="P1428" i="1"/>
  <c r="Q1428" i="1" s="1"/>
  <c r="O1428" i="1"/>
  <c r="L1428" i="1"/>
  <c r="J1428" i="1"/>
  <c r="M1428" i="1" s="1"/>
  <c r="G1428" i="1"/>
  <c r="AE1427" i="1"/>
  <c r="Y1427" i="1"/>
  <c r="V1427" i="1"/>
  <c r="W1427" i="1" s="1"/>
  <c r="U1427" i="1"/>
  <c r="X1427" i="1" s="1"/>
  <c r="P1427" i="1"/>
  <c r="Q1427" i="1" s="1"/>
  <c r="O1427" i="1"/>
  <c r="L1427" i="1"/>
  <c r="J1427" i="1"/>
  <c r="M1427" i="1" s="1"/>
  <c r="G1427" i="1"/>
  <c r="AE1426" i="1"/>
  <c r="Y1426" i="1"/>
  <c r="V1426" i="1"/>
  <c r="W1426" i="1" s="1"/>
  <c r="U1426" i="1"/>
  <c r="X1426" i="1" s="1"/>
  <c r="S1426" i="1"/>
  <c r="P1426" i="1"/>
  <c r="Q1426" i="1" s="1"/>
  <c r="O1426" i="1"/>
  <c r="R1426" i="1" s="1"/>
  <c r="L1426" i="1"/>
  <c r="J1426" i="1"/>
  <c r="M1426" i="1" s="1"/>
  <c r="G1426" i="1"/>
  <c r="AE1425" i="1"/>
  <c r="Y1425" i="1"/>
  <c r="V1425" i="1"/>
  <c r="W1425" i="1" s="1"/>
  <c r="U1425" i="1"/>
  <c r="X1425" i="1" s="1"/>
  <c r="P1425" i="1"/>
  <c r="Q1425" i="1" s="1"/>
  <c r="O1425" i="1"/>
  <c r="L1425" i="1"/>
  <c r="J1425" i="1"/>
  <c r="M1425" i="1" s="1"/>
  <c r="G1425" i="1"/>
  <c r="AE1424" i="1"/>
  <c r="Y1424" i="1"/>
  <c r="V1424" i="1"/>
  <c r="W1424" i="1" s="1"/>
  <c r="U1424" i="1"/>
  <c r="X1424" i="1" s="1"/>
  <c r="S1424" i="1"/>
  <c r="P1424" i="1"/>
  <c r="Q1424" i="1" s="1"/>
  <c r="O1424" i="1"/>
  <c r="R1424" i="1" s="1"/>
  <c r="L1424" i="1"/>
  <c r="J1424" i="1"/>
  <c r="M1424" i="1" s="1"/>
  <c r="G1424" i="1"/>
  <c r="AE1423" i="1"/>
  <c r="Y1423" i="1"/>
  <c r="V1423" i="1"/>
  <c r="W1423" i="1" s="1"/>
  <c r="U1423" i="1"/>
  <c r="X1423" i="1" s="1"/>
  <c r="P1423" i="1"/>
  <c r="Q1423" i="1" s="1"/>
  <c r="O1423" i="1"/>
  <c r="L1423" i="1"/>
  <c r="J1423" i="1"/>
  <c r="M1423" i="1" s="1"/>
  <c r="G1423" i="1"/>
  <c r="AE1422" i="1"/>
  <c r="Y1422" i="1"/>
  <c r="V1422" i="1"/>
  <c r="W1422" i="1" s="1"/>
  <c r="U1422" i="1"/>
  <c r="X1422" i="1" s="1"/>
  <c r="P1422" i="1"/>
  <c r="Q1422" i="1" s="1"/>
  <c r="O1422" i="1"/>
  <c r="L1422" i="1"/>
  <c r="J1422" i="1"/>
  <c r="M1422" i="1" s="1"/>
  <c r="G1422" i="1"/>
  <c r="AE1421" i="1"/>
  <c r="Y1421" i="1"/>
  <c r="V1421" i="1"/>
  <c r="W1421" i="1" s="1"/>
  <c r="U1421" i="1"/>
  <c r="X1421" i="1" s="1"/>
  <c r="S1421" i="1"/>
  <c r="P1421" i="1"/>
  <c r="Q1421" i="1" s="1"/>
  <c r="O1421" i="1"/>
  <c r="R1421" i="1" s="1"/>
  <c r="L1421" i="1"/>
  <c r="J1421" i="1"/>
  <c r="M1421" i="1" s="1"/>
  <c r="G1421" i="1"/>
  <c r="AE1420" i="1"/>
  <c r="Y1420" i="1"/>
  <c r="V1420" i="1"/>
  <c r="W1420" i="1" s="1"/>
  <c r="U1420" i="1"/>
  <c r="X1420" i="1" s="1"/>
  <c r="P1420" i="1"/>
  <c r="Q1420" i="1" s="1"/>
  <c r="O1420" i="1"/>
  <c r="L1420" i="1"/>
  <c r="J1420" i="1"/>
  <c r="M1420" i="1" s="1"/>
  <c r="G1420" i="1"/>
  <c r="AE1419" i="1"/>
  <c r="Y1419" i="1"/>
  <c r="V1419" i="1"/>
  <c r="W1419" i="1" s="1"/>
  <c r="U1419" i="1"/>
  <c r="X1419" i="1" s="1"/>
  <c r="P1419" i="1"/>
  <c r="Q1419" i="1" s="1"/>
  <c r="O1419" i="1"/>
  <c r="L1419" i="1"/>
  <c r="J1419" i="1"/>
  <c r="M1419" i="1" s="1"/>
  <c r="G1419" i="1"/>
  <c r="AE1418" i="1"/>
  <c r="Y1418" i="1"/>
  <c r="V1418" i="1"/>
  <c r="W1418" i="1" s="1"/>
  <c r="U1418" i="1"/>
  <c r="X1418" i="1" s="1"/>
  <c r="P1418" i="1"/>
  <c r="Q1418" i="1" s="1"/>
  <c r="O1418" i="1"/>
  <c r="L1418" i="1"/>
  <c r="J1418" i="1"/>
  <c r="M1418" i="1" s="1"/>
  <c r="G1418" i="1"/>
  <c r="AE1417" i="1"/>
  <c r="Y1417" i="1"/>
  <c r="V1417" i="1"/>
  <c r="W1417" i="1" s="1"/>
  <c r="U1417" i="1"/>
  <c r="X1417" i="1" s="1"/>
  <c r="P1417" i="1"/>
  <c r="Q1417" i="1" s="1"/>
  <c r="O1417" i="1"/>
  <c r="L1417" i="1"/>
  <c r="J1417" i="1"/>
  <c r="M1417" i="1" s="1"/>
  <c r="G1417" i="1"/>
  <c r="AE1416" i="1"/>
  <c r="Y1416" i="1"/>
  <c r="V1416" i="1"/>
  <c r="W1416" i="1" s="1"/>
  <c r="U1416" i="1"/>
  <c r="X1416" i="1" s="1"/>
  <c r="P1416" i="1"/>
  <c r="Q1416" i="1" s="1"/>
  <c r="O1416" i="1"/>
  <c r="L1416" i="1"/>
  <c r="J1416" i="1"/>
  <c r="M1416" i="1" s="1"/>
  <c r="G1416" i="1"/>
  <c r="AE1415" i="1"/>
  <c r="Y1415" i="1"/>
  <c r="V1415" i="1"/>
  <c r="W1415" i="1" s="1"/>
  <c r="U1415" i="1"/>
  <c r="X1415" i="1" s="1"/>
  <c r="S1415" i="1"/>
  <c r="P1415" i="1"/>
  <c r="Q1415" i="1" s="1"/>
  <c r="O1415" i="1"/>
  <c r="R1415" i="1" s="1"/>
  <c r="L1415" i="1"/>
  <c r="J1415" i="1"/>
  <c r="M1415" i="1" s="1"/>
  <c r="G1415" i="1"/>
  <c r="AE1414" i="1"/>
  <c r="Y1414" i="1"/>
  <c r="V1414" i="1"/>
  <c r="W1414" i="1" s="1"/>
  <c r="U1414" i="1"/>
  <c r="X1414" i="1" s="1"/>
  <c r="S1414" i="1"/>
  <c r="P1414" i="1"/>
  <c r="Q1414" i="1" s="1"/>
  <c r="O1414" i="1"/>
  <c r="R1414" i="1" s="1"/>
  <c r="L1414" i="1"/>
  <c r="J1414" i="1"/>
  <c r="M1414" i="1" s="1"/>
  <c r="G1414" i="1"/>
  <c r="AE1413" i="1"/>
  <c r="Y1413" i="1"/>
  <c r="V1413" i="1"/>
  <c r="W1413" i="1" s="1"/>
  <c r="U1413" i="1"/>
  <c r="X1413" i="1" s="1"/>
  <c r="P1413" i="1"/>
  <c r="Q1413" i="1" s="1"/>
  <c r="O1413" i="1"/>
  <c r="L1413" i="1"/>
  <c r="J1413" i="1"/>
  <c r="M1413" i="1" s="1"/>
  <c r="G1413" i="1"/>
  <c r="AE1412" i="1"/>
  <c r="Y1412" i="1"/>
  <c r="V1412" i="1"/>
  <c r="W1412" i="1" s="1"/>
  <c r="U1412" i="1"/>
  <c r="X1412" i="1" s="1"/>
  <c r="S1412" i="1"/>
  <c r="P1412" i="1"/>
  <c r="Q1412" i="1" s="1"/>
  <c r="O1412" i="1"/>
  <c r="R1412" i="1" s="1"/>
  <c r="L1412" i="1"/>
  <c r="J1412" i="1"/>
  <c r="M1412" i="1" s="1"/>
  <c r="G1412" i="1"/>
  <c r="AE1411" i="1"/>
  <c r="Y1411" i="1"/>
  <c r="V1411" i="1"/>
  <c r="W1411" i="1" s="1"/>
  <c r="U1411" i="1"/>
  <c r="X1411" i="1" s="1"/>
  <c r="P1411" i="1"/>
  <c r="Q1411" i="1" s="1"/>
  <c r="O1411" i="1"/>
  <c r="L1411" i="1"/>
  <c r="J1411" i="1"/>
  <c r="M1411" i="1" s="1"/>
  <c r="G1411" i="1"/>
  <c r="AE1410" i="1"/>
  <c r="Y1410" i="1"/>
  <c r="V1410" i="1"/>
  <c r="W1410" i="1" s="1"/>
  <c r="U1410" i="1"/>
  <c r="X1410" i="1" s="1"/>
  <c r="P1410" i="1"/>
  <c r="Q1410" i="1" s="1"/>
  <c r="O1410" i="1"/>
  <c r="L1410" i="1"/>
  <c r="J1410" i="1"/>
  <c r="M1410" i="1" s="1"/>
  <c r="G1410" i="1"/>
  <c r="AE1409" i="1"/>
  <c r="Y1409" i="1"/>
  <c r="V1409" i="1"/>
  <c r="W1409" i="1" s="1"/>
  <c r="U1409" i="1"/>
  <c r="X1409" i="1" s="1"/>
  <c r="P1409" i="1"/>
  <c r="Q1409" i="1" s="1"/>
  <c r="O1409" i="1"/>
  <c r="L1409" i="1"/>
  <c r="J1409" i="1"/>
  <c r="M1409" i="1" s="1"/>
  <c r="G1409" i="1"/>
  <c r="AE1408" i="1"/>
  <c r="Y1408" i="1"/>
  <c r="V1408" i="1"/>
  <c r="W1408" i="1" s="1"/>
  <c r="U1408" i="1"/>
  <c r="X1408" i="1" s="1"/>
  <c r="P1408" i="1"/>
  <c r="Q1408" i="1" s="1"/>
  <c r="O1408" i="1"/>
  <c r="L1408" i="1"/>
  <c r="J1408" i="1"/>
  <c r="M1408" i="1" s="1"/>
  <c r="G1408" i="1"/>
  <c r="AE1407" i="1"/>
  <c r="Y1407" i="1"/>
  <c r="W1407" i="1"/>
  <c r="V1407" i="1"/>
  <c r="U1407" i="1"/>
  <c r="X1407" i="1" s="1"/>
  <c r="P1407" i="1"/>
  <c r="Q1407" i="1" s="1"/>
  <c r="O1407" i="1"/>
  <c r="L1407" i="1"/>
  <c r="J1407" i="1"/>
  <c r="M1407" i="1" s="1"/>
  <c r="G1407" i="1"/>
  <c r="AE1406" i="1"/>
  <c r="Y1406" i="1"/>
  <c r="V1406" i="1"/>
  <c r="W1406" i="1" s="1"/>
  <c r="U1406" i="1"/>
  <c r="X1406" i="1" s="1"/>
  <c r="S1406" i="1"/>
  <c r="P1406" i="1"/>
  <c r="Q1406" i="1" s="1"/>
  <c r="O1406" i="1"/>
  <c r="R1406" i="1" s="1"/>
  <c r="L1406" i="1"/>
  <c r="J1406" i="1"/>
  <c r="M1406" i="1" s="1"/>
  <c r="G1406" i="1"/>
  <c r="AE1405" i="1"/>
  <c r="Y1405" i="1"/>
  <c r="V1405" i="1"/>
  <c r="W1405" i="1" s="1"/>
  <c r="U1405" i="1"/>
  <c r="X1405" i="1" s="1"/>
  <c r="P1405" i="1"/>
  <c r="Q1405" i="1" s="1"/>
  <c r="O1405" i="1"/>
  <c r="L1405" i="1"/>
  <c r="J1405" i="1"/>
  <c r="M1405" i="1" s="1"/>
  <c r="G1405" i="1"/>
  <c r="AE1404" i="1"/>
  <c r="Y1404" i="1"/>
  <c r="V1404" i="1"/>
  <c r="W1404" i="1" s="1"/>
  <c r="U1404" i="1"/>
  <c r="X1404" i="1" s="1"/>
  <c r="P1404" i="1"/>
  <c r="Q1404" i="1" s="1"/>
  <c r="O1404" i="1"/>
  <c r="L1404" i="1"/>
  <c r="J1404" i="1"/>
  <c r="M1404" i="1" s="1"/>
  <c r="G1404" i="1"/>
  <c r="AE1403" i="1"/>
  <c r="Y1403" i="1"/>
  <c r="V1403" i="1"/>
  <c r="W1403" i="1" s="1"/>
  <c r="U1403" i="1"/>
  <c r="X1403" i="1" s="1"/>
  <c r="P1403" i="1"/>
  <c r="Q1403" i="1" s="1"/>
  <c r="O1403" i="1"/>
  <c r="L1403" i="1"/>
  <c r="J1403" i="1"/>
  <c r="M1403" i="1" s="1"/>
  <c r="G1403" i="1"/>
  <c r="AE1402" i="1"/>
  <c r="Y1402" i="1"/>
  <c r="V1402" i="1"/>
  <c r="W1402" i="1" s="1"/>
  <c r="U1402" i="1"/>
  <c r="X1402" i="1" s="1"/>
  <c r="P1402" i="1"/>
  <c r="Q1402" i="1" s="1"/>
  <c r="O1402" i="1"/>
  <c r="L1402" i="1"/>
  <c r="J1402" i="1"/>
  <c r="M1402" i="1" s="1"/>
  <c r="G1402" i="1"/>
  <c r="AE1401" i="1"/>
  <c r="Y1401" i="1"/>
  <c r="V1401" i="1"/>
  <c r="W1401" i="1" s="1"/>
  <c r="U1401" i="1"/>
  <c r="X1401" i="1" s="1"/>
  <c r="P1401" i="1"/>
  <c r="Q1401" i="1" s="1"/>
  <c r="O1401" i="1"/>
  <c r="L1401" i="1"/>
  <c r="J1401" i="1"/>
  <c r="M1401" i="1" s="1"/>
  <c r="G1401" i="1"/>
  <c r="AE1400" i="1"/>
  <c r="Y1400" i="1"/>
  <c r="V1400" i="1"/>
  <c r="W1400" i="1" s="1"/>
  <c r="U1400" i="1"/>
  <c r="X1400" i="1" s="1"/>
  <c r="P1400" i="1"/>
  <c r="Q1400" i="1" s="1"/>
  <c r="O1400" i="1"/>
  <c r="L1400" i="1"/>
  <c r="J1400" i="1"/>
  <c r="M1400" i="1" s="1"/>
  <c r="G1400" i="1"/>
  <c r="AE1399" i="1"/>
  <c r="Y1399" i="1"/>
  <c r="V1399" i="1"/>
  <c r="W1399" i="1" s="1"/>
  <c r="U1399" i="1"/>
  <c r="X1399" i="1" s="1"/>
  <c r="P1399" i="1"/>
  <c r="Q1399" i="1" s="1"/>
  <c r="O1399" i="1"/>
  <c r="L1399" i="1"/>
  <c r="J1399" i="1"/>
  <c r="M1399" i="1" s="1"/>
  <c r="G1399" i="1"/>
  <c r="AE1398" i="1"/>
  <c r="Y1398" i="1"/>
  <c r="V1398" i="1"/>
  <c r="W1398" i="1" s="1"/>
  <c r="U1398" i="1"/>
  <c r="X1398" i="1" s="1"/>
  <c r="P1398" i="1"/>
  <c r="Q1398" i="1" s="1"/>
  <c r="O1398" i="1"/>
  <c r="L1398" i="1"/>
  <c r="J1398" i="1"/>
  <c r="M1398" i="1" s="1"/>
  <c r="G1398" i="1"/>
  <c r="AE1397" i="1"/>
  <c r="Y1397" i="1"/>
  <c r="V1397" i="1"/>
  <c r="W1397" i="1" s="1"/>
  <c r="U1397" i="1"/>
  <c r="X1397" i="1" s="1"/>
  <c r="P1397" i="1"/>
  <c r="Q1397" i="1" s="1"/>
  <c r="O1397" i="1"/>
  <c r="L1397" i="1"/>
  <c r="J1397" i="1"/>
  <c r="M1397" i="1" s="1"/>
  <c r="G1397" i="1"/>
  <c r="AE1396" i="1"/>
  <c r="Y1396" i="1"/>
  <c r="V1396" i="1"/>
  <c r="W1396" i="1" s="1"/>
  <c r="U1396" i="1"/>
  <c r="X1396" i="1" s="1"/>
  <c r="P1396" i="1"/>
  <c r="Q1396" i="1" s="1"/>
  <c r="O1396" i="1"/>
  <c r="L1396" i="1"/>
  <c r="J1396" i="1"/>
  <c r="M1396" i="1" s="1"/>
  <c r="G1396" i="1"/>
  <c r="AE1395" i="1"/>
  <c r="Y1395" i="1"/>
  <c r="V1395" i="1"/>
  <c r="W1395" i="1" s="1"/>
  <c r="U1395" i="1"/>
  <c r="X1395" i="1" s="1"/>
  <c r="P1395" i="1"/>
  <c r="Q1395" i="1" s="1"/>
  <c r="O1395" i="1"/>
  <c r="L1395" i="1"/>
  <c r="J1395" i="1"/>
  <c r="M1395" i="1" s="1"/>
  <c r="G1395" i="1"/>
  <c r="AE1394" i="1"/>
  <c r="Y1394" i="1"/>
  <c r="V1394" i="1"/>
  <c r="W1394" i="1" s="1"/>
  <c r="U1394" i="1"/>
  <c r="X1394" i="1" s="1"/>
  <c r="S1394" i="1"/>
  <c r="P1394" i="1"/>
  <c r="Q1394" i="1" s="1"/>
  <c r="O1394" i="1"/>
  <c r="R1394" i="1" s="1"/>
  <c r="L1394" i="1"/>
  <c r="J1394" i="1"/>
  <c r="M1394" i="1" s="1"/>
  <c r="G1394" i="1"/>
  <c r="AE1393" i="1"/>
  <c r="Y1393" i="1"/>
  <c r="V1393" i="1"/>
  <c r="W1393" i="1" s="1"/>
  <c r="U1393" i="1"/>
  <c r="X1393" i="1" s="1"/>
  <c r="P1393" i="1"/>
  <c r="Q1393" i="1" s="1"/>
  <c r="O1393" i="1"/>
  <c r="L1393" i="1"/>
  <c r="J1393" i="1"/>
  <c r="M1393" i="1" s="1"/>
  <c r="G1393" i="1"/>
  <c r="AE1392" i="1"/>
  <c r="Y1392" i="1"/>
  <c r="V1392" i="1"/>
  <c r="W1392" i="1" s="1"/>
  <c r="U1392" i="1"/>
  <c r="X1392" i="1" s="1"/>
  <c r="S1392" i="1"/>
  <c r="P1392" i="1"/>
  <c r="Q1392" i="1" s="1"/>
  <c r="O1392" i="1"/>
  <c r="R1392" i="1" s="1"/>
  <c r="L1392" i="1"/>
  <c r="J1392" i="1"/>
  <c r="M1392" i="1" s="1"/>
  <c r="G1392" i="1"/>
  <c r="AE1391" i="1"/>
  <c r="Y1391" i="1"/>
  <c r="V1391" i="1"/>
  <c r="W1391" i="1" s="1"/>
  <c r="U1391" i="1"/>
  <c r="X1391" i="1" s="1"/>
  <c r="P1391" i="1"/>
  <c r="Q1391" i="1" s="1"/>
  <c r="O1391" i="1"/>
  <c r="L1391" i="1"/>
  <c r="J1391" i="1"/>
  <c r="M1391" i="1" s="1"/>
  <c r="G1391" i="1"/>
  <c r="AE1390" i="1"/>
  <c r="Y1390" i="1"/>
  <c r="V1390" i="1"/>
  <c r="W1390" i="1" s="1"/>
  <c r="U1390" i="1"/>
  <c r="X1390" i="1" s="1"/>
  <c r="P1390" i="1"/>
  <c r="Q1390" i="1" s="1"/>
  <c r="O1390" i="1"/>
  <c r="L1390" i="1"/>
  <c r="J1390" i="1"/>
  <c r="M1390" i="1" s="1"/>
  <c r="G1390" i="1"/>
  <c r="AE1389" i="1"/>
  <c r="Y1389" i="1"/>
  <c r="V1389" i="1"/>
  <c r="W1389" i="1" s="1"/>
  <c r="U1389" i="1"/>
  <c r="X1389" i="1" s="1"/>
  <c r="P1389" i="1"/>
  <c r="Q1389" i="1" s="1"/>
  <c r="O1389" i="1"/>
  <c r="L1389" i="1"/>
  <c r="J1389" i="1"/>
  <c r="M1389" i="1" s="1"/>
  <c r="G1389" i="1"/>
  <c r="AE1388" i="1"/>
  <c r="Y1388" i="1"/>
  <c r="V1388" i="1"/>
  <c r="W1388" i="1" s="1"/>
  <c r="U1388" i="1"/>
  <c r="X1388" i="1" s="1"/>
  <c r="S1388" i="1"/>
  <c r="P1388" i="1"/>
  <c r="Q1388" i="1" s="1"/>
  <c r="O1388" i="1"/>
  <c r="R1388" i="1" s="1"/>
  <c r="L1388" i="1"/>
  <c r="J1388" i="1"/>
  <c r="M1388" i="1" s="1"/>
  <c r="G1388" i="1"/>
  <c r="AE1387" i="1"/>
  <c r="Y1387" i="1"/>
  <c r="V1387" i="1"/>
  <c r="W1387" i="1" s="1"/>
  <c r="U1387" i="1"/>
  <c r="X1387" i="1" s="1"/>
  <c r="P1387" i="1"/>
  <c r="Q1387" i="1" s="1"/>
  <c r="O1387" i="1"/>
  <c r="L1387" i="1"/>
  <c r="J1387" i="1"/>
  <c r="M1387" i="1" s="1"/>
  <c r="G1387" i="1"/>
  <c r="AE1386" i="1"/>
  <c r="Y1386" i="1"/>
  <c r="V1386" i="1"/>
  <c r="W1386" i="1" s="1"/>
  <c r="U1386" i="1"/>
  <c r="X1386" i="1" s="1"/>
  <c r="P1386" i="1"/>
  <c r="Q1386" i="1" s="1"/>
  <c r="O1386" i="1"/>
  <c r="L1386" i="1"/>
  <c r="J1386" i="1"/>
  <c r="M1386" i="1" s="1"/>
  <c r="G1386" i="1"/>
  <c r="AE1385" i="1"/>
  <c r="Y1385" i="1"/>
  <c r="V1385" i="1"/>
  <c r="W1385" i="1" s="1"/>
  <c r="U1385" i="1"/>
  <c r="X1385" i="1" s="1"/>
  <c r="P1385" i="1"/>
  <c r="Q1385" i="1" s="1"/>
  <c r="O1385" i="1"/>
  <c r="L1385" i="1"/>
  <c r="J1385" i="1"/>
  <c r="M1385" i="1" s="1"/>
  <c r="G1385" i="1"/>
  <c r="AE1384" i="1"/>
  <c r="Y1384" i="1"/>
  <c r="V1384" i="1"/>
  <c r="W1384" i="1" s="1"/>
  <c r="U1384" i="1"/>
  <c r="X1384" i="1" s="1"/>
  <c r="P1384" i="1"/>
  <c r="Q1384" i="1" s="1"/>
  <c r="O1384" i="1"/>
  <c r="L1384" i="1"/>
  <c r="J1384" i="1"/>
  <c r="M1384" i="1" s="1"/>
  <c r="G1384" i="1"/>
  <c r="AE1383" i="1"/>
  <c r="Y1383" i="1"/>
  <c r="V1383" i="1"/>
  <c r="W1383" i="1" s="1"/>
  <c r="U1383" i="1"/>
  <c r="X1383" i="1" s="1"/>
  <c r="P1383" i="1"/>
  <c r="Q1383" i="1" s="1"/>
  <c r="O1383" i="1"/>
  <c r="L1383" i="1"/>
  <c r="J1383" i="1"/>
  <c r="M1383" i="1" s="1"/>
  <c r="G1383" i="1"/>
  <c r="AE1382" i="1"/>
  <c r="Y1382" i="1"/>
  <c r="V1382" i="1"/>
  <c r="W1382" i="1" s="1"/>
  <c r="U1382" i="1"/>
  <c r="X1382" i="1" s="1"/>
  <c r="P1382" i="1"/>
  <c r="Q1382" i="1" s="1"/>
  <c r="O1382" i="1"/>
  <c r="L1382" i="1"/>
  <c r="J1382" i="1"/>
  <c r="M1382" i="1" s="1"/>
  <c r="G1382" i="1"/>
  <c r="AE1381" i="1"/>
  <c r="Y1381" i="1"/>
  <c r="V1381" i="1"/>
  <c r="W1381" i="1" s="1"/>
  <c r="U1381" i="1"/>
  <c r="X1381" i="1" s="1"/>
  <c r="P1381" i="1"/>
  <c r="Q1381" i="1" s="1"/>
  <c r="O1381" i="1"/>
  <c r="L1381" i="1"/>
  <c r="J1381" i="1"/>
  <c r="M1381" i="1" s="1"/>
  <c r="G1381" i="1"/>
  <c r="AE1380" i="1"/>
  <c r="Y1380" i="1"/>
  <c r="V1380" i="1"/>
  <c r="W1380" i="1" s="1"/>
  <c r="U1380" i="1"/>
  <c r="X1380" i="1" s="1"/>
  <c r="P1380" i="1"/>
  <c r="Q1380" i="1" s="1"/>
  <c r="O1380" i="1"/>
  <c r="L1380" i="1"/>
  <c r="J1380" i="1"/>
  <c r="M1380" i="1" s="1"/>
  <c r="G1380" i="1"/>
  <c r="AE1379" i="1"/>
  <c r="V1379" i="1"/>
  <c r="W1379" i="1" s="1"/>
  <c r="U1379" i="1"/>
  <c r="P1379" i="1"/>
  <c r="Q1379" i="1" s="1"/>
  <c r="O1379" i="1"/>
  <c r="L1379" i="1"/>
  <c r="J1379" i="1"/>
  <c r="M1379" i="1" s="1"/>
  <c r="G1379" i="1"/>
  <c r="AE1378" i="1"/>
  <c r="V1378" i="1"/>
  <c r="W1378" i="1" s="1"/>
  <c r="U1378" i="1"/>
  <c r="S1378" i="1"/>
  <c r="P1378" i="1"/>
  <c r="Q1378" i="1" s="1"/>
  <c r="O1378" i="1"/>
  <c r="R1378" i="1" s="1"/>
  <c r="L1378" i="1"/>
  <c r="J1378" i="1"/>
  <c r="M1378" i="1" s="1"/>
  <c r="G1378" i="1"/>
  <c r="AE1377" i="1"/>
  <c r="V1377" i="1"/>
  <c r="W1377" i="1" s="1"/>
  <c r="U1377" i="1"/>
  <c r="P1377" i="1"/>
  <c r="Q1377" i="1" s="1"/>
  <c r="O1377" i="1"/>
  <c r="L1377" i="1"/>
  <c r="J1377" i="1"/>
  <c r="M1377" i="1" s="1"/>
  <c r="G1377" i="1"/>
  <c r="AE1376" i="1"/>
  <c r="V1376" i="1"/>
  <c r="W1376" i="1" s="1"/>
  <c r="U1376" i="1"/>
  <c r="S1376" i="1"/>
  <c r="P1376" i="1"/>
  <c r="Q1376" i="1" s="1"/>
  <c r="O1376" i="1"/>
  <c r="R1376" i="1" s="1"/>
  <c r="L1376" i="1"/>
  <c r="J1376" i="1"/>
  <c r="M1376" i="1" s="1"/>
  <c r="G1376" i="1"/>
  <c r="AE1375" i="1"/>
  <c r="V1375" i="1"/>
  <c r="W1375" i="1" s="1"/>
  <c r="U1375" i="1"/>
  <c r="P1375" i="1"/>
  <c r="Q1375" i="1" s="1"/>
  <c r="O1375" i="1"/>
  <c r="L1375" i="1"/>
  <c r="J1375" i="1"/>
  <c r="M1375" i="1" s="1"/>
  <c r="G1375" i="1"/>
  <c r="AE1374" i="1"/>
  <c r="V1374" i="1"/>
  <c r="W1374" i="1" s="1"/>
  <c r="U1374" i="1"/>
  <c r="P1374" i="1"/>
  <c r="Q1374" i="1" s="1"/>
  <c r="O1374" i="1"/>
  <c r="L1374" i="1"/>
  <c r="J1374" i="1"/>
  <c r="M1374" i="1" s="1"/>
  <c r="G1374" i="1"/>
  <c r="AE1373" i="1"/>
  <c r="V1373" i="1"/>
  <c r="W1373" i="1" s="1"/>
  <c r="U1373" i="1"/>
  <c r="P1373" i="1"/>
  <c r="Q1373" i="1" s="1"/>
  <c r="O1373" i="1"/>
  <c r="L1373" i="1"/>
  <c r="J1373" i="1"/>
  <c r="M1373" i="1" s="1"/>
  <c r="G1373" i="1"/>
  <c r="AE1372" i="1"/>
  <c r="V1372" i="1"/>
  <c r="W1372" i="1" s="1"/>
  <c r="U1372" i="1"/>
  <c r="P1372" i="1"/>
  <c r="Q1372" i="1" s="1"/>
  <c r="O1372" i="1"/>
  <c r="L1372" i="1"/>
  <c r="J1372" i="1"/>
  <c r="M1372" i="1" s="1"/>
  <c r="G1372" i="1"/>
  <c r="AE1371" i="1"/>
  <c r="V1371" i="1"/>
  <c r="W1371" i="1" s="1"/>
  <c r="U1371" i="1"/>
  <c r="P1371" i="1"/>
  <c r="Q1371" i="1" s="1"/>
  <c r="O1371" i="1"/>
  <c r="L1371" i="1"/>
  <c r="J1371" i="1"/>
  <c r="M1371" i="1" s="1"/>
  <c r="G1371" i="1"/>
  <c r="AE1370" i="1"/>
  <c r="V1370" i="1"/>
  <c r="W1370" i="1" s="1"/>
  <c r="U1370" i="1"/>
  <c r="P1370" i="1"/>
  <c r="Q1370" i="1" s="1"/>
  <c r="O1370" i="1"/>
  <c r="L1370" i="1"/>
  <c r="J1370" i="1"/>
  <c r="M1370" i="1" s="1"/>
  <c r="G1370" i="1"/>
  <c r="AE1369" i="1"/>
  <c r="V1369" i="1"/>
  <c r="W1369" i="1" s="1"/>
  <c r="U1369" i="1"/>
  <c r="P1369" i="1"/>
  <c r="Q1369" i="1" s="1"/>
  <c r="O1369" i="1"/>
  <c r="L1369" i="1"/>
  <c r="J1369" i="1"/>
  <c r="M1369" i="1" s="1"/>
  <c r="G1369" i="1"/>
  <c r="AE1368" i="1"/>
  <c r="V1368" i="1"/>
  <c r="W1368" i="1" s="1"/>
  <c r="U1368" i="1"/>
  <c r="P1368" i="1"/>
  <c r="Q1368" i="1" s="1"/>
  <c r="O1368" i="1"/>
  <c r="L1368" i="1"/>
  <c r="J1368" i="1"/>
  <c r="M1368" i="1" s="1"/>
  <c r="G1368" i="1"/>
  <c r="AE1367" i="1"/>
  <c r="V1367" i="1"/>
  <c r="W1367" i="1" s="1"/>
  <c r="U1367" i="1"/>
  <c r="P1367" i="1"/>
  <c r="Q1367" i="1" s="1"/>
  <c r="O1367" i="1"/>
  <c r="L1367" i="1"/>
  <c r="J1367" i="1"/>
  <c r="M1367" i="1" s="1"/>
  <c r="G1367" i="1"/>
  <c r="AE1366" i="1"/>
  <c r="V1366" i="1"/>
  <c r="W1366" i="1" s="1"/>
  <c r="U1366" i="1"/>
  <c r="P1366" i="1"/>
  <c r="Q1366" i="1" s="1"/>
  <c r="O1366" i="1"/>
  <c r="L1366" i="1"/>
  <c r="J1366" i="1"/>
  <c r="M1366" i="1" s="1"/>
  <c r="G1366" i="1"/>
  <c r="AE1365" i="1"/>
  <c r="V1365" i="1"/>
  <c r="W1365" i="1" s="1"/>
  <c r="U1365" i="1"/>
  <c r="S1365" i="1"/>
  <c r="P1365" i="1"/>
  <c r="Q1365" i="1" s="1"/>
  <c r="O1365" i="1"/>
  <c r="R1365" i="1" s="1"/>
  <c r="L1365" i="1"/>
  <c r="J1365" i="1"/>
  <c r="M1365" i="1" s="1"/>
  <c r="G1365" i="1"/>
  <c r="AE1364" i="1"/>
  <c r="V1364" i="1"/>
  <c r="W1364" i="1" s="1"/>
  <c r="U1364" i="1"/>
  <c r="P1364" i="1"/>
  <c r="Q1364" i="1" s="1"/>
  <c r="O1364" i="1"/>
  <c r="L1364" i="1"/>
  <c r="J1364" i="1"/>
  <c r="M1364" i="1" s="1"/>
  <c r="G1364" i="1"/>
  <c r="AE1363" i="1"/>
  <c r="V1363" i="1"/>
  <c r="W1363" i="1" s="1"/>
  <c r="U1363" i="1"/>
  <c r="P1363" i="1"/>
  <c r="Q1363" i="1" s="1"/>
  <c r="O1363" i="1"/>
  <c r="L1363" i="1"/>
  <c r="J1363" i="1"/>
  <c r="M1363" i="1" s="1"/>
  <c r="G1363" i="1"/>
  <c r="AE1362" i="1"/>
  <c r="V1362" i="1"/>
  <c r="W1362" i="1" s="1"/>
  <c r="U1362" i="1"/>
  <c r="P1362" i="1"/>
  <c r="Q1362" i="1" s="1"/>
  <c r="O1362" i="1"/>
  <c r="L1362" i="1"/>
  <c r="J1362" i="1"/>
  <c r="M1362" i="1" s="1"/>
  <c r="G1362" i="1"/>
  <c r="AE1361" i="1"/>
  <c r="V1361" i="1"/>
  <c r="W1361" i="1" s="1"/>
  <c r="U1361" i="1"/>
  <c r="P1361" i="1"/>
  <c r="Q1361" i="1" s="1"/>
  <c r="O1361" i="1"/>
  <c r="L1361" i="1"/>
  <c r="J1361" i="1"/>
  <c r="M1361" i="1" s="1"/>
  <c r="G1361" i="1"/>
  <c r="AE1360" i="1"/>
  <c r="V1360" i="1"/>
  <c r="W1360" i="1" s="1"/>
  <c r="U1360" i="1"/>
  <c r="P1360" i="1"/>
  <c r="Q1360" i="1" s="1"/>
  <c r="O1360" i="1"/>
  <c r="L1360" i="1"/>
  <c r="J1360" i="1"/>
  <c r="M1360" i="1" s="1"/>
  <c r="G1360" i="1"/>
  <c r="AE1359" i="1"/>
  <c r="V1359" i="1"/>
  <c r="W1359" i="1" s="1"/>
  <c r="U1359" i="1"/>
  <c r="P1359" i="1"/>
  <c r="Q1359" i="1" s="1"/>
  <c r="O1359" i="1"/>
  <c r="L1359" i="1"/>
  <c r="J1359" i="1"/>
  <c r="M1359" i="1" s="1"/>
  <c r="G1359" i="1"/>
  <c r="AE1358" i="1"/>
  <c r="V1358" i="1"/>
  <c r="W1358" i="1" s="1"/>
  <c r="U1358" i="1"/>
  <c r="P1358" i="1"/>
  <c r="Q1358" i="1" s="1"/>
  <c r="O1358" i="1"/>
  <c r="L1358" i="1"/>
  <c r="J1358" i="1"/>
  <c r="M1358" i="1" s="1"/>
  <c r="G1358" i="1"/>
  <c r="AE1357" i="1"/>
  <c r="V1357" i="1"/>
  <c r="W1357" i="1" s="1"/>
  <c r="U1357" i="1"/>
  <c r="P1357" i="1"/>
  <c r="Q1357" i="1" s="1"/>
  <c r="O1357" i="1"/>
  <c r="L1357" i="1"/>
  <c r="J1357" i="1"/>
  <c r="M1357" i="1" s="1"/>
  <c r="G1357" i="1"/>
  <c r="AE1356" i="1"/>
  <c r="V1356" i="1"/>
  <c r="W1356" i="1" s="1"/>
  <c r="U1356" i="1"/>
  <c r="P1356" i="1"/>
  <c r="Q1356" i="1" s="1"/>
  <c r="O1356" i="1"/>
  <c r="L1356" i="1"/>
  <c r="J1356" i="1"/>
  <c r="M1356" i="1" s="1"/>
  <c r="G1356" i="1"/>
  <c r="AE1355" i="1"/>
  <c r="V1355" i="1"/>
  <c r="W1355" i="1" s="1"/>
  <c r="U1355" i="1"/>
  <c r="P1355" i="1"/>
  <c r="Q1355" i="1" s="1"/>
  <c r="O1355" i="1"/>
  <c r="L1355" i="1"/>
  <c r="J1355" i="1"/>
  <c r="M1355" i="1" s="1"/>
  <c r="G1355" i="1"/>
  <c r="AE1354" i="1"/>
  <c r="V1354" i="1"/>
  <c r="W1354" i="1" s="1"/>
  <c r="U1354" i="1"/>
  <c r="P1354" i="1"/>
  <c r="Q1354" i="1" s="1"/>
  <c r="O1354" i="1"/>
  <c r="L1354" i="1"/>
  <c r="J1354" i="1"/>
  <c r="M1354" i="1" s="1"/>
  <c r="G1354" i="1"/>
  <c r="AE1353" i="1"/>
  <c r="V1353" i="1"/>
  <c r="W1353" i="1" s="1"/>
  <c r="U1353" i="1"/>
  <c r="P1353" i="1"/>
  <c r="Q1353" i="1" s="1"/>
  <c r="O1353" i="1"/>
  <c r="L1353" i="1"/>
  <c r="J1353" i="1"/>
  <c r="M1353" i="1" s="1"/>
  <c r="G1353" i="1"/>
  <c r="AE1352" i="1"/>
  <c r="V1352" i="1"/>
  <c r="W1352" i="1" s="1"/>
  <c r="U1352" i="1"/>
  <c r="P1352" i="1"/>
  <c r="Q1352" i="1" s="1"/>
  <c r="O1352" i="1"/>
  <c r="L1352" i="1"/>
  <c r="J1352" i="1"/>
  <c r="M1352" i="1" s="1"/>
  <c r="G1352" i="1"/>
  <c r="AE1351" i="1"/>
  <c r="V1351" i="1"/>
  <c r="W1351" i="1" s="1"/>
  <c r="U1351" i="1"/>
  <c r="P1351" i="1"/>
  <c r="Q1351" i="1" s="1"/>
  <c r="O1351" i="1"/>
  <c r="L1351" i="1"/>
  <c r="J1351" i="1"/>
  <c r="M1351" i="1" s="1"/>
  <c r="G1351" i="1"/>
  <c r="AE1350" i="1"/>
  <c r="V1350" i="1"/>
  <c r="W1350" i="1" s="1"/>
  <c r="U1350" i="1"/>
  <c r="P1350" i="1"/>
  <c r="Q1350" i="1" s="1"/>
  <c r="O1350" i="1"/>
  <c r="L1350" i="1"/>
  <c r="J1350" i="1"/>
  <c r="M1350" i="1" s="1"/>
  <c r="G1350" i="1"/>
  <c r="AE1349" i="1"/>
  <c r="V1349" i="1"/>
  <c r="W1349" i="1" s="1"/>
  <c r="U1349" i="1"/>
  <c r="P1349" i="1"/>
  <c r="Q1349" i="1" s="1"/>
  <c r="O1349" i="1"/>
  <c r="L1349" i="1"/>
  <c r="J1349" i="1"/>
  <c r="M1349" i="1" s="1"/>
  <c r="G1349" i="1"/>
  <c r="AE1348" i="1"/>
  <c r="V1348" i="1"/>
  <c r="W1348" i="1" s="1"/>
  <c r="U1348" i="1"/>
  <c r="P1348" i="1"/>
  <c r="Q1348" i="1" s="1"/>
  <c r="O1348" i="1"/>
  <c r="L1348" i="1"/>
  <c r="J1348" i="1"/>
  <c r="M1348" i="1" s="1"/>
  <c r="G1348" i="1"/>
  <c r="AE1347" i="1"/>
  <c r="V1347" i="1"/>
  <c r="W1347" i="1" s="1"/>
  <c r="U1347" i="1"/>
  <c r="P1347" i="1"/>
  <c r="Q1347" i="1" s="1"/>
  <c r="O1347" i="1"/>
  <c r="L1347" i="1"/>
  <c r="J1347" i="1"/>
  <c r="M1347" i="1" s="1"/>
  <c r="G1347" i="1"/>
  <c r="AE1346" i="1"/>
  <c r="V1346" i="1"/>
  <c r="W1346" i="1" s="1"/>
  <c r="U1346" i="1"/>
  <c r="P1346" i="1"/>
  <c r="Q1346" i="1" s="1"/>
  <c r="O1346" i="1"/>
  <c r="L1346" i="1"/>
  <c r="J1346" i="1"/>
  <c r="M1346" i="1" s="1"/>
  <c r="G1346" i="1"/>
  <c r="AE1345" i="1"/>
  <c r="Y1345" i="1"/>
  <c r="V1345" i="1"/>
  <c r="W1345" i="1" s="1"/>
  <c r="U1345" i="1"/>
  <c r="X1345" i="1" s="1"/>
  <c r="P1345" i="1"/>
  <c r="Q1345" i="1" s="1"/>
  <c r="O1345" i="1"/>
  <c r="L1345" i="1"/>
  <c r="J1345" i="1"/>
  <c r="M1345" i="1" s="1"/>
  <c r="G1345" i="1"/>
  <c r="AE1344" i="1"/>
  <c r="V1344" i="1"/>
  <c r="W1344" i="1" s="1"/>
  <c r="U1344" i="1"/>
  <c r="S1344" i="1"/>
  <c r="P1344" i="1"/>
  <c r="Q1344" i="1" s="1"/>
  <c r="O1344" i="1"/>
  <c r="R1344" i="1" s="1"/>
  <c r="L1344" i="1"/>
  <c r="J1344" i="1"/>
  <c r="M1344" i="1" s="1"/>
  <c r="G1344" i="1"/>
  <c r="AE1343" i="1"/>
  <c r="V1343" i="1"/>
  <c r="W1343" i="1" s="1"/>
  <c r="U1343" i="1"/>
  <c r="P1343" i="1"/>
  <c r="Q1343" i="1" s="1"/>
  <c r="O1343" i="1"/>
  <c r="L1343" i="1"/>
  <c r="J1343" i="1"/>
  <c r="M1343" i="1" s="1"/>
  <c r="G1343" i="1"/>
  <c r="AE1342" i="1"/>
  <c r="V1342" i="1"/>
  <c r="W1342" i="1" s="1"/>
  <c r="U1342" i="1"/>
  <c r="P1342" i="1"/>
  <c r="Q1342" i="1" s="1"/>
  <c r="O1342" i="1"/>
  <c r="L1342" i="1"/>
  <c r="J1342" i="1"/>
  <c r="M1342" i="1" s="1"/>
  <c r="G1342" i="1"/>
  <c r="AE1341" i="1"/>
  <c r="V1341" i="1"/>
  <c r="W1341" i="1" s="1"/>
  <c r="U1341" i="1"/>
  <c r="P1341" i="1"/>
  <c r="Q1341" i="1" s="1"/>
  <c r="O1341" i="1"/>
  <c r="L1341" i="1"/>
  <c r="J1341" i="1"/>
  <c r="M1341" i="1" s="1"/>
  <c r="G1341" i="1"/>
  <c r="AE1340" i="1"/>
  <c r="V1340" i="1"/>
  <c r="W1340" i="1" s="1"/>
  <c r="U1340" i="1"/>
  <c r="S1340" i="1"/>
  <c r="P1340" i="1"/>
  <c r="Q1340" i="1" s="1"/>
  <c r="O1340" i="1"/>
  <c r="R1340" i="1" s="1"/>
  <c r="L1340" i="1"/>
  <c r="J1340" i="1"/>
  <c r="M1340" i="1" s="1"/>
  <c r="G1340" i="1"/>
  <c r="AE1339" i="1"/>
  <c r="V1339" i="1"/>
  <c r="W1339" i="1" s="1"/>
  <c r="U1339" i="1"/>
  <c r="P1339" i="1"/>
  <c r="Q1339" i="1" s="1"/>
  <c r="O1339" i="1"/>
  <c r="L1339" i="1"/>
  <c r="J1339" i="1"/>
  <c r="M1339" i="1" s="1"/>
  <c r="G1339" i="1"/>
  <c r="AE1338" i="1"/>
  <c r="V1338" i="1"/>
  <c r="W1338" i="1" s="1"/>
  <c r="U1338" i="1"/>
  <c r="P1338" i="1"/>
  <c r="Q1338" i="1" s="1"/>
  <c r="O1338" i="1"/>
  <c r="L1338" i="1"/>
  <c r="J1338" i="1"/>
  <c r="M1338" i="1" s="1"/>
  <c r="G1338" i="1"/>
  <c r="AE1337" i="1"/>
  <c r="V1337" i="1"/>
  <c r="W1337" i="1" s="1"/>
  <c r="U1337" i="1"/>
  <c r="P1337" i="1"/>
  <c r="Q1337" i="1" s="1"/>
  <c r="O1337" i="1"/>
  <c r="L1337" i="1"/>
  <c r="J1337" i="1"/>
  <c r="M1337" i="1" s="1"/>
  <c r="G1337" i="1"/>
  <c r="AE1336" i="1"/>
  <c r="V1336" i="1"/>
  <c r="W1336" i="1" s="1"/>
  <c r="U1336" i="1"/>
  <c r="P1336" i="1"/>
  <c r="Q1336" i="1" s="1"/>
  <c r="O1336" i="1"/>
  <c r="L1336" i="1"/>
  <c r="J1336" i="1"/>
  <c r="M1336" i="1" s="1"/>
  <c r="G1336" i="1"/>
  <c r="AE1335" i="1"/>
  <c r="V1335" i="1"/>
  <c r="W1335" i="1" s="1"/>
  <c r="U1335" i="1"/>
  <c r="P1335" i="1"/>
  <c r="Q1335" i="1" s="1"/>
  <c r="O1335" i="1"/>
  <c r="L1335" i="1"/>
  <c r="J1335" i="1"/>
  <c r="M1335" i="1" s="1"/>
  <c r="G1335" i="1"/>
  <c r="AE1334" i="1"/>
  <c r="V1334" i="1"/>
  <c r="W1334" i="1" s="1"/>
  <c r="U1334" i="1"/>
  <c r="P1334" i="1"/>
  <c r="Q1334" i="1" s="1"/>
  <c r="O1334" i="1"/>
  <c r="L1334" i="1"/>
  <c r="J1334" i="1"/>
  <c r="M1334" i="1" s="1"/>
  <c r="G1334" i="1"/>
  <c r="AE1333" i="1"/>
  <c r="V1333" i="1"/>
  <c r="W1333" i="1" s="1"/>
  <c r="U1333" i="1"/>
  <c r="S1333" i="1"/>
  <c r="P1333" i="1"/>
  <c r="Q1333" i="1" s="1"/>
  <c r="O1333" i="1"/>
  <c r="R1333" i="1" s="1"/>
  <c r="L1333" i="1"/>
  <c r="J1333" i="1"/>
  <c r="M1333" i="1" s="1"/>
  <c r="G1333" i="1"/>
  <c r="AE1332" i="1"/>
  <c r="V1332" i="1"/>
  <c r="W1332" i="1" s="1"/>
  <c r="U1332" i="1"/>
  <c r="P1332" i="1"/>
  <c r="Q1332" i="1" s="1"/>
  <c r="O1332" i="1"/>
  <c r="L1332" i="1"/>
  <c r="J1332" i="1"/>
  <c r="M1332" i="1" s="1"/>
  <c r="G1332" i="1"/>
  <c r="AE1331" i="1"/>
  <c r="V1331" i="1"/>
  <c r="W1331" i="1" s="1"/>
  <c r="U1331" i="1"/>
  <c r="P1331" i="1"/>
  <c r="Q1331" i="1" s="1"/>
  <c r="O1331" i="1"/>
  <c r="L1331" i="1"/>
  <c r="J1331" i="1"/>
  <c r="M1331" i="1" s="1"/>
  <c r="G1331" i="1"/>
  <c r="AE1330" i="1"/>
  <c r="V1330" i="1"/>
  <c r="W1330" i="1" s="1"/>
  <c r="U1330" i="1"/>
  <c r="S1330" i="1"/>
  <c r="P1330" i="1"/>
  <c r="Q1330" i="1" s="1"/>
  <c r="O1330" i="1"/>
  <c r="R1330" i="1" s="1"/>
  <c r="L1330" i="1"/>
  <c r="J1330" i="1"/>
  <c r="M1330" i="1" s="1"/>
  <c r="G1330" i="1"/>
  <c r="AE1329" i="1"/>
  <c r="V1329" i="1"/>
  <c r="W1329" i="1" s="1"/>
  <c r="U1329" i="1"/>
  <c r="P1329" i="1"/>
  <c r="Q1329" i="1" s="1"/>
  <c r="O1329" i="1"/>
  <c r="L1329" i="1"/>
  <c r="J1329" i="1"/>
  <c r="M1329" i="1" s="1"/>
  <c r="G1329" i="1"/>
  <c r="AE1328" i="1"/>
  <c r="V1328" i="1"/>
  <c r="W1328" i="1" s="1"/>
  <c r="U1328" i="1"/>
  <c r="P1328" i="1"/>
  <c r="Q1328" i="1" s="1"/>
  <c r="O1328" i="1"/>
  <c r="L1328" i="1"/>
  <c r="J1328" i="1"/>
  <c r="M1328" i="1" s="1"/>
  <c r="G1328" i="1"/>
  <c r="AE1327" i="1"/>
  <c r="Y1327" i="1"/>
  <c r="V1327" i="1"/>
  <c r="W1327" i="1" s="1"/>
  <c r="U1327" i="1"/>
  <c r="X1327" i="1" s="1"/>
  <c r="S1327" i="1"/>
  <c r="P1327" i="1"/>
  <c r="Q1327" i="1" s="1"/>
  <c r="O1327" i="1"/>
  <c r="R1327" i="1" s="1"/>
  <c r="L1327" i="1"/>
  <c r="J1327" i="1"/>
  <c r="M1327" i="1" s="1"/>
  <c r="G1327" i="1"/>
  <c r="AE1326" i="1"/>
  <c r="V1326" i="1"/>
  <c r="W1326" i="1" s="1"/>
  <c r="U1326" i="1"/>
  <c r="P1326" i="1"/>
  <c r="Q1326" i="1" s="1"/>
  <c r="O1326" i="1"/>
  <c r="L1326" i="1"/>
  <c r="J1326" i="1"/>
  <c r="M1326" i="1" s="1"/>
  <c r="G1326" i="1"/>
  <c r="AE1325" i="1"/>
  <c r="V1325" i="1"/>
  <c r="W1325" i="1" s="1"/>
  <c r="U1325" i="1"/>
  <c r="P1325" i="1"/>
  <c r="Q1325" i="1" s="1"/>
  <c r="O1325" i="1"/>
  <c r="L1325" i="1"/>
  <c r="J1325" i="1"/>
  <c r="M1325" i="1" s="1"/>
  <c r="G1325" i="1"/>
  <c r="AE1324" i="1"/>
  <c r="V1324" i="1"/>
  <c r="W1324" i="1" s="1"/>
  <c r="U1324" i="1"/>
  <c r="P1324" i="1"/>
  <c r="Q1324" i="1" s="1"/>
  <c r="O1324" i="1"/>
  <c r="L1324" i="1"/>
  <c r="J1324" i="1"/>
  <c r="M1324" i="1" s="1"/>
  <c r="G1324" i="1"/>
  <c r="AE1323" i="1"/>
  <c r="V1323" i="1"/>
  <c r="W1323" i="1" s="1"/>
  <c r="U1323" i="1"/>
  <c r="P1323" i="1"/>
  <c r="Q1323" i="1" s="1"/>
  <c r="O1323" i="1"/>
  <c r="L1323" i="1"/>
  <c r="J1323" i="1"/>
  <c r="M1323" i="1" s="1"/>
  <c r="G1323" i="1"/>
  <c r="AE1322" i="1"/>
  <c r="V1322" i="1"/>
  <c r="W1322" i="1" s="1"/>
  <c r="U1322" i="1"/>
  <c r="P1322" i="1"/>
  <c r="Q1322" i="1" s="1"/>
  <c r="O1322" i="1"/>
  <c r="L1322" i="1"/>
  <c r="J1322" i="1"/>
  <c r="M1322" i="1" s="1"/>
  <c r="G1322" i="1"/>
  <c r="AE1321" i="1"/>
  <c r="V1321" i="1"/>
  <c r="W1321" i="1" s="1"/>
  <c r="U1321" i="1"/>
  <c r="P1321" i="1"/>
  <c r="Q1321" i="1" s="1"/>
  <c r="O1321" i="1"/>
  <c r="L1321" i="1"/>
  <c r="J1321" i="1"/>
  <c r="M1321" i="1" s="1"/>
  <c r="G1321" i="1"/>
  <c r="AE1320" i="1"/>
  <c r="V1320" i="1"/>
  <c r="W1320" i="1" s="1"/>
  <c r="U1320" i="1"/>
  <c r="P1320" i="1"/>
  <c r="Q1320" i="1" s="1"/>
  <c r="O1320" i="1"/>
  <c r="L1320" i="1"/>
  <c r="J1320" i="1"/>
  <c r="M1320" i="1" s="1"/>
  <c r="G1320" i="1"/>
  <c r="AE1319" i="1"/>
  <c r="V1319" i="1"/>
  <c r="W1319" i="1" s="1"/>
  <c r="U1319" i="1"/>
  <c r="P1319" i="1"/>
  <c r="Q1319" i="1" s="1"/>
  <c r="O1319" i="1"/>
  <c r="L1319" i="1"/>
  <c r="J1319" i="1"/>
  <c r="M1319" i="1" s="1"/>
  <c r="G1319" i="1"/>
  <c r="AE1318" i="1"/>
  <c r="V1318" i="1"/>
  <c r="W1318" i="1" s="1"/>
  <c r="U1318" i="1"/>
  <c r="P1318" i="1"/>
  <c r="Q1318" i="1" s="1"/>
  <c r="O1318" i="1"/>
  <c r="L1318" i="1"/>
  <c r="J1318" i="1"/>
  <c r="M1318" i="1" s="1"/>
  <c r="G1318" i="1"/>
  <c r="AE1317" i="1"/>
  <c r="V1317" i="1"/>
  <c r="W1317" i="1" s="1"/>
  <c r="U1317" i="1"/>
  <c r="P1317" i="1"/>
  <c r="Q1317" i="1" s="1"/>
  <c r="O1317" i="1"/>
  <c r="L1317" i="1"/>
  <c r="J1317" i="1"/>
  <c r="M1317" i="1" s="1"/>
  <c r="G1317" i="1"/>
  <c r="AE1316" i="1"/>
  <c r="V1316" i="1"/>
  <c r="W1316" i="1" s="1"/>
  <c r="U1316" i="1"/>
  <c r="P1316" i="1"/>
  <c r="Q1316" i="1" s="1"/>
  <c r="O1316" i="1"/>
  <c r="L1316" i="1"/>
  <c r="J1316" i="1"/>
  <c r="M1316" i="1" s="1"/>
  <c r="G1316" i="1"/>
  <c r="AE1315" i="1"/>
  <c r="V1315" i="1"/>
  <c r="W1315" i="1" s="1"/>
  <c r="U1315" i="1"/>
  <c r="P1315" i="1"/>
  <c r="Q1315" i="1" s="1"/>
  <c r="O1315" i="1"/>
  <c r="L1315" i="1"/>
  <c r="J1315" i="1"/>
  <c r="M1315" i="1" s="1"/>
  <c r="G1315" i="1"/>
  <c r="AE1314" i="1"/>
  <c r="V1314" i="1"/>
  <c r="W1314" i="1" s="1"/>
  <c r="U1314" i="1"/>
  <c r="P1314" i="1"/>
  <c r="Q1314" i="1" s="1"/>
  <c r="O1314" i="1"/>
  <c r="L1314" i="1"/>
  <c r="J1314" i="1"/>
  <c r="M1314" i="1" s="1"/>
  <c r="G1314" i="1"/>
  <c r="AE1313" i="1"/>
  <c r="Y1313" i="1"/>
  <c r="V1313" i="1"/>
  <c r="W1313" i="1" s="1"/>
  <c r="U1313" i="1"/>
  <c r="X1313" i="1" s="1"/>
  <c r="P1313" i="1"/>
  <c r="Q1313" i="1" s="1"/>
  <c r="O1313" i="1"/>
  <c r="L1313" i="1"/>
  <c r="J1313" i="1"/>
  <c r="M1313" i="1" s="1"/>
  <c r="G1313" i="1"/>
  <c r="AE1312" i="1"/>
  <c r="Y1312" i="1"/>
  <c r="V1312" i="1"/>
  <c r="W1312" i="1" s="1"/>
  <c r="U1312" i="1"/>
  <c r="X1312" i="1" s="1"/>
  <c r="S1312" i="1"/>
  <c r="P1312" i="1"/>
  <c r="Q1312" i="1" s="1"/>
  <c r="O1312" i="1"/>
  <c r="R1312" i="1" s="1"/>
  <c r="L1312" i="1"/>
  <c r="J1312" i="1"/>
  <c r="M1312" i="1" s="1"/>
  <c r="G1312" i="1"/>
  <c r="AE1311" i="1"/>
  <c r="V1311" i="1"/>
  <c r="W1311" i="1" s="1"/>
  <c r="U1311" i="1"/>
  <c r="S1311" i="1"/>
  <c r="P1311" i="1"/>
  <c r="Q1311" i="1" s="1"/>
  <c r="O1311" i="1"/>
  <c r="R1311" i="1" s="1"/>
  <c r="L1311" i="1"/>
  <c r="J1311" i="1"/>
  <c r="M1311" i="1" s="1"/>
  <c r="G1311" i="1"/>
  <c r="AE1310" i="1"/>
  <c r="V1310" i="1"/>
  <c r="W1310" i="1" s="1"/>
  <c r="U1310" i="1"/>
  <c r="P1310" i="1"/>
  <c r="Q1310" i="1" s="1"/>
  <c r="O1310" i="1"/>
  <c r="L1310" i="1"/>
  <c r="J1310" i="1"/>
  <c r="M1310" i="1" s="1"/>
  <c r="G1310" i="1"/>
  <c r="AE1309" i="1"/>
  <c r="V1309" i="1"/>
  <c r="W1309" i="1" s="1"/>
  <c r="U1309" i="1"/>
  <c r="P1309" i="1"/>
  <c r="Q1309" i="1" s="1"/>
  <c r="O1309" i="1"/>
  <c r="L1309" i="1"/>
  <c r="J1309" i="1"/>
  <c r="M1309" i="1" s="1"/>
  <c r="G1309" i="1"/>
  <c r="AE1308" i="1"/>
  <c r="V1308" i="1"/>
  <c r="W1308" i="1" s="1"/>
  <c r="U1308" i="1"/>
  <c r="S1308" i="1"/>
  <c r="P1308" i="1"/>
  <c r="Q1308" i="1" s="1"/>
  <c r="O1308" i="1"/>
  <c r="R1308" i="1" s="1"/>
  <c r="L1308" i="1"/>
  <c r="J1308" i="1"/>
  <c r="M1308" i="1" s="1"/>
  <c r="G1308" i="1"/>
  <c r="AE1307" i="1"/>
  <c r="V1307" i="1"/>
  <c r="W1307" i="1" s="1"/>
  <c r="U1307" i="1"/>
  <c r="P1307" i="1"/>
  <c r="Q1307" i="1" s="1"/>
  <c r="O1307" i="1"/>
  <c r="L1307" i="1"/>
  <c r="J1307" i="1"/>
  <c r="M1307" i="1" s="1"/>
  <c r="G1307" i="1"/>
  <c r="AE1306" i="1"/>
  <c r="V1306" i="1"/>
  <c r="W1306" i="1" s="1"/>
  <c r="U1306" i="1"/>
  <c r="P1306" i="1"/>
  <c r="Q1306" i="1" s="1"/>
  <c r="O1306" i="1"/>
  <c r="L1306" i="1"/>
  <c r="J1306" i="1"/>
  <c r="M1306" i="1" s="1"/>
  <c r="G1306" i="1"/>
  <c r="AE1305" i="1"/>
  <c r="V1305" i="1"/>
  <c r="W1305" i="1" s="1"/>
  <c r="U1305" i="1"/>
  <c r="P1305" i="1"/>
  <c r="Q1305" i="1" s="1"/>
  <c r="O1305" i="1"/>
  <c r="L1305" i="1"/>
  <c r="J1305" i="1"/>
  <c r="M1305" i="1" s="1"/>
  <c r="G1305" i="1"/>
  <c r="AE1304" i="1"/>
  <c r="V1304" i="1"/>
  <c r="W1304" i="1" s="1"/>
  <c r="U1304" i="1"/>
  <c r="P1304" i="1"/>
  <c r="Q1304" i="1" s="1"/>
  <c r="O1304" i="1"/>
  <c r="L1304" i="1"/>
  <c r="J1304" i="1"/>
  <c r="M1304" i="1" s="1"/>
  <c r="G1304" i="1"/>
  <c r="AE1303" i="1"/>
  <c r="V1303" i="1"/>
  <c r="W1303" i="1" s="1"/>
  <c r="U1303" i="1"/>
  <c r="S1303" i="1"/>
  <c r="P1303" i="1"/>
  <c r="Q1303" i="1" s="1"/>
  <c r="O1303" i="1"/>
  <c r="R1303" i="1" s="1"/>
  <c r="L1303" i="1"/>
  <c r="J1303" i="1"/>
  <c r="M1303" i="1" s="1"/>
  <c r="G1303" i="1"/>
  <c r="AE1302" i="1"/>
  <c r="V1302" i="1"/>
  <c r="W1302" i="1" s="1"/>
  <c r="U1302" i="1"/>
  <c r="P1302" i="1"/>
  <c r="Q1302" i="1" s="1"/>
  <c r="O1302" i="1"/>
  <c r="L1302" i="1"/>
  <c r="J1302" i="1"/>
  <c r="M1302" i="1" s="1"/>
  <c r="G1302" i="1"/>
  <c r="AE1301" i="1"/>
  <c r="V1301" i="1"/>
  <c r="W1301" i="1" s="1"/>
  <c r="U1301" i="1"/>
  <c r="P1301" i="1"/>
  <c r="Q1301" i="1" s="1"/>
  <c r="O1301" i="1"/>
  <c r="L1301" i="1"/>
  <c r="J1301" i="1"/>
  <c r="M1301" i="1" s="1"/>
  <c r="G1301" i="1"/>
  <c r="AE1300" i="1"/>
  <c r="V1300" i="1"/>
  <c r="W1300" i="1" s="1"/>
  <c r="U1300" i="1"/>
  <c r="P1300" i="1"/>
  <c r="Q1300" i="1" s="1"/>
  <c r="O1300" i="1"/>
  <c r="L1300" i="1"/>
  <c r="J1300" i="1"/>
  <c r="M1300" i="1" s="1"/>
  <c r="G1300" i="1"/>
  <c r="AE1299" i="1"/>
  <c r="V1299" i="1"/>
  <c r="W1299" i="1" s="1"/>
  <c r="U1299" i="1"/>
  <c r="P1299" i="1"/>
  <c r="Q1299" i="1" s="1"/>
  <c r="O1299" i="1"/>
  <c r="L1299" i="1"/>
  <c r="J1299" i="1"/>
  <c r="M1299" i="1" s="1"/>
  <c r="G1299" i="1"/>
  <c r="AE1298" i="1"/>
  <c r="V1298" i="1"/>
  <c r="W1298" i="1" s="1"/>
  <c r="U1298" i="1"/>
  <c r="P1298" i="1"/>
  <c r="Q1298" i="1" s="1"/>
  <c r="O1298" i="1"/>
  <c r="L1298" i="1"/>
  <c r="J1298" i="1"/>
  <c r="M1298" i="1" s="1"/>
  <c r="G1298" i="1"/>
  <c r="AE1297" i="1"/>
  <c r="V1297" i="1"/>
  <c r="W1297" i="1" s="1"/>
  <c r="U1297" i="1"/>
  <c r="P1297" i="1"/>
  <c r="Q1297" i="1" s="1"/>
  <c r="O1297" i="1"/>
  <c r="L1297" i="1"/>
  <c r="J1297" i="1"/>
  <c r="M1297" i="1" s="1"/>
  <c r="G1297" i="1"/>
  <c r="AE1296" i="1"/>
  <c r="V1296" i="1"/>
  <c r="W1296" i="1" s="1"/>
  <c r="U1296" i="1"/>
  <c r="P1296" i="1"/>
  <c r="Q1296" i="1" s="1"/>
  <c r="O1296" i="1"/>
  <c r="L1296" i="1"/>
  <c r="J1296" i="1"/>
  <c r="M1296" i="1" s="1"/>
  <c r="G1296" i="1"/>
  <c r="AE1295" i="1"/>
  <c r="V1295" i="1"/>
  <c r="W1295" i="1" s="1"/>
  <c r="U1295" i="1"/>
  <c r="P1295" i="1"/>
  <c r="Q1295" i="1" s="1"/>
  <c r="O1295" i="1"/>
  <c r="L1295" i="1"/>
  <c r="J1295" i="1"/>
  <c r="M1295" i="1" s="1"/>
  <c r="G1295" i="1"/>
  <c r="AE1294" i="1"/>
  <c r="V1294" i="1"/>
  <c r="W1294" i="1" s="1"/>
  <c r="U1294" i="1"/>
  <c r="P1294" i="1"/>
  <c r="Q1294" i="1" s="1"/>
  <c r="O1294" i="1"/>
  <c r="L1294" i="1"/>
  <c r="J1294" i="1"/>
  <c r="M1294" i="1" s="1"/>
  <c r="G1294" i="1"/>
  <c r="AE1293" i="1"/>
  <c r="V1293" i="1"/>
  <c r="W1293" i="1" s="1"/>
  <c r="U1293" i="1"/>
  <c r="S1293" i="1"/>
  <c r="P1293" i="1"/>
  <c r="Q1293" i="1" s="1"/>
  <c r="O1293" i="1"/>
  <c r="R1293" i="1" s="1"/>
  <c r="L1293" i="1"/>
  <c r="J1293" i="1"/>
  <c r="M1293" i="1" s="1"/>
  <c r="G1293" i="1"/>
  <c r="AE1292" i="1"/>
  <c r="V1292" i="1"/>
  <c r="W1292" i="1" s="1"/>
  <c r="U1292" i="1"/>
  <c r="P1292" i="1"/>
  <c r="Q1292" i="1" s="1"/>
  <c r="O1292" i="1"/>
  <c r="L1292" i="1"/>
  <c r="J1292" i="1"/>
  <c r="M1292" i="1" s="1"/>
  <c r="G1292" i="1"/>
  <c r="AE1291" i="1"/>
  <c r="V1291" i="1"/>
  <c r="W1291" i="1" s="1"/>
  <c r="U1291" i="1"/>
  <c r="S1291" i="1"/>
  <c r="P1291" i="1"/>
  <c r="Q1291" i="1" s="1"/>
  <c r="O1291" i="1"/>
  <c r="R1291" i="1" s="1"/>
  <c r="L1291" i="1"/>
  <c r="J1291" i="1"/>
  <c r="M1291" i="1" s="1"/>
  <c r="G1291" i="1"/>
  <c r="AE1290" i="1"/>
  <c r="V1290" i="1"/>
  <c r="W1290" i="1" s="1"/>
  <c r="U1290" i="1"/>
  <c r="S1290" i="1"/>
  <c r="P1290" i="1"/>
  <c r="Q1290" i="1" s="1"/>
  <c r="O1290" i="1"/>
  <c r="R1290" i="1" s="1"/>
  <c r="L1290" i="1"/>
  <c r="J1290" i="1"/>
  <c r="M1290" i="1" s="1"/>
  <c r="G1290" i="1"/>
  <c r="AE1289" i="1"/>
  <c r="V1289" i="1"/>
  <c r="W1289" i="1" s="1"/>
  <c r="U1289" i="1"/>
  <c r="S1289" i="1"/>
  <c r="P1289" i="1"/>
  <c r="Q1289" i="1" s="1"/>
  <c r="O1289" i="1"/>
  <c r="R1289" i="1" s="1"/>
  <c r="L1289" i="1"/>
  <c r="J1289" i="1"/>
  <c r="M1289" i="1" s="1"/>
  <c r="G1289" i="1"/>
  <c r="AE1288" i="1"/>
  <c r="Y1288" i="1"/>
  <c r="V1288" i="1"/>
  <c r="W1288" i="1" s="1"/>
  <c r="U1288" i="1"/>
  <c r="X1288" i="1" s="1"/>
  <c r="P1288" i="1"/>
  <c r="Q1288" i="1" s="1"/>
  <c r="O1288" i="1"/>
  <c r="L1288" i="1"/>
  <c r="J1288" i="1"/>
  <c r="M1288" i="1" s="1"/>
  <c r="G1288" i="1"/>
  <c r="AE1287" i="1"/>
  <c r="V1287" i="1"/>
  <c r="W1287" i="1" s="1"/>
  <c r="U1287" i="1"/>
  <c r="P1287" i="1"/>
  <c r="Q1287" i="1" s="1"/>
  <c r="O1287" i="1"/>
  <c r="L1287" i="1"/>
  <c r="J1287" i="1"/>
  <c r="M1287" i="1" s="1"/>
  <c r="G1287" i="1"/>
  <c r="AE1286" i="1"/>
  <c r="V1286" i="1"/>
  <c r="W1286" i="1" s="1"/>
  <c r="U1286" i="1"/>
  <c r="P1286" i="1"/>
  <c r="Q1286" i="1" s="1"/>
  <c r="O1286" i="1"/>
  <c r="L1286" i="1"/>
  <c r="J1286" i="1"/>
  <c r="M1286" i="1" s="1"/>
  <c r="G1286" i="1"/>
  <c r="AE1285" i="1"/>
  <c r="V1285" i="1"/>
  <c r="W1285" i="1" s="1"/>
  <c r="U1285" i="1"/>
  <c r="P1285" i="1"/>
  <c r="Q1285" i="1" s="1"/>
  <c r="O1285" i="1"/>
  <c r="L1285" i="1"/>
  <c r="J1285" i="1"/>
  <c r="M1285" i="1" s="1"/>
  <c r="G1285" i="1"/>
  <c r="AE1284" i="1"/>
  <c r="Y1284" i="1"/>
  <c r="V1284" i="1"/>
  <c r="W1284" i="1" s="1"/>
  <c r="U1284" i="1"/>
  <c r="X1284" i="1" s="1"/>
  <c r="P1284" i="1"/>
  <c r="Q1284" i="1" s="1"/>
  <c r="O1284" i="1"/>
  <c r="L1284" i="1"/>
  <c r="J1284" i="1"/>
  <c r="M1284" i="1" s="1"/>
  <c r="G1284" i="1"/>
  <c r="AE1283" i="1"/>
  <c r="V1283" i="1"/>
  <c r="W1283" i="1" s="1"/>
  <c r="U1283" i="1"/>
  <c r="P1283" i="1"/>
  <c r="Q1283" i="1" s="1"/>
  <c r="O1283" i="1"/>
  <c r="L1283" i="1"/>
  <c r="J1283" i="1"/>
  <c r="M1283" i="1" s="1"/>
  <c r="G1283" i="1"/>
  <c r="AE1282" i="1"/>
  <c r="V1282" i="1"/>
  <c r="W1282" i="1" s="1"/>
  <c r="U1282" i="1"/>
  <c r="P1282" i="1"/>
  <c r="Q1282" i="1" s="1"/>
  <c r="O1282" i="1"/>
  <c r="L1282" i="1"/>
  <c r="J1282" i="1"/>
  <c r="M1282" i="1" s="1"/>
  <c r="G1282" i="1"/>
  <c r="AE1281" i="1"/>
  <c r="Y1281" i="1"/>
  <c r="V1281" i="1"/>
  <c r="W1281" i="1" s="1"/>
  <c r="U1281" i="1"/>
  <c r="X1281" i="1" s="1"/>
  <c r="S1281" i="1"/>
  <c r="P1281" i="1"/>
  <c r="Q1281" i="1" s="1"/>
  <c r="O1281" i="1"/>
  <c r="R1281" i="1" s="1"/>
  <c r="L1281" i="1"/>
  <c r="J1281" i="1"/>
  <c r="M1281" i="1" s="1"/>
  <c r="G1281" i="1"/>
  <c r="AE1280" i="1"/>
  <c r="V1280" i="1"/>
  <c r="W1280" i="1" s="1"/>
  <c r="U1280" i="1"/>
  <c r="P1280" i="1"/>
  <c r="Q1280" i="1" s="1"/>
  <c r="O1280" i="1"/>
  <c r="L1280" i="1"/>
  <c r="J1280" i="1"/>
  <c r="M1280" i="1" s="1"/>
  <c r="G1280" i="1"/>
  <c r="AE1279" i="1"/>
  <c r="V1279" i="1"/>
  <c r="W1279" i="1" s="1"/>
  <c r="U1279" i="1"/>
  <c r="S1279" i="1"/>
  <c r="P1279" i="1"/>
  <c r="Q1279" i="1" s="1"/>
  <c r="O1279" i="1"/>
  <c r="R1279" i="1" s="1"/>
  <c r="L1279" i="1"/>
  <c r="J1279" i="1"/>
  <c r="M1279" i="1" s="1"/>
  <c r="G1279" i="1"/>
  <c r="AE1278" i="1"/>
  <c r="Y1278" i="1"/>
  <c r="V1278" i="1"/>
  <c r="W1278" i="1" s="1"/>
  <c r="U1278" i="1"/>
  <c r="X1278" i="1" s="1"/>
  <c r="S1278" i="1"/>
  <c r="P1278" i="1"/>
  <c r="Q1278" i="1" s="1"/>
  <c r="O1278" i="1"/>
  <c r="R1278" i="1" s="1"/>
  <c r="L1278" i="1"/>
  <c r="J1278" i="1"/>
  <c r="M1278" i="1" s="1"/>
  <c r="G1278" i="1"/>
  <c r="AE1277" i="1"/>
  <c r="V1277" i="1"/>
  <c r="W1277" i="1" s="1"/>
  <c r="U1277" i="1"/>
  <c r="P1277" i="1"/>
  <c r="Q1277" i="1" s="1"/>
  <c r="O1277" i="1"/>
  <c r="L1277" i="1"/>
  <c r="J1277" i="1"/>
  <c r="M1277" i="1" s="1"/>
  <c r="G1277" i="1"/>
  <c r="AE1276" i="1"/>
  <c r="V1276" i="1"/>
  <c r="W1276" i="1" s="1"/>
  <c r="U1276" i="1"/>
  <c r="P1276" i="1"/>
  <c r="Q1276" i="1" s="1"/>
  <c r="O1276" i="1"/>
  <c r="L1276" i="1"/>
  <c r="J1276" i="1"/>
  <c r="M1276" i="1" s="1"/>
  <c r="G1276" i="1"/>
  <c r="AE1275" i="1"/>
  <c r="V1275" i="1"/>
  <c r="W1275" i="1" s="1"/>
  <c r="U1275" i="1"/>
  <c r="P1275" i="1"/>
  <c r="Q1275" i="1" s="1"/>
  <c r="O1275" i="1"/>
  <c r="L1275" i="1"/>
  <c r="J1275" i="1"/>
  <c r="M1275" i="1" s="1"/>
  <c r="G1275" i="1"/>
  <c r="AE1274" i="1"/>
  <c r="V1274" i="1"/>
  <c r="W1274" i="1" s="1"/>
  <c r="U1274" i="1"/>
  <c r="P1274" i="1"/>
  <c r="Q1274" i="1" s="1"/>
  <c r="O1274" i="1"/>
  <c r="L1274" i="1"/>
  <c r="J1274" i="1"/>
  <c r="M1274" i="1" s="1"/>
  <c r="G1274" i="1"/>
  <c r="AE1273" i="1"/>
  <c r="Y1273" i="1"/>
  <c r="V1273" i="1"/>
  <c r="W1273" i="1" s="1"/>
  <c r="U1273" i="1"/>
  <c r="X1273" i="1" s="1"/>
  <c r="P1273" i="1"/>
  <c r="Q1273" i="1" s="1"/>
  <c r="O1273" i="1"/>
  <c r="L1273" i="1"/>
  <c r="J1273" i="1"/>
  <c r="M1273" i="1" s="1"/>
  <c r="G1273" i="1"/>
  <c r="AE1272" i="1"/>
  <c r="V1272" i="1"/>
  <c r="W1272" i="1" s="1"/>
  <c r="U1272" i="1"/>
  <c r="P1272" i="1"/>
  <c r="Q1272" i="1" s="1"/>
  <c r="O1272" i="1"/>
  <c r="L1272" i="1"/>
  <c r="J1272" i="1"/>
  <c r="M1272" i="1" s="1"/>
  <c r="G1272" i="1"/>
  <c r="AE1271" i="1"/>
  <c r="V1271" i="1"/>
  <c r="W1271" i="1" s="1"/>
  <c r="U1271" i="1"/>
  <c r="P1271" i="1"/>
  <c r="Q1271" i="1" s="1"/>
  <c r="O1271" i="1"/>
  <c r="L1271" i="1"/>
  <c r="J1271" i="1"/>
  <c r="M1271" i="1" s="1"/>
  <c r="G1271" i="1"/>
  <c r="AE1270" i="1"/>
  <c r="V1270" i="1"/>
  <c r="W1270" i="1" s="1"/>
  <c r="U1270" i="1"/>
  <c r="P1270" i="1"/>
  <c r="Q1270" i="1" s="1"/>
  <c r="O1270" i="1"/>
  <c r="L1270" i="1"/>
  <c r="J1270" i="1"/>
  <c r="M1270" i="1" s="1"/>
  <c r="G1270" i="1"/>
  <c r="AE1269" i="1"/>
  <c r="Y1269" i="1"/>
  <c r="V1269" i="1"/>
  <c r="W1269" i="1" s="1"/>
  <c r="U1269" i="1"/>
  <c r="X1269" i="1" s="1"/>
  <c r="S1269" i="1"/>
  <c r="P1269" i="1"/>
  <c r="Q1269" i="1" s="1"/>
  <c r="O1269" i="1"/>
  <c r="R1269" i="1" s="1"/>
  <c r="L1269" i="1"/>
  <c r="J1269" i="1"/>
  <c r="M1269" i="1" s="1"/>
  <c r="G1269" i="1"/>
  <c r="AE1268" i="1"/>
  <c r="V1268" i="1"/>
  <c r="W1268" i="1" s="1"/>
  <c r="U1268" i="1"/>
  <c r="P1268" i="1"/>
  <c r="Q1268" i="1" s="1"/>
  <c r="O1268" i="1"/>
  <c r="L1268" i="1"/>
  <c r="J1268" i="1"/>
  <c r="M1268" i="1" s="1"/>
  <c r="G1268" i="1"/>
  <c r="AE1267" i="1"/>
  <c r="V1267" i="1"/>
  <c r="W1267" i="1" s="1"/>
  <c r="U1267" i="1"/>
  <c r="P1267" i="1"/>
  <c r="Q1267" i="1" s="1"/>
  <c r="O1267" i="1"/>
  <c r="L1267" i="1"/>
  <c r="J1267" i="1"/>
  <c r="M1267" i="1" s="1"/>
  <c r="G1267" i="1"/>
  <c r="AE1266" i="1"/>
  <c r="Y1266" i="1"/>
  <c r="V1266" i="1"/>
  <c r="W1266" i="1" s="1"/>
  <c r="U1266" i="1"/>
  <c r="X1266" i="1" s="1"/>
  <c r="S1266" i="1"/>
  <c r="P1266" i="1"/>
  <c r="Q1266" i="1" s="1"/>
  <c r="O1266" i="1"/>
  <c r="R1266" i="1" s="1"/>
  <c r="L1266" i="1"/>
  <c r="J1266" i="1"/>
  <c r="M1266" i="1" s="1"/>
  <c r="G1266" i="1"/>
  <c r="AE1265" i="1"/>
  <c r="V1265" i="1"/>
  <c r="W1265" i="1" s="1"/>
  <c r="U1265" i="1"/>
  <c r="P1265" i="1"/>
  <c r="Q1265" i="1" s="1"/>
  <c r="O1265" i="1"/>
  <c r="L1265" i="1"/>
  <c r="J1265" i="1"/>
  <c r="M1265" i="1" s="1"/>
  <c r="G1265" i="1"/>
  <c r="AE1264" i="1"/>
  <c r="Y1264" i="1"/>
  <c r="V1264" i="1"/>
  <c r="W1264" i="1" s="1"/>
  <c r="U1264" i="1"/>
  <c r="X1264" i="1" s="1"/>
  <c r="S1264" i="1"/>
  <c r="P1264" i="1"/>
  <c r="Q1264" i="1" s="1"/>
  <c r="O1264" i="1"/>
  <c r="R1264" i="1" s="1"/>
  <c r="L1264" i="1"/>
  <c r="J1264" i="1"/>
  <c r="M1264" i="1" s="1"/>
  <c r="G1264" i="1"/>
  <c r="AE1263" i="1"/>
  <c r="Y1263" i="1"/>
  <c r="V1263" i="1"/>
  <c r="W1263" i="1" s="1"/>
  <c r="U1263" i="1"/>
  <c r="X1263" i="1" s="1"/>
  <c r="S1263" i="1"/>
  <c r="P1263" i="1"/>
  <c r="Q1263" i="1" s="1"/>
  <c r="O1263" i="1"/>
  <c r="R1263" i="1" s="1"/>
  <c r="L1263" i="1"/>
  <c r="J1263" i="1"/>
  <c r="M1263" i="1" s="1"/>
  <c r="G1263" i="1"/>
  <c r="AE1262" i="1"/>
  <c r="V1262" i="1"/>
  <c r="W1262" i="1" s="1"/>
  <c r="U1262" i="1"/>
  <c r="P1262" i="1"/>
  <c r="Q1262" i="1" s="1"/>
  <c r="O1262" i="1"/>
  <c r="L1262" i="1"/>
  <c r="J1262" i="1"/>
  <c r="M1262" i="1" s="1"/>
  <c r="G1262" i="1"/>
  <c r="AE1261" i="1"/>
  <c r="V1261" i="1"/>
  <c r="W1261" i="1" s="1"/>
  <c r="U1261" i="1"/>
  <c r="P1261" i="1"/>
  <c r="Q1261" i="1" s="1"/>
  <c r="O1261" i="1"/>
  <c r="L1261" i="1"/>
  <c r="J1261" i="1"/>
  <c r="M1261" i="1" s="1"/>
  <c r="G1261" i="1"/>
  <c r="AE1260" i="1"/>
  <c r="V1260" i="1"/>
  <c r="W1260" i="1" s="1"/>
  <c r="U1260" i="1"/>
  <c r="P1260" i="1"/>
  <c r="Q1260" i="1" s="1"/>
  <c r="O1260" i="1"/>
  <c r="L1260" i="1"/>
  <c r="J1260" i="1"/>
  <c r="M1260" i="1" s="1"/>
  <c r="G1260" i="1"/>
  <c r="AE1259" i="1"/>
  <c r="V1259" i="1"/>
  <c r="W1259" i="1" s="1"/>
  <c r="U1259" i="1"/>
  <c r="P1259" i="1"/>
  <c r="Q1259" i="1" s="1"/>
  <c r="O1259" i="1"/>
  <c r="L1259" i="1"/>
  <c r="J1259" i="1"/>
  <c r="M1259" i="1" s="1"/>
  <c r="G1259" i="1"/>
  <c r="AE1258" i="1"/>
  <c r="V1258" i="1"/>
  <c r="W1258" i="1" s="1"/>
  <c r="U1258" i="1"/>
  <c r="P1258" i="1"/>
  <c r="Q1258" i="1" s="1"/>
  <c r="O1258" i="1"/>
  <c r="L1258" i="1"/>
  <c r="J1258" i="1"/>
  <c r="M1258" i="1" s="1"/>
  <c r="G1258" i="1"/>
  <c r="AE1257" i="1"/>
  <c r="V1257" i="1"/>
  <c r="W1257" i="1" s="1"/>
  <c r="U1257" i="1"/>
  <c r="P1257" i="1"/>
  <c r="Q1257" i="1" s="1"/>
  <c r="O1257" i="1"/>
  <c r="L1257" i="1"/>
  <c r="J1257" i="1"/>
  <c r="M1257" i="1" s="1"/>
  <c r="G1257" i="1"/>
  <c r="AE1256" i="1"/>
  <c r="V1256" i="1"/>
  <c r="W1256" i="1" s="1"/>
  <c r="U1256" i="1"/>
  <c r="P1256" i="1"/>
  <c r="Q1256" i="1" s="1"/>
  <c r="O1256" i="1"/>
  <c r="L1256" i="1"/>
  <c r="J1256" i="1"/>
  <c r="M1256" i="1" s="1"/>
  <c r="G1256" i="1"/>
  <c r="AE1255" i="1"/>
  <c r="V1255" i="1"/>
  <c r="W1255" i="1" s="1"/>
  <c r="U1255" i="1"/>
  <c r="P1255" i="1"/>
  <c r="Q1255" i="1" s="1"/>
  <c r="O1255" i="1"/>
  <c r="L1255" i="1"/>
  <c r="J1255" i="1"/>
  <c r="M1255" i="1" s="1"/>
  <c r="G1255" i="1"/>
  <c r="AE1254" i="1"/>
  <c r="V1254" i="1"/>
  <c r="W1254" i="1" s="1"/>
  <c r="U1254" i="1"/>
  <c r="P1254" i="1"/>
  <c r="Q1254" i="1" s="1"/>
  <c r="O1254" i="1"/>
  <c r="L1254" i="1"/>
  <c r="J1254" i="1"/>
  <c r="M1254" i="1" s="1"/>
  <c r="G1254" i="1"/>
  <c r="AE1253" i="1"/>
  <c r="V1253" i="1"/>
  <c r="W1253" i="1" s="1"/>
  <c r="U1253" i="1"/>
  <c r="P1253" i="1"/>
  <c r="Q1253" i="1" s="1"/>
  <c r="O1253" i="1"/>
  <c r="L1253" i="1"/>
  <c r="J1253" i="1"/>
  <c r="M1253" i="1" s="1"/>
  <c r="G1253" i="1"/>
  <c r="AE1252" i="1"/>
  <c r="V1252" i="1"/>
  <c r="W1252" i="1" s="1"/>
  <c r="U1252" i="1"/>
  <c r="P1252" i="1"/>
  <c r="Q1252" i="1" s="1"/>
  <c r="O1252" i="1"/>
  <c r="L1252" i="1"/>
  <c r="J1252" i="1"/>
  <c r="M1252" i="1" s="1"/>
  <c r="G1252" i="1"/>
  <c r="AE1251" i="1"/>
  <c r="V1251" i="1"/>
  <c r="W1251" i="1" s="1"/>
  <c r="U1251" i="1"/>
  <c r="S1251" i="1"/>
  <c r="P1251" i="1"/>
  <c r="Q1251" i="1" s="1"/>
  <c r="O1251" i="1"/>
  <c r="R1251" i="1" s="1"/>
  <c r="L1251" i="1"/>
  <c r="J1251" i="1"/>
  <c r="M1251" i="1" s="1"/>
  <c r="G1251" i="1"/>
  <c r="AE1250" i="1"/>
  <c r="Y1250" i="1"/>
  <c r="V1250" i="1"/>
  <c r="W1250" i="1" s="1"/>
  <c r="U1250" i="1"/>
  <c r="X1250" i="1" s="1"/>
  <c r="S1250" i="1"/>
  <c r="P1250" i="1"/>
  <c r="Q1250" i="1" s="1"/>
  <c r="O1250" i="1"/>
  <c r="R1250" i="1" s="1"/>
  <c r="L1250" i="1"/>
  <c r="J1250" i="1"/>
  <c r="M1250" i="1" s="1"/>
  <c r="G1250" i="1"/>
  <c r="AE1249" i="1"/>
  <c r="V1249" i="1"/>
  <c r="W1249" i="1" s="1"/>
  <c r="U1249" i="1"/>
  <c r="P1249" i="1"/>
  <c r="Q1249" i="1" s="1"/>
  <c r="O1249" i="1"/>
  <c r="L1249" i="1"/>
  <c r="J1249" i="1"/>
  <c r="M1249" i="1" s="1"/>
  <c r="G1249" i="1"/>
  <c r="AE1248" i="1"/>
  <c r="V1248" i="1"/>
  <c r="W1248" i="1" s="1"/>
  <c r="U1248" i="1"/>
  <c r="P1248" i="1"/>
  <c r="Q1248" i="1" s="1"/>
  <c r="O1248" i="1"/>
  <c r="L1248" i="1"/>
  <c r="J1248" i="1"/>
  <c r="M1248" i="1" s="1"/>
  <c r="G1248" i="1"/>
  <c r="AE1247" i="1"/>
  <c r="Y1247" i="1"/>
  <c r="V1247" i="1"/>
  <c r="W1247" i="1" s="1"/>
  <c r="U1247" i="1"/>
  <c r="X1247" i="1" s="1"/>
  <c r="P1247" i="1"/>
  <c r="Q1247" i="1" s="1"/>
  <c r="O1247" i="1"/>
  <c r="L1247" i="1"/>
  <c r="J1247" i="1"/>
  <c r="M1247" i="1" s="1"/>
  <c r="G1247" i="1"/>
  <c r="AE1246" i="1"/>
  <c r="V1246" i="1"/>
  <c r="W1246" i="1" s="1"/>
  <c r="U1246" i="1"/>
  <c r="P1246" i="1"/>
  <c r="Q1246" i="1" s="1"/>
  <c r="O1246" i="1"/>
  <c r="L1246" i="1"/>
  <c r="J1246" i="1"/>
  <c r="M1246" i="1" s="1"/>
  <c r="G1246" i="1"/>
  <c r="AE1245" i="1"/>
  <c r="Y1245" i="1"/>
  <c r="V1245" i="1"/>
  <c r="W1245" i="1" s="1"/>
  <c r="U1245" i="1"/>
  <c r="X1245" i="1" s="1"/>
  <c r="S1245" i="1"/>
  <c r="P1245" i="1"/>
  <c r="Q1245" i="1" s="1"/>
  <c r="O1245" i="1"/>
  <c r="R1245" i="1" s="1"/>
  <c r="L1245" i="1"/>
  <c r="J1245" i="1"/>
  <c r="M1245" i="1" s="1"/>
  <c r="G1245" i="1"/>
  <c r="AE1244" i="1"/>
  <c r="V1244" i="1"/>
  <c r="W1244" i="1" s="1"/>
  <c r="U1244" i="1"/>
  <c r="P1244" i="1"/>
  <c r="Q1244" i="1" s="1"/>
  <c r="O1244" i="1"/>
  <c r="L1244" i="1"/>
  <c r="J1244" i="1"/>
  <c r="M1244" i="1" s="1"/>
  <c r="G1244" i="1"/>
  <c r="AE1243" i="1"/>
  <c r="V1243" i="1"/>
  <c r="W1243" i="1" s="1"/>
  <c r="U1243" i="1"/>
  <c r="P1243" i="1"/>
  <c r="Q1243" i="1" s="1"/>
  <c r="O1243" i="1"/>
  <c r="L1243" i="1"/>
  <c r="J1243" i="1"/>
  <c r="M1243" i="1" s="1"/>
  <c r="G1243" i="1"/>
  <c r="AE1242" i="1"/>
  <c r="V1242" i="1"/>
  <c r="W1242" i="1" s="1"/>
  <c r="U1242" i="1"/>
  <c r="P1242" i="1"/>
  <c r="Q1242" i="1" s="1"/>
  <c r="O1242" i="1"/>
  <c r="L1242" i="1"/>
  <c r="J1242" i="1"/>
  <c r="M1242" i="1" s="1"/>
  <c r="G1242" i="1"/>
  <c r="AE1241" i="1"/>
  <c r="V1241" i="1"/>
  <c r="W1241" i="1" s="1"/>
  <c r="U1241" i="1"/>
  <c r="P1241" i="1"/>
  <c r="Q1241" i="1" s="1"/>
  <c r="O1241" i="1"/>
  <c r="L1241" i="1"/>
  <c r="J1241" i="1"/>
  <c r="M1241" i="1" s="1"/>
  <c r="G1241" i="1"/>
  <c r="AE1240" i="1"/>
  <c r="Y1240" i="1"/>
  <c r="V1240" i="1"/>
  <c r="W1240" i="1" s="1"/>
  <c r="U1240" i="1"/>
  <c r="X1240" i="1" s="1"/>
  <c r="P1240" i="1"/>
  <c r="Q1240" i="1" s="1"/>
  <c r="O1240" i="1"/>
  <c r="L1240" i="1"/>
  <c r="J1240" i="1"/>
  <c r="M1240" i="1" s="1"/>
  <c r="G1240" i="1"/>
  <c r="AE1239" i="1"/>
  <c r="V1239" i="1"/>
  <c r="W1239" i="1" s="1"/>
  <c r="U1239" i="1"/>
  <c r="P1239" i="1"/>
  <c r="Q1239" i="1" s="1"/>
  <c r="O1239" i="1"/>
  <c r="L1239" i="1"/>
  <c r="J1239" i="1"/>
  <c r="M1239" i="1" s="1"/>
  <c r="G1239" i="1"/>
  <c r="AE1238" i="1"/>
  <c r="V1238" i="1"/>
  <c r="W1238" i="1" s="1"/>
  <c r="U1238" i="1"/>
  <c r="P1238" i="1"/>
  <c r="Q1238" i="1" s="1"/>
  <c r="O1238" i="1"/>
  <c r="L1238" i="1"/>
  <c r="J1238" i="1"/>
  <c r="M1238" i="1" s="1"/>
  <c r="G1238" i="1"/>
  <c r="AE1237" i="1"/>
  <c r="V1237" i="1"/>
  <c r="W1237" i="1" s="1"/>
  <c r="U1237" i="1"/>
  <c r="P1237" i="1"/>
  <c r="Q1237" i="1" s="1"/>
  <c r="O1237" i="1"/>
  <c r="L1237" i="1"/>
  <c r="J1237" i="1"/>
  <c r="M1237" i="1" s="1"/>
  <c r="G1237" i="1"/>
  <c r="AE1236" i="1"/>
  <c r="V1236" i="1"/>
  <c r="W1236" i="1" s="1"/>
  <c r="U1236" i="1"/>
  <c r="S1236" i="1"/>
  <c r="P1236" i="1"/>
  <c r="Q1236" i="1" s="1"/>
  <c r="O1236" i="1"/>
  <c r="R1236" i="1" s="1"/>
  <c r="L1236" i="1"/>
  <c r="J1236" i="1"/>
  <c r="M1236" i="1" s="1"/>
  <c r="G1236" i="1"/>
  <c r="AE1235" i="1"/>
  <c r="V1235" i="1"/>
  <c r="W1235" i="1" s="1"/>
  <c r="U1235" i="1"/>
  <c r="P1235" i="1"/>
  <c r="Q1235" i="1" s="1"/>
  <c r="O1235" i="1"/>
  <c r="L1235" i="1"/>
  <c r="J1235" i="1"/>
  <c r="M1235" i="1" s="1"/>
  <c r="G1235" i="1"/>
  <c r="AE1234" i="1"/>
  <c r="V1234" i="1"/>
  <c r="W1234" i="1" s="1"/>
  <c r="U1234" i="1"/>
  <c r="P1234" i="1"/>
  <c r="Q1234" i="1" s="1"/>
  <c r="O1234" i="1"/>
  <c r="L1234" i="1"/>
  <c r="J1234" i="1"/>
  <c r="M1234" i="1" s="1"/>
  <c r="G1234" i="1"/>
  <c r="AE1233" i="1"/>
  <c r="V1233" i="1"/>
  <c r="W1233" i="1" s="1"/>
  <c r="U1233" i="1"/>
  <c r="P1233" i="1"/>
  <c r="Q1233" i="1" s="1"/>
  <c r="O1233" i="1"/>
  <c r="L1233" i="1"/>
  <c r="J1233" i="1"/>
  <c r="M1233" i="1" s="1"/>
  <c r="G1233" i="1"/>
  <c r="AE1232" i="1"/>
  <c r="V1232" i="1"/>
  <c r="W1232" i="1" s="1"/>
  <c r="U1232" i="1"/>
  <c r="P1232" i="1"/>
  <c r="Q1232" i="1" s="1"/>
  <c r="O1232" i="1"/>
  <c r="L1232" i="1"/>
  <c r="J1232" i="1"/>
  <c r="M1232" i="1" s="1"/>
  <c r="G1232" i="1"/>
  <c r="AE1231" i="1"/>
  <c r="V1231" i="1"/>
  <c r="W1231" i="1" s="1"/>
  <c r="U1231" i="1"/>
  <c r="P1231" i="1"/>
  <c r="Q1231" i="1" s="1"/>
  <c r="O1231" i="1"/>
  <c r="L1231" i="1"/>
  <c r="J1231" i="1"/>
  <c r="M1231" i="1" s="1"/>
  <c r="G1231" i="1"/>
  <c r="AE1230" i="1"/>
  <c r="V1230" i="1"/>
  <c r="W1230" i="1" s="1"/>
  <c r="U1230" i="1"/>
  <c r="P1230" i="1"/>
  <c r="Q1230" i="1" s="1"/>
  <c r="O1230" i="1"/>
  <c r="L1230" i="1"/>
  <c r="J1230" i="1"/>
  <c r="M1230" i="1" s="1"/>
  <c r="G1230" i="1"/>
  <c r="AE1229" i="1"/>
  <c r="V1229" i="1"/>
  <c r="W1229" i="1" s="1"/>
  <c r="U1229" i="1"/>
  <c r="P1229" i="1"/>
  <c r="Q1229" i="1" s="1"/>
  <c r="O1229" i="1"/>
  <c r="L1229" i="1"/>
  <c r="J1229" i="1"/>
  <c r="M1229" i="1" s="1"/>
  <c r="G1229" i="1"/>
  <c r="AE1228" i="1"/>
  <c r="V1228" i="1"/>
  <c r="W1228" i="1" s="1"/>
  <c r="U1228" i="1"/>
  <c r="P1228" i="1"/>
  <c r="Q1228" i="1" s="1"/>
  <c r="O1228" i="1"/>
  <c r="L1228" i="1"/>
  <c r="J1228" i="1"/>
  <c r="M1228" i="1" s="1"/>
  <c r="G1228" i="1"/>
  <c r="AE1227" i="1"/>
  <c r="Y1227" i="1"/>
  <c r="V1227" i="1"/>
  <c r="W1227" i="1" s="1"/>
  <c r="U1227" i="1"/>
  <c r="X1227" i="1" s="1"/>
  <c r="S1227" i="1"/>
  <c r="P1227" i="1"/>
  <c r="Q1227" i="1" s="1"/>
  <c r="O1227" i="1"/>
  <c r="R1227" i="1" s="1"/>
  <c r="L1227" i="1"/>
  <c r="J1227" i="1"/>
  <c r="M1227" i="1" s="1"/>
  <c r="G1227" i="1"/>
  <c r="AE1226" i="1"/>
  <c r="Y1226" i="1"/>
  <c r="V1226" i="1"/>
  <c r="W1226" i="1" s="1"/>
  <c r="U1226" i="1"/>
  <c r="X1226" i="1" s="1"/>
  <c r="P1226" i="1"/>
  <c r="Q1226" i="1" s="1"/>
  <c r="O1226" i="1"/>
  <c r="L1226" i="1"/>
  <c r="J1226" i="1"/>
  <c r="M1226" i="1" s="1"/>
  <c r="G1226" i="1"/>
  <c r="AE1225" i="1"/>
  <c r="V1225" i="1"/>
  <c r="W1225" i="1" s="1"/>
  <c r="U1225" i="1"/>
  <c r="S1225" i="1"/>
  <c r="P1225" i="1"/>
  <c r="Q1225" i="1" s="1"/>
  <c r="O1225" i="1"/>
  <c r="R1225" i="1" s="1"/>
  <c r="L1225" i="1"/>
  <c r="J1225" i="1"/>
  <c r="M1225" i="1" s="1"/>
  <c r="G1225" i="1"/>
  <c r="AE1224" i="1"/>
  <c r="V1224" i="1"/>
  <c r="W1224" i="1" s="1"/>
  <c r="U1224" i="1"/>
  <c r="P1224" i="1"/>
  <c r="Q1224" i="1" s="1"/>
  <c r="O1224" i="1"/>
  <c r="L1224" i="1"/>
  <c r="J1224" i="1"/>
  <c r="M1224" i="1" s="1"/>
  <c r="G1224" i="1"/>
  <c r="AE1223" i="1"/>
  <c r="V1223" i="1"/>
  <c r="W1223" i="1" s="1"/>
  <c r="U1223" i="1"/>
  <c r="P1223" i="1"/>
  <c r="Q1223" i="1" s="1"/>
  <c r="O1223" i="1"/>
  <c r="L1223" i="1"/>
  <c r="J1223" i="1"/>
  <c r="M1223" i="1" s="1"/>
  <c r="G1223" i="1"/>
  <c r="AE1222" i="1"/>
  <c r="V1222" i="1"/>
  <c r="W1222" i="1" s="1"/>
  <c r="U1222" i="1"/>
  <c r="S1222" i="1"/>
  <c r="P1222" i="1"/>
  <c r="Q1222" i="1" s="1"/>
  <c r="O1222" i="1"/>
  <c r="R1222" i="1" s="1"/>
  <c r="L1222" i="1"/>
  <c r="J1222" i="1"/>
  <c r="M1222" i="1" s="1"/>
  <c r="G1222" i="1"/>
  <c r="AE1221" i="1"/>
  <c r="V1221" i="1"/>
  <c r="W1221" i="1" s="1"/>
  <c r="U1221" i="1"/>
  <c r="P1221" i="1"/>
  <c r="Q1221" i="1" s="1"/>
  <c r="O1221" i="1"/>
  <c r="L1221" i="1"/>
  <c r="J1221" i="1"/>
  <c r="M1221" i="1" s="1"/>
  <c r="G1221" i="1"/>
  <c r="AE1220" i="1"/>
  <c r="V1220" i="1"/>
  <c r="W1220" i="1" s="1"/>
  <c r="U1220" i="1"/>
  <c r="S1220" i="1"/>
  <c r="P1220" i="1"/>
  <c r="Q1220" i="1" s="1"/>
  <c r="O1220" i="1"/>
  <c r="R1220" i="1" s="1"/>
  <c r="L1220" i="1"/>
  <c r="J1220" i="1"/>
  <c r="M1220" i="1" s="1"/>
  <c r="G1220" i="1"/>
  <c r="AE1219" i="1"/>
  <c r="V1219" i="1"/>
  <c r="W1219" i="1" s="1"/>
  <c r="U1219" i="1"/>
  <c r="P1219" i="1"/>
  <c r="Q1219" i="1" s="1"/>
  <c r="O1219" i="1"/>
  <c r="L1219" i="1"/>
  <c r="J1219" i="1"/>
  <c r="M1219" i="1" s="1"/>
  <c r="G1219" i="1"/>
  <c r="AE1218" i="1"/>
  <c r="V1218" i="1"/>
  <c r="W1218" i="1" s="1"/>
  <c r="U1218" i="1"/>
  <c r="P1218" i="1"/>
  <c r="Q1218" i="1" s="1"/>
  <c r="O1218" i="1"/>
  <c r="L1218" i="1"/>
  <c r="J1218" i="1"/>
  <c r="M1218" i="1" s="1"/>
  <c r="G1218" i="1"/>
  <c r="AE1217" i="1"/>
  <c r="V1217" i="1"/>
  <c r="W1217" i="1" s="1"/>
  <c r="U1217" i="1"/>
  <c r="P1217" i="1"/>
  <c r="Q1217" i="1" s="1"/>
  <c r="O1217" i="1"/>
  <c r="L1217" i="1"/>
  <c r="J1217" i="1"/>
  <c r="M1217" i="1" s="1"/>
  <c r="G1217" i="1"/>
  <c r="AE1216" i="1"/>
  <c r="V1216" i="1"/>
  <c r="W1216" i="1" s="1"/>
  <c r="U1216" i="1"/>
  <c r="S1216" i="1"/>
  <c r="P1216" i="1"/>
  <c r="Q1216" i="1" s="1"/>
  <c r="O1216" i="1"/>
  <c r="R1216" i="1" s="1"/>
  <c r="L1216" i="1"/>
  <c r="J1216" i="1"/>
  <c r="M1216" i="1" s="1"/>
  <c r="G1216" i="1"/>
  <c r="AE1215" i="1"/>
  <c r="V1215" i="1"/>
  <c r="W1215" i="1" s="1"/>
  <c r="U1215" i="1"/>
  <c r="P1215" i="1"/>
  <c r="Q1215" i="1" s="1"/>
  <c r="O1215" i="1"/>
  <c r="L1215" i="1"/>
  <c r="J1215" i="1"/>
  <c r="M1215" i="1" s="1"/>
  <c r="G1215" i="1"/>
  <c r="AE1214" i="1"/>
  <c r="Y1214" i="1"/>
  <c r="V1214" i="1"/>
  <c r="W1214" i="1" s="1"/>
  <c r="U1214" i="1"/>
  <c r="X1214" i="1" s="1"/>
  <c r="P1214" i="1"/>
  <c r="Q1214" i="1" s="1"/>
  <c r="O1214" i="1"/>
  <c r="L1214" i="1"/>
  <c r="J1214" i="1"/>
  <c r="M1214" i="1" s="1"/>
  <c r="G1214" i="1"/>
  <c r="AE1213" i="1"/>
  <c r="V1213" i="1"/>
  <c r="W1213" i="1" s="1"/>
  <c r="U1213" i="1"/>
  <c r="P1213" i="1"/>
  <c r="Q1213" i="1" s="1"/>
  <c r="O1213" i="1"/>
  <c r="L1213" i="1"/>
  <c r="J1213" i="1"/>
  <c r="M1213" i="1" s="1"/>
  <c r="G1213" i="1"/>
  <c r="AE1212" i="1"/>
  <c r="Y1212" i="1"/>
  <c r="V1212" i="1"/>
  <c r="W1212" i="1" s="1"/>
  <c r="U1212" i="1"/>
  <c r="X1212" i="1" s="1"/>
  <c r="P1212" i="1"/>
  <c r="Q1212" i="1" s="1"/>
  <c r="O1212" i="1"/>
  <c r="L1212" i="1"/>
  <c r="J1212" i="1"/>
  <c r="M1212" i="1" s="1"/>
  <c r="G1212" i="1"/>
  <c r="AE1211" i="1"/>
  <c r="V1211" i="1"/>
  <c r="W1211" i="1" s="1"/>
  <c r="U1211" i="1"/>
  <c r="P1211" i="1"/>
  <c r="Q1211" i="1" s="1"/>
  <c r="O1211" i="1"/>
  <c r="L1211" i="1"/>
  <c r="J1211" i="1"/>
  <c r="M1211" i="1" s="1"/>
  <c r="G1211" i="1"/>
  <c r="AE1210" i="1"/>
  <c r="V1210" i="1"/>
  <c r="W1210" i="1" s="1"/>
  <c r="U1210" i="1"/>
  <c r="P1210" i="1"/>
  <c r="Q1210" i="1" s="1"/>
  <c r="O1210" i="1"/>
  <c r="L1210" i="1"/>
  <c r="J1210" i="1"/>
  <c r="M1210" i="1" s="1"/>
  <c r="G1210" i="1"/>
  <c r="AE1209" i="1"/>
  <c r="V1209" i="1"/>
  <c r="W1209" i="1" s="1"/>
  <c r="U1209" i="1"/>
  <c r="P1209" i="1"/>
  <c r="Q1209" i="1" s="1"/>
  <c r="O1209" i="1"/>
  <c r="L1209" i="1"/>
  <c r="J1209" i="1"/>
  <c r="M1209" i="1" s="1"/>
  <c r="G1209" i="1"/>
  <c r="AE1208" i="1"/>
  <c r="V1208" i="1"/>
  <c r="W1208" i="1" s="1"/>
  <c r="U1208" i="1"/>
  <c r="P1208" i="1"/>
  <c r="Q1208" i="1" s="1"/>
  <c r="O1208" i="1"/>
  <c r="L1208" i="1"/>
  <c r="J1208" i="1"/>
  <c r="M1208" i="1" s="1"/>
  <c r="G1208" i="1"/>
  <c r="AE1207" i="1"/>
  <c r="V1207" i="1"/>
  <c r="W1207" i="1" s="1"/>
  <c r="U1207" i="1"/>
  <c r="P1207" i="1"/>
  <c r="Q1207" i="1" s="1"/>
  <c r="O1207" i="1"/>
  <c r="L1207" i="1"/>
  <c r="J1207" i="1"/>
  <c r="M1207" i="1" s="1"/>
  <c r="G1207" i="1"/>
  <c r="AE1206" i="1"/>
  <c r="V1206" i="1"/>
  <c r="W1206" i="1" s="1"/>
  <c r="U1206" i="1"/>
  <c r="P1206" i="1"/>
  <c r="Q1206" i="1" s="1"/>
  <c r="O1206" i="1"/>
  <c r="L1206" i="1"/>
  <c r="J1206" i="1"/>
  <c r="M1206" i="1" s="1"/>
  <c r="G1206" i="1"/>
  <c r="AE1205" i="1"/>
  <c r="V1205" i="1"/>
  <c r="W1205" i="1" s="1"/>
  <c r="U1205" i="1"/>
  <c r="P1205" i="1"/>
  <c r="Q1205" i="1" s="1"/>
  <c r="O1205" i="1"/>
  <c r="L1205" i="1"/>
  <c r="J1205" i="1"/>
  <c r="M1205" i="1" s="1"/>
  <c r="G1205" i="1"/>
  <c r="AE1204" i="1"/>
  <c r="V1204" i="1"/>
  <c r="W1204" i="1" s="1"/>
  <c r="U1204" i="1"/>
  <c r="S1204" i="1"/>
  <c r="P1204" i="1"/>
  <c r="Q1204" i="1" s="1"/>
  <c r="O1204" i="1"/>
  <c r="R1204" i="1" s="1"/>
  <c r="L1204" i="1"/>
  <c r="J1204" i="1"/>
  <c r="M1204" i="1" s="1"/>
  <c r="G1204" i="1"/>
  <c r="AE1203" i="1"/>
  <c r="V1203" i="1"/>
  <c r="W1203" i="1" s="1"/>
  <c r="U1203" i="1"/>
  <c r="P1203" i="1"/>
  <c r="Q1203" i="1" s="1"/>
  <c r="O1203" i="1"/>
  <c r="L1203" i="1"/>
  <c r="J1203" i="1"/>
  <c r="M1203" i="1" s="1"/>
  <c r="G1203" i="1"/>
  <c r="AE1202" i="1"/>
  <c r="V1202" i="1"/>
  <c r="W1202" i="1" s="1"/>
  <c r="U1202" i="1"/>
  <c r="P1202" i="1"/>
  <c r="Q1202" i="1" s="1"/>
  <c r="O1202" i="1"/>
  <c r="L1202" i="1"/>
  <c r="J1202" i="1"/>
  <c r="M1202" i="1" s="1"/>
  <c r="G1202" i="1"/>
  <c r="AE1201" i="1"/>
  <c r="V1201" i="1"/>
  <c r="W1201" i="1" s="1"/>
  <c r="U1201" i="1"/>
  <c r="P1201" i="1"/>
  <c r="Q1201" i="1" s="1"/>
  <c r="O1201" i="1"/>
  <c r="L1201" i="1"/>
  <c r="J1201" i="1"/>
  <c r="M1201" i="1" s="1"/>
  <c r="G1201" i="1"/>
  <c r="AE1200" i="1"/>
  <c r="V1200" i="1"/>
  <c r="W1200" i="1" s="1"/>
  <c r="U1200" i="1"/>
  <c r="P1200" i="1"/>
  <c r="Q1200" i="1" s="1"/>
  <c r="O1200" i="1"/>
  <c r="L1200" i="1"/>
  <c r="J1200" i="1"/>
  <c r="M1200" i="1" s="1"/>
  <c r="G1200" i="1"/>
  <c r="AE1199" i="1"/>
  <c r="V1199" i="1"/>
  <c r="W1199" i="1" s="1"/>
  <c r="U1199" i="1"/>
  <c r="S1199" i="1"/>
  <c r="P1199" i="1"/>
  <c r="Q1199" i="1" s="1"/>
  <c r="O1199" i="1"/>
  <c r="R1199" i="1" s="1"/>
  <c r="L1199" i="1"/>
  <c r="J1199" i="1"/>
  <c r="M1199" i="1" s="1"/>
  <c r="G1199" i="1"/>
  <c r="AE1198" i="1"/>
  <c r="Y1198" i="1"/>
  <c r="V1198" i="1"/>
  <c r="W1198" i="1" s="1"/>
  <c r="U1198" i="1"/>
  <c r="X1198" i="1" s="1"/>
  <c r="S1198" i="1"/>
  <c r="P1198" i="1"/>
  <c r="Q1198" i="1" s="1"/>
  <c r="O1198" i="1"/>
  <c r="R1198" i="1" s="1"/>
  <c r="L1198" i="1"/>
  <c r="J1198" i="1"/>
  <c r="M1198" i="1" s="1"/>
  <c r="G1198" i="1"/>
  <c r="AE1197" i="1"/>
  <c r="V1197" i="1"/>
  <c r="W1197" i="1" s="1"/>
  <c r="U1197" i="1"/>
  <c r="P1197" i="1"/>
  <c r="Q1197" i="1" s="1"/>
  <c r="O1197" i="1"/>
  <c r="L1197" i="1"/>
  <c r="J1197" i="1"/>
  <c r="M1197" i="1" s="1"/>
  <c r="G1197" i="1"/>
  <c r="AE1196" i="1"/>
  <c r="V1196" i="1"/>
  <c r="W1196" i="1" s="1"/>
  <c r="U1196" i="1"/>
  <c r="P1196" i="1"/>
  <c r="Q1196" i="1" s="1"/>
  <c r="O1196" i="1"/>
  <c r="L1196" i="1"/>
  <c r="J1196" i="1"/>
  <c r="M1196" i="1" s="1"/>
  <c r="G1196" i="1"/>
  <c r="AE1195" i="1"/>
  <c r="Y1195" i="1"/>
  <c r="V1195" i="1"/>
  <c r="W1195" i="1" s="1"/>
  <c r="U1195" i="1"/>
  <c r="X1195" i="1" s="1"/>
  <c r="S1195" i="1"/>
  <c r="P1195" i="1"/>
  <c r="Q1195" i="1" s="1"/>
  <c r="O1195" i="1"/>
  <c r="R1195" i="1" s="1"/>
  <c r="L1195" i="1"/>
  <c r="J1195" i="1"/>
  <c r="M1195" i="1" s="1"/>
  <c r="G1195" i="1"/>
  <c r="AE1194" i="1"/>
  <c r="V1194" i="1"/>
  <c r="W1194" i="1" s="1"/>
  <c r="U1194" i="1"/>
  <c r="P1194" i="1"/>
  <c r="Q1194" i="1" s="1"/>
  <c r="O1194" i="1"/>
  <c r="L1194" i="1"/>
  <c r="J1194" i="1"/>
  <c r="M1194" i="1" s="1"/>
  <c r="G1194" i="1"/>
  <c r="AE1193" i="1"/>
  <c r="V1193" i="1"/>
  <c r="W1193" i="1" s="1"/>
  <c r="U1193" i="1"/>
  <c r="P1193" i="1"/>
  <c r="Q1193" i="1" s="1"/>
  <c r="O1193" i="1"/>
  <c r="L1193" i="1"/>
  <c r="J1193" i="1"/>
  <c r="M1193" i="1" s="1"/>
  <c r="G1193" i="1"/>
  <c r="AE1192" i="1"/>
  <c r="V1192" i="1"/>
  <c r="W1192" i="1" s="1"/>
  <c r="U1192" i="1"/>
  <c r="P1192" i="1"/>
  <c r="Q1192" i="1" s="1"/>
  <c r="O1192" i="1"/>
  <c r="L1192" i="1"/>
  <c r="J1192" i="1"/>
  <c r="M1192" i="1" s="1"/>
  <c r="G1192" i="1"/>
  <c r="AE1191" i="1"/>
  <c r="Y1191" i="1"/>
  <c r="V1191" i="1"/>
  <c r="W1191" i="1" s="1"/>
  <c r="U1191" i="1"/>
  <c r="X1191" i="1" s="1"/>
  <c r="P1191" i="1"/>
  <c r="Q1191" i="1" s="1"/>
  <c r="O1191" i="1"/>
  <c r="L1191" i="1"/>
  <c r="J1191" i="1"/>
  <c r="M1191" i="1" s="1"/>
  <c r="G1191" i="1"/>
  <c r="AE1190" i="1"/>
  <c r="V1190" i="1"/>
  <c r="W1190" i="1" s="1"/>
  <c r="U1190" i="1"/>
  <c r="P1190" i="1"/>
  <c r="Q1190" i="1" s="1"/>
  <c r="O1190" i="1"/>
  <c r="L1190" i="1"/>
  <c r="J1190" i="1"/>
  <c r="M1190" i="1" s="1"/>
  <c r="G1190" i="1"/>
  <c r="AE1189" i="1"/>
  <c r="V1189" i="1"/>
  <c r="W1189" i="1" s="1"/>
  <c r="U1189" i="1"/>
  <c r="P1189" i="1"/>
  <c r="Q1189" i="1" s="1"/>
  <c r="O1189" i="1"/>
  <c r="L1189" i="1"/>
  <c r="J1189" i="1"/>
  <c r="M1189" i="1" s="1"/>
  <c r="G1189" i="1"/>
  <c r="AE1188" i="1"/>
  <c r="V1188" i="1"/>
  <c r="W1188" i="1" s="1"/>
  <c r="U1188" i="1"/>
  <c r="P1188" i="1"/>
  <c r="Q1188" i="1" s="1"/>
  <c r="O1188" i="1"/>
  <c r="L1188" i="1"/>
  <c r="J1188" i="1"/>
  <c r="M1188" i="1" s="1"/>
  <c r="G1188" i="1"/>
  <c r="AE1187" i="1"/>
  <c r="V1187" i="1"/>
  <c r="W1187" i="1" s="1"/>
  <c r="U1187" i="1"/>
  <c r="P1187" i="1"/>
  <c r="Q1187" i="1" s="1"/>
  <c r="O1187" i="1"/>
  <c r="L1187" i="1"/>
  <c r="J1187" i="1"/>
  <c r="M1187" i="1" s="1"/>
  <c r="G1187" i="1"/>
  <c r="AE1186" i="1"/>
  <c r="V1186" i="1"/>
  <c r="W1186" i="1" s="1"/>
  <c r="U1186" i="1"/>
  <c r="P1186" i="1"/>
  <c r="Q1186" i="1" s="1"/>
  <c r="O1186" i="1"/>
  <c r="L1186" i="1"/>
  <c r="J1186" i="1"/>
  <c r="M1186" i="1" s="1"/>
  <c r="G1186" i="1"/>
  <c r="AE1185" i="1"/>
  <c r="V1185" i="1"/>
  <c r="W1185" i="1" s="1"/>
  <c r="U1185" i="1"/>
  <c r="P1185" i="1"/>
  <c r="Q1185" i="1" s="1"/>
  <c r="O1185" i="1"/>
  <c r="L1185" i="1"/>
  <c r="J1185" i="1"/>
  <c r="M1185" i="1" s="1"/>
  <c r="G1185" i="1"/>
  <c r="AE1184" i="1"/>
  <c r="V1184" i="1"/>
  <c r="W1184" i="1" s="1"/>
  <c r="U1184" i="1"/>
  <c r="P1184" i="1"/>
  <c r="Q1184" i="1" s="1"/>
  <c r="O1184" i="1"/>
  <c r="L1184" i="1"/>
  <c r="J1184" i="1"/>
  <c r="M1184" i="1" s="1"/>
  <c r="G1184" i="1"/>
  <c r="AE1183" i="1"/>
  <c r="V1183" i="1"/>
  <c r="W1183" i="1" s="1"/>
  <c r="U1183" i="1"/>
  <c r="P1183" i="1"/>
  <c r="Q1183" i="1" s="1"/>
  <c r="O1183" i="1"/>
  <c r="L1183" i="1"/>
  <c r="J1183" i="1"/>
  <c r="M1183" i="1" s="1"/>
  <c r="G1183" i="1"/>
  <c r="AE1182" i="1"/>
  <c r="V1182" i="1"/>
  <c r="W1182" i="1" s="1"/>
  <c r="U1182" i="1"/>
  <c r="P1182" i="1"/>
  <c r="Q1182" i="1" s="1"/>
  <c r="O1182" i="1"/>
  <c r="L1182" i="1"/>
  <c r="J1182" i="1"/>
  <c r="M1182" i="1" s="1"/>
  <c r="G1182" i="1"/>
  <c r="AE1181" i="1"/>
  <c r="V1181" i="1"/>
  <c r="W1181" i="1" s="1"/>
  <c r="U1181" i="1"/>
  <c r="P1181" i="1"/>
  <c r="Q1181" i="1" s="1"/>
  <c r="O1181" i="1"/>
  <c r="L1181" i="1"/>
  <c r="J1181" i="1"/>
  <c r="M1181" i="1" s="1"/>
  <c r="G1181" i="1"/>
  <c r="AE1180" i="1"/>
  <c r="V1180" i="1"/>
  <c r="W1180" i="1" s="1"/>
  <c r="U1180" i="1"/>
  <c r="P1180" i="1"/>
  <c r="Q1180" i="1" s="1"/>
  <c r="O1180" i="1"/>
  <c r="L1180" i="1"/>
  <c r="J1180" i="1"/>
  <c r="M1180" i="1" s="1"/>
  <c r="G1180" i="1"/>
  <c r="AE1179" i="1"/>
  <c r="V1179" i="1"/>
  <c r="W1179" i="1" s="1"/>
  <c r="U1179" i="1"/>
  <c r="S1179" i="1"/>
  <c r="P1179" i="1"/>
  <c r="Q1179" i="1" s="1"/>
  <c r="O1179" i="1"/>
  <c r="R1179" i="1" s="1"/>
  <c r="L1179" i="1"/>
  <c r="J1179" i="1"/>
  <c r="M1179" i="1" s="1"/>
  <c r="G1179" i="1"/>
  <c r="AE1178" i="1"/>
  <c r="V1178" i="1"/>
  <c r="W1178" i="1" s="1"/>
  <c r="U1178" i="1"/>
  <c r="S1178" i="1"/>
  <c r="P1178" i="1"/>
  <c r="Q1178" i="1" s="1"/>
  <c r="O1178" i="1"/>
  <c r="R1178" i="1" s="1"/>
  <c r="L1178" i="1"/>
  <c r="J1178" i="1"/>
  <c r="M1178" i="1" s="1"/>
  <c r="G1178" i="1"/>
  <c r="AE1177" i="1"/>
  <c r="V1177" i="1"/>
  <c r="W1177" i="1" s="1"/>
  <c r="U1177" i="1"/>
  <c r="P1177" i="1"/>
  <c r="Q1177" i="1" s="1"/>
  <c r="O1177" i="1"/>
  <c r="L1177" i="1"/>
  <c r="J1177" i="1"/>
  <c r="M1177" i="1" s="1"/>
  <c r="G1177" i="1"/>
  <c r="AE1176" i="1"/>
  <c r="V1176" i="1"/>
  <c r="W1176" i="1" s="1"/>
  <c r="U1176" i="1"/>
  <c r="P1176" i="1"/>
  <c r="Q1176" i="1" s="1"/>
  <c r="O1176" i="1"/>
  <c r="L1176" i="1"/>
  <c r="J1176" i="1"/>
  <c r="M1176" i="1" s="1"/>
  <c r="G1176" i="1"/>
  <c r="AE1175" i="1"/>
  <c r="V1175" i="1"/>
  <c r="W1175" i="1" s="1"/>
  <c r="U1175" i="1"/>
  <c r="P1175" i="1"/>
  <c r="Q1175" i="1" s="1"/>
  <c r="O1175" i="1"/>
  <c r="L1175" i="1"/>
  <c r="J1175" i="1"/>
  <c r="M1175" i="1" s="1"/>
  <c r="G1175" i="1"/>
  <c r="AE1174" i="1"/>
  <c r="V1174" i="1"/>
  <c r="W1174" i="1" s="1"/>
  <c r="U1174" i="1"/>
  <c r="P1174" i="1"/>
  <c r="Q1174" i="1" s="1"/>
  <c r="O1174" i="1"/>
  <c r="L1174" i="1"/>
  <c r="J1174" i="1"/>
  <c r="M1174" i="1" s="1"/>
  <c r="G1174" i="1"/>
  <c r="AE1173" i="1"/>
  <c r="V1173" i="1"/>
  <c r="W1173" i="1" s="1"/>
  <c r="U1173" i="1"/>
  <c r="P1173" i="1"/>
  <c r="Q1173" i="1" s="1"/>
  <c r="O1173" i="1"/>
  <c r="L1173" i="1"/>
  <c r="J1173" i="1"/>
  <c r="M1173" i="1" s="1"/>
  <c r="G1173" i="1"/>
  <c r="AE1172" i="1"/>
  <c r="V1172" i="1"/>
  <c r="W1172" i="1" s="1"/>
  <c r="U1172" i="1"/>
  <c r="P1172" i="1"/>
  <c r="Q1172" i="1" s="1"/>
  <c r="O1172" i="1"/>
  <c r="L1172" i="1"/>
  <c r="J1172" i="1"/>
  <c r="M1172" i="1" s="1"/>
  <c r="G1172" i="1"/>
  <c r="AE1171" i="1"/>
  <c r="V1171" i="1"/>
  <c r="W1171" i="1" s="1"/>
  <c r="U1171" i="1"/>
  <c r="P1171" i="1"/>
  <c r="Q1171" i="1" s="1"/>
  <c r="O1171" i="1"/>
  <c r="L1171" i="1"/>
  <c r="J1171" i="1"/>
  <c r="M1171" i="1" s="1"/>
  <c r="G1171" i="1"/>
  <c r="AE1170" i="1"/>
  <c r="V1170" i="1"/>
  <c r="W1170" i="1" s="1"/>
  <c r="U1170" i="1"/>
  <c r="S1170" i="1"/>
  <c r="P1170" i="1"/>
  <c r="Q1170" i="1" s="1"/>
  <c r="O1170" i="1"/>
  <c r="R1170" i="1" s="1"/>
  <c r="L1170" i="1"/>
  <c r="J1170" i="1"/>
  <c r="M1170" i="1" s="1"/>
  <c r="G1170" i="1"/>
  <c r="AE1169" i="1"/>
  <c r="V1169" i="1"/>
  <c r="W1169" i="1" s="1"/>
  <c r="U1169" i="1"/>
  <c r="P1169" i="1"/>
  <c r="Q1169" i="1" s="1"/>
  <c r="O1169" i="1"/>
  <c r="L1169" i="1"/>
  <c r="J1169" i="1"/>
  <c r="M1169" i="1" s="1"/>
  <c r="G1169" i="1"/>
  <c r="AE1168" i="1"/>
  <c r="V1168" i="1"/>
  <c r="W1168" i="1" s="1"/>
  <c r="U1168" i="1"/>
  <c r="P1168" i="1"/>
  <c r="Q1168" i="1" s="1"/>
  <c r="O1168" i="1"/>
  <c r="L1168" i="1"/>
  <c r="J1168" i="1"/>
  <c r="M1168" i="1" s="1"/>
  <c r="G1168" i="1"/>
  <c r="AE1167" i="1"/>
  <c r="V1167" i="1"/>
  <c r="W1167" i="1" s="1"/>
  <c r="U1167" i="1"/>
  <c r="P1167" i="1"/>
  <c r="Q1167" i="1" s="1"/>
  <c r="O1167" i="1"/>
  <c r="L1167" i="1"/>
  <c r="J1167" i="1"/>
  <c r="M1167" i="1" s="1"/>
  <c r="G1167" i="1"/>
  <c r="AE1166" i="1"/>
  <c r="V1166" i="1"/>
  <c r="W1166" i="1" s="1"/>
  <c r="U1166" i="1"/>
  <c r="P1166" i="1"/>
  <c r="Q1166" i="1" s="1"/>
  <c r="O1166" i="1"/>
  <c r="L1166" i="1"/>
  <c r="J1166" i="1"/>
  <c r="M1166" i="1" s="1"/>
  <c r="G1166" i="1"/>
  <c r="AE1165" i="1"/>
  <c r="V1165" i="1"/>
  <c r="W1165" i="1" s="1"/>
  <c r="U1165" i="1"/>
  <c r="P1165" i="1"/>
  <c r="Q1165" i="1" s="1"/>
  <c r="O1165" i="1"/>
  <c r="L1165" i="1"/>
  <c r="J1165" i="1"/>
  <c r="M1165" i="1" s="1"/>
  <c r="G1165" i="1"/>
  <c r="AE1164" i="1"/>
  <c r="V1164" i="1"/>
  <c r="W1164" i="1" s="1"/>
  <c r="U1164" i="1"/>
  <c r="P1164" i="1"/>
  <c r="Q1164" i="1" s="1"/>
  <c r="O1164" i="1"/>
  <c r="L1164" i="1"/>
  <c r="J1164" i="1"/>
  <c r="M1164" i="1" s="1"/>
  <c r="G1164" i="1"/>
  <c r="AE1163" i="1"/>
  <c r="V1163" i="1"/>
  <c r="W1163" i="1" s="1"/>
  <c r="U1163" i="1"/>
  <c r="P1163" i="1"/>
  <c r="Q1163" i="1" s="1"/>
  <c r="O1163" i="1"/>
  <c r="L1163" i="1"/>
  <c r="J1163" i="1"/>
  <c r="M1163" i="1" s="1"/>
  <c r="G1163" i="1"/>
  <c r="AE1162" i="1"/>
  <c r="V1162" i="1"/>
  <c r="W1162" i="1" s="1"/>
  <c r="U1162" i="1"/>
  <c r="P1162" i="1"/>
  <c r="Q1162" i="1" s="1"/>
  <c r="O1162" i="1"/>
  <c r="L1162" i="1"/>
  <c r="J1162" i="1"/>
  <c r="M1162" i="1" s="1"/>
  <c r="G1162" i="1"/>
  <c r="AE1161" i="1"/>
  <c r="V1161" i="1"/>
  <c r="W1161" i="1" s="1"/>
  <c r="U1161" i="1"/>
  <c r="P1161" i="1"/>
  <c r="Q1161" i="1" s="1"/>
  <c r="O1161" i="1"/>
  <c r="L1161" i="1"/>
  <c r="J1161" i="1"/>
  <c r="M1161" i="1" s="1"/>
  <c r="G1161" i="1"/>
  <c r="AE1160" i="1"/>
  <c r="V1160" i="1"/>
  <c r="W1160" i="1" s="1"/>
  <c r="U1160" i="1"/>
  <c r="P1160" i="1"/>
  <c r="Q1160" i="1" s="1"/>
  <c r="O1160" i="1"/>
  <c r="L1160" i="1"/>
  <c r="J1160" i="1"/>
  <c r="M1160" i="1" s="1"/>
  <c r="G1160" i="1"/>
  <c r="AE1159" i="1"/>
  <c r="V1159" i="1"/>
  <c r="W1159" i="1" s="1"/>
  <c r="U1159" i="1"/>
  <c r="S1159" i="1"/>
  <c r="P1159" i="1"/>
  <c r="Q1159" i="1" s="1"/>
  <c r="O1159" i="1"/>
  <c r="R1159" i="1" s="1"/>
  <c r="L1159" i="1"/>
  <c r="J1159" i="1"/>
  <c r="M1159" i="1" s="1"/>
  <c r="G1159" i="1"/>
  <c r="AE1158" i="1"/>
  <c r="Y1158" i="1"/>
  <c r="V1158" i="1"/>
  <c r="W1158" i="1" s="1"/>
  <c r="U1158" i="1"/>
  <c r="X1158" i="1" s="1"/>
  <c r="P1158" i="1"/>
  <c r="Q1158" i="1" s="1"/>
  <c r="O1158" i="1"/>
  <c r="L1158" i="1"/>
  <c r="J1158" i="1"/>
  <c r="M1158" i="1" s="1"/>
  <c r="G1158" i="1"/>
  <c r="AE1157" i="1"/>
  <c r="V1157" i="1"/>
  <c r="W1157" i="1" s="1"/>
  <c r="U1157" i="1"/>
  <c r="P1157" i="1"/>
  <c r="Q1157" i="1" s="1"/>
  <c r="O1157" i="1"/>
  <c r="L1157" i="1"/>
  <c r="J1157" i="1"/>
  <c r="M1157" i="1" s="1"/>
  <c r="G1157" i="1"/>
  <c r="AE1156" i="1"/>
  <c r="V1156" i="1"/>
  <c r="W1156" i="1" s="1"/>
  <c r="U1156" i="1"/>
  <c r="P1156" i="1"/>
  <c r="Q1156" i="1" s="1"/>
  <c r="O1156" i="1"/>
  <c r="L1156" i="1"/>
  <c r="J1156" i="1"/>
  <c r="M1156" i="1" s="1"/>
  <c r="G1156" i="1"/>
  <c r="AE1155" i="1"/>
  <c r="V1155" i="1"/>
  <c r="W1155" i="1" s="1"/>
  <c r="U1155" i="1"/>
  <c r="S1155" i="1"/>
  <c r="P1155" i="1"/>
  <c r="Q1155" i="1" s="1"/>
  <c r="O1155" i="1"/>
  <c r="R1155" i="1" s="1"/>
  <c r="L1155" i="1"/>
  <c r="J1155" i="1"/>
  <c r="M1155" i="1" s="1"/>
  <c r="G1155" i="1"/>
  <c r="AE1154" i="1"/>
  <c r="V1154" i="1"/>
  <c r="W1154" i="1" s="1"/>
  <c r="U1154" i="1"/>
  <c r="P1154" i="1"/>
  <c r="Q1154" i="1" s="1"/>
  <c r="O1154" i="1"/>
  <c r="L1154" i="1"/>
  <c r="J1154" i="1"/>
  <c r="M1154" i="1" s="1"/>
  <c r="G1154" i="1"/>
  <c r="AE1153" i="1"/>
  <c r="V1153" i="1"/>
  <c r="W1153" i="1" s="1"/>
  <c r="U1153" i="1"/>
  <c r="P1153" i="1"/>
  <c r="Q1153" i="1" s="1"/>
  <c r="O1153" i="1"/>
  <c r="L1153" i="1"/>
  <c r="J1153" i="1"/>
  <c r="M1153" i="1" s="1"/>
  <c r="G1153" i="1"/>
  <c r="AE1152" i="1"/>
  <c r="Y1152" i="1"/>
  <c r="V1152" i="1"/>
  <c r="W1152" i="1" s="1"/>
  <c r="U1152" i="1"/>
  <c r="X1152" i="1" s="1"/>
  <c r="S1152" i="1"/>
  <c r="P1152" i="1"/>
  <c r="Q1152" i="1" s="1"/>
  <c r="O1152" i="1"/>
  <c r="R1152" i="1" s="1"/>
  <c r="L1152" i="1"/>
  <c r="J1152" i="1"/>
  <c r="M1152" i="1" s="1"/>
  <c r="G1152" i="1"/>
  <c r="AE1151" i="1"/>
  <c r="Y1151" i="1"/>
  <c r="V1151" i="1"/>
  <c r="W1151" i="1" s="1"/>
  <c r="U1151" i="1"/>
  <c r="X1151" i="1" s="1"/>
  <c r="S1151" i="1"/>
  <c r="P1151" i="1"/>
  <c r="Q1151" i="1" s="1"/>
  <c r="O1151" i="1"/>
  <c r="R1151" i="1" s="1"/>
  <c r="L1151" i="1"/>
  <c r="J1151" i="1"/>
  <c r="M1151" i="1" s="1"/>
  <c r="G1151" i="1"/>
  <c r="AE1150" i="1"/>
  <c r="Y1150" i="1"/>
  <c r="V1150" i="1"/>
  <c r="W1150" i="1" s="1"/>
  <c r="U1150" i="1"/>
  <c r="X1150" i="1" s="1"/>
  <c r="P1150" i="1"/>
  <c r="Q1150" i="1" s="1"/>
  <c r="O1150" i="1"/>
  <c r="L1150" i="1"/>
  <c r="J1150" i="1"/>
  <c r="M1150" i="1" s="1"/>
  <c r="G1150" i="1"/>
  <c r="AE1149" i="1"/>
  <c r="V1149" i="1"/>
  <c r="W1149" i="1" s="1"/>
  <c r="U1149" i="1"/>
  <c r="P1149" i="1"/>
  <c r="Q1149" i="1" s="1"/>
  <c r="O1149" i="1"/>
  <c r="L1149" i="1"/>
  <c r="J1149" i="1"/>
  <c r="M1149" i="1" s="1"/>
  <c r="G1149" i="1"/>
  <c r="AE1148" i="1"/>
  <c r="V1148" i="1"/>
  <c r="W1148" i="1" s="1"/>
  <c r="U1148" i="1"/>
  <c r="P1148" i="1"/>
  <c r="Q1148" i="1" s="1"/>
  <c r="O1148" i="1"/>
  <c r="L1148" i="1"/>
  <c r="J1148" i="1"/>
  <c r="M1148" i="1" s="1"/>
  <c r="G1148" i="1"/>
  <c r="AE1147" i="1"/>
  <c r="Y1147" i="1"/>
  <c r="V1147" i="1"/>
  <c r="W1147" i="1" s="1"/>
  <c r="U1147" i="1"/>
  <c r="X1147" i="1" s="1"/>
  <c r="P1147" i="1"/>
  <c r="Q1147" i="1" s="1"/>
  <c r="O1147" i="1"/>
  <c r="L1147" i="1"/>
  <c r="J1147" i="1"/>
  <c r="M1147" i="1" s="1"/>
  <c r="G1147" i="1"/>
  <c r="AE1146" i="1"/>
  <c r="Y1146" i="1"/>
  <c r="V1146" i="1"/>
  <c r="W1146" i="1" s="1"/>
  <c r="U1146" i="1"/>
  <c r="X1146" i="1" s="1"/>
  <c r="S1146" i="1"/>
  <c r="P1146" i="1"/>
  <c r="Q1146" i="1" s="1"/>
  <c r="O1146" i="1"/>
  <c r="R1146" i="1" s="1"/>
  <c r="L1146" i="1"/>
  <c r="J1146" i="1"/>
  <c r="M1146" i="1" s="1"/>
  <c r="G1146" i="1"/>
  <c r="AE1145" i="1"/>
  <c r="V1145" i="1"/>
  <c r="W1145" i="1" s="1"/>
  <c r="U1145" i="1"/>
  <c r="P1145" i="1"/>
  <c r="Q1145" i="1" s="1"/>
  <c r="O1145" i="1"/>
  <c r="L1145" i="1"/>
  <c r="J1145" i="1"/>
  <c r="M1145" i="1" s="1"/>
  <c r="G1145" i="1"/>
  <c r="AE1144" i="1"/>
  <c r="V1144" i="1"/>
  <c r="W1144" i="1" s="1"/>
  <c r="U1144" i="1"/>
  <c r="P1144" i="1"/>
  <c r="Q1144" i="1" s="1"/>
  <c r="O1144" i="1"/>
  <c r="L1144" i="1"/>
  <c r="J1144" i="1"/>
  <c r="M1144" i="1" s="1"/>
  <c r="G1144" i="1"/>
  <c r="AE1143" i="1"/>
  <c r="V1143" i="1"/>
  <c r="W1143" i="1" s="1"/>
  <c r="U1143" i="1"/>
  <c r="P1143" i="1"/>
  <c r="Q1143" i="1" s="1"/>
  <c r="O1143" i="1"/>
  <c r="L1143" i="1"/>
  <c r="J1143" i="1"/>
  <c r="M1143" i="1" s="1"/>
  <c r="G1143" i="1"/>
  <c r="AE1142" i="1"/>
  <c r="V1142" i="1"/>
  <c r="W1142" i="1" s="1"/>
  <c r="U1142" i="1"/>
  <c r="P1142" i="1"/>
  <c r="Q1142" i="1" s="1"/>
  <c r="O1142" i="1"/>
  <c r="L1142" i="1"/>
  <c r="J1142" i="1"/>
  <c r="M1142" i="1" s="1"/>
  <c r="G1142" i="1"/>
  <c r="AE1141" i="1"/>
  <c r="V1141" i="1"/>
  <c r="W1141" i="1" s="1"/>
  <c r="U1141" i="1"/>
  <c r="S1141" i="1"/>
  <c r="P1141" i="1"/>
  <c r="Q1141" i="1" s="1"/>
  <c r="O1141" i="1"/>
  <c r="R1141" i="1" s="1"/>
  <c r="L1141" i="1"/>
  <c r="J1141" i="1"/>
  <c r="M1141" i="1" s="1"/>
  <c r="G1141" i="1"/>
  <c r="AE1140" i="1"/>
  <c r="V1140" i="1"/>
  <c r="W1140" i="1" s="1"/>
  <c r="U1140" i="1"/>
  <c r="P1140" i="1"/>
  <c r="Q1140" i="1" s="1"/>
  <c r="O1140" i="1"/>
  <c r="L1140" i="1"/>
  <c r="J1140" i="1"/>
  <c r="M1140" i="1" s="1"/>
  <c r="G1140" i="1"/>
  <c r="AE1139" i="1"/>
  <c r="V1139" i="1"/>
  <c r="W1139" i="1" s="1"/>
  <c r="U1139" i="1"/>
  <c r="P1139" i="1"/>
  <c r="Q1139" i="1" s="1"/>
  <c r="O1139" i="1"/>
  <c r="L1139" i="1"/>
  <c r="J1139" i="1"/>
  <c r="M1139" i="1" s="1"/>
  <c r="G1139" i="1"/>
  <c r="AE1138" i="1"/>
  <c r="V1138" i="1"/>
  <c r="W1138" i="1" s="1"/>
  <c r="U1138" i="1"/>
  <c r="P1138" i="1"/>
  <c r="Q1138" i="1" s="1"/>
  <c r="O1138" i="1"/>
  <c r="L1138" i="1"/>
  <c r="J1138" i="1"/>
  <c r="M1138" i="1" s="1"/>
  <c r="G1138" i="1"/>
  <c r="AE1137" i="1"/>
  <c r="V1137" i="1"/>
  <c r="W1137" i="1" s="1"/>
  <c r="U1137" i="1"/>
  <c r="P1137" i="1"/>
  <c r="Q1137" i="1" s="1"/>
  <c r="O1137" i="1"/>
  <c r="L1137" i="1"/>
  <c r="J1137" i="1"/>
  <c r="M1137" i="1" s="1"/>
  <c r="G1137" i="1"/>
  <c r="AE1136" i="1"/>
  <c r="V1136" i="1"/>
  <c r="W1136" i="1" s="1"/>
  <c r="U1136" i="1"/>
  <c r="P1136" i="1"/>
  <c r="Q1136" i="1" s="1"/>
  <c r="O1136" i="1"/>
  <c r="L1136" i="1"/>
  <c r="J1136" i="1"/>
  <c r="M1136" i="1" s="1"/>
  <c r="G1136" i="1"/>
  <c r="AE1135" i="1"/>
  <c r="V1135" i="1"/>
  <c r="W1135" i="1" s="1"/>
  <c r="U1135" i="1"/>
  <c r="P1135" i="1"/>
  <c r="Q1135" i="1" s="1"/>
  <c r="O1135" i="1"/>
  <c r="L1135" i="1"/>
  <c r="J1135" i="1"/>
  <c r="M1135" i="1" s="1"/>
  <c r="G1135" i="1"/>
  <c r="AE1134" i="1"/>
  <c r="V1134" i="1"/>
  <c r="W1134" i="1" s="1"/>
  <c r="U1134" i="1"/>
  <c r="P1134" i="1"/>
  <c r="Q1134" i="1" s="1"/>
  <c r="O1134" i="1"/>
  <c r="L1134" i="1"/>
  <c r="J1134" i="1"/>
  <c r="M1134" i="1" s="1"/>
  <c r="G1134" i="1"/>
  <c r="AE1133" i="1"/>
  <c r="V1133" i="1"/>
  <c r="W1133" i="1" s="1"/>
  <c r="U1133" i="1"/>
  <c r="P1133" i="1"/>
  <c r="Q1133" i="1" s="1"/>
  <c r="O1133" i="1"/>
  <c r="L1133" i="1"/>
  <c r="J1133" i="1"/>
  <c r="M1133" i="1" s="1"/>
  <c r="G1133" i="1"/>
  <c r="AE1132" i="1"/>
  <c r="V1132" i="1"/>
  <c r="W1132" i="1" s="1"/>
  <c r="U1132" i="1"/>
  <c r="P1132" i="1"/>
  <c r="Q1132" i="1" s="1"/>
  <c r="O1132" i="1"/>
  <c r="L1132" i="1"/>
  <c r="J1132" i="1"/>
  <c r="M1132" i="1" s="1"/>
  <c r="G1132" i="1"/>
  <c r="AE1131" i="1"/>
  <c r="V1131" i="1"/>
  <c r="W1131" i="1" s="1"/>
  <c r="U1131" i="1"/>
  <c r="P1131" i="1"/>
  <c r="Q1131" i="1" s="1"/>
  <c r="O1131" i="1"/>
  <c r="L1131" i="1"/>
  <c r="J1131" i="1"/>
  <c r="M1131" i="1" s="1"/>
  <c r="G1131" i="1"/>
  <c r="AE1130" i="1"/>
  <c r="V1130" i="1"/>
  <c r="W1130" i="1" s="1"/>
  <c r="U1130" i="1"/>
  <c r="P1130" i="1"/>
  <c r="Q1130" i="1" s="1"/>
  <c r="O1130" i="1"/>
  <c r="L1130" i="1"/>
  <c r="J1130" i="1"/>
  <c r="M1130" i="1" s="1"/>
  <c r="G1130" i="1"/>
  <c r="AE1129" i="1"/>
  <c r="V1129" i="1"/>
  <c r="W1129" i="1" s="1"/>
  <c r="U1129" i="1"/>
  <c r="S1129" i="1"/>
  <c r="P1129" i="1"/>
  <c r="Q1129" i="1" s="1"/>
  <c r="O1129" i="1"/>
  <c r="R1129" i="1" s="1"/>
  <c r="L1129" i="1"/>
  <c r="J1129" i="1"/>
  <c r="M1129" i="1" s="1"/>
  <c r="G1129" i="1"/>
  <c r="AE1128" i="1"/>
  <c r="Y1128" i="1"/>
  <c r="V1128" i="1"/>
  <c r="W1128" i="1" s="1"/>
  <c r="U1128" i="1"/>
  <c r="X1128" i="1" s="1"/>
  <c r="P1128" i="1"/>
  <c r="Q1128" i="1" s="1"/>
  <c r="O1128" i="1"/>
  <c r="L1128" i="1"/>
  <c r="J1128" i="1"/>
  <c r="M1128" i="1" s="1"/>
  <c r="G1128" i="1"/>
  <c r="AE1127" i="1"/>
  <c r="V1127" i="1"/>
  <c r="W1127" i="1" s="1"/>
  <c r="U1127" i="1"/>
  <c r="P1127" i="1"/>
  <c r="Q1127" i="1" s="1"/>
  <c r="O1127" i="1"/>
  <c r="L1127" i="1"/>
  <c r="J1127" i="1"/>
  <c r="M1127" i="1" s="1"/>
  <c r="G1127" i="1"/>
  <c r="AE1126" i="1"/>
  <c r="V1126" i="1"/>
  <c r="W1126" i="1" s="1"/>
  <c r="U1126" i="1"/>
  <c r="P1126" i="1"/>
  <c r="Q1126" i="1" s="1"/>
  <c r="O1126" i="1"/>
  <c r="L1126" i="1"/>
  <c r="J1126" i="1"/>
  <c r="M1126" i="1" s="1"/>
  <c r="G1126" i="1"/>
  <c r="AE1125" i="1"/>
  <c r="V1125" i="1"/>
  <c r="W1125" i="1" s="1"/>
  <c r="U1125" i="1"/>
  <c r="P1125" i="1"/>
  <c r="Q1125" i="1" s="1"/>
  <c r="O1125" i="1"/>
  <c r="L1125" i="1"/>
  <c r="J1125" i="1"/>
  <c r="M1125" i="1" s="1"/>
  <c r="G1125" i="1"/>
  <c r="AE1124" i="1"/>
  <c r="V1124" i="1"/>
  <c r="W1124" i="1" s="1"/>
  <c r="U1124" i="1"/>
  <c r="P1124" i="1"/>
  <c r="Q1124" i="1" s="1"/>
  <c r="O1124" i="1"/>
  <c r="L1124" i="1"/>
  <c r="J1124" i="1"/>
  <c r="M1124" i="1" s="1"/>
  <c r="G1124" i="1"/>
  <c r="AE1123" i="1"/>
  <c r="V1123" i="1"/>
  <c r="W1123" i="1" s="1"/>
  <c r="U1123" i="1"/>
  <c r="P1123" i="1"/>
  <c r="Q1123" i="1" s="1"/>
  <c r="O1123" i="1"/>
  <c r="L1123" i="1"/>
  <c r="J1123" i="1"/>
  <c r="M1123" i="1" s="1"/>
  <c r="G1123" i="1"/>
  <c r="AE1122" i="1"/>
  <c r="V1122" i="1"/>
  <c r="W1122" i="1" s="1"/>
  <c r="U1122" i="1"/>
  <c r="P1122" i="1"/>
  <c r="Q1122" i="1" s="1"/>
  <c r="O1122" i="1"/>
  <c r="L1122" i="1"/>
  <c r="J1122" i="1"/>
  <c r="M1122" i="1" s="1"/>
  <c r="G1122" i="1"/>
  <c r="AE1121" i="1"/>
  <c r="V1121" i="1"/>
  <c r="W1121" i="1" s="1"/>
  <c r="U1121" i="1"/>
  <c r="P1121" i="1"/>
  <c r="Q1121" i="1" s="1"/>
  <c r="O1121" i="1"/>
  <c r="L1121" i="1"/>
  <c r="J1121" i="1"/>
  <c r="M1121" i="1" s="1"/>
  <c r="G1121" i="1"/>
  <c r="AE1120" i="1"/>
  <c r="V1120" i="1"/>
  <c r="W1120" i="1" s="1"/>
  <c r="U1120" i="1"/>
  <c r="P1120" i="1"/>
  <c r="Q1120" i="1" s="1"/>
  <c r="O1120" i="1"/>
  <c r="L1120" i="1"/>
  <c r="J1120" i="1"/>
  <c r="M1120" i="1" s="1"/>
  <c r="G1120" i="1"/>
  <c r="AE1119" i="1"/>
  <c r="V1119" i="1"/>
  <c r="W1119" i="1" s="1"/>
  <c r="U1119" i="1"/>
  <c r="P1119" i="1"/>
  <c r="Q1119" i="1" s="1"/>
  <c r="O1119" i="1"/>
  <c r="L1119" i="1"/>
  <c r="J1119" i="1"/>
  <c r="M1119" i="1" s="1"/>
  <c r="G1119" i="1"/>
  <c r="AE1118" i="1"/>
  <c r="V1118" i="1"/>
  <c r="W1118" i="1" s="1"/>
  <c r="U1118" i="1"/>
  <c r="P1118" i="1"/>
  <c r="Q1118" i="1" s="1"/>
  <c r="O1118" i="1"/>
  <c r="L1118" i="1"/>
  <c r="J1118" i="1"/>
  <c r="M1118" i="1" s="1"/>
  <c r="G1118" i="1"/>
  <c r="AE1117" i="1"/>
  <c r="V1117" i="1"/>
  <c r="W1117" i="1" s="1"/>
  <c r="U1117" i="1"/>
  <c r="P1117" i="1"/>
  <c r="Q1117" i="1" s="1"/>
  <c r="O1117" i="1"/>
  <c r="L1117" i="1"/>
  <c r="J1117" i="1"/>
  <c r="M1117" i="1" s="1"/>
  <c r="G1117" i="1"/>
  <c r="AE1116" i="1"/>
  <c r="V1116" i="1"/>
  <c r="W1116" i="1" s="1"/>
  <c r="U1116" i="1"/>
  <c r="P1116" i="1"/>
  <c r="Q1116" i="1" s="1"/>
  <c r="O1116" i="1"/>
  <c r="L1116" i="1"/>
  <c r="J1116" i="1"/>
  <c r="M1116" i="1" s="1"/>
  <c r="G1116" i="1"/>
  <c r="AE1115" i="1"/>
  <c r="V1115" i="1"/>
  <c r="W1115" i="1" s="1"/>
  <c r="U1115" i="1"/>
  <c r="P1115" i="1"/>
  <c r="Q1115" i="1" s="1"/>
  <c r="O1115" i="1"/>
  <c r="L1115" i="1"/>
  <c r="J1115" i="1"/>
  <c r="M1115" i="1" s="1"/>
  <c r="G1115" i="1"/>
  <c r="AE1114" i="1"/>
  <c r="V1114" i="1"/>
  <c r="W1114" i="1" s="1"/>
  <c r="U1114" i="1"/>
  <c r="P1114" i="1"/>
  <c r="Q1114" i="1" s="1"/>
  <c r="O1114" i="1"/>
  <c r="L1114" i="1"/>
  <c r="J1114" i="1"/>
  <c r="M1114" i="1" s="1"/>
  <c r="G1114" i="1"/>
  <c r="AE1113" i="1"/>
  <c r="V1113" i="1"/>
  <c r="W1113" i="1" s="1"/>
  <c r="U1113" i="1"/>
  <c r="P1113" i="1"/>
  <c r="Q1113" i="1" s="1"/>
  <c r="O1113" i="1"/>
  <c r="L1113" i="1"/>
  <c r="J1113" i="1"/>
  <c r="M1113" i="1" s="1"/>
  <c r="G1113" i="1"/>
  <c r="AE1112" i="1"/>
  <c r="Y1112" i="1"/>
  <c r="V1112" i="1"/>
  <c r="W1112" i="1" s="1"/>
  <c r="U1112" i="1"/>
  <c r="X1112" i="1" s="1"/>
  <c r="S1112" i="1"/>
  <c r="P1112" i="1"/>
  <c r="Q1112" i="1" s="1"/>
  <c r="O1112" i="1"/>
  <c r="R1112" i="1" s="1"/>
  <c r="L1112" i="1"/>
  <c r="J1112" i="1"/>
  <c r="M1112" i="1" s="1"/>
  <c r="G1112" i="1"/>
  <c r="AE1111" i="1"/>
  <c r="V1111" i="1"/>
  <c r="W1111" i="1" s="1"/>
  <c r="U1111" i="1"/>
  <c r="P1111" i="1"/>
  <c r="Q1111" i="1" s="1"/>
  <c r="O1111" i="1"/>
  <c r="L1111" i="1"/>
  <c r="J1111" i="1"/>
  <c r="M1111" i="1" s="1"/>
  <c r="G1111" i="1"/>
  <c r="AE1110" i="1"/>
  <c r="V1110" i="1"/>
  <c r="W1110" i="1" s="1"/>
  <c r="U1110" i="1"/>
  <c r="S1110" i="1"/>
  <c r="P1110" i="1"/>
  <c r="Q1110" i="1" s="1"/>
  <c r="O1110" i="1"/>
  <c r="R1110" i="1" s="1"/>
  <c r="L1110" i="1"/>
  <c r="J1110" i="1"/>
  <c r="M1110" i="1" s="1"/>
  <c r="G1110" i="1"/>
  <c r="AE1109" i="1"/>
  <c r="Y1109" i="1"/>
  <c r="V1109" i="1"/>
  <c r="W1109" i="1" s="1"/>
  <c r="U1109" i="1"/>
  <c r="X1109" i="1" s="1"/>
  <c r="S1109" i="1"/>
  <c r="P1109" i="1"/>
  <c r="Q1109" i="1" s="1"/>
  <c r="O1109" i="1"/>
  <c r="R1109" i="1" s="1"/>
  <c r="L1109" i="1"/>
  <c r="J1109" i="1"/>
  <c r="M1109" i="1" s="1"/>
  <c r="G1109" i="1"/>
  <c r="AE1108" i="1"/>
  <c r="V1108" i="1"/>
  <c r="W1108" i="1" s="1"/>
  <c r="U1108" i="1"/>
  <c r="P1108" i="1"/>
  <c r="Q1108" i="1" s="1"/>
  <c r="O1108" i="1"/>
  <c r="L1108" i="1"/>
  <c r="J1108" i="1"/>
  <c r="M1108" i="1" s="1"/>
  <c r="G1108" i="1"/>
  <c r="AE1107" i="1"/>
  <c r="V1107" i="1"/>
  <c r="W1107" i="1" s="1"/>
  <c r="U1107" i="1"/>
  <c r="P1107" i="1"/>
  <c r="Q1107" i="1" s="1"/>
  <c r="O1107" i="1"/>
  <c r="L1107" i="1"/>
  <c r="J1107" i="1"/>
  <c r="M1107" i="1" s="1"/>
  <c r="G1107" i="1"/>
  <c r="AE1106" i="1"/>
  <c r="V1106" i="1"/>
  <c r="W1106" i="1" s="1"/>
  <c r="U1106" i="1"/>
  <c r="P1106" i="1"/>
  <c r="Q1106" i="1" s="1"/>
  <c r="O1106" i="1"/>
  <c r="L1106" i="1"/>
  <c r="J1106" i="1"/>
  <c r="M1106" i="1" s="1"/>
  <c r="G1106" i="1"/>
  <c r="AE1105" i="1"/>
  <c r="V1105" i="1"/>
  <c r="W1105" i="1" s="1"/>
  <c r="U1105" i="1"/>
  <c r="P1105" i="1"/>
  <c r="Q1105" i="1" s="1"/>
  <c r="O1105" i="1"/>
  <c r="L1105" i="1"/>
  <c r="J1105" i="1"/>
  <c r="M1105" i="1" s="1"/>
  <c r="G1105" i="1"/>
  <c r="AE1104" i="1"/>
  <c r="V1104" i="1"/>
  <c r="W1104" i="1" s="1"/>
  <c r="U1104" i="1"/>
  <c r="P1104" i="1"/>
  <c r="Q1104" i="1" s="1"/>
  <c r="O1104" i="1"/>
  <c r="L1104" i="1"/>
  <c r="J1104" i="1"/>
  <c r="M1104" i="1" s="1"/>
  <c r="G1104" i="1"/>
  <c r="AE1103" i="1"/>
  <c r="V1103" i="1"/>
  <c r="W1103" i="1" s="1"/>
  <c r="U1103" i="1"/>
  <c r="P1103" i="1"/>
  <c r="Q1103" i="1" s="1"/>
  <c r="O1103" i="1"/>
  <c r="L1103" i="1"/>
  <c r="J1103" i="1"/>
  <c r="M1103" i="1" s="1"/>
  <c r="G1103" i="1"/>
  <c r="AE1102" i="1"/>
  <c r="V1102" i="1"/>
  <c r="W1102" i="1" s="1"/>
  <c r="U1102" i="1"/>
  <c r="P1102" i="1"/>
  <c r="Q1102" i="1" s="1"/>
  <c r="O1102" i="1"/>
  <c r="L1102" i="1"/>
  <c r="J1102" i="1"/>
  <c r="M1102" i="1" s="1"/>
  <c r="G1102" i="1"/>
  <c r="AE1101" i="1"/>
  <c r="V1101" i="1"/>
  <c r="W1101" i="1" s="1"/>
  <c r="U1101" i="1"/>
  <c r="P1101" i="1"/>
  <c r="Q1101" i="1" s="1"/>
  <c r="O1101" i="1"/>
  <c r="L1101" i="1"/>
  <c r="J1101" i="1"/>
  <c r="M1101" i="1" s="1"/>
  <c r="G1101" i="1"/>
  <c r="AE1100" i="1"/>
  <c r="V1100" i="1"/>
  <c r="W1100" i="1" s="1"/>
  <c r="U1100" i="1"/>
  <c r="S1100" i="1"/>
  <c r="P1100" i="1"/>
  <c r="Q1100" i="1" s="1"/>
  <c r="O1100" i="1"/>
  <c r="R1100" i="1" s="1"/>
  <c r="L1100" i="1"/>
  <c r="J1100" i="1"/>
  <c r="M1100" i="1" s="1"/>
  <c r="G1100" i="1"/>
  <c r="AE1099" i="1"/>
  <c r="V1099" i="1"/>
  <c r="W1099" i="1" s="1"/>
  <c r="U1099" i="1"/>
  <c r="P1099" i="1"/>
  <c r="Q1099" i="1" s="1"/>
  <c r="O1099" i="1"/>
  <c r="L1099" i="1"/>
  <c r="J1099" i="1"/>
  <c r="M1099" i="1" s="1"/>
  <c r="G1099" i="1"/>
  <c r="AE1098" i="1"/>
  <c r="V1098" i="1"/>
  <c r="W1098" i="1" s="1"/>
  <c r="U1098" i="1"/>
  <c r="P1098" i="1"/>
  <c r="Q1098" i="1" s="1"/>
  <c r="O1098" i="1"/>
  <c r="L1098" i="1"/>
  <c r="J1098" i="1"/>
  <c r="M1098" i="1" s="1"/>
  <c r="G1098" i="1"/>
  <c r="AE1097" i="1"/>
  <c r="V1097" i="1"/>
  <c r="W1097" i="1" s="1"/>
  <c r="U1097" i="1"/>
  <c r="P1097" i="1"/>
  <c r="Q1097" i="1" s="1"/>
  <c r="O1097" i="1"/>
  <c r="L1097" i="1"/>
  <c r="J1097" i="1"/>
  <c r="M1097" i="1" s="1"/>
  <c r="G1097" i="1"/>
  <c r="AE1096" i="1"/>
  <c r="V1096" i="1"/>
  <c r="W1096" i="1" s="1"/>
  <c r="U1096" i="1"/>
  <c r="P1096" i="1"/>
  <c r="Q1096" i="1" s="1"/>
  <c r="O1096" i="1"/>
  <c r="L1096" i="1"/>
  <c r="J1096" i="1"/>
  <c r="M1096" i="1" s="1"/>
  <c r="G1096" i="1"/>
  <c r="AE1095" i="1"/>
  <c r="V1095" i="1"/>
  <c r="W1095" i="1" s="1"/>
  <c r="U1095" i="1"/>
  <c r="P1095" i="1"/>
  <c r="Q1095" i="1" s="1"/>
  <c r="O1095" i="1"/>
  <c r="L1095" i="1"/>
  <c r="J1095" i="1"/>
  <c r="M1095" i="1" s="1"/>
  <c r="G1095" i="1"/>
  <c r="AE1094" i="1"/>
  <c r="V1094" i="1"/>
  <c r="W1094" i="1" s="1"/>
  <c r="U1094" i="1"/>
  <c r="P1094" i="1"/>
  <c r="Q1094" i="1" s="1"/>
  <c r="O1094" i="1"/>
  <c r="L1094" i="1"/>
  <c r="J1094" i="1"/>
  <c r="M1094" i="1" s="1"/>
  <c r="G1094" i="1"/>
  <c r="AE1093" i="1"/>
  <c r="V1093" i="1"/>
  <c r="W1093" i="1" s="1"/>
  <c r="U1093" i="1"/>
  <c r="P1093" i="1"/>
  <c r="Q1093" i="1" s="1"/>
  <c r="O1093" i="1"/>
  <c r="L1093" i="1"/>
  <c r="J1093" i="1"/>
  <c r="M1093" i="1" s="1"/>
  <c r="G1093" i="1"/>
  <c r="AE1092" i="1"/>
  <c r="V1092" i="1"/>
  <c r="W1092" i="1" s="1"/>
  <c r="U1092" i="1"/>
  <c r="P1092" i="1"/>
  <c r="Q1092" i="1" s="1"/>
  <c r="O1092" i="1"/>
  <c r="L1092" i="1"/>
  <c r="J1092" i="1"/>
  <c r="M1092" i="1" s="1"/>
  <c r="G1092" i="1"/>
  <c r="AE1091" i="1"/>
  <c r="V1091" i="1"/>
  <c r="W1091" i="1" s="1"/>
  <c r="U1091" i="1"/>
  <c r="S1091" i="1"/>
  <c r="P1091" i="1"/>
  <c r="Q1091" i="1" s="1"/>
  <c r="O1091" i="1"/>
  <c r="R1091" i="1" s="1"/>
  <c r="L1091" i="1"/>
  <c r="J1091" i="1"/>
  <c r="M1091" i="1" s="1"/>
  <c r="G1091" i="1"/>
  <c r="AE1090" i="1"/>
  <c r="V1090" i="1"/>
  <c r="W1090" i="1" s="1"/>
  <c r="U1090" i="1"/>
  <c r="P1090" i="1"/>
  <c r="Q1090" i="1" s="1"/>
  <c r="O1090" i="1"/>
  <c r="L1090" i="1"/>
  <c r="J1090" i="1"/>
  <c r="M1090" i="1" s="1"/>
  <c r="G1090" i="1"/>
  <c r="AE1089" i="1"/>
  <c r="V1089" i="1"/>
  <c r="W1089" i="1" s="1"/>
  <c r="U1089" i="1"/>
  <c r="P1089" i="1"/>
  <c r="Q1089" i="1" s="1"/>
  <c r="O1089" i="1"/>
  <c r="L1089" i="1"/>
  <c r="J1089" i="1"/>
  <c r="M1089" i="1" s="1"/>
  <c r="G1089" i="1"/>
  <c r="AE1088" i="1"/>
  <c r="V1088" i="1"/>
  <c r="W1088" i="1" s="1"/>
  <c r="U1088" i="1"/>
  <c r="P1088" i="1"/>
  <c r="Q1088" i="1" s="1"/>
  <c r="O1088" i="1"/>
  <c r="L1088" i="1"/>
  <c r="J1088" i="1"/>
  <c r="M1088" i="1" s="1"/>
  <c r="G1088" i="1"/>
  <c r="AE1087" i="1"/>
  <c r="V1087" i="1"/>
  <c r="W1087" i="1" s="1"/>
  <c r="U1087" i="1"/>
  <c r="P1087" i="1"/>
  <c r="Q1087" i="1" s="1"/>
  <c r="O1087" i="1"/>
  <c r="L1087" i="1"/>
  <c r="J1087" i="1"/>
  <c r="M1087" i="1" s="1"/>
  <c r="G1087" i="1"/>
  <c r="AE1086" i="1"/>
  <c r="V1086" i="1"/>
  <c r="W1086" i="1" s="1"/>
  <c r="U1086" i="1"/>
  <c r="P1086" i="1"/>
  <c r="Q1086" i="1" s="1"/>
  <c r="O1086" i="1"/>
  <c r="L1086" i="1"/>
  <c r="J1086" i="1"/>
  <c r="M1086" i="1" s="1"/>
  <c r="G1086" i="1"/>
  <c r="AE1085" i="1"/>
  <c r="V1085" i="1"/>
  <c r="W1085" i="1" s="1"/>
  <c r="U1085" i="1"/>
  <c r="P1085" i="1"/>
  <c r="Q1085" i="1" s="1"/>
  <c r="O1085" i="1"/>
  <c r="L1085" i="1"/>
  <c r="J1085" i="1"/>
  <c r="M1085" i="1" s="1"/>
  <c r="G1085" i="1"/>
  <c r="AE1084" i="1"/>
  <c r="V1084" i="1"/>
  <c r="W1084" i="1" s="1"/>
  <c r="U1084" i="1"/>
  <c r="P1084" i="1"/>
  <c r="Q1084" i="1" s="1"/>
  <c r="O1084" i="1"/>
  <c r="L1084" i="1"/>
  <c r="J1084" i="1"/>
  <c r="M1084" i="1" s="1"/>
  <c r="G1084" i="1"/>
  <c r="AE1083" i="1"/>
  <c r="V1083" i="1"/>
  <c r="W1083" i="1" s="1"/>
  <c r="U1083" i="1"/>
  <c r="P1083" i="1"/>
  <c r="Q1083" i="1" s="1"/>
  <c r="O1083" i="1"/>
  <c r="L1083" i="1"/>
  <c r="J1083" i="1"/>
  <c r="M1083" i="1" s="1"/>
  <c r="G1083" i="1"/>
  <c r="AE1082" i="1"/>
  <c r="V1082" i="1"/>
  <c r="W1082" i="1" s="1"/>
  <c r="U1082" i="1"/>
  <c r="P1082" i="1"/>
  <c r="Q1082" i="1" s="1"/>
  <c r="O1082" i="1"/>
  <c r="L1082" i="1"/>
  <c r="J1082" i="1"/>
  <c r="M1082" i="1" s="1"/>
  <c r="G1082" i="1"/>
  <c r="AE1081" i="1"/>
  <c r="V1081" i="1"/>
  <c r="W1081" i="1" s="1"/>
  <c r="U1081" i="1"/>
  <c r="P1081" i="1"/>
  <c r="Q1081" i="1" s="1"/>
  <c r="O1081" i="1"/>
  <c r="L1081" i="1"/>
  <c r="J1081" i="1"/>
  <c r="M1081" i="1" s="1"/>
  <c r="G1081" i="1"/>
  <c r="AE1080" i="1"/>
  <c r="V1080" i="1"/>
  <c r="W1080" i="1" s="1"/>
  <c r="U1080" i="1"/>
  <c r="P1080" i="1"/>
  <c r="Q1080" i="1" s="1"/>
  <c r="O1080" i="1"/>
  <c r="L1080" i="1"/>
  <c r="J1080" i="1"/>
  <c r="M1080" i="1" s="1"/>
  <c r="G1080" i="1"/>
  <c r="AE1079" i="1"/>
  <c r="V1079" i="1"/>
  <c r="W1079" i="1" s="1"/>
  <c r="U1079" i="1"/>
  <c r="S1079" i="1"/>
  <c r="P1079" i="1"/>
  <c r="Q1079" i="1" s="1"/>
  <c r="O1079" i="1"/>
  <c r="R1079" i="1" s="1"/>
  <c r="L1079" i="1"/>
  <c r="J1079" i="1"/>
  <c r="M1079" i="1" s="1"/>
  <c r="G1079" i="1"/>
  <c r="AE1078" i="1"/>
  <c r="V1078" i="1"/>
  <c r="W1078" i="1" s="1"/>
  <c r="U1078" i="1"/>
  <c r="P1078" i="1"/>
  <c r="Q1078" i="1" s="1"/>
  <c r="O1078" i="1"/>
  <c r="L1078" i="1"/>
  <c r="J1078" i="1"/>
  <c r="M1078" i="1" s="1"/>
  <c r="G1078" i="1"/>
  <c r="AE1077" i="1"/>
  <c r="V1077" i="1"/>
  <c r="W1077" i="1" s="1"/>
  <c r="U1077" i="1"/>
  <c r="P1077" i="1"/>
  <c r="Q1077" i="1" s="1"/>
  <c r="O1077" i="1"/>
  <c r="L1077" i="1"/>
  <c r="J1077" i="1"/>
  <c r="M1077" i="1" s="1"/>
  <c r="G1077" i="1"/>
  <c r="AE1076" i="1"/>
  <c r="V1076" i="1"/>
  <c r="W1076" i="1" s="1"/>
  <c r="U1076" i="1"/>
  <c r="P1076" i="1"/>
  <c r="Q1076" i="1" s="1"/>
  <c r="O1076" i="1"/>
  <c r="L1076" i="1"/>
  <c r="J1076" i="1"/>
  <c r="M1076" i="1" s="1"/>
  <c r="G1076" i="1"/>
  <c r="AE1075" i="1"/>
  <c r="V1075" i="1"/>
  <c r="W1075" i="1" s="1"/>
  <c r="U1075" i="1"/>
  <c r="P1075" i="1"/>
  <c r="Q1075" i="1" s="1"/>
  <c r="O1075" i="1"/>
  <c r="L1075" i="1"/>
  <c r="J1075" i="1"/>
  <c r="M1075" i="1" s="1"/>
  <c r="G1075" i="1"/>
  <c r="AE1074" i="1"/>
  <c r="V1074" i="1"/>
  <c r="W1074" i="1" s="1"/>
  <c r="U1074" i="1"/>
  <c r="P1074" i="1"/>
  <c r="Q1074" i="1" s="1"/>
  <c r="O1074" i="1"/>
  <c r="L1074" i="1"/>
  <c r="J1074" i="1"/>
  <c r="M1074" i="1" s="1"/>
  <c r="G1074" i="1"/>
  <c r="AE1073" i="1"/>
  <c r="V1073" i="1"/>
  <c r="W1073" i="1" s="1"/>
  <c r="U1073" i="1"/>
  <c r="P1073" i="1"/>
  <c r="Q1073" i="1" s="1"/>
  <c r="O1073" i="1"/>
  <c r="L1073" i="1"/>
  <c r="J1073" i="1"/>
  <c r="M1073" i="1" s="1"/>
  <c r="G1073" i="1"/>
  <c r="AE1072" i="1"/>
  <c r="V1072" i="1"/>
  <c r="W1072" i="1" s="1"/>
  <c r="U1072" i="1"/>
  <c r="P1072" i="1"/>
  <c r="Q1072" i="1" s="1"/>
  <c r="O1072" i="1"/>
  <c r="L1072" i="1"/>
  <c r="J1072" i="1"/>
  <c r="M1072" i="1" s="1"/>
  <c r="G1072" i="1"/>
  <c r="AE1071" i="1"/>
  <c r="V1071" i="1"/>
  <c r="W1071" i="1" s="1"/>
  <c r="U1071" i="1"/>
  <c r="S1071" i="1"/>
  <c r="P1071" i="1"/>
  <c r="Q1071" i="1" s="1"/>
  <c r="O1071" i="1"/>
  <c r="R1071" i="1" s="1"/>
  <c r="L1071" i="1"/>
  <c r="J1071" i="1"/>
  <c r="M1071" i="1" s="1"/>
  <c r="G1071" i="1"/>
  <c r="AE1070" i="1"/>
  <c r="V1070" i="1"/>
  <c r="W1070" i="1" s="1"/>
  <c r="U1070" i="1"/>
  <c r="P1070" i="1"/>
  <c r="Q1070" i="1" s="1"/>
  <c r="O1070" i="1"/>
  <c r="L1070" i="1"/>
  <c r="J1070" i="1"/>
  <c r="M1070" i="1" s="1"/>
  <c r="G1070" i="1"/>
  <c r="AE1069" i="1"/>
  <c r="V1069" i="1"/>
  <c r="W1069" i="1" s="1"/>
  <c r="U1069" i="1"/>
  <c r="P1069" i="1"/>
  <c r="Q1069" i="1" s="1"/>
  <c r="O1069" i="1"/>
  <c r="L1069" i="1"/>
  <c r="J1069" i="1"/>
  <c r="M1069" i="1" s="1"/>
  <c r="G1069" i="1"/>
  <c r="AE1068" i="1"/>
  <c r="V1068" i="1"/>
  <c r="W1068" i="1" s="1"/>
  <c r="U1068" i="1"/>
  <c r="P1068" i="1"/>
  <c r="Q1068" i="1" s="1"/>
  <c r="O1068" i="1"/>
  <c r="L1068" i="1"/>
  <c r="J1068" i="1"/>
  <c r="M1068" i="1" s="1"/>
  <c r="G1068" i="1"/>
  <c r="AE1067" i="1"/>
  <c r="V1067" i="1"/>
  <c r="W1067" i="1" s="1"/>
  <c r="U1067" i="1"/>
  <c r="P1067" i="1"/>
  <c r="Q1067" i="1" s="1"/>
  <c r="O1067" i="1"/>
  <c r="L1067" i="1"/>
  <c r="J1067" i="1"/>
  <c r="M1067" i="1" s="1"/>
  <c r="G1067" i="1"/>
  <c r="AE1066" i="1"/>
  <c r="Y1066" i="1"/>
  <c r="V1066" i="1"/>
  <c r="W1066" i="1" s="1"/>
  <c r="U1066" i="1"/>
  <c r="X1066" i="1" s="1"/>
  <c r="P1066" i="1"/>
  <c r="Q1066" i="1" s="1"/>
  <c r="O1066" i="1"/>
  <c r="L1066" i="1"/>
  <c r="J1066" i="1"/>
  <c r="M1066" i="1" s="1"/>
  <c r="G1066" i="1"/>
  <c r="AE1065" i="1"/>
  <c r="V1065" i="1"/>
  <c r="W1065" i="1" s="1"/>
  <c r="U1065" i="1"/>
  <c r="P1065" i="1"/>
  <c r="Q1065" i="1" s="1"/>
  <c r="O1065" i="1"/>
  <c r="L1065" i="1"/>
  <c r="J1065" i="1"/>
  <c r="M1065" i="1" s="1"/>
  <c r="G1065" i="1"/>
  <c r="AE1064" i="1"/>
  <c r="V1064" i="1"/>
  <c r="W1064" i="1" s="1"/>
  <c r="U1064" i="1"/>
  <c r="S1064" i="1"/>
  <c r="P1064" i="1"/>
  <c r="Q1064" i="1" s="1"/>
  <c r="O1064" i="1"/>
  <c r="R1064" i="1" s="1"/>
  <c r="L1064" i="1"/>
  <c r="J1064" i="1"/>
  <c r="M1064" i="1" s="1"/>
  <c r="G1064" i="1"/>
  <c r="AE1063" i="1"/>
  <c r="V1063" i="1"/>
  <c r="W1063" i="1" s="1"/>
  <c r="U1063" i="1"/>
  <c r="P1063" i="1"/>
  <c r="Q1063" i="1" s="1"/>
  <c r="O1063" i="1"/>
  <c r="L1063" i="1"/>
  <c r="J1063" i="1"/>
  <c r="M1063" i="1" s="1"/>
  <c r="G1063" i="1"/>
  <c r="AE1062" i="1"/>
  <c r="V1062" i="1"/>
  <c r="W1062" i="1" s="1"/>
  <c r="U1062" i="1"/>
  <c r="P1062" i="1"/>
  <c r="Q1062" i="1" s="1"/>
  <c r="O1062" i="1"/>
  <c r="L1062" i="1"/>
  <c r="J1062" i="1"/>
  <c r="M1062" i="1" s="1"/>
  <c r="G1062" i="1"/>
  <c r="AE1061" i="1"/>
  <c r="V1061" i="1"/>
  <c r="W1061" i="1" s="1"/>
  <c r="U1061" i="1"/>
  <c r="P1061" i="1"/>
  <c r="Q1061" i="1" s="1"/>
  <c r="O1061" i="1"/>
  <c r="L1061" i="1"/>
  <c r="J1061" i="1"/>
  <c r="M1061" i="1" s="1"/>
  <c r="G1061" i="1"/>
  <c r="AE1060" i="1"/>
  <c r="V1060" i="1"/>
  <c r="W1060" i="1" s="1"/>
  <c r="U1060" i="1"/>
  <c r="P1060" i="1"/>
  <c r="Q1060" i="1" s="1"/>
  <c r="O1060" i="1"/>
  <c r="L1060" i="1"/>
  <c r="J1060" i="1"/>
  <c r="M1060" i="1" s="1"/>
  <c r="G1060" i="1"/>
  <c r="AE1059" i="1"/>
  <c r="V1059" i="1"/>
  <c r="W1059" i="1" s="1"/>
  <c r="U1059" i="1"/>
  <c r="P1059" i="1"/>
  <c r="Q1059" i="1" s="1"/>
  <c r="O1059" i="1"/>
  <c r="L1059" i="1"/>
  <c r="J1059" i="1"/>
  <c r="M1059" i="1" s="1"/>
  <c r="G1059" i="1"/>
  <c r="AE1058" i="1"/>
  <c r="V1058" i="1"/>
  <c r="W1058" i="1" s="1"/>
  <c r="U1058" i="1"/>
  <c r="P1058" i="1"/>
  <c r="Q1058" i="1" s="1"/>
  <c r="O1058" i="1"/>
  <c r="L1058" i="1"/>
  <c r="J1058" i="1"/>
  <c r="M1058" i="1" s="1"/>
  <c r="G1058" i="1"/>
  <c r="AE1057" i="1"/>
  <c r="V1057" i="1"/>
  <c r="W1057" i="1" s="1"/>
  <c r="U1057" i="1"/>
  <c r="P1057" i="1"/>
  <c r="Q1057" i="1" s="1"/>
  <c r="O1057" i="1"/>
  <c r="L1057" i="1"/>
  <c r="J1057" i="1"/>
  <c r="M1057" i="1" s="1"/>
  <c r="G1057" i="1"/>
  <c r="AE1056" i="1"/>
  <c r="V1056" i="1"/>
  <c r="W1056" i="1" s="1"/>
  <c r="U1056" i="1"/>
  <c r="P1056" i="1"/>
  <c r="Q1056" i="1" s="1"/>
  <c r="O1056" i="1"/>
  <c r="L1056" i="1"/>
  <c r="J1056" i="1"/>
  <c r="M1056" i="1" s="1"/>
  <c r="G1056" i="1"/>
  <c r="AE1055" i="1"/>
  <c r="V1055" i="1"/>
  <c r="W1055" i="1" s="1"/>
  <c r="U1055" i="1"/>
  <c r="P1055" i="1"/>
  <c r="Q1055" i="1" s="1"/>
  <c r="O1055" i="1"/>
  <c r="L1055" i="1"/>
  <c r="J1055" i="1"/>
  <c r="M1055" i="1" s="1"/>
  <c r="G1055" i="1"/>
  <c r="AE1054" i="1"/>
  <c r="V1054" i="1"/>
  <c r="W1054" i="1" s="1"/>
  <c r="U1054" i="1"/>
  <c r="P1054" i="1"/>
  <c r="Q1054" i="1" s="1"/>
  <c r="O1054" i="1"/>
  <c r="L1054" i="1"/>
  <c r="J1054" i="1"/>
  <c r="M1054" i="1" s="1"/>
  <c r="G1054" i="1"/>
  <c r="AE1053" i="1"/>
  <c r="V1053" i="1"/>
  <c r="W1053" i="1" s="1"/>
  <c r="U1053" i="1"/>
  <c r="P1053" i="1"/>
  <c r="Q1053" i="1" s="1"/>
  <c r="O1053" i="1"/>
  <c r="L1053" i="1"/>
  <c r="J1053" i="1"/>
  <c r="M1053" i="1" s="1"/>
  <c r="G1053" i="1"/>
  <c r="AE1052" i="1"/>
  <c r="V1052" i="1"/>
  <c r="W1052" i="1" s="1"/>
  <c r="U1052" i="1"/>
  <c r="P1052" i="1"/>
  <c r="Q1052" i="1" s="1"/>
  <c r="O1052" i="1"/>
  <c r="L1052" i="1"/>
  <c r="J1052" i="1"/>
  <c r="M1052" i="1" s="1"/>
  <c r="G1052" i="1"/>
  <c r="AE1051" i="1"/>
  <c r="V1051" i="1"/>
  <c r="W1051" i="1" s="1"/>
  <c r="U1051" i="1"/>
  <c r="P1051" i="1"/>
  <c r="Q1051" i="1" s="1"/>
  <c r="O1051" i="1"/>
  <c r="L1051" i="1"/>
  <c r="J1051" i="1"/>
  <c r="M1051" i="1" s="1"/>
  <c r="G1051" i="1"/>
  <c r="AE1050" i="1"/>
  <c r="V1050" i="1"/>
  <c r="W1050" i="1" s="1"/>
  <c r="U1050" i="1"/>
  <c r="P1050" i="1"/>
  <c r="Q1050" i="1" s="1"/>
  <c r="O1050" i="1"/>
  <c r="L1050" i="1"/>
  <c r="J1050" i="1"/>
  <c r="M1050" i="1" s="1"/>
  <c r="G1050" i="1"/>
  <c r="AE1049" i="1"/>
  <c r="V1049" i="1"/>
  <c r="W1049" i="1" s="1"/>
  <c r="U1049" i="1"/>
  <c r="P1049" i="1"/>
  <c r="Q1049" i="1" s="1"/>
  <c r="O1049" i="1"/>
  <c r="L1049" i="1"/>
  <c r="J1049" i="1"/>
  <c r="M1049" i="1" s="1"/>
  <c r="G1049" i="1"/>
  <c r="AE1048" i="1"/>
  <c r="V1048" i="1"/>
  <c r="W1048" i="1" s="1"/>
  <c r="U1048" i="1"/>
  <c r="P1048" i="1"/>
  <c r="Q1048" i="1" s="1"/>
  <c r="O1048" i="1"/>
  <c r="L1048" i="1"/>
  <c r="J1048" i="1"/>
  <c r="M1048" i="1" s="1"/>
  <c r="G1048" i="1"/>
  <c r="AE1047" i="1"/>
  <c r="V1047" i="1"/>
  <c r="W1047" i="1" s="1"/>
  <c r="U1047" i="1"/>
  <c r="P1047" i="1"/>
  <c r="Q1047" i="1" s="1"/>
  <c r="O1047" i="1"/>
  <c r="L1047" i="1"/>
  <c r="J1047" i="1"/>
  <c r="M1047" i="1" s="1"/>
  <c r="G1047" i="1"/>
  <c r="AE1046" i="1"/>
  <c r="V1046" i="1"/>
  <c r="W1046" i="1" s="1"/>
  <c r="U1046" i="1"/>
  <c r="S1046" i="1"/>
  <c r="P1046" i="1"/>
  <c r="Q1046" i="1" s="1"/>
  <c r="O1046" i="1"/>
  <c r="R1046" i="1" s="1"/>
  <c r="L1046" i="1"/>
  <c r="J1046" i="1"/>
  <c r="M1046" i="1" s="1"/>
  <c r="G1046" i="1"/>
  <c r="AE1045" i="1"/>
  <c r="Y1045" i="1"/>
  <c r="V1045" i="1"/>
  <c r="W1045" i="1" s="1"/>
  <c r="U1045" i="1"/>
  <c r="X1045" i="1" s="1"/>
  <c r="P1045" i="1"/>
  <c r="Q1045" i="1" s="1"/>
  <c r="O1045" i="1"/>
  <c r="L1045" i="1"/>
  <c r="J1045" i="1"/>
  <c r="M1045" i="1" s="1"/>
  <c r="G1045" i="1"/>
  <c r="AE1044" i="1"/>
  <c r="V1044" i="1"/>
  <c r="W1044" i="1" s="1"/>
  <c r="U1044" i="1"/>
  <c r="P1044" i="1"/>
  <c r="Q1044" i="1" s="1"/>
  <c r="O1044" i="1"/>
  <c r="L1044" i="1"/>
  <c r="J1044" i="1"/>
  <c r="M1044" i="1" s="1"/>
  <c r="G1044" i="1"/>
  <c r="AE1043" i="1"/>
  <c r="V1043" i="1"/>
  <c r="W1043" i="1" s="1"/>
  <c r="U1043" i="1"/>
  <c r="P1043" i="1"/>
  <c r="Q1043" i="1" s="1"/>
  <c r="O1043" i="1"/>
  <c r="L1043" i="1"/>
  <c r="J1043" i="1"/>
  <c r="M1043" i="1" s="1"/>
  <c r="G1043" i="1"/>
  <c r="AE1042" i="1"/>
  <c r="V1042" i="1"/>
  <c r="W1042" i="1" s="1"/>
  <c r="U1042" i="1"/>
  <c r="P1042" i="1"/>
  <c r="Q1042" i="1" s="1"/>
  <c r="O1042" i="1"/>
  <c r="L1042" i="1"/>
  <c r="J1042" i="1"/>
  <c r="M1042" i="1" s="1"/>
  <c r="G1042" i="1"/>
  <c r="AE1041" i="1"/>
  <c r="V1041" i="1"/>
  <c r="W1041" i="1" s="1"/>
  <c r="U1041" i="1"/>
  <c r="P1041" i="1"/>
  <c r="Q1041" i="1" s="1"/>
  <c r="O1041" i="1"/>
  <c r="L1041" i="1"/>
  <c r="J1041" i="1"/>
  <c r="M1041" i="1" s="1"/>
  <c r="G1041" i="1"/>
  <c r="AE1040" i="1"/>
  <c r="V1040" i="1"/>
  <c r="W1040" i="1" s="1"/>
  <c r="U1040" i="1"/>
  <c r="P1040" i="1"/>
  <c r="Q1040" i="1" s="1"/>
  <c r="O1040" i="1"/>
  <c r="L1040" i="1"/>
  <c r="J1040" i="1"/>
  <c r="M1040" i="1" s="1"/>
  <c r="G1040" i="1"/>
  <c r="AE1039" i="1"/>
  <c r="V1039" i="1"/>
  <c r="W1039" i="1" s="1"/>
  <c r="U1039" i="1"/>
  <c r="S1039" i="1"/>
  <c r="P1039" i="1"/>
  <c r="Q1039" i="1" s="1"/>
  <c r="O1039" i="1"/>
  <c r="R1039" i="1" s="1"/>
  <c r="L1039" i="1"/>
  <c r="J1039" i="1"/>
  <c r="M1039" i="1" s="1"/>
  <c r="G1039" i="1"/>
  <c r="AE1038" i="1"/>
  <c r="V1038" i="1"/>
  <c r="W1038" i="1" s="1"/>
  <c r="U1038" i="1"/>
  <c r="P1038" i="1"/>
  <c r="Q1038" i="1" s="1"/>
  <c r="O1038" i="1"/>
  <c r="L1038" i="1"/>
  <c r="J1038" i="1"/>
  <c r="M1038" i="1" s="1"/>
  <c r="G1038" i="1"/>
  <c r="AE1037" i="1"/>
  <c r="V1037" i="1"/>
  <c r="W1037" i="1" s="1"/>
  <c r="U1037" i="1"/>
  <c r="P1037" i="1"/>
  <c r="Q1037" i="1" s="1"/>
  <c r="O1037" i="1"/>
  <c r="L1037" i="1"/>
  <c r="J1037" i="1"/>
  <c r="M1037" i="1" s="1"/>
  <c r="G1037" i="1"/>
  <c r="AE1036" i="1"/>
  <c r="V1036" i="1"/>
  <c r="W1036" i="1" s="1"/>
  <c r="U1036" i="1"/>
  <c r="P1036" i="1"/>
  <c r="Q1036" i="1" s="1"/>
  <c r="O1036" i="1"/>
  <c r="L1036" i="1"/>
  <c r="J1036" i="1"/>
  <c r="M1036" i="1" s="1"/>
  <c r="G1036" i="1"/>
  <c r="AE1035" i="1"/>
  <c r="V1035" i="1"/>
  <c r="W1035" i="1" s="1"/>
  <c r="U1035" i="1"/>
  <c r="P1035" i="1"/>
  <c r="Q1035" i="1" s="1"/>
  <c r="O1035" i="1"/>
  <c r="L1035" i="1"/>
  <c r="J1035" i="1"/>
  <c r="M1035" i="1" s="1"/>
  <c r="G1035" i="1"/>
  <c r="AE1034" i="1"/>
  <c r="V1034" i="1"/>
  <c r="W1034" i="1" s="1"/>
  <c r="U1034" i="1"/>
  <c r="P1034" i="1"/>
  <c r="Q1034" i="1" s="1"/>
  <c r="O1034" i="1"/>
  <c r="L1034" i="1"/>
  <c r="J1034" i="1"/>
  <c r="M1034" i="1" s="1"/>
  <c r="G1034" i="1"/>
  <c r="AE1033" i="1"/>
  <c r="V1033" i="1"/>
  <c r="W1033" i="1" s="1"/>
  <c r="U1033" i="1"/>
  <c r="S1033" i="1"/>
  <c r="P1033" i="1"/>
  <c r="Q1033" i="1" s="1"/>
  <c r="O1033" i="1"/>
  <c r="R1033" i="1" s="1"/>
  <c r="L1033" i="1"/>
  <c r="J1033" i="1"/>
  <c r="M1033" i="1" s="1"/>
  <c r="G1033" i="1"/>
  <c r="AE1032" i="1"/>
  <c r="V1032" i="1"/>
  <c r="W1032" i="1" s="1"/>
  <c r="U1032" i="1"/>
  <c r="P1032" i="1"/>
  <c r="Q1032" i="1" s="1"/>
  <c r="O1032" i="1"/>
  <c r="L1032" i="1"/>
  <c r="J1032" i="1"/>
  <c r="M1032" i="1" s="1"/>
  <c r="G1032" i="1"/>
  <c r="AE1031" i="1"/>
  <c r="V1031" i="1"/>
  <c r="W1031" i="1" s="1"/>
  <c r="U1031" i="1"/>
  <c r="S1031" i="1"/>
  <c r="P1031" i="1"/>
  <c r="Q1031" i="1" s="1"/>
  <c r="O1031" i="1"/>
  <c r="R1031" i="1" s="1"/>
  <c r="L1031" i="1"/>
  <c r="J1031" i="1"/>
  <c r="M1031" i="1" s="1"/>
  <c r="G1031" i="1"/>
  <c r="AE1030" i="1"/>
  <c r="Y1030" i="1"/>
  <c r="V1030" i="1"/>
  <c r="W1030" i="1" s="1"/>
  <c r="U1030" i="1"/>
  <c r="X1030" i="1" s="1"/>
  <c r="P1030" i="1"/>
  <c r="Q1030" i="1" s="1"/>
  <c r="O1030" i="1"/>
  <c r="L1030" i="1"/>
  <c r="J1030" i="1"/>
  <c r="M1030" i="1" s="1"/>
  <c r="G1030" i="1"/>
  <c r="AE1029" i="1"/>
  <c r="V1029" i="1"/>
  <c r="W1029" i="1" s="1"/>
  <c r="U1029" i="1"/>
  <c r="P1029" i="1"/>
  <c r="Q1029" i="1" s="1"/>
  <c r="O1029" i="1"/>
  <c r="L1029" i="1"/>
  <c r="J1029" i="1"/>
  <c r="M1029" i="1" s="1"/>
  <c r="G1029" i="1"/>
  <c r="AE1028" i="1"/>
  <c r="V1028" i="1"/>
  <c r="W1028" i="1" s="1"/>
  <c r="U1028" i="1"/>
  <c r="P1028" i="1"/>
  <c r="Q1028" i="1" s="1"/>
  <c r="O1028" i="1"/>
  <c r="L1028" i="1"/>
  <c r="J1028" i="1"/>
  <c r="M1028" i="1" s="1"/>
  <c r="G1028" i="1"/>
  <c r="AE1027" i="1"/>
  <c r="V1027" i="1"/>
  <c r="W1027" i="1" s="1"/>
  <c r="U1027" i="1"/>
  <c r="S1027" i="1"/>
  <c r="P1027" i="1"/>
  <c r="Q1027" i="1" s="1"/>
  <c r="O1027" i="1"/>
  <c r="R1027" i="1" s="1"/>
  <c r="L1027" i="1"/>
  <c r="J1027" i="1"/>
  <c r="M1027" i="1" s="1"/>
  <c r="G1027" i="1"/>
  <c r="AE1026" i="1"/>
  <c r="Y1026" i="1"/>
  <c r="V1026" i="1"/>
  <c r="W1026" i="1" s="1"/>
  <c r="U1026" i="1"/>
  <c r="X1026" i="1" s="1"/>
  <c r="P1026" i="1"/>
  <c r="Q1026" i="1" s="1"/>
  <c r="O1026" i="1"/>
  <c r="L1026" i="1"/>
  <c r="J1026" i="1"/>
  <c r="M1026" i="1" s="1"/>
  <c r="G1026" i="1"/>
  <c r="AE1025" i="1"/>
  <c r="V1025" i="1"/>
  <c r="W1025" i="1" s="1"/>
  <c r="U1025" i="1"/>
  <c r="P1025" i="1"/>
  <c r="Q1025" i="1" s="1"/>
  <c r="O1025" i="1"/>
  <c r="L1025" i="1"/>
  <c r="J1025" i="1"/>
  <c r="M1025" i="1" s="1"/>
  <c r="G1025" i="1"/>
  <c r="AE1024" i="1"/>
  <c r="V1024" i="1"/>
  <c r="W1024" i="1" s="1"/>
  <c r="U1024" i="1"/>
  <c r="P1024" i="1"/>
  <c r="Q1024" i="1" s="1"/>
  <c r="O1024" i="1"/>
  <c r="L1024" i="1"/>
  <c r="J1024" i="1"/>
  <c r="M1024" i="1" s="1"/>
  <c r="G1024" i="1"/>
  <c r="AE1023" i="1"/>
  <c r="V1023" i="1"/>
  <c r="W1023" i="1" s="1"/>
  <c r="U1023" i="1"/>
  <c r="P1023" i="1"/>
  <c r="Q1023" i="1" s="1"/>
  <c r="O1023" i="1"/>
  <c r="L1023" i="1"/>
  <c r="J1023" i="1"/>
  <c r="M1023" i="1" s="1"/>
  <c r="G1023" i="1"/>
  <c r="AE1022" i="1"/>
  <c r="V1022" i="1"/>
  <c r="W1022" i="1" s="1"/>
  <c r="U1022" i="1"/>
  <c r="P1022" i="1"/>
  <c r="Q1022" i="1" s="1"/>
  <c r="O1022" i="1"/>
  <c r="L1022" i="1"/>
  <c r="J1022" i="1"/>
  <c r="M1022" i="1" s="1"/>
  <c r="G1022" i="1"/>
  <c r="AE1021" i="1"/>
  <c r="V1021" i="1"/>
  <c r="W1021" i="1" s="1"/>
  <c r="U1021" i="1"/>
  <c r="P1021" i="1"/>
  <c r="Q1021" i="1" s="1"/>
  <c r="O1021" i="1"/>
  <c r="L1021" i="1"/>
  <c r="J1021" i="1"/>
  <c r="M1021" i="1" s="1"/>
  <c r="G1021" i="1"/>
  <c r="AE1020" i="1"/>
  <c r="V1020" i="1"/>
  <c r="W1020" i="1" s="1"/>
  <c r="U1020" i="1"/>
  <c r="P1020" i="1"/>
  <c r="Q1020" i="1" s="1"/>
  <c r="O1020" i="1"/>
  <c r="L1020" i="1"/>
  <c r="J1020" i="1"/>
  <c r="M1020" i="1" s="1"/>
  <c r="G1020" i="1"/>
  <c r="AE1019" i="1"/>
  <c r="V1019" i="1"/>
  <c r="W1019" i="1" s="1"/>
  <c r="U1019" i="1"/>
  <c r="P1019" i="1"/>
  <c r="Q1019" i="1" s="1"/>
  <c r="O1019" i="1"/>
  <c r="L1019" i="1"/>
  <c r="J1019" i="1"/>
  <c r="M1019" i="1" s="1"/>
  <c r="G1019" i="1"/>
  <c r="AE1018" i="1"/>
  <c r="V1018" i="1"/>
  <c r="W1018" i="1" s="1"/>
  <c r="U1018" i="1"/>
  <c r="P1018" i="1"/>
  <c r="Q1018" i="1" s="1"/>
  <c r="O1018" i="1"/>
  <c r="L1018" i="1"/>
  <c r="J1018" i="1"/>
  <c r="M1018" i="1" s="1"/>
  <c r="G1018" i="1"/>
  <c r="AE1017" i="1"/>
  <c r="V1017" i="1"/>
  <c r="W1017" i="1" s="1"/>
  <c r="U1017" i="1"/>
  <c r="S1017" i="1"/>
  <c r="P1017" i="1"/>
  <c r="Q1017" i="1" s="1"/>
  <c r="O1017" i="1"/>
  <c r="R1017" i="1" s="1"/>
  <c r="L1017" i="1"/>
  <c r="J1017" i="1"/>
  <c r="M1017" i="1" s="1"/>
  <c r="G1017" i="1"/>
  <c r="AE1016" i="1"/>
  <c r="V1016" i="1"/>
  <c r="W1016" i="1" s="1"/>
  <c r="U1016" i="1"/>
  <c r="P1016" i="1"/>
  <c r="Q1016" i="1" s="1"/>
  <c r="O1016" i="1"/>
  <c r="L1016" i="1"/>
  <c r="J1016" i="1"/>
  <c r="M1016" i="1" s="1"/>
  <c r="G1016" i="1"/>
  <c r="AE1015" i="1"/>
  <c r="V1015" i="1"/>
  <c r="W1015" i="1" s="1"/>
  <c r="U1015" i="1"/>
  <c r="P1015" i="1"/>
  <c r="Q1015" i="1" s="1"/>
  <c r="O1015" i="1"/>
  <c r="L1015" i="1"/>
  <c r="J1015" i="1"/>
  <c r="M1015" i="1" s="1"/>
  <c r="G1015" i="1"/>
  <c r="AE1014" i="1"/>
  <c r="V1014" i="1"/>
  <c r="W1014" i="1" s="1"/>
  <c r="U1014" i="1"/>
  <c r="P1014" i="1"/>
  <c r="Q1014" i="1" s="1"/>
  <c r="O1014" i="1"/>
  <c r="L1014" i="1"/>
  <c r="J1014" i="1"/>
  <c r="M1014" i="1" s="1"/>
  <c r="G1014" i="1"/>
  <c r="AE1013" i="1"/>
  <c r="V1013" i="1"/>
  <c r="W1013" i="1" s="1"/>
  <c r="U1013" i="1"/>
  <c r="P1013" i="1"/>
  <c r="Q1013" i="1" s="1"/>
  <c r="O1013" i="1"/>
  <c r="L1013" i="1"/>
  <c r="J1013" i="1"/>
  <c r="M1013" i="1" s="1"/>
  <c r="G1013" i="1"/>
  <c r="AE1012" i="1"/>
  <c r="V1012" i="1"/>
  <c r="W1012" i="1" s="1"/>
  <c r="U1012" i="1"/>
  <c r="P1012" i="1"/>
  <c r="Q1012" i="1" s="1"/>
  <c r="O1012" i="1"/>
  <c r="L1012" i="1"/>
  <c r="J1012" i="1"/>
  <c r="M1012" i="1" s="1"/>
  <c r="G1012" i="1"/>
  <c r="AE1011" i="1"/>
  <c r="V1011" i="1"/>
  <c r="W1011" i="1" s="1"/>
  <c r="U1011" i="1"/>
  <c r="P1011" i="1"/>
  <c r="Q1011" i="1" s="1"/>
  <c r="O1011" i="1"/>
  <c r="L1011" i="1"/>
  <c r="J1011" i="1"/>
  <c r="M1011" i="1" s="1"/>
  <c r="G1011" i="1"/>
  <c r="AE1010" i="1"/>
  <c r="V1010" i="1"/>
  <c r="W1010" i="1" s="1"/>
  <c r="U1010" i="1"/>
  <c r="P1010" i="1"/>
  <c r="Q1010" i="1" s="1"/>
  <c r="O1010" i="1"/>
  <c r="L1010" i="1"/>
  <c r="J1010" i="1"/>
  <c r="M1010" i="1" s="1"/>
  <c r="G1010" i="1"/>
  <c r="AE1009" i="1"/>
  <c r="V1009" i="1"/>
  <c r="W1009" i="1" s="1"/>
  <c r="U1009" i="1"/>
  <c r="P1009" i="1"/>
  <c r="Q1009" i="1" s="1"/>
  <c r="O1009" i="1"/>
  <c r="L1009" i="1"/>
  <c r="J1009" i="1"/>
  <c r="M1009" i="1" s="1"/>
  <c r="G1009" i="1"/>
  <c r="AE1008" i="1"/>
  <c r="V1008" i="1"/>
  <c r="W1008" i="1" s="1"/>
  <c r="U1008" i="1"/>
  <c r="P1008" i="1"/>
  <c r="Q1008" i="1" s="1"/>
  <c r="O1008" i="1"/>
  <c r="L1008" i="1"/>
  <c r="J1008" i="1"/>
  <c r="M1008" i="1" s="1"/>
  <c r="G1008" i="1"/>
  <c r="AE1007" i="1"/>
  <c r="V1007" i="1"/>
  <c r="W1007" i="1" s="1"/>
  <c r="U1007" i="1"/>
  <c r="P1007" i="1"/>
  <c r="Q1007" i="1" s="1"/>
  <c r="O1007" i="1"/>
  <c r="L1007" i="1"/>
  <c r="J1007" i="1"/>
  <c r="M1007" i="1" s="1"/>
  <c r="G1007" i="1"/>
  <c r="AE1006" i="1"/>
  <c r="V1006" i="1"/>
  <c r="W1006" i="1" s="1"/>
  <c r="U1006" i="1"/>
  <c r="P1006" i="1"/>
  <c r="Q1006" i="1" s="1"/>
  <c r="O1006" i="1"/>
  <c r="L1006" i="1"/>
  <c r="J1006" i="1"/>
  <c r="M1006" i="1" s="1"/>
  <c r="G1006" i="1"/>
  <c r="AE1005" i="1"/>
  <c r="Y1005" i="1"/>
  <c r="V1005" i="1"/>
  <c r="W1005" i="1" s="1"/>
  <c r="U1005" i="1"/>
  <c r="X1005" i="1" s="1"/>
  <c r="S1005" i="1"/>
  <c r="P1005" i="1"/>
  <c r="Q1005" i="1" s="1"/>
  <c r="O1005" i="1"/>
  <c r="R1005" i="1" s="1"/>
  <c r="L1005" i="1"/>
  <c r="J1005" i="1"/>
  <c r="M1005" i="1" s="1"/>
  <c r="G1005" i="1"/>
  <c r="AE1004" i="1"/>
  <c r="V1004" i="1"/>
  <c r="W1004" i="1" s="1"/>
  <c r="U1004" i="1"/>
  <c r="P1004" i="1"/>
  <c r="Q1004" i="1" s="1"/>
  <c r="O1004" i="1"/>
  <c r="L1004" i="1"/>
  <c r="J1004" i="1"/>
  <c r="M1004" i="1" s="1"/>
  <c r="G1004" i="1"/>
  <c r="AE1003" i="1"/>
  <c r="V1003" i="1"/>
  <c r="W1003" i="1" s="1"/>
  <c r="U1003" i="1"/>
  <c r="P1003" i="1"/>
  <c r="Q1003" i="1" s="1"/>
  <c r="O1003" i="1"/>
  <c r="L1003" i="1"/>
  <c r="J1003" i="1"/>
  <c r="M1003" i="1" s="1"/>
  <c r="G1003" i="1"/>
  <c r="AE1002" i="1"/>
  <c r="V1002" i="1"/>
  <c r="W1002" i="1" s="1"/>
  <c r="U1002" i="1"/>
  <c r="P1002" i="1"/>
  <c r="Q1002" i="1" s="1"/>
  <c r="O1002" i="1"/>
  <c r="L1002" i="1"/>
  <c r="J1002" i="1"/>
  <c r="M1002" i="1" s="1"/>
  <c r="G1002" i="1"/>
  <c r="AE1001" i="1"/>
  <c r="V1001" i="1"/>
  <c r="W1001" i="1" s="1"/>
  <c r="U1001" i="1"/>
  <c r="P1001" i="1"/>
  <c r="Q1001" i="1" s="1"/>
  <c r="O1001" i="1"/>
  <c r="L1001" i="1"/>
  <c r="J1001" i="1"/>
  <c r="M1001" i="1" s="1"/>
  <c r="G1001" i="1"/>
  <c r="AE1000" i="1"/>
  <c r="V1000" i="1"/>
  <c r="W1000" i="1" s="1"/>
  <c r="U1000" i="1"/>
  <c r="P1000" i="1"/>
  <c r="Q1000" i="1" s="1"/>
  <c r="O1000" i="1"/>
  <c r="L1000" i="1"/>
  <c r="J1000" i="1"/>
  <c r="M1000" i="1" s="1"/>
  <c r="G1000" i="1"/>
  <c r="AE999" i="1"/>
  <c r="V999" i="1"/>
  <c r="W999" i="1" s="1"/>
  <c r="U999" i="1"/>
  <c r="P999" i="1"/>
  <c r="Q999" i="1" s="1"/>
  <c r="O999" i="1"/>
  <c r="L999" i="1"/>
  <c r="J999" i="1"/>
  <c r="M999" i="1" s="1"/>
  <c r="G999" i="1"/>
  <c r="AE998" i="1"/>
  <c r="V998" i="1"/>
  <c r="W998" i="1" s="1"/>
  <c r="U998" i="1"/>
  <c r="P998" i="1"/>
  <c r="Q998" i="1" s="1"/>
  <c r="O998" i="1"/>
  <c r="L998" i="1"/>
  <c r="J998" i="1"/>
  <c r="M998" i="1" s="1"/>
  <c r="G998" i="1"/>
  <c r="AE997" i="1"/>
  <c r="V997" i="1"/>
  <c r="W997" i="1" s="1"/>
  <c r="U997" i="1"/>
  <c r="P997" i="1"/>
  <c r="Q997" i="1" s="1"/>
  <c r="O997" i="1"/>
  <c r="L997" i="1"/>
  <c r="J997" i="1"/>
  <c r="M997" i="1" s="1"/>
  <c r="G997" i="1"/>
  <c r="AE996" i="1"/>
  <c r="V996" i="1"/>
  <c r="W996" i="1" s="1"/>
  <c r="U996" i="1"/>
  <c r="P996" i="1"/>
  <c r="Q996" i="1" s="1"/>
  <c r="O996" i="1"/>
  <c r="L996" i="1"/>
  <c r="J996" i="1"/>
  <c r="M996" i="1" s="1"/>
  <c r="G996" i="1"/>
  <c r="AE995" i="1"/>
  <c r="V995" i="1"/>
  <c r="W995" i="1" s="1"/>
  <c r="U995" i="1"/>
  <c r="P995" i="1"/>
  <c r="Q995" i="1" s="1"/>
  <c r="O995" i="1"/>
  <c r="L995" i="1"/>
  <c r="J995" i="1"/>
  <c r="M995" i="1" s="1"/>
  <c r="G995" i="1"/>
  <c r="AE994" i="1"/>
  <c r="V994" i="1"/>
  <c r="W994" i="1" s="1"/>
  <c r="U994" i="1"/>
  <c r="S994" i="1"/>
  <c r="P994" i="1"/>
  <c r="Q994" i="1" s="1"/>
  <c r="O994" i="1"/>
  <c r="R994" i="1" s="1"/>
  <c r="L994" i="1"/>
  <c r="J994" i="1"/>
  <c r="M994" i="1" s="1"/>
  <c r="G994" i="1"/>
  <c r="AE993" i="1"/>
  <c r="V993" i="1"/>
  <c r="W993" i="1" s="1"/>
  <c r="U993" i="1"/>
  <c r="P993" i="1"/>
  <c r="Q993" i="1" s="1"/>
  <c r="O993" i="1"/>
  <c r="L993" i="1"/>
  <c r="J993" i="1"/>
  <c r="M993" i="1" s="1"/>
  <c r="G993" i="1"/>
  <c r="AE992" i="1"/>
  <c r="V992" i="1"/>
  <c r="W992" i="1" s="1"/>
  <c r="U992" i="1"/>
  <c r="P992" i="1"/>
  <c r="Q992" i="1" s="1"/>
  <c r="O992" i="1"/>
  <c r="L992" i="1"/>
  <c r="J992" i="1"/>
  <c r="M992" i="1" s="1"/>
  <c r="G992" i="1"/>
  <c r="AE991" i="1"/>
  <c r="V991" i="1"/>
  <c r="W991" i="1" s="1"/>
  <c r="U991" i="1"/>
  <c r="P991" i="1"/>
  <c r="Q991" i="1" s="1"/>
  <c r="O991" i="1"/>
  <c r="L991" i="1"/>
  <c r="J991" i="1"/>
  <c r="M991" i="1" s="1"/>
  <c r="G991" i="1"/>
  <c r="AE990" i="1"/>
  <c r="V990" i="1"/>
  <c r="W990" i="1" s="1"/>
  <c r="U990" i="1"/>
  <c r="P990" i="1"/>
  <c r="Q990" i="1" s="1"/>
  <c r="O990" i="1"/>
  <c r="L990" i="1"/>
  <c r="J990" i="1"/>
  <c r="M990" i="1" s="1"/>
  <c r="G990" i="1"/>
  <c r="AE989" i="1"/>
  <c r="V989" i="1"/>
  <c r="W989" i="1" s="1"/>
  <c r="U989" i="1"/>
  <c r="P989" i="1"/>
  <c r="Q989" i="1" s="1"/>
  <c r="O989" i="1"/>
  <c r="L989" i="1"/>
  <c r="J989" i="1"/>
  <c r="M989" i="1" s="1"/>
  <c r="G989" i="1"/>
  <c r="AE988" i="1"/>
  <c r="V988" i="1"/>
  <c r="W988" i="1" s="1"/>
  <c r="U988" i="1"/>
  <c r="P988" i="1"/>
  <c r="Q988" i="1" s="1"/>
  <c r="O988" i="1"/>
  <c r="L988" i="1"/>
  <c r="J988" i="1"/>
  <c r="M988" i="1" s="1"/>
  <c r="G988" i="1"/>
  <c r="AE987" i="1"/>
  <c r="V987" i="1"/>
  <c r="W987" i="1" s="1"/>
  <c r="U987" i="1"/>
  <c r="P987" i="1"/>
  <c r="Q987" i="1" s="1"/>
  <c r="O987" i="1"/>
  <c r="L987" i="1"/>
  <c r="J987" i="1"/>
  <c r="M987" i="1" s="1"/>
  <c r="G987" i="1"/>
  <c r="AE986" i="1"/>
  <c r="Y986" i="1"/>
  <c r="V986" i="1"/>
  <c r="W986" i="1" s="1"/>
  <c r="U986" i="1"/>
  <c r="X986" i="1" s="1"/>
  <c r="P986" i="1"/>
  <c r="Q986" i="1" s="1"/>
  <c r="O986" i="1"/>
  <c r="L986" i="1"/>
  <c r="J986" i="1"/>
  <c r="M986" i="1" s="1"/>
  <c r="G986" i="1"/>
  <c r="AE985" i="1"/>
  <c r="V985" i="1"/>
  <c r="W985" i="1" s="1"/>
  <c r="U985" i="1"/>
  <c r="P985" i="1"/>
  <c r="Q985" i="1" s="1"/>
  <c r="O985" i="1"/>
  <c r="L985" i="1"/>
  <c r="J985" i="1"/>
  <c r="M985" i="1" s="1"/>
  <c r="G985" i="1"/>
  <c r="AE984" i="1"/>
  <c r="V984" i="1"/>
  <c r="W984" i="1" s="1"/>
  <c r="U984" i="1"/>
  <c r="S984" i="1"/>
  <c r="P984" i="1"/>
  <c r="Q984" i="1" s="1"/>
  <c r="O984" i="1"/>
  <c r="R984" i="1" s="1"/>
  <c r="L984" i="1"/>
  <c r="J984" i="1"/>
  <c r="M984" i="1" s="1"/>
  <c r="G984" i="1"/>
  <c r="AE983" i="1"/>
  <c r="V983" i="1"/>
  <c r="W983" i="1" s="1"/>
  <c r="U983" i="1"/>
  <c r="P983" i="1"/>
  <c r="Q983" i="1" s="1"/>
  <c r="O983" i="1"/>
  <c r="L983" i="1"/>
  <c r="J983" i="1"/>
  <c r="M983" i="1" s="1"/>
  <c r="G983" i="1"/>
  <c r="AE982" i="1"/>
  <c r="V982" i="1"/>
  <c r="W982" i="1" s="1"/>
  <c r="U982" i="1"/>
  <c r="P982" i="1"/>
  <c r="Q982" i="1" s="1"/>
  <c r="O982" i="1"/>
  <c r="L982" i="1"/>
  <c r="J982" i="1"/>
  <c r="M982" i="1" s="1"/>
  <c r="G982" i="1"/>
  <c r="AE981" i="1"/>
  <c r="V981" i="1"/>
  <c r="W981" i="1" s="1"/>
  <c r="U981" i="1"/>
  <c r="P981" i="1"/>
  <c r="Q981" i="1" s="1"/>
  <c r="O981" i="1"/>
  <c r="L981" i="1"/>
  <c r="J981" i="1"/>
  <c r="M981" i="1" s="1"/>
  <c r="G981" i="1"/>
  <c r="AE980" i="1"/>
  <c r="V980" i="1"/>
  <c r="W980" i="1" s="1"/>
  <c r="U980" i="1"/>
  <c r="P980" i="1"/>
  <c r="Q980" i="1" s="1"/>
  <c r="O980" i="1"/>
  <c r="L980" i="1"/>
  <c r="J980" i="1"/>
  <c r="M980" i="1" s="1"/>
  <c r="G980" i="1"/>
  <c r="AE979" i="1"/>
  <c r="V979" i="1"/>
  <c r="W979" i="1" s="1"/>
  <c r="U979" i="1"/>
  <c r="P979" i="1"/>
  <c r="Q979" i="1" s="1"/>
  <c r="O979" i="1"/>
  <c r="L979" i="1"/>
  <c r="J979" i="1"/>
  <c r="M979" i="1" s="1"/>
  <c r="G979" i="1"/>
  <c r="AE978" i="1"/>
  <c r="V978" i="1"/>
  <c r="W978" i="1" s="1"/>
  <c r="U978" i="1"/>
  <c r="P978" i="1"/>
  <c r="Q978" i="1" s="1"/>
  <c r="O978" i="1"/>
  <c r="L978" i="1"/>
  <c r="J978" i="1"/>
  <c r="M978" i="1" s="1"/>
  <c r="G978" i="1"/>
  <c r="AE977" i="1"/>
  <c r="V977" i="1"/>
  <c r="W977" i="1" s="1"/>
  <c r="U977" i="1"/>
  <c r="P977" i="1"/>
  <c r="Q977" i="1" s="1"/>
  <c r="O977" i="1"/>
  <c r="L977" i="1"/>
  <c r="J977" i="1"/>
  <c r="M977" i="1" s="1"/>
  <c r="G977" i="1"/>
  <c r="AE976" i="1"/>
  <c r="V976" i="1"/>
  <c r="W976" i="1" s="1"/>
  <c r="U976" i="1"/>
  <c r="S976" i="1"/>
  <c r="P976" i="1"/>
  <c r="Q976" i="1" s="1"/>
  <c r="O976" i="1"/>
  <c r="R976" i="1" s="1"/>
  <c r="L976" i="1"/>
  <c r="J976" i="1"/>
  <c r="M976" i="1" s="1"/>
  <c r="G976" i="1"/>
  <c r="AE975" i="1"/>
  <c r="V975" i="1"/>
  <c r="W975" i="1" s="1"/>
  <c r="U975" i="1"/>
  <c r="P975" i="1"/>
  <c r="Q975" i="1" s="1"/>
  <c r="O975" i="1"/>
  <c r="L975" i="1"/>
  <c r="J975" i="1"/>
  <c r="M975" i="1" s="1"/>
  <c r="G975" i="1"/>
  <c r="AE974" i="1"/>
  <c r="V974" i="1"/>
  <c r="W974" i="1" s="1"/>
  <c r="U974" i="1"/>
  <c r="S974" i="1"/>
  <c r="P974" i="1"/>
  <c r="Q974" i="1" s="1"/>
  <c r="O974" i="1"/>
  <c r="R974" i="1" s="1"/>
  <c r="L974" i="1"/>
  <c r="J974" i="1"/>
  <c r="M974" i="1" s="1"/>
  <c r="G974" i="1"/>
  <c r="AE973" i="1"/>
  <c r="V973" i="1"/>
  <c r="W973" i="1" s="1"/>
  <c r="U973" i="1"/>
  <c r="S973" i="1"/>
  <c r="P973" i="1"/>
  <c r="Q973" i="1" s="1"/>
  <c r="O973" i="1"/>
  <c r="R973" i="1" s="1"/>
  <c r="L973" i="1"/>
  <c r="J973" i="1"/>
  <c r="M973" i="1" s="1"/>
  <c r="G973" i="1"/>
  <c r="AE972" i="1"/>
  <c r="V972" i="1"/>
  <c r="W972" i="1" s="1"/>
  <c r="U972" i="1"/>
  <c r="P972" i="1"/>
  <c r="Q972" i="1" s="1"/>
  <c r="O972" i="1"/>
  <c r="L972" i="1"/>
  <c r="J972" i="1"/>
  <c r="M972" i="1" s="1"/>
  <c r="G972" i="1"/>
  <c r="AE971" i="1"/>
  <c r="V971" i="1"/>
  <c r="W971" i="1" s="1"/>
  <c r="U971" i="1"/>
  <c r="P971" i="1"/>
  <c r="Q971" i="1" s="1"/>
  <c r="O971" i="1"/>
  <c r="L971" i="1"/>
  <c r="J971" i="1"/>
  <c r="M971" i="1" s="1"/>
  <c r="G971" i="1"/>
  <c r="AE970" i="1"/>
  <c r="V970" i="1"/>
  <c r="W970" i="1" s="1"/>
  <c r="U970" i="1"/>
  <c r="P970" i="1"/>
  <c r="Q970" i="1" s="1"/>
  <c r="O970" i="1"/>
  <c r="L970" i="1"/>
  <c r="J970" i="1"/>
  <c r="M970" i="1" s="1"/>
  <c r="G970" i="1"/>
  <c r="AE969" i="1"/>
  <c r="V969" i="1"/>
  <c r="W969" i="1" s="1"/>
  <c r="U969" i="1"/>
  <c r="P969" i="1"/>
  <c r="Q969" i="1" s="1"/>
  <c r="O969" i="1"/>
  <c r="L969" i="1"/>
  <c r="J969" i="1"/>
  <c r="M969" i="1" s="1"/>
  <c r="G969" i="1"/>
  <c r="AE968" i="1"/>
  <c r="V968" i="1"/>
  <c r="W968" i="1" s="1"/>
  <c r="U968" i="1"/>
  <c r="P968" i="1"/>
  <c r="Q968" i="1" s="1"/>
  <c r="O968" i="1"/>
  <c r="L968" i="1"/>
  <c r="J968" i="1"/>
  <c r="M968" i="1" s="1"/>
  <c r="G968" i="1"/>
  <c r="AE967" i="1"/>
  <c r="Y967" i="1"/>
  <c r="V967" i="1"/>
  <c r="W967" i="1" s="1"/>
  <c r="U967" i="1"/>
  <c r="X967" i="1" s="1"/>
  <c r="S967" i="1"/>
  <c r="P967" i="1"/>
  <c r="Q967" i="1" s="1"/>
  <c r="O967" i="1"/>
  <c r="R967" i="1" s="1"/>
  <c r="L967" i="1"/>
  <c r="J967" i="1"/>
  <c r="M967" i="1" s="1"/>
  <c r="G967" i="1"/>
  <c r="AE966" i="1"/>
  <c r="V966" i="1"/>
  <c r="W966" i="1" s="1"/>
  <c r="U966" i="1"/>
  <c r="S966" i="1"/>
  <c r="P966" i="1"/>
  <c r="Q966" i="1" s="1"/>
  <c r="O966" i="1"/>
  <c r="R966" i="1" s="1"/>
  <c r="L966" i="1"/>
  <c r="J966" i="1"/>
  <c r="M966" i="1" s="1"/>
  <c r="G966" i="1"/>
  <c r="AE965" i="1"/>
  <c r="V965" i="1"/>
  <c r="W965" i="1" s="1"/>
  <c r="U965" i="1"/>
  <c r="P965" i="1"/>
  <c r="Q965" i="1" s="1"/>
  <c r="O965" i="1"/>
  <c r="L965" i="1"/>
  <c r="J965" i="1"/>
  <c r="M965" i="1" s="1"/>
  <c r="G965" i="1"/>
  <c r="AE964" i="1"/>
  <c r="V964" i="1"/>
  <c r="W964" i="1" s="1"/>
  <c r="U964" i="1"/>
  <c r="P964" i="1"/>
  <c r="Q964" i="1" s="1"/>
  <c r="O964" i="1"/>
  <c r="L964" i="1"/>
  <c r="J964" i="1"/>
  <c r="M964" i="1" s="1"/>
  <c r="G964" i="1"/>
  <c r="AE963" i="1"/>
  <c r="V963" i="1"/>
  <c r="W963" i="1" s="1"/>
  <c r="U963" i="1"/>
  <c r="P963" i="1"/>
  <c r="Q963" i="1" s="1"/>
  <c r="O963" i="1"/>
  <c r="L963" i="1"/>
  <c r="J963" i="1"/>
  <c r="M963" i="1" s="1"/>
  <c r="G963" i="1"/>
  <c r="AE962" i="1"/>
  <c r="V962" i="1"/>
  <c r="W962" i="1" s="1"/>
  <c r="U962" i="1"/>
  <c r="P962" i="1"/>
  <c r="Q962" i="1" s="1"/>
  <c r="O962" i="1"/>
  <c r="L962" i="1"/>
  <c r="J962" i="1"/>
  <c r="M962" i="1" s="1"/>
  <c r="G962" i="1"/>
  <c r="AE961" i="1"/>
  <c r="V961" i="1"/>
  <c r="W961" i="1" s="1"/>
  <c r="U961" i="1"/>
  <c r="S961" i="1"/>
  <c r="P961" i="1"/>
  <c r="Q961" i="1" s="1"/>
  <c r="O961" i="1"/>
  <c r="R961" i="1" s="1"/>
  <c r="L961" i="1"/>
  <c r="J961" i="1"/>
  <c r="M961" i="1" s="1"/>
  <c r="G961" i="1"/>
  <c r="AE960" i="1"/>
  <c r="V960" i="1"/>
  <c r="W960" i="1" s="1"/>
  <c r="U960" i="1"/>
  <c r="S960" i="1"/>
  <c r="P960" i="1"/>
  <c r="Q960" i="1" s="1"/>
  <c r="O960" i="1"/>
  <c r="R960" i="1" s="1"/>
  <c r="L960" i="1"/>
  <c r="J960" i="1"/>
  <c r="M960" i="1" s="1"/>
  <c r="G960" i="1"/>
  <c r="AE959" i="1"/>
  <c r="V959" i="1"/>
  <c r="W959" i="1" s="1"/>
  <c r="U959" i="1"/>
  <c r="P959" i="1"/>
  <c r="Q959" i="1" s="1"/>
  <c r="O959" i="1"/>
  <c r="L959" i="1"/>
  <c r="J959" i="1"/>
  <c r="M959" i="1" s="1"/>
  <c r="G959" i="1"/>
  <c r="AE958" i="1"/>
  <c r="V958" i="1"/>
  <c r="W958" i="1" s="1"/>
  <c r="U958" i="1"/>
  <c r="P958" i="1"/>
  <c r="Q958" i="1" s="1"/>
  <c r="O958" i="1"/>
  <c r="L958" i="1"/>
  <c r="J958" i="1"/>
  <c r="M958" i="1" s="1"/>
  <c r="G958" i="1"/>
  <c r="AE957" i="1"/>
  <c r="V957" i="1"/>
  <c r="W957" i="1" s="1"/>
  <c r="U957" i="1"/>
  <c r="S957" i="1"/>
  <c r="P957" i="1"/>
  <c r="Q957" i="1" s="1"/>
  <c r="O957" i="1"/>
  <c r="R957" i="1" s="1"/>
  <c r="L957" i="1"/>
  <c r="J957" i="1"/>
  <c r="M957" i="1" s="1"/>
  <c r="G957" i="1"/>
  <c r="AE956" i="1"/>
  <c r="V956" i="1"/>
  <c r="W956" i="1" s="1"/>
  <c r="U956" i="1"/>
  <c r="S956" i="1"/>
  <c r="P956" i="1"/>
  <c r="Q956" i="1" s="1"/>
  <c r="O956" i="1"/>
  <c r="R956" i="1" s="1"/>
  <c r="L956" i="1"/>
  <c r="J956" i="1"/>
  <c r="M956" i="1" s="1"/>
  <c r="G956" i="1"/>
  <c r="AE955" i="1"/>
  <c r="V955" i="1"/>
  <c r="W955" i="1" s="1"/>
  <c r="U955" i="1"/>
  <c r="P955" i="1"/>
  <c r="Q955" i="1" s="1"/>
  <c r="O955" i="1"/>
  <c r="L955" i="1"/>
  <c r="J955" i="1"/>
  <c r="M955" i="1" s="1"/>
  <c r="G955" i="1"/>
  <c r="AE954" i="1"/>
  <c r="V954" i="1"/>
  <c r="W954" i="1" s="1"/>
  <c r="U954" i="1"/>
  <c r="P954" i="1"/>
  <c r="Q954" i="1" s="1"/>
  <c r="O954" i="1"/>
  <c r="L954" i="1"/>
  <c r="J954" i="1"/>
  <c r="M954" i="1" s="1"/>
  <c r="G954" i="1"/>
  <c r="AE953" i="1"/>
  <c r="V953" i="1"/>
  <c r="W953" i="1" s="1"/>
  <c r="U953" i="1"/>
  <c r="P953" i="1"/>
  <c r="Q953" i="1" s="1"/>
  <c r="O953" i="1"/>
  <c r="L953" i="1"/>
  <c r="J953" i="1"/>
  <c r="M953" i="1" s="1"/>
  <c r="G953" i="1"/>
  <c r="AE952" i="1"/>
  <c r="V952" i="1"/>
  <c r="W952" i="1" s="1"/>
  <c r="U952" i="1"/>
  <c r="P952" i="1"/>
  <c r="Q952" i="1" s="1"/>
  <c r="O952" i="1"/>
  <c r="L952" i="1"/>
  <c r="J952" i="1"/>
  <c r="M952" i="1" s="1"/>
  <c r="G952" i="1"/>
  <c r="AE951" i="1"/>
  <c r="V951" i="1"/>
  <c r="W951" i="1" s="1"/>
  <c r="U951" i="1"/>
  <c r="P951" i="1"/>
  <c r="Q951" i="1" s="1"/>
  <c r="O951" i="1"/>
  <c r="L951" i="1"/>
  <c r="J951" i="1"/>
  <c r="M951" i="1" s="1"/>
  <c r="G951" i="1"/>
  <c r="AE950" i="1"/>
  <c r="V950" i="1"/>
  <c r="W950" i="1" s="1"/>
  <c r="U950" i="1"/>
  <c r="P950" i="1"/>
  <c r="Q950" i="1" s="1"/>
  <c r="O950" i="1"/>
  <c r="L950" i="1"/>
  <c r="J950" i="1"/>
  <c r="M950" i="1" s="1"/>
  <c r="G950" i="1"/>
  <c r="AE949" i="1"/>
  <c r="V949" i="1"/>
  <c r="W949" i="1" s="1"/>
  <c r="U949" i="1"/>
  <c r="P949" i="1"/>
  <c r="Q949" i="1" s="1"/>
  <c r="O949" i="1"/>
  <c r="L949" i="1"/>
  <c r="J949" i="1"/>
  <c r="M949" i="1" s="1"/>
  <c r="G949" i="1"/>
  <c r="AE948" i="1"/>
  <c r="V948" i="1"/>
  <c r="W948" i="1" s="1"/>
  <c r="U948" i="1"/>
  <c r="P948" i="1"/>
  <c r="Q948" i="1" s="1"/>
  <c r="O948" i="1"/>
  <c r="L948" i="1"/>
  <c r="J948" i="1"/>
  <c r="M948" i="1" s="1"/>
  <c r="G948" i="1"/>
  <c r="AE947" i="1"/>
  <c r="V947" i="1"/>
  <c r="W947" i="1" s="1"/>
  <c r="U947" i="1"/>
  <c r="P947" i="1"/>
  <c r="Q947" i="1" s="1"/>
  <c r="O947" i="1"/>
  <c r="L947" i="1"/>
  <c r="J947" i="1"/>
  <c r="M947" i="1" s="1"/>
  <c r="G947" i="1"/>
  <c r="AE946" i="1"/>
  <c r="V946" i="1"/>
  <c r="W946" i="1" s="1"/>
  <c r="U946" i="1"/>
  <c r="P946" i="1"/>
  <c r="Q946" i="1" s="1"/>
  <c r="O946" i="1"/>
  <c r="L946" i="1"/>
  <c r="J946" i="1"/>
  <c r="M946" i="1" s="1"/>
  <c r="G946" i="1"/>
  <c r="AE945" i="1"/>
  <c r="V945" i="1"/>
  <c r="W945" i="1" s="1"/>
  <c r="U945" i="1"/>
  <c r="P945" i="1"/>
  <c r="Q945" i="1" s="1"/>
  <c r="O945" i="1"/>
  <c r="L945" i="1"/>
  <c r="J945" i="1"/>
  <c r="M945" i="1" s="1"/>
  <c r="G945" i="1"/>
  <c r="AE944" i="1"/>
  <c r="V944" i="1"/>
  <c r="W944" i="1" s="1"/>
  <c r="U944" i="1"/>
  <c r="P944" i="1"/>
  <c r="Q944" i="1" s="1"/>
  <c r="O944" i="1"/>
  <c r="L944" i="1"/>
  <c r="J944" i="1"/>
  <c r="M944" i="1" s="1"/>
  <c r="G944" i="1"/>
  <c r="AE943" i="1"/>
  <c r="V943" i="1"/>
  <c r="W943" i="1" s="1"/>
  <c r="U943" i="1"/>
  <c r="P943" i="1"/>
  <c r="Q943" i="1" s="1"/>
  <c r="O943" i="1"/>
  <c r="L943" i="1"/>
  <c r="J943" i="1"/>
  <c r="M943" i="1" s="1"/>
  <c r="G943" i="1"/>
  <c r="AE942" i="1"/>
  <c r="V942" i="1"/>
  <c r="W942" i="1" s="1"/>
  <c r="U942" i="1"/>
  <c r="P942" i="1"/>
  <c r="Q942" i="1" s="1"/>
  <c r="O942" i="1"/>
  <c r="L942" i="1"/>
  <c r="J942" i="1"/>
  <c r="M942" i="1" s="1"/>
  <c r="G942" i="1"/>
  <c r="AE941" i="1"/>
  <c r="V941" i="1"/>
  <c r="W941" i="1" s="1"/>
  <c r="U941" i="1"/>
  <c r="P941" i="1"/>
  <c r="Q941" i="1" s="1"/>
  <c r="O941" i="1"/>
  <c r="L941" i="1"/>
  <c r="J941" i="1"/>
  <c r="M941" i="1" s="1"/>
  <c r="G941" i="1"/>
  <c r="AE940" i="1"/>
  <c r="V940" i="1"/>
  <c r="W940" i="1" s="1"/>
  <c r="U940" i="1"/>
  <c r="P940" i="1"/>
  <c r="Q940" i="1" s="1"/>
  <c r="O940" i="1"/>
  <c r="L940" i="1"/>
  <c r="J940" i="1"/>
  <c r="M940" i="1" s="1"/>
  <c r="G940" i="1"/>
  <c r="AE939" i="1"/>
  <c r="V939" i="1"/>
  <c r="W939" i="1" s="1"/>
  <c r="U939" i="1"/>
  <c r="P939" i="1"/>
  <c r="Q939" i="1" s="1"/>
  <c r="O939" i="1"/>
  <c r="L939" i="1"/>
  <c r="J939" i="1"/>
  <c r="M939" i="1" s="1"/>
  <c r="G939" i="1"/>
  <c r="AE938" i="1"/>
  <c r="V938" i="1"/>
  <c r="W938" i="1" s="1"/>
  <c r="U938" i="1"/>
  <c r="P938" i="1"/>
  <c r="Q938" i="1" s="1"/>
  <c r="O938" i="1"/>
  <c r="L938" i="1"/>
  <c r="J938" i="1"/>
  <c r="M938" i="1" s="1"/>
  <c r="G938" i="1"/>
  <c r="AE937" i="1"/>
  <c r="V937" i="1"/>
  <c r="W937" i="1" s="1"/>
  <c r="U937" i="1"/>
  <c r="S937" i="1"/>
  <c r="P937" i="1"/>
  <c r="Q937" i="1" s="1"/>
  <c r="O937" i="1"/>
  <c r="R937" i="1" s="1"/>
  <c r="L937" i="1"/>
  <c r="J937" i="1"/>
  <c r="M937" i="1" s="1"/>
  <c r="G937" i="1"/>
  <c r="AE936" i="1"/>
  <c r="V936" i="1"/>
  <c r="W936" i="1" s="1"/>
  <c r="U936" i="1"/>
  <c r="P936" i="1"/>
  <c r="Q936" i="1" s="1"/>
  <c r="O936" i="1"/>
  <c r="L936" i="1"/>
  <c r="J936" i="1"/>
  <c r="M936" i="1" s="1"/>
  <c r="G936" i="1"/>
  <c r="AE935" i="1"/>
  <c r="V935" i="1"/>
  <c r="W935" i="1" s="1"/>
  <c r="U935" i="1"/>
  <c r="S935" i="1"/>
  <c r="P935" i="1"/>
  <c r="Q935" i="1" s="1"/>
  <c r="O935" i="1"/>
  <c r="R935" i="1" s="1"/>
  <c r="L935" i="1"/>
  <c r="J935" i="1"/>
  <c r="M935" i="1" s="1"/>
  <c r="G935" i="1"/>
  <c r="AE934" i="1"/>
  <c r="V934" i="1"/>
  <c r="W934" i="1" s="1"/>
  <c r="U934" i="1"/>
  <c r="P934" i="1"/>
  <c r="Q934" i="1" s="1"/>
  <c r="O934" i="1"/>
  <c r="L934" i="1"/>
  <c r="J934" i="1"/>
  <c r="M934" i="1" s="1"/>
  <c r="G934" i="1"/>
  <c r="AE933" i="1"/>
  <c r="V933" i="1"/>
  <c r="W933" i="1" s="1"/>
  <c r="U933" i="1"/>
  <c r="P933" i="1"/>
  <c r="Q933" i="1" s="1"/>
  <c r="O933" i="1"/>
  <c r="L933" i="1"/>
  <c r="J933" i="1"/>
  <c r="M933" i="1" s="1"/>
  <c r="G933" i="1"/>
  <c r="AE932" i="1"/>
  <c r="V932" i="1"/>
  <c r="W932" i="1" s="1"/>
  <c r="U932" i="1"/>
  <c r="P932" i="1"/>
  <c r="Q932" i="1" s="1"/>
  <c r="O932" i="1"/>
  <c r="L932" i="1"/>
  <c r="J932" i="1"/>
  <c r="M932" i="1" s="1"/>
  <c r="G932" i="1"/>
  <c r="AE931" i="1"/>
  <c r="V931" i="1"/>
  <c r="W931" i="1" s="1"/>
  <c r="U931" i="1"/>
  <c r="P931" i="1"/>
  <c r="Q931" i="1" s="1"/>
  <c r="O931" i="1"/>
  <c r="L931" i="1"/>
  <c r="J931" i="1"/>
  <c r="M931" i="1" s="1"/>
  <c r="G931" i="1"/>
  <c r="AE930" i="1"/>
  <c r="V930" i="1"/>
  <c r="W930" i="1" s="1"/>
  <c r="U930" i="1"/>
  <c r="S930" i="1"/>
  <c r="P930" i="1"/>
  <c r="Q930" i="1" s="1"/>
  <c r="O930" i="1"/>
  <c r="R930" i="1" s="1"/>
  <c r="L930" i="1"/>
  <c r="J930" i="1"/>
  <c r="M930" i="1" s="1"/>
  <c r="G930" i="1"/>
  <c r="AE929" i="1"/>
  <c r="V929" i="1"/>
  <c r="W929" i="1" s="1"/>
  <c r="U929" i="1"/>
  <c r="P929" i="1"/>
  <c r="Q929" i="1" s="1"/>
  <c r="O929" i="1"/>
  <c r="L929" i="1"/>
  <c r="J929" i="1"/>
  <c r="M929" i="1" s="1"/>
  <c r="G929" i="1"/>
  <c r="AE928" i="1"/>
  <c r="V928" i="1"/>
  <c r="W928" i="1" s="1"/>
  <c r="U928" i="1"/>
  <c r="P928" i="1"/>
  <c r="Q928" i="1" s="1"/>
  <c r="O928" i="1"/>
  <c r="L928" i="1"/>
  <c r="J928" i="1"/>
  <c r="M928" i="1" s="1"/>
  <c r="G928" i="1"/>
  <c r="AE927" i="1"/>
  <c r="V927" i="1"/>
  <c r="W927" i="1" s="1"/>
  <c r="U927" i="1"/>
  <c r="P927" i="1"/>
  <c r="Q927" i="1" s="1"/>
  <c r="O927" i="1"/>
  <c r="L927" i="1"/>
  <c r="J927" i="1"/>
  <c r="M927" i="1" s="1"/>
  <c r="G927" i="1"/>
  <c r="AE926" i="1"/>
  <c r="V926" i="1"/>
  <c r="W926" i="1" s="1"/>
  <c r="U926" i="1"/>
  <c r="P926" i="1"/>
  <c r="Q926" i="1" s="1"/>
  <c r="O926" i="1"/>
  <c r="L926" i="1"/>
  <c r="J926" i="1"/>
  <c r="M926" i="1" s="1"/>
  <c r="G926" i="1"/>
  <c r="AE925" i="1"/>
  <c r="V925" i="1"/>
  <c r="W925" i="1" s="1"/>
  <c r="U925" i="1"/>
  <c r="P925" i="1"/>
  <c r="Q925" i="1" s="1"/>
  <c r="O925" i="1"/>
  <c r="L925" i="1"/>
  <c r="J925" i="1"/>
  <c r="M925" i="1" s="1"/>
  <c r="G925" i="1"/>
  <c r="AE924" i="1"/>
  <c r="V924" i="1"/>
  <c r="W924" i="1" s="1"/>
  <c r="U924" i="1"/>
  <c r="P924" i="1"/>
  <c r="Q924" i="1" s="1"/>
  <c r="O924" i="1"/>
  <c r="L924" i="1"/>
  <c r="J924" i="1"/>
  <c r="M924" i="1" s="1"/>
  <c r="G924" i="1"/>
  <c r="AE923" i="1"/>
  <c r="V923" i="1"/>
  <c r="W923" i="1" s="1"/>
  <c r="U923" i="1"/>
  <c r="P923" i="1"/>
  <c r="Q923" i="1" s="1"/>
  <c r="O923" i="1"/>
  <c r="L923" i="1"/>
  <c r="J923" i="1"/>
  <c r="M923" i="1" s="1"/>
  <c r="G923" i="1"/>
  <c r="AE922" i="1"/>
  <c r="V922" i="1"/>
  <c r="W922" i="1" s="1"/>
  <c r="U922" i="1"/>
  <c r="P922" i="1"/>
  <c r="Q922" i="1" s="1"/>
  <c r="O922" i="1"/>
  <c r="L922" i="1"/>
  <c r="J922" i="1"/>
  <c r="M922" i="1" s="1"/>
  <c r="G922" i="1"/>
  <c r="AE921" i="1"/>
  <c r="V921" i="1"/>
  <c r="W921" i="1" s="1"/>
  <c r="U921" i="1"/>
  <c r="P921" i="1"/>
  <c r="Q921" i="1" s="1"/>
  <c r="O921" i="1"/>
  <c r="L921" i="1"/>
  <c r="J921" i="1"/>
  <c r="M921" i="1" s="1"/>
  <c r="G921" i="1"/>
  <c r="AE920" i="1"/>
  <c r="V920" i="1"/>
  <c r="W920" i="1" s="1"/>
  <c r="U920" i="1"/>
  <c r="P920" i="1"/>
  <c r="Q920" i="1" s="1"/>
  <c r="O920" i="1"/>
  <c r="L920" i="1"/>
  <c r="J920" i="1"/>
  <c r="M920" i="1" s="1"/>
  <c r="G920" i="1"/>
  <c r="AE919" i="1"/>
  <c r="V919" i="1"/>
  <c r="W919" i="1" s="1"/>
  <c r="U919" i="1"/>
  <c r="P919" i="1"/>
  <c r="Q919" i="1" s="1"/>
  <c r="O919" i="1"/>
  <c r="L919" i="1"/>
  <c r="J919" i="1"/>
  <c r="M919" i="1" s="1"/>
  <c r="G919" i="1"/>
  <c r="AE918" i="1"/>
  <c r="V918" i="1"/>
  <c r="W918" i="1" s="1"/>
  <c r="U918" i="1"/>
  <c r="P918" i="1"/>
  <c r="Q918" i="1" s="1"/>
  <c r="O918" i="1"/>
  <c r="L918" i="1"/>
  <c r="J918" i="1"/>
  <c r="M918" i="1" s="1"/>
  <c r="G918" i="1"/>
  <c r="AE917" i="1"/>
  <c r="V917" i="1"/>
  <c r="W917" i="1" s="1"/>
  <c r="U917" i="1"/>
  <c r="P917" i="1"/>
  <c r="Q917" i="1" s="1"/>
  <c r="O917" i="1"/>
  <c r="L917" i="1"/>
  <c r="J917" i="1"/>
  <c r="M917" i="1" s="1"/>
  <c r="G917" i="1"/>
  <c r="AE916" i="1"/>
  <c r="V916" i="1"/>
  <c r="W916" i="1" s="1"/>
  <c r="U916" i="1"/>
  <c r="P916" i="1"/>
  <c r="Q916" i="1" s="1"/>
  <c r="O916" i="1"/>
  <c r="L916" i="1"/>
  <c r="J916" i="1"/>
  <c r="M916" i="1" s="1"/>
  <c r="G916" i="1"/>
  <c r="AE915" i="1"/>
  <c r="V915" i="1"/>
  <c r="W915" i="1" s="1"/>
  <c r="U915" i="1"/>
  <c r="S915" i="1"/>
  <c r="P915" i="1"/>
  <c r="Q915" i="1" s="1"/>
  <c r="O915" i="1"/>
  <c r="R915" i="1" s="1"/>
  <c r="L915" i="1"/>
  <c r="J915" i="1"/>
  <c r="M915" i="1" s="1"/>
  <c r="G915" i="1"/>
  <c r="AE914" i="1"/>
  <c r="V914" i="1"/>
  <c r="W914" i="1" s="1"/>
  <c r="U914" i="1"/>
  <c r="P914" i="1"/>
  <c r="Q914" i="1" s="1"/>
  <c r="O914" i="1"/>
  <c r="L914" i="1"/>
  <c r="J914" i="1"/>
  <c r="M914" i="1" s="1"/>
  <c r="G914" i="1"/>
  <c r="AE913" i="1"/>
  <c r="V913" i="1"/>
  <c r="W913" i="1" s="1"/>
  <c r="U913" i="1"/>
  <c r="P913" i="1"/>
  <c r="Q913" i="1" s="1"/>
  <c r="O913" i="1"/>
  <c r="L913" i="1"/>
  <c r="J913" i="1"/>
  <c r="M913" i="1" s="1"/>
  <c r="G913" i="1"/>
  <c r="AE912" i="1"/>
  <c r="V912" i="1"/>
  <c r="W912" i="1" s="1"/>
  <c r="U912" i="1"/>
  <c r="P912" i="1"/>
  <c r="Q912" i="1" s="1"/>
  <c r="O912" i="1"/>
  <c r="L912" i="1"/>
  <c r="J912" i="1"/>
  <c r="M912" i="1" s="1"/>
  <c r="G912" i="1"/>
  <c r="AE911" i="1"/>
  <c r="V911" i="1"/>
  <c r="W911" i="1" s="1"/>
  <c r="U911" i="1"/>
  <c r="P911" i="1"/>
  <c r="Q911" i="1" s="1"/>
  <c r="O911" i="1"/>
  <c r="L911" i="1"/>
  <c r="J911" i="1"/>
  <c r="M911" i="1" s="1"/>
  <c r="G911" i="1"/>
  <c r="AE910" i="1"/>
  <c r="V910" i="1"/>
  <c r="W910" i="1" s="1"/>
  <c r="U910" i="1"/>
  <c r="P910" i="1"/>
  <c r="Q910" i="1" s="1"/>
  <c r="O910" i="1"/>
  <c r="L910" i="1"/>
  <c r="J910" i="1"/>
  <c r="M910" i="1" s="1"/>
  <c r="G910" i="1"/>
  <c r="AE909" i="1"/>
  <c r="V909" i="1"/>
  <c r="W909" i="1" s="1"/>
  <c r="U909" i="1"/>
  <c r="P909" i="1"/>
  <c r="Q909" i="1" s="1"/>
  <c r="O909" i="1"/>
  <c r="L909" i="1"/>
  <c r="J909" i="1"/>
  <c r="M909" i="1" s="1"/>
  <c r="G909" i="1"/>
  <c r="AE908" i="1"/>
  <c r="V908" i="1"/>
  <c r="W908" i="1" s="1"/>
  <c r="U908" i="1"/>
  <c r="P908" i="1"/>
  <c r="Q908" i="1" s="1"/>
  <c r="O908" i="1"/>
  <c r="L908" i="1"/>
  <c r="J908" i="1"/>
  <c r="M908" i="1" s="1"/>
  <c r="G908" i="1"/>
  <c r="AE907" i="1"/>
  <c r="V907" i="1"/>
  <c r="W907" i="1" s="1"/>
  <c r="U907" i="1"/>
  <c r="P907" i="1"/>
  <c r="Q907" i="1" s="1"/>
  <c r="O907" i="1"/>
  <c r="L907" i="1"/>
  <c r="J907" i="1"/>
  <c r="M907" i="1" s="1"/>
  <c r="G907" i="1"/>
  <c r="AE906" i="1"/>
  <c r="V906" i="1"/>
  <c r="W906" i="1" s="1"/>
  <c r="U906" i="1"/>
  <c r="P906" i="1"/>
  <c r="Q906" i="1" s="1"/>
  <c r="O906" i="1"/>
  <c r="L906" i="1"/>
  <c r="J906" i="1"/>
  <c r="M906" i="1" s="1"/>
  <c r="G906" i="1"/>
  <c r="AE905" i="1"/>
  <c r="V905" i="1"/>
  <c r="W905" i="1" s="1"/>
  <c r="U905" i="1"/>
  <c r="P905" i="1"/>
  <c r="Q905" i="1" s="1"/>
  <c r="O905" i="1"/>
  <c r="L905" i="1"/>
  <c r="J905" i="1"/>
  <c r="M905" i="1" s="1"/>
  <c r="G905" i="1"/>
  <c r="AE904" i="1"/>
  <c r="V904" i="1"/>
  <c r="W904" i="1" s="1"/>
  <c r="U904" i="1"/>
  <c r="P904" i="1"/>
  <c r="Q904" i="1" s="1"/>
  <c r="O904" i="1"/>
  <c r="L904" i="1"/>
  <c r="J904" i="1"/>
  <c r="M904" i="1" s="1"/>
  <c r="G904" i="1"/>
  <c r="AE903" i="1"/>
  <c r="V903" i="1"/>
  <c r="W903" i="1" s="1"/>
  <c r="U903" i="1"/>
  <c r="P903" i="1"/>
  <c r="Q903" i="1" s="1"/>
  <c r="O903" i="1"/>
  <c r="L903" i="1"/>
  <c r="J903" i="1"/>
  <c r="M903" i="1" s="1"/>
  <c r="G903" i="1"/>
  <c r="AE902" i="1"/>
  <c r="V902" i="1"/>
  <c r="W902" i="1" s="1"/>
  <c r="U902" i="1"/>
  <c r="P902" i="1"/>
  <c r="Q902" i="1" s="1"/>
  <c r="O902" i="1"/>
  <c r="L902" i="1"/>
  <c r="J902" i="1"/>
  <c r="M902" i="1" s="1"/>
  <c r="G902" i="1"/>
  <c r="AE901" i="1"/>
  <c r="V901" i="1"/>
  <c r="W901" i="1" s="1"/>
  <c r="U901" i="1"/>
  <c r="P901" i="1"/>
  <c r="Q901" i="1" s="1"/>
  <c r="O901" i="1"/>
  <c r="L901" i="1"/>
  <c r="J901" i="1"/>
  <c r="M901" i="1" s="1"/>
  <c r="G901" i="1"/>
  <c r="AE900" i="1"/>
  <c r="V900" i="1"/>
  <c r="W900" i="1" s="1"/>
  <c r="U900" i="1"/>
  <c r="P900" i="1"/>
  <c r="Q900" i="1" s="1"/>
  <c r="O900" i="1"/>
  <c r="L900" i="1"/>
  <c r="J900" i="1"/>
  <c r="M900" i="1" s="1"/>
  <c r="G900" i="1"/>
  <c r="AE899" i="1"/>
  <c r="V899" i="1"/>
  <c r="W899" i="1" s="1"/>
  <c r="U899" i="1"/>
  <c r="P899" i="1"/>
  <c r="Q899" i="1" s="1"/>
  <c r="O899" i="1"/>
  <c r="L899" i="1"/>
  <c r="J899" i="1"/>
  <c r="M899" i="1" s="1"/>
  <c r="G899" i="1"/>
  <c r="AE898" i="1"/>
  <c r="V898" i="1"/>
  <c r="W898" i="1" s="1"/>
  <c r="U898" i="1"/>
  <c r="P898" i="1"/>
  <c r="Q898" i="1" s="1"/>
  <c r="O898" i="1"/>
  <c r="L898" i="1"/>
  <c r="J898" i="1"/>
  <c r="M898" i="1" s="1"/>
  <c r="G898" i="1"/>
  <c r="AE897" i="1"/>
  <c r="V897" i="1"/>
  <c r="W897" i="1" s="1"/>
  <c r="U897" i="1"/>
  <c r="P897" i="1"/>
  <c r="Q897" i="1" s="1"/>
  <c r="O897" i="1"/>
  <c r="L897" i="1"/>
  <c r="J897" i="1"/>
  <c r="M897" i="1" s="1"/>
  <c r="G897" i="1"/>
  <c r="AE896" i="1"/>
  <c r="V896" i="1"/>
  <c r="W896" i="1" s="1"/>
  <c r="U896" i="1"/>
  <c r="P896" i="1"/>
  <c r="Q896" i="1" s="1"/>
  <c r="O896" i="1"/>
  <c r="L896" i="1"/>
  <c r="J896" i="1"/>
  <c r="M896" i="1" s="1"/>
  <c r="G896" i="1"/>
  <c r="AE895" i="1"/>
  <c r="V895" i="1"/>
  <c r="W895" i="1" s="1"/>
  <c r="U895" i="1"/>
  <c r="P895" i="1"/>
  <c r="Q895" i="1" s="1"/>
  <c r="O895" i="1"/>
  <c r="L895" i="1"/>
  <c r="J895" i="1"/>
  <c r="M895" i="1" s="1"/>
  <c r="G895" i="1"/>
  <c r="AE894" i="1"/>
  <c r="V894" i="1"/>
  <c r="W894" i="1" s="1"/>
  <c r="U894" i="1"/>
  <c r="P894" i="1"/>
  <c r="Q894" i="1" s="1"/>
  <c r="O894" i="1"/>
  <c r="L894" i="1"/>
  <c r="J894" i="1"/>
  <c r="M894" i="1" s="1"/>
  <c r="G894" i="1"/>
  <c r="AE893" i="1"/>
  <c r="V893" i="1"/>
  <c r="W893" i="1" s="1"/>
  <c r="U893" i="1"/>
  <c r="P893" i="1"/>
  <c r="Q893" i="1" s="1"/>
  <c r="O893" i="1"/>
  <c r="L893" i="1"/>
  <c r="J893" i="1"/>
  <c r="M893" i="1" s="1"/>
  <c r="G893" i="1"/>
  <c r="AE892" i="1"/>
  <c r="Y892" i="1"/>
  <c r="V892" i="1"/>
  <c r="W892" i="1" s="1"/>
  <c r="U892" i="1"/>
  <c r="X892" i="1" s="1"/>
  <c r="S892" i="1"/>
  <c r="P892" i="1"/>
  <c r="Q892" i="1" s="1"/>
  <c r="O892" i="1"/>
  <c r="R892" i="1" s="1"/>
  <c r="L892" i="1"/>
  <c r="J892" i="1"/>
  <c r="M892" i="1" s="1"/>
  <c r="G892" i="1"/>
  <c r="AE891" i="1"/>
  <c r="Y891" i="1"/>
  <c r="V891" i="1"/>
  <c r="W891" i="1" s="1"/>
  <c r="U891" i="1"/>
  <c r="X891" i="1" s="1"/>
  <c r="P891" i="1"/>
  <c r="Q891" i="1" s="1"/>
  <c r="O891" i="1"/>
  <c r="L891" i="1"/>
  <c r="J891" i="1"/>
  <c r="M891" i="1" s="1"/>
  <c r="G891" i="1"/>
  <c r="AE890" i="1"/>
  <c r="V890" i="1"/>
  <c r="W890" i="1" s="1"/>
  <c r="U890" i="1"/>
  <c r="P890" i="1"/>
  <c r="Q890" i="1" s="1"/>
  <c r="O890" i="1"/>
  <c r="L890" i="1"/>
  <c r="J890" i="1"/>
  <c r="M890" i="1" s="1"/>
  <c r="G890" i="1"/>
  <c r="AE889" i="1"/>
  <c r="V889" i="1"/>
  <c r="W889" i="1" s="1"/>
  <c r="U889" i="1"/>
  <c r="P889" i="1"/>
  <c r="Q889" i="1" s="1"/>
  <c r="O889" i="1"/>
  <c r="L889" i="1"/>
  <c r="J889" i="1"/>
  <c r="M889" i="1" s="1"/>
  <c r="G889" i="1"/>
  <c r="AE888" i="1"/>
  <c r="V888" i="1"/>
  <c r="W888" i="1" s="1"/>
  <c r="U888" i="1"/>
  <c r="P888" i="1"/>
  <c r="Q888" i="1" s="1"/>
  <c r="O888" i="1"/>
  <c r="L888" i="1"/>
  <c r="J888" i="1"/>
  <c r="M888" i="1" s="1"/>
  <c r="G888" i="1"/>
  <c r="AE887" i="1"/>
  <c r="V887" i="1"/>
  <c r="W887" i="1" s="1"/>
  <c r="U887" i="1"/>
  <c r="P887" i="1"/>
  <c r="Q887" i="1" s="1"/>
  <c r="O887" i="1"/>
  <c r="L887" i="1"/>
  <c r="J887" i="1"/>
  <c r="M887" i="1" s="1"/>
  <c r="G887" i="1"/>
  <c r="AE886" i="1"/>
  <c r="V886" i="1"/>
  <c r="W886" i="1" s="1"/>
  <c r="U886" i="1"/>
  <c r="P886" i="1"/>
  <c r="Q886" i="1" s="1"/>
  <c r="O886" i="1"/>
  <c r="L886" i="1"/>
  <c r="J886" i="1"/>
  <c r="M886" i="1" s="1"/>
  <c r="G886" i="1"/>
  <c r="AE885" i="1"/>
  <c r="V885" i="1"/>
  <c r="W885" i="1" s="1"/>
  <c r="U885" i="1"/>
  <c r="P885" i="1"/>
  <c r="Q885" i="1" s="1"/>
  <c r="O885" i="1"/>
  <c r="L885" i="1"/>
  <c r="J885" i="1"/>
  <c r="M885" i="1" s="1"/>
  <c r="G885" i="1"/>
  <c r="AE884" i="1"/>
  <c r="V884" i="1"/>
  <c r="W884" i="1" s="1"/>
  <c r="U884" i="1"/>
  <c r="P884" i="1"/>
  <c r="Q884" i="1" s="1"/>
  <c r="O884" i="1"/>
  <c r="L884" i="1"/>
  <c r="J884" i="1"/>
  <c r="M884" i="1" s="1"/>
  <c r="G884" i="1"/>
  <c r="AE883" i="1"/>
  <c r="V883" i="1"/>
  <c r="W883" i="1" s="1"/>
  <c r="U883" i="1"/>
  <c r="P883" i="1"/>
  <c r="Q883" i="1" s="1"/>
  <c r="O883" i="1"/>
  <c r="L883" i="1"/>
  <c r="J883" i="1"/>
  <c r="M883" i="1" s="1"/>
  <c r="G883" i="1"/>
  <c r="AE882" i="1"/>
  <c r="Y882" i="1"/>
  <c r="V882" i="1"/>
  <c r="W882" i="1" s="1"/>
  <c r="U882" i="1"/>
  <c r="X882" i="1" s="1"/>
  <c r="S882" i="1"/>
  <c r="P882" i="1"/>
  <c r="Q882" i="1" s="1"/>
  <c r="O882" i="1"/>
  <c r="R882" i="1" s="1"/>
  <c r="L882" i="1"/>
  <c r="J882" i="1"/>
  <c r="M882" i="1" s="1"/>
  <c r="G882" i="1"/>
  <c r="AE881" i="1"/>
  <c r="Y881" i="1"/>
  <c r="V881" i="1"/>
  <c r="W881" i="1" s="1"/>
  <c r="U881" i="1"/>
  <c r="X881" i="1" s="1"/>
  <c r="S881" i="1"/>
  <c r="P881" i="1"/>
  <c r="Q881" i="1" s="1"/>
  <c r="O881" i="1"/>
  <c r="R881" i="1" s="1"/>
  <c r="L881" i="1"/>
  <c r="J881" i="1"/>
  <c r="M881" i="1" s="1"/>
  <c r="G881" i="1"/>
  <c r="AE880" i="1"/>
  <c r="V880" i="1"/>
  <c r="W880" i="1" s="1"/>
  <c r="U880" i="1"/>
  <c r="P880" i="1"/>
  <c r="Q880" i="1" s="1"/>
  <c r="O880" i="1"/>
  <c r="L880" i="1"/>
  <c r="J880" i="1"/>
  <c r="M880" i="1" s="1"/>
  <c r="G880" i="1"/>
  <c r="AE879" i="1"/>
  <c r="V879" i="1"/>
  <c r="W879" i="1" s="1"/>
  <c r="U879" i="1"/>
  <c r="S879" i="1"/>
  <c r="P879" i="1"/>
  <c r="Q879" i="1" s="1"/>
  <c r="O879" i="1"/>
  <c r="R879" i="1" s="1"/>
  <c r="L879" i="1"/>
  <c r="J879" i="1"/>
  <c r="M879" i="1" s="1"/>
  <c r="G879" i="1"/>
  <c r="AE878" i="1"/>
  <c r="V878" i="1"/>
  <c r="W878" i="1" s="1"/>
  <c r="U878" i="1"/>
  <c r="P878" i="1"/>
  <c r="Q878" i="1" s="1"/>
  <c r="O878" i="1"/>
  <c r="L878" i="1"/>
  <c r="J878" i="1"/>
  <c r="M878" i="1" s="1"/>
  <c r="G878" i="1"/>
  <c r="AE877" i="1"/>
  <c r="V877" i="1"/>
  <c r="W877" i="1" s="1"/>
  <c r="U877" i="1"/>
  <c r="P877" i="1"/>
  <c r="Q877" i="1" s="1"/>
  <c r="O877" i="1"/>
  <c r="L877" i="1"/>
  <c r="J877" i="1"/>
  <c r="M877" i="1" s="1"/>
  <c r="G877" i="1"/>
  <c r="AE876" i="1"/>
  <c r="V876" i="1"/>
  <c r="W876" i="1" s="1"/>
  <c r="U876" i="1"/>
  <c r="S876" i="1"/>
  <c r="P876" i="1"/>
  <c r="Q876" i="1" s="1"/>
  <c r="O876" i="1"/>
  <c r="R876" i="1" s="1"/>
  <c r="L876" i="1"/>
  <c r="J876" i="1"/>
  <c r="M876" i="1" s="1"/>
  <c r="G876" i="1"/>
  <c r="AE875" i="1"/>
  <c r="V875" i="1"/>
  <c r="W875" i="1" s="1"/>
  <c r="U875" i="1"/>
  <c r="P875" i="1"/>
  <c r="Q875" i="1" s="1"/>
  <c r="O875" i="1"/>
  <c r="L875" i="1"/>
  <c r="J875" i="1"/>
  <c r="M875" i="1" s="1"/>
  <c r="G875" i="1"/>
  <c r="AE874" i="1"/>
  <c r="V874" i="1"/>
  <c r="W874" i="1" s="1"/>
  <c r="U874" i="1"/>
  <c r="S874" i="1"/>
  <c r="P874" i="1"/>
  <c r="Q874" i="1" s="1"/>
  <c r="O874" i="1"/>
  <c r="R874" i="1" s="1"/>
  <c r="L874" i="1"/>
  <c r="J874" i="1"/>
  <c r="M874" i="1" s="1"/>
  <c r="G874" i="1"/>
  <c r="AE873" i="1"/>
  <c r="V873" i="1"/>
  <c r="W873" i="1" s="1"/>
  <c r="U873" i="1"/>
  <c r="P873" i="1"/>
  <c r="Q873" i="1" s="1"/>
  <c r="O873" i="1"/>
  <c r="L873" i="1"/>
  <c r="J873" i="1"/>
  <c r="M873" i="1" s="1"/>
  <c r="G873" i="1"/>
  <c r="AE872" i="1"/>
  <c r="V872" i="1"/>
  <c r="W872" i="1" s="1"/>
  <c r="U872" i="1"/>
  <c r="P872" i="1"/>
  <c r="Q872" i="1" s="1"/>
  <c r="O872" i="1"/>
  <c r="L872" i="1"/>
  <c r="J872" i="1"/>
  <c r="M872" i="1" s="1"/>
  <c r="G872" i="1"/>
  <c r="AE871" i="1"/>
  <c r="V871" i="1"/>
  <c r="W871" i="1" s="1"/>
  <c r="U871" i="1"/>
  <c r="P871" i="1"/>
  <c r="Q871" i="1" s="1"/>
  <c r="O871" i="1"/>
  <c r="L871" i="1"/>
  <c r="J871" i="1"/>
  <c r="M871" i="1" s="1"/>
  <c r="G871" i="1"/>
  <c r="AE870" i="1"/>
  <c r="Y870" i="1"/>
  <c r="V870" i="1"/>
  <c r="W870" i="1" s="1"/>
  <c r="U870" i="1"/>
  <c r="X870" i="1" s="1"/>
  <c r="S870" i="1"/>
  <c r="P870" i="1"/>
  <c r="Q870" i="1" s="1"/>
  <c r="O870" i="1"/>
  <c r="R870" i="1" s="1"/>
  <c r="L870" i="1"/>
  <c r="J870" i="1"/>
  <c r="M870" i="1" s="1"/>
  <c r="G870" i="1"/>
  <c r="AE869" i="1"/>
  <c r="V869" i="1"/>
  <c r="W869" i="1" s="1"/>
  <c r="U869" i="1"/>
  <c r="P869" i="1"/>
  <c r="Q869" i="1" s="1"/>
  <c r="O869" i="1"/>
  <c r="L869" i="1"/>
  <c r="J869" i="1"/>
  <c r="M869" i="1" s="1"/>
  <c r="G869" i="1"/>
  <c r="AE868" i="1"/>
  <c r="V868" i="1"/>
  <c r="W868" i="1" s="1"/>
  <c r="U868" i="1"/>
  <c r="P868" i="1"/>
  <c r="Q868" i="1" s="1"/>
  <c r="O868" i="1"/>
  <c r="L868" i="1"/>
  <c r="J868" i="1"/>
  <c r="M868" i="1" s="1"/>
  <c r="G868" i="1"/>
  <c r="AE867" i="1"/>
  <c r="V867" i="1"/>
  <c r="W867" i="1" s="1"/>
  <c r="U867" i="1"/>
  <c r="P867" i="1"/>
  <c r="Q867" i="1" s="1"/>
  <c r="O867" i="1"/>
  <c r="L867" i="1"/>
  <c r="J867" i="1"/>
  <c r="M867" i="1" s="1"/>
  <c r="G867" i="1"/>
  <c r="AE866" i="1"/>
  <c r="V866" i="1"/>
  <c r="W866" i="1" s="1"/>
  <c r="U866" i="1"/>
  <c r="P866" i="1"/>
  <c r="Q866" i="1" s="1"/>
  <c r="O866" i="1"/>
  <c r="L866" i="1"/>
  <c r="J866" i="1"/>
  <c r="M866" i="1" s="1"/>
  <c r="G866" i="1"/>
  <c r="AE865" i="1"/>
  <c r="V865" i="1"/>
  <c r="W865" i="1" s="1"/>
  <c r="U865" i="1"/>
  <c r="P865" i="1"/>
  <c r="Q865" i="1" s="1"/>
  <c r="O865" i="1"/>
  <c r="L865" i="1"/>
  <c r="J865" i="1"/>
  <c r="M865" i="1" s="1"/>
  <c r="G865" i="1"/>
  <c r="AE864" i="1"/>
  <c r="V864" i="1"/>
  <c r="W864" i="1" s="1"/>
  <c r="U864" i="1"/>
  <c r="P864" i="1"/>
  <c r="Q864" i="1" s="1"/>
  <c r="O864" i="1"/>
  <c r="L864" i="1"/>
  <c r="J864" i="1"/>
  <c r="M864" i="1" s="1"/>
  <c r="G864" i="1"/>
  <c r="AE863" i="1"/>
  <c r="V863" i="1"/>
  <c r="W863" i="1" s="1"/>
  <c r="U863" i="1"/>
  <c r="P863" i="1"/>
  <c r="Q863" i="1" s="1"/>
  <c r="O863" i="1"/>
  <c r="L863" i="1"/>
  <c r="J863" i="1"/>
  <c r="M863" i="1" s="1"/>
  <c r="G863" i="1"/>
  <c r="AE862" i="1"/>
  <c r="V862" i="1"/>
  <c r="W862" i="1" s="1"/>
  <c r="U862" i="1"/>
  <c r="P862" i="1"/>
  <c r="Q862" i="1" s="1"/>
  <c r="O862" i="1"/>
  <c r="L862" i="1"/>
  <c r="J862" i="1"/>
  <c r="M862" i="1" s="1"/>
  <c r="G862" i="1"/>
  <c r="AE861" i="1"/>
  <c r="V861" i="1"/>
  <c r="W861" i="1" s="1"/>
  <c r="U861" i="1"/>
  <c r="P861" i="1"/>
  <c r="Q861" i="1" s="1"/>
  <c r="O861" i="1"/>
  <c r="L861" i="1"/>
  <c r="J861" i="1"/>
  <c r="M861" i="1" s="1"/>
  <c r="G861" i="1"/>
  <c r="AE860" i="1"/>
  <c r="V860" i="1"/>
  <c r="W860" i="1" s="1"/>
  <c r="U860" i="1"/>
  <c r="P860" i="1"/>
  <c r="Q860" i="1" s="1"/>
  <c r="O860" i="1"/>
  <c r="L860" i="1"/>
  <c r="J860" i="1"/>
  <c r="M860" i="1" s="1"/>
  <c r="G860" i="1"/>
  <c r="AE859" i="1"/>
  <c r="V859" i="1"/>
  <c r="W859" i="1" s="1"/>
  <c r="U859" i="1"/>
  <c r="P859" i="1"/>
  <c r="Q859" i="1" s="1"/>
  <c r="O859" i="1"/>
  <c r="L859" i="1"/>
  <c r="J859" i="1"/>
  <c r="M859" i="1" s="1"/>
  <c r="G859" i="1"/>
  <c r="AE858" i="1"/>
  <c r="V858" i="1"/>
  <c r="W858" i="1" s="1"/>
  <c r="U858" i="1"/>
  <c r="P858" i="1"/>
  <c r="Q858" i="1" s="1"/>
  <c r="O858" i="1"/>
  <c r="L858" i="1"/>
  <c r="J858" i="1"/>
  <c r="M858" i="1" s="1"/>
  <c r="G858" i="1"/>
  <c r="AE857" i="1"/>
  <c r="V857" i="1"/>
  <c r="W857" i="1" s="1"/>
  <c r="U857" i="1"/>
  <c r="P857" i="1"/>
  <c r="Q857" i="1" s="1"/>
  <c r="O857" i="1"/>
  <c r="L857" i="1"/>
  <c r="J857" i="1"/>
  <c r="M857" i="1" s="1"/>
  <c r="G857" i="1"/>
  <c r="AE856" i="1"/>
  <c r="V856" i="1"/>
  <c r="W856" i="1" s="1"/>
  <c r="U856" i="1"/>
  <c r="P856" i="1"/>
  <c r="Q856" i="1" s="1"/>
  <c r="O856" i="1"/>
  <c r="L856" i="1"/>
  <c r="J856" i="1"/>
  <c r="M856" i="1" s="1"/>
  <c r="G856" i="1"/>
  <c r="AE855" i="1"/>
  <c r="V855" i="1"/>
  <c r="W855" i="1" s="1"/>
  <c r="U855" i="1"/>
  <c r="P855" i="1"/>
  <c r="Q855" i="1" s="1"/>
  <c r="O855" i="1"/>
  <c r="L855" i="1"/>
  <c r="J855" i="1"/>
  <c r="M855" i="1" s="1"/>
  <c r="G855" i="1"/>
  <c r="AE854" i="1"/>
  <c r="Y854" i="1"/>
  <c r="V854" i="1"/>
  <c r="W854" i="1" s="1"/>
  <c r="U854" i="1"/>
  <c r="X854" i="1" s="1"/>
  <c r="S854" i="1"/>
  <c r="P854" i="1"/>
  <c r="Q854" i="1" s="1"/>
  <c r="O854" i="1"/>
  <c r="R854" i="1" s="1"/>
  <c r="L854" i="1"/>
  <c r="J854" i="1"/>
  <c r="M854" i="1" s="1"/>
  <c r="G854" i="1"/>
  <c r="AE853" i="1"/>
  <c r="Y853" i="1"/>
  <c r="V853" i="1"/>
  <c r="W853" i="1" s="1"/>
  <c r="U853" i="1"/>
  <c r="X853" i="1" s="1"/>
  <c r="P853" i="1"/>
  <c r="Q853" i="1" s="1"/>
  <c r="O853" i="1"/>
  <c r="L853" i="1"/>
  <c r="J853" i="1"/>
  <c r="M853" i="1" s="1"/>
  <c r="G853" i="1"/>
  <c r="AE852" i="1"/>
  <c r="V852" i="1"/>
  <c r="W852" i="1" s="1"/>
  <c r="U852" i="1"/>
  <c r="P852" i="1"/>
  <c r="Q852" i="1" s="1"/>
  <c r="O852" i="1"/>
  <c r="L852" i="1"/>
  <c r="J852" i="1"/>
  <c r="M852" i="1" s="1"/>
  <c r="G852" i="1"/>
  <c r="AE851" i="1"/>
  <c r="V851" i="1"/>
  <c r="W851" i="1" s="1"/>
  <c r="U851" i="1"/>
  <c r="P851" i="1"/>
  <c r="Q851" i="1" s="1"/>
  <c r="O851" i="1"/>
  <c r="L851" i="1"/>
  <c r="J851" i="1"/>
  <c r="M851" i="1" s="1"/>
  <c r="G851" i="1"/>
  <c r="AE850" i="1"/>
  <c r="V850" i="1"/>
  <c r="W850" i="1" s="1"/>
  <c r="U850" i="1"/>
  <c r="P850" i="1"/>
  <c r="Q850" i="1" s="1"/>
  <c r="O850" i="1"/>
  <c r="L850" i="1"/>
  <c r="J850" i="1"/>
  <c r="M850" i="1" s="1"/>
  <c r="G850" i="1"/>
  <c r="AE849" i="1"/>
  <c r="V849" i="1"/>
  <c r="W849" i="1" s="1"/>
  <c r="U849" i="1"/>
  <c r="S849" i="1"/>
  <c r="P849" i="1"/>
  <c r="Q849" i="1" s="1"/>
  <c r="O849" i="1"/>
  <c r="R849" i="1" s="1"/>
  <c r="L849" i="1"/>
  <c r="J849" i="1"/>
  <c r="M849" i="1" s="1"/>
  <c r="G849" i="1"/>
  <c r="AE848" i="1"/>
  <c r="V848" i="1"/>
  <c r="W848" i="1" s="1"/>
  <c r="U848" i="1"/>
  <c r="P848" i="1"/>
  <c r="Q848" i="1" s="1"/>
  <c r="O848" i="1"/>
  <c r="L848" i="1"/>
  <c r="J848" i="1"/>
  <c r="M848" i="1" s="1"/>
  <c r="G848" i="1"/>
  <c r="AE847" i="1"/>
  <c r="V847" i="1"/>
  <c r="W847" i="1" s="1"/>
  <c r="U847" i="1"/>
  <c r="P847" i="1"/>
  <c r="Q847" i="1" s="1"/>
  <c r="O847" i="1"/>
  <c r="L847" i="1"/>
  <c r="J847" i="1"/>
  <c r="M847" i="1" s="1"/>
  <c r="G847" i="1"/>
  <c r="AE846" i="1"/>
  <c r="V846" i="1"/>
  <c r="W846" i="1" s="1"/>
  <c r="U846" i="1"/>
  <c r="P846" i="1"/>
  <c r="Q846" i="1" s="1"/>
  <c r="O846" i="1"/>
  <c r="L846" i="1"/>
  <c r="J846" i="1"/>
  <c r="M846" i="1" s="1"/>
  <c r="G846" i="1"/>
  <c r="AE845" i="1"/>
  <c r="V845" i="1"/>
  <c r="W845" i="1" s="1"/>
  <c r="U845" i="1"/>
  <c r="P845" i="1"/>
  <c r="Q845" i="1" s="1"/>
  <c r="O845" i="1"/>
  <c r="L845" i="1"/>
  <c r="J845" i="1"/>
  <c r="M845" i="1" s="1"/>
  <c r="G845" i="1"/>
  <c r="AE844" i="1"/>
  <c r="Y844" i="1"/>
  <c r="V844" i="1"/>
  <c r="W844" i="1" s="1"/>
  <c r="U844" i="1"/>
  <c r="X844" i="1" s="1"/>
  <c r="P844" i="1"/>
  <c r="Q844" i="1" s="1"/>
  <c r="O844" i="1"/>
  <c r="L844" i="1"/>
  <c r="J844" i="1"/>
  <c r="M844" i="1" s="1"/>
  <c r="G844" i="1"/>
  <c r="AE843" i="1"/>
  <c r="V843" i="1"/>
  <c r="W843" i="1" s="1"/>
  <c r="U843" i="1"/>
  <c r="P843" i="1"/>
  <c r="Q843" i="1" s="1"/>
  <c r="O843" i="1"/>
  <c r="L843" i="1"/>
  <c r="J843" i="1"/>
  <c r="M843" i="1" s="1"/>
  <c r="G843" i="1"/>
  <c r="AE842" i="1"/>
  <c r="V842" i="1"/>
  <c r="W842" i="1" s="1"/>
  <c r="U842" i="1"/>
  <c r="P842" i="1"/>
  <c r="Q842" i="1" s="1"/>
  <c r="O842" i="1"/>
  <c r="L842" i="1"/>
  <c r="J842" i="1"/>
  <c r="M842" i="1" s="1"/>
  <c r="G842" i="1"/>
  <c r="AE841" i="1"/>
  <c r="V841" i="1"/>
  <c r="W841" i="1" s="1"/>
  <c r="U841" i="1"/>
  <c r="P841" i="1"/>
  <c r="Q841" i="1" s="1"/>
  <c r="O841" i="1"/>
  <c r="L841" i="1"/>
  <c r="J841" i="1"/>
  <c r="M841" i="1" s="1"/>
  <c r="G841" i="1"/>
  <c r="AE840" i="1"/>
  <c r="Y840" i="1"/>
  <c r="V840" i="1"/>
  <c r="W840" i="1" s="1"/>
  <c r="U840" i="1"/>
  <c r="X840" i="1" s="1"/>
  <c r="P840" i="1"/>
  <c r="Q840" i="1" s="1"/>
  <c r="O840" i="1"/>
  <c r="L840" i="1"/>
  <c r="J840" i="1"/>
  <c r="M840" i="1" s="1"/>
  <c r="G840" i="1"/>
  <c r="AE839" i="1"/>
  <c r="V839" i="1"/>
  <c r="W839" i="1" s="1"/>
  <c r="U839" i="1"/>
  <c r="P839" i="1"/>
  <c r="Q839" i="1" s="1"/>
  <c r="O839" i="1"/>
  <c r="L839" i="1"/>
  <c r="J839" i="1"/>
  <c r="M839" i="1" s="1"/>
  <c r="G839" i="1"/>
  <c r="AE838" i="1"/>
  <c r="Y838" i="1"/>
  <c r="V838" i="1"/>
  <c r="W838" i="1" s="1"/>
  <c r="U838" i="1"/>
  <c r="X838" i="1" s="1"/>
  <c r="P838" i="1"/>
  <c r="Q838" i="1" s="1"/>
  <c r="O838" i="1"/>
  <c r="L838" i="1"/>
  <c r="J838" i="1"/>
  <c r="M838" i="1" s="1"/>
  <c r="G838" i="1"/>
  <c r="AE837" i="1"/>
  <c r="Y837" i="1"/>
  <c r="V837" i="1"/>
  <c r="W837" i="1" s="1"/>
  <c r="U837" i="1"/>
  <c r="X837" i="1" s="1"/>
  <c r="S837" i="1"/>
  <c r="P837" i="1"/>
  <c r="Q837" i="1" s="1"/>
  <c r="O837" i="1"/>
  <c r="R837" i="1" s="1"/>
  <c r="L837" i="1"/>
  <c r="J837" i="1"/>
  <c r="M837" i="1" s="1"/>
  <c r="G837" i="1"/>
  <c r="AE836" i="1"/>
  <c r="V836" i="1"/>
  <c r="W836" i="1" s="1"/>
  <c r="U836" i="1"/>
  <c r="P836" i="1"/>
  <c r="Q836" i="1" s="1"/>
  <c r="O836" i="1"/>
  <c r="L836" i="1"/>
  <c r="J836" i="1"/>
  <c r="M836" i="1" s="1"/>
  <c r="G836" i="1"/>
  <c r="AE835" i="1"/>
  <c r="V835" i="1"/>
  <c r="W835" i="1" s="1"/>
  <c r="U835" i="1"/>
  <c r="P835" i="1"/>
  <c r="Q835" i="1" s="1"/>
  <c r="O835" i="1"/>
  <c r="L835" i="1"/>
  <c r="J835" i="1"/>
  <c r="M835" i="1" s="1"/>
  <c r="G835" i="1"/>
  <c r="AE834" i="1"/>
  <c r="V834" i="1"/>
  <c r="W834" i="1" s="1"/>
  <c r="U834" i="1"/>
  <c r="P834" i="1"/>
  <c r="Q834" i="1" s="1"/>
  <c r="O834" i="1"/>
  <c r="L834" i="1"/>
  <c r="J834" i="1"/>
  <c r="M834" i="1" s="1"/>
  <c r="G834" i="1"/>
  <c r="AE833" i="1"/>
  <c r="V833" i="1"/>
  <c r="W833" i="1" s="1"/>
  <c r="U833" i="1"/>
  <c r="P833" i="1"/>
  <c r="Q833" i="1" s="1"/>
  <c r="O833" i="1"/>
  <c r="L833" i="1"/>
  <c r="J833" i="1"/>
  <c r="M833" i="1" s="1"/>
  <c r="G833" i="1"/>
  <c r="AE832" i="1"/>
  <c r="V832" i="1"/>
  <c r="W832" i="1" s="1"/>
  <c r="U832" i="1"/>
  <c r="P832" i="1"/>
  <c r="Q832" i="1" s="1"/>
  <c r="O832" i="1"/>
  <c r="L832" i="1"/>
  <c r="J832" i="1"/>
  <c r="M832" i="1" s="1"/>
  <c r="G832" i="1"/>
  <c r="AE831" i="1"/>
  <c r="V831" i="1"/>
  <c r="W831" i="1" s="1"/>
  <c r="U831" i="1"/>
  <c r="P831" i="1"/>
  <c r="Q831" i="1" s="1"/>
  <c r="O831" i="1"/>
  <c r="L831" i="1"/>
  <c r="J831" i="1"/>
  <c r="M831" i="1" s="1"/>
  <c r="G831" i="1"/>
  <c r="AE830" i="1"/>
  <c r="V830" i="1"/>
  <c r="W830" i="1" s="1"/>
  <c r="U830" i="1"/>
  <c r="P830" i="1"/>
  <c r="Q830" i="1" s="1"/>
  <c r="O830" i="1"/>
  <c r="L830" i="1"/>
  <c r="J830" i="1"/>
  <c r="M830" i="1" s="1"/>
  <c r="G830" i="1"/>
  <c r="AE829" i="1"/>
  <c r="V829" i="1"/>
  <c r="W829" i="1" s="1"/>
  <c r="U829" i="1"/>
  <c r="P829" i="1"/>
  <c r="Q829" i="1" s="1"/>
  <c r="O829" i="1"/>
  <c r="L829" i="1"/>
  <c r="J829" i="1"/>
  <c r="M829" i="1" s="1"/>
  <c r="G829" i="1"/>
  <c r="AE828" i="1"/>
  <c r="V828" i="1"/>
  <c r="W828" i="1" s="1"/>
  <c r="U828" i="1"/>
  <c r="P828" i="1"/>
  <c r="Q828" i="1" s="1"/>
  <c r="O828" i="1"/>
  <c r="L828" i="1"/>
  <c r="J828" i="1"/>
  <c r="M828" i="1" s="1"/>
  <c r="G828" i="1"/>
  <c r="AE827" i="1"/>
  <c r="V827" i="1"/>
  <c r="W827" i="1" s="1"/>
  <c r="U827" i="1"/>
  <c r="P827" i="1"/>
  <c r="Q827" i="1" s="1"/>
  <c r="O827" i="1"/>
  <c r="L827" i="1"/>
  <c r="J827" i="1"/>
  <c r="M827" i="1" s="1"/>
  <c r="G827" i="1"/>
  <c r="AE826" i="1"/>
  <c r="V826" i="1"/>
  <c r="W826" i="1" s="1"/>
  <c r="U826" i="1"/>
  <c r="P826" i="1"/>
  <c r="Q826" i="1" s="1"/>
  <c r="O826" i="1"/>
  <c r="L826" i="1"/>
  <c r="J826" i="1"/>
  <c r="M826" i="1" s="1"/>
  <c r="G826" i="1"/>
  <c r="AE825" i="1"/>
  <c r="V825" i="1"/>
  <c r="W825" i="1" s="1"/>
  <c r="U825" i="1"/>
  <c r="S825" i="1"/>
  <c r="P825" i="1"/>
  <c r="Q825" i="1" s="1"/>
  <c r="O825" i="1"/>
  <c r="R825" i="1" s="1"/>
  <c r="L825" i="1"/>
  <c r="J825" i="1"/>
  <c r="M825" i="1" s="1"/>
  <c r="G825" i="1"/>
  <c r="AE824" i="1"/>
  <c r="V824" i="1"/>
  <c r="W824" i="1" s="1"/>
  <c r="U824" i="1"/>
  <c r="S824" i="1"/>
  <c r="P824" i="1"/>
  <c r="Q824" i="1" s="1"/>
  <c r="O824" i="1"/>
  <c r="R824" i="1" s="1"/>
  <c r="L824" i="1"/>
  <c r="J824" i="1"/>
  <c r="M824" i="1" s="1"/>
  <c r="G824" i="1"/>
  <c r="AE823" i="1"/>
  <c r="V823" i="1"/>
  <c r="W823" i="1" s="1"/>
  <c r="U823" i="1"/>
  <c r="P823" i="1"/>
  <c r="Q823" i="1" s="1"/>
  <c r="O823" i="1"/>
  <c r="L823" i="1"/>
  <c r="J823" i="1"/>
  <c r="M823" i="1" s="1"/>
  <c r="G823" i="1"/>
  <c r="AE822" i="1"/>
  <c r="V822" i="1"/>
  <c r="W822" i="1" s="1"/>
  <c r="U822" i="1"/>
  <c r="P822" i="1"/>
  <c r="Q822" i="1" s="1"/>
  <c r="O822" i="1"/>
  <c r="L822" i="1"/>
  <c r="J822" i="1"/>
  <c r="M822" i="1" s="1"/>
  <c r="G822" i="1"/>
  <c r="AE821" i="1"/>
  <c r="V821" i="1"/>
  <c r="W821" i="1" s="1"/>
  <c r="U821" i="1"/>
  <c r="P821" i="1"/>
  <c r="Q821" i="1" s="1"/>
  <c r="O821" i="1"/>
  <c r="L821" i="1"/>
  <c r="J821" i="1"/>
  <c r="M821" i="1" s="1"/>
  <c r="G821" i="1"/>
  <c r="AE820" i="1"/>
  <c r="Y820" i="1"/>
  <c r="V820" i="1"/>
  <c r="W820" i="1" s="1"/>
  <c r="U820" i="1"/>
  <c r="X820" i="1" s="1"/>
  <c r="P820" i="1"/>
  <c r="Q820" i="1" s="1"/>
  <c r="O820" i="1"/>
  <c r="L820" i="1"/>
  <c r="J820" i="1"/>
  <c r="M820" i="1" s="1"/>
  <c r="G820" i="1"/>
  <c r="AE819" i="1"/>
  <c r="V819" i="1"/>
  <c r="W819" i="1" s="1"/>
  <c r="U819" i="1"/>
  <c r="P819" i="1"/>
  <c r="Q819" i="1" s="1"/>
  <c r="O819" i="1"/>
  <c r="L819" i="1"/>
  <c r="J819" i="1"/>
  <c r="M819" i="1" s="1"/>
  <c r="G819" i="1"/>
  <c r="AE818" i="1"/>
  <c r="V818" i="1"/>
  <c r="W818" i="1" s="1"/>
  <c r="U818" i="1"/>
  <c r="P818" i="1"/>
  <c r="Q818" i="1" s="1"/>
  <c r="O818" i="1"/>
  <c r="L818" i="1"/>
  <c r="J818" i="1"/>
  <c r="M818" i="1" s="1"/>
  <c r="G818" i="1"/>
  <c r="AE817" i="1"/>
  <c r="V817" i="1"/>
  <c r="W817" i="1" s="1"/>
  <c r="U817" i="1"/>
  <c r="P817" i="1"/>
  <c r="Q817" i="1" s="1"/>
  <c r="O817" i="1"/>
  <c r="L817" i="1"/>
  <c r="J817" i="1"/>
  <c r="M817" i="1" s="1"/>
  <c r="G817" i="1"/>
  <c r="AE816" i="1"/>
  <c r="V816" i="1"/>
  <c r="W816" i="1" s="1"/>
  <c r="U816" i="1"/>
  <c r="P816" i="1"/>
  <c r="Q816" i="1" s="1"/>
  <c r="O816" i="1"/>
  <c r="L816" i="1"/>
  <c r="J816" i="1"/>
  <c r="M816" i="1" s="1"/>
  <c r="G816" i="1"/>
  <c r="AE815" i="1"/>
  <c r="V815" i="1"/>
  <c r="W815" i="1" s="1"/>
  <c r="U815" i="1"/>
  <c r="P815" i="1"/>
  <c r="Q815" i="1" s="1"/>
  <c r="O815" i="1"/>
  <c r="L815" i="1"/>
  <c r="J815" i="1"/>
  <c r="M815" i="1" s="1"/>
  <c r="G815" i="1"/>
  <c r="AE814" i="1"/>
  <c r="V814" i="1"/>
  <c r="W814" i="1" s="1"/>
  <c r="U814" i="1"/>
  <c r="P814" i="1"/>
  <c r="Q814" i="1" s="1"/>
  <c r="O814" i="1"/>
  <c r="L814" i="1"/>
  <c r="J814" i="1"/>
  <c r="M814" i="1" s="1"/>
  <c r="G814" i="1"/>
  <c r="AE813" i="1"/>
  <c r="V813" i="1"/>
  <c r="W813" i="1" s="1"/>
  <c r="U813" i="1"/>
  <c r="P813" i="1"/>
  <c r="Q813" i="1" s="1"/>
  <c r="O813" i="1"/>
  <c r="L813" i="1"/>
  <c r="J813" i="1"/>
  <c r="M813" i="1" s="1"/>
  <c r="G813" i="1"/>
  <c r="AE812" i="1"/>
  <c r="V812" i="1"/>
  <c r="W812" i="1" s="1"/>
  <c r="U812" i="1"/>
  <c r="S812" i="1"/>
  <c r="P812" i="1"/>
  <c r="Q812" i="1" s="1"/>
  <c r="O812" i="1"/>
  <c r="R812" i="1" s="1"/>
  <c r="L812" i="1"/>
  <c r="J812" i="1"/>
  <c r="M812" i="1" s="1"/>
  <c r="G812" i="1"/>
  <c r="AE811" i="1"/>
  <c r="Y811" i="1"/>
  <c r="V811" i="1"/>
  <c r="W811" i="1" s="1"/>
  <c r="U811" i="1"/>
  <c r="X811" i="1" s="1"/>
  <c r="P811" i="1"/>
  <c r="Q811" i="1" s="1"/>
  <c r="O811" i="1"/>
  <c r="L811" i="1"/>
  <c r="J811" i="1"/>
  <c r="M811" i="1" s="1"/>
  <c r="G811" i="1"/>
  <c r="AE810" i="1"/>
  <c r="V810" i="1"/>
  <c r="W810" i="1" s="1"/>
  <c r="U810" i="1"/>
  <c r="S810" i="1"/>
  <c r="P810" i="1"/>
  <c r="Q810" i="1" s="1"/>
  <c r="O810" i="1"/>
  <c r="R810" i="1" s="1"/>
  <c r="L810" i="1"/>
  <c r="J810" i="1"/>
  <c r="M810" i="1" s="1"/>
  <c r="G810" i="1"/>
  <c r="AE809" i="1"/>
  <c r="V809" i="1"/>
  <c r="W809" i="1" s="1"/>
  <c r="U809" i="1"/>
  <c r="S809" i="1"/>
  <c r="P809" i="1"/>
  <c r="Q809" i="1" s="1"/>
  <c r="O809" i="1"/>
  <c r="R809" i="1" s="1"/>
  <c r="L809" i="1"/>
  <c r="J809" i="1"/>
  <c r="M809" i="1" s="1"/>
  <c r="G809" i="1"/>
  <c r="AE808" i="1"/>
  <c r="Y808" i="1"/>
  <c r="V808" i="1"/>
  <c r="W808" i="1" s="1"/>
  <c r="U808" i="1"/>
  <c r="X808" i="1" s="1"/>
  <c r="S808" i="1"/>
  <c r="P808" i="1"/>
  <c r="Q808" i="1" s="1"/>
  <c r="O808" i="1"/>
  <c r="R808" i="1" s="1"/>
  <c r="L808" i="1"/>
  <c r="J808" i="1"/>
  <c r="M808" i="1" s="1"/>
  <c r="G808" i="1"/>
  <c r="AE807" i="1"/>
  <c r="V807" i="1"/>
  <c r="W807" i="1" s="1"/>
  <c r="U807" i="1"/>
  <c r="S807" i="1"/>
  <c r="P807" i="1"/>
  <c r="Q807" i="1" s="1"/>
  <c r="O807" i="1"/>
  <c r="R807" i="1" s="1"/>
  <c r="L807" i="1"/>
  <c r="J807" i="1"/>
  <c r="M807" i="1" s="1"/>
  <c r="G807" i="1"/>
  <c r="AE806" i="1"/>
  <c r="V806" i="1"/>
  <c r="W806" i="1" s="1"/>
  <c r="U806" i="1"/>
  <c r="P806" i="1"/>
  <c r="Q806" i="1" s="1"/>
  <c r="O806" i="1"/>
  <c r="L806" i="1"/>
  <c r="J806" i="1"/>
  <c r="M806" i="1" s="1"/>
  <c r="G806" i="1"/>
  <c r="AE805" i="1"/>
  <c r="V805" i="1"/>
  <c r="W805" i="1" s="1"/>
  <c r="U805" i="1"/>
  <c r="P805" i="1"/>
  <c r="Q805" i="1" s="1"/>
  <c r="O805" i="1"/>
  <c r="L805" i="1"/>
  <c r="J805" i="1"/>
  <c r="M805" i="1" s="1"/>
  <c r="G805" i="1"/>
  <c r="AE804" i="1"/>
  <c r="V804" i="1"/>
  <c r="W804" i="1" s="1"/>
  <c r="U804" i="1"/>
  <c r="P804" i="1"/>
  <c r="Q804" i="1" s="1"/>
  <c r="O804" i="1"/>
  <c r="L804" i="1"/>
  <c r="J804" i="1"/>
  <c r="M804" i="1" s="1"/>
  <c r="G804" i="1"/>
  <c r="AE803" i="1"/>
  <c r="Y803" i="1"/>
  <c r="V803" i="1"/>
  <c r="W803" i="1" s="1"/>
  <c r="U803" i="1"/>
  <c r="X803" i="1" s="1"/>
  <c r="P803" i="1"/>
  <c r="Q803" i="1" s="1"/>
  <c r="O803" i="1"/>
  <c r="L803" i="1"/>
  <c r="J803" i="1"/>
  <c r="M803" i="1" s="1"/>
  <c r="G803" i="1"/>
  <c r="AE802" i="1"/>
  <c r="V802" i="1"/>
  <c r="W802" i="1" s="1"/>
  <c r="U802" i="1"/>
  <c r="P802" i="1"/>
  <c r="Q802" i="1" s="1"/>
  <c r="O802" i="1"/>
  <c r="L802" i="1"/>
  <c r="J802" i="1"/>
  <c r="M802" i="1" s="1"/>
  <c r="G802" i="1"/>
  <c r="AE801" i="1"/>
  <c r="V801" i="1"/>
  <c r="W801" i="1" s="1"/>
  <c r="U801" i="1"/>
  <c r="S801" i="1"/>
  <c r="P801" i="1"/>
  <c r="Q801" i="1" s="1"/>
  <c r="O801" i="1"/>
  <c r="R801" i="1" s="1"/>
  <c r="L801" i="1"/>
  <c r="J801" i="1"/>
  <c r="M801" i="1" s="1"/>
  <c r="G801" i="1"/>
  <c r="AE800" i="1"/>
  <c r="V800" i="1"/>
  <c r="W800" i="1" s="1"/>
  <c r="U800" i="1"/>
  <c r="S800" i="1"/>
  <c r="P800" i="1"/>
  <c r="Q800" i="1" s="1"/>
  <c r="O800" i="1"/>
  <c r="R800" i="1" s="1"/>
  <c r="L800" i="1"/>
  <c r="J800" i="1"/>
  <c r="M800" i="1" s="1"/>
  <c r="G800" i="1"/>
  <c r="AE799" i="1"/>
  <c r="V799" i="1"/>
  <c r="W799" i="1" s="1"/>
  <c r="U799" i="1"/>
  <c r="P799" i="1"/>
  <c r="Q799" i="1" s="1"/>
  <c r="O799" i="1"/>
  <c r="L799" i="1"/>
  <c r="J799" i="1"/>
  <c r="M799" i="1" s="1"/>
  <c r="G799" i="1"/>
  <c r="AE798" i="1"/>
  <c r="V798" i="1"/>
  <c r="W798" i="1" s="1"/>
  <c r="U798" i="1"/>
  <c r="P798" i="1"/>
  <c r="Q798" i="1" s="1"/>
  <c r="O798" i="1"/>
  <c r="L798" i="1"/>
  <c r="J798" i="1"/>
  <c r="M798" i="1" s="1"/>
  <c r="G798" i="1"/>
  <c r="AE797" i="1"/>
  <c r="V797" i="1"/>
  <c r="W797" i="1" s="1"/>
  <c r="U797" i="1"/>
  <c r="P797" i="1"/>
  <c r="Q797" i="1" s="1"/>
  <c r="O797" i="1"/>
  <c r="L797" i="1"/>
  <c r="J797" i="1"/>
  <c r="M797" i="1" s="1"/>
  <c r="G797" i="1"/>
  <c r="AE796" i="1"/>
  <c r="V796" i="1"/>
  <c r="W796" i="1" s="1"/>
  <c r="U796" i="1"/>
  <c r="P796" i="1"/>
  <c r="Q796" i="1" s="1"/>
  <c r="O796" i="1"/>
  <c r="L796" i="1"/>
  <c r="J796" i="1"/>
  <c r="M796" i="1" s="1"/>
  <c r="G796" i="1"/>
  <c r="AE795" i="1"/>
  <c r="V795" i="1"/>
  <c r="W795" i="1" s="1"/>
  <c r="U795" i="1"/>
  <c r="P795" i="1"/>
  <c r="Q795" i="1" s="1"/>
  <c r="O795" i="1"/>
  <c r="L795" i="1"/>
  <c r="J795" i="1"/>
  <c r="M795" i="1" s="1"/>
  <c r="G795" i="1"/>
  <c r="AE794" i="1"/>
  <c r="V794" i="1"/>
  <c r="W794" i="1" s="1"/>
  <c r="U794" i="1"/>
  <c r="P794" i="1"/>
  <c r="Q794" i="1" s="1"/>
  <c r="O794" i="1"/>
  <c r="L794" i="1"/>
  <c r="J794" i="1"/>
  <c r="M794" i="1" s="1"/>
  <c r="G794" i="1"/>
  <c r="AE793" i="1"/>
  <c r="V793" i="1"/>
  <c r="W793" i="1" s="1"/>
  <c r="U793" i="1"/>
  <c r="S793" i="1"/>
  <c r="P793" i="1"/>
  <c r="Q793" i="1" s="1"/>
  <c r="O793" i="1"/>
  <c r="R793" i="1" s="1"/>
  <c r="L793" i="1"/>
  <c r="J793" i="1"/>
  <c r="M793" i="1" s="1"/>
  <c r="G793" i="1"/>
  <c r="AE792" i="1"/>
  <c r="V792" i="1"/>
  <c r="W792" i="1" s="1"/>
  <c r="U792" i="1"/>
  <c r="P792" i="1"/>
  <c r="Q792" i="1" s="1"/>
  <c r="O792" i="1"/>
  <c r="L792" i="1"/>
  <c r="J792" i="1"/>
  <c r="M792" i="1" s="1"/>
  <c r="G792" i="1"/>
  <c r="AE791" i="1"/>
  <c r="V791" i="1"/>
  <c r="W791" i="1" s="1"/>
  <c r="U791" i="1"/>
  <c r="P791" i="1"/>
  <c r="Q791" i="1" s="1"/>
  <c r="O791" i="1"/>
  <c r="L791" i="1"/>
  <c r="J791" i="1"/>
  <c r="M791" i="1" s="1"/>
  <c r="G791" i="1"/>
  <c r="AE790" i="1"/>
  <c r="V790" i="1"/>
  <c r="W790" i="1" s="1"/>
  <c r="U790" i="1"/>
  <c r="P790" i="1"/>
  <c r="Q790" i="1" s="1"/>
  <c r="O790" i="1"/>
  <c r="L790" i="1"/>
  <c r="J790" i="1"/>
  <c r="M790" i="1" s="1"/>
  <c r="G790" i="1"/>
  <c r="AE789" i="1"/>
  <c r="Y789" i="1"/>
  <c r="V789" i="1"/>
  <c r="W789" i="1" s="1"/>
  <c r="U789" i="1"/>
  <c r="X789" i="1" s="1"/>
  <c r="P789" i="1"/>
  <c r="Q789" i="1" s="1"/>
  <c r="O789" i="1"/>
  <c r="L789" i="1"/>
  <c r="J789" i="1"/>
  <c r="M789" i="1" s="1"/>
  <c r="G789" i="1"/>
  <c r="AE788" i="1"/>
  <c r="Y788" i="1"/>
  <c r="V788" i="1"/>
  <c r="W788" i="1" s="1"/>
  <c r="U788" i="1"/>
  <c r="X788" i="1" s="1"/>
  <c r="P788" i="1"/>
  <c r="Q788" i="1" s="1"/>
  <c r="O788" i="1"/>
  <c r="L788" i="1"/>
  <c r="J788" i="1"/>
  <c r="M788" i="1" s="1"/>
  <c r="G788" i="1"/>
  <c r="AE787" i="1"/>
  <c r="V787" i="1"/>
  <c r="W787" i="1" s="1"/>
  <c r="U787" i="1"/>
  <c r="P787" i="1"/>
  <c r="Q787" i="1" s="1"/>
  <c r="O787" i="1"/>
  <c r="L787" i="1"/>
  <c r="J787" i="1"/>
  <c r="M787" i="1" s="1"/>
  <c r="G787" i="1"/>
  <c r="AE786" i="1"/>
  <c r="V786" i="1"/>
  <c r="W786" i="1" s="1"/>
  <c r="U786" i="1"/>
  <c r="P786" i="1"/>
  <c r="Q786" i="1" s="1"/>
  <c r="O786" i="1"/>
  <c r="L786" i="1"/>
  <c r="J786" i="1"/>
  <c r="M786" i="1" s="1"/>
  <c r="G786" i="1"/>
  <c r="AE785" i="1"/>
  <c r="V785" i="1"/>
  <c r="W785" i="1" s="1"/>
  <c r="U785" i="1"/>
  <c r="P785" i="1"/>
  <c r="Q785" i="1" s="1"/>
  <c r="O785" i="1"/>
  <c r="L785" i="1"/>
  <c r="J785" i="1"/>
  <c r="M785" i="1" s="1"/>
  <c r="G785" i="1"/>
  <c r="AE784" i="1"/>
  <c r="V784" i="1"/>
  <c r="W784" i="1" s="1"/>
  <c r="U784" i="1"/>
  <c r="P784" i="1"/>
  <c r="Q784" i="1" s="1"/>
  <c r="O784" i="1"/>
  <c r="L784" i="1"/>
  <c r="J784" i="1"/>
  <c r="M784" i="1" s="1"/>
  <c r="G784" i="1"/>
  <c r="AE783" i="1"/>
  <c r="V783" i="1"/>
  <c r="W783" i="1" s="1"/>
  <c r="U783" i="1"/>
  <c r="P783" i="1"/>
  <c r="Q783" i="1" s="1"/>
  <c r="O783" i="1"/>
  <c r="L783" i="1"/>
  <c r="J783" i="1"/>
  <c r="M783" i="1" s="1"/>
  <c r="G783" i="1"/>
  <c r="AE782" i="1"/>
  <c r="V782" i="1"/>
  <c r="W782" i="1" s="1"/>
  <c r="U782" i="1"/>
  <c r="P782" i="1"/>
  <c r="Q782" i="1" s="1"/>
  <c r="O782" i="1"/>
  <c r="L782" i="1"/>
  <c r="J782" i="1"/>
  <c r="M782" i="1" s="1"/>
  <c r="G782" i="1"/>
  <c r="AE781" i="1"/>
  <c r="V781" i="1"/>
  <c r="W781" i="1" s="1"/>
  <c r="U781" i="1"/>
  <c r="P781" i="1"/>
  <c r="Q781" i="1" s="1"/>
  <c r="O781" i="1"/>
  <c r="L781" i="1"/>
  <c r="J781" i="1"/>
  <c r="M781" i="1" s="1"/>
  <c r="G781" i="1"/>
  <c r="AE780" i="1"/>
  <c r="V780" i="1"/>
  <c r="W780" i="1" s="1"/>
  <c r="U780" i="1"/>
  <c r="P780" i="1"/>
  <c r="Q780" i="1" s="1"/>
  <c r="O780" i="1"/>
  <c r="L780" i="1"/>
  <c r="J780" i="1"/>
  <c r="M780" i="1" s="1"/>
  <c r="G780" i="1"/>
  <c r="AE779" i="1"/>
  <c r="V779" i="1"/>
  <c r="W779" i="1" s="1"/>
  <c r="U779" i="1"/>
  <c r="S779" i="1"/>
  <c r="P779" i="1"/>
  <c r="Q779" i="1" s="1"/>
  <c r="O779" i="1"/>
  <c r="R779" i="1" s="1"/>
  <c r="L779" i="1"/>
  <c r="J779" i="1"/>
  <c r="M779" i="1" s="1"/>
  <c r="G779" i="1"/>
  <c r="AE778" i="1"/>
  <c r="V778" i="1"/>
  <c r="W778" i="1" s="1"/>
  <c r="U778" i="1"/>
  <c r="P778" i="1"/>
  <c r="Q778" i="1" s="1"/>
  <c r="O778" i="1"/>
  <c r="L778" i="1"/>
  <c r="J778" i="1"/>
  <c r="M778" i="1" s="1"/>
  <c r="G778" i="1"/>
  <c r="AE777" i="1"/>
  <c r="V777" i="1"/>
  <c r="W777" i="1" s="1"/>
  <c r="U777" i="1"/>
  <c r="P777" i="1"/>
  <c r="Q777" i="1" s="1"/>
  <c r="O777" i="1"/>
  <c r="L777" i="1"/>
  <c r="J777" i="1"/>
  <c r="M777" i="1" s="1"/>
  <c r="G777" i="1"/>
  <c r="AE776" i="1"/>
  <c r="V776" i="1"/>
  <c r="W776" i="1" s="1"/>
  <c r="U776" i="1"/>
  <c r="P776" i="1"/>
  <c r="Q776" i="1" s="1"/>
  <c r="O776" i="1"/>
  <c r="L776" i="1"/>
  <c r="J776" i="1"/>
  <c r="M776" i="1" s="1"/>
  <c r="G776" i="1"/>
  <c r="AE775" i="1"/>
  <c r="V775" i="1"/>
  <c r="W775" i="1" s="1"/>
  <c r="U775" i="1"/>
  <c r="P775" i="1"/>
  <c r="Q775" i="1" s="1"/>
  <c r="O775" i="1"/>
  <c r="L775" i="1"/>
  <c r="J775" i="1"/>
  <c r="M775" i="1" s="1"/>
  <c r="G775" i="1"/>
  <c r="AE774" i="1"/>
  <c r="V774" i="1"/>
  <c r="W774" i="1" s="1"/>
  <c r="U774" i="1"/>
  <c r="P774" i="1"/>
  <c r="Q774" i="1" s="1"/>
  <c r="O774" i="1"/>
  <c r="L774" i="1"/>
  <c r="J774" i="1"/>
  <c r="M774" i="1" s="1"/>
  <c r="G774" i="1"/>
  <c r="AE773" i="1"/>
  <c r="V773" i="1"/>
  <c r="W773" i="1" s="1"/>
  <c r="U773" i="1"/>
  <c r="P773" i="1"/>
  <c r="Q773" i="1" s="1"/>
  <c r="O773" i="1"/>
  <c r="L773" i="1"/>
  <c r="J773" i="1"/>
  <c r="M773" i="1" s="1"/>
  <c r="G773" i="1"/>
  <c r="AE772" i="1"/>
  <c r="V772" i="1"/>
  <c r="W772" i="1" s="1"/>
  <c r="U772" i="1"/>
  <c r="P772" i="1"/>
  <c r="Q772" i="1" s="1"/>
  <c r="O772" i="1"/>
  <c r="L772" i="1"/>
  <c r="J772" i="1"/>
  <c r="M772" i="1" s="1"/>
  <c r="G772" i="1"/>
  <c r="AE771" i="1"/>
  <c r="V771" i="1"/>
  <c r="W771" i="1" s="1"/>
  <c r="U771" i="1"/>
  <c r="P771" i="1"/>
  <c r="Q771" i="1" s="1"/>
  <c r="O771" i="1"/>
  <c r="L771" i="1"/>
  <c r="J771" i="1"/>
  <c r="M771" i="1" s="1"/>
  <c r="G771" i="1"/>
  <c r="AE770" i="1"/>
  <c r="V770" i="1"/>
  <c r="W770" i="1" s="1"/>
  <c r="U770" i="1"/>
  <c r="P770" i="1"/>
  <c r="Q770" i="1" s="1"/>
  <c r="O770" i="1"/>
  <c r="L770" i="1"/>
  <c r="J770" i="1"/>
  <c r="M770" i="1" s="1"/>
  <c r="G770" i="1"/>
  <c r="AE769" i="1"/>
  <c r="V769" i="1"/>
  <c r="W769" i="1" s="1"/>
  <c r="U769" i="1"/>
  <c r="P769" i="1"/>
  <c r="Q769" i="1" s="1"/>
  <c r="O769" i="1"/>
  <c r="L769" i="1"/>
  <c r="J769" i="1"/>
  <c r="M769" i="1" s="1"/>
  <c r="G769" i="1"/>
  <c r="AE768" i="1"/>
  <c r="Y768" i="1"/>
  <c r="V768" i="1"/>
  <c r="W768" i="1" s="1"/>
  <c r="U768" i="1"/>
  <c r="X768" i="1" s="1"/>
  <c r="P768" i="1"/>
  <c r="Q768" i="1" s="1"/>
  <c r="O768" i="1"/>
  <c r="M768" i="1"/>
  <c r="L768" i="1"/>
  <c r="J768" i="1"/>
  <c r="G768" i="1"/>
  <c r="AE767" i="1"/>
  <c r="V767" i="1"/>
  <c r="W767" i="1" s="1"/>
  <c r="U767" i="1"/>
  <c r="P767" i="1"/>
  <c r="Q767" i="1" s="1"/>
  <c r="O767" i="1"/>
  <c r="L767" i="1"/>
  <c r="J767" i="1"/>
  <c r="M767" i="1" s="1"/>
  <c r="G767" i="1"/>
  <c r="AE766" i="1"/>
  <c r="Y766" i="1"/>
  <c r="V766" i="1"/>
  <c r="W766" i="1" s="1"/>
  <c r="U766" i="1"/>
  <c r="X766" i="1" s="1"/>
  <c r="P766" i="1"/>
  <c r="Q766" i="1" s="1"/>
  <c r="O766" i="1"/>
  <c r="L766" i="1"/>
  <c r="J766" i="1"/>
  <c r="M766" i="1" s="1"/>
  <c r="G766" i="1"/>
  <c r="AE765" i="1"/>
  <c r="V765" i="1"/>
  <c r="W765" i="1" s="1"/>
  <c r="U765" i="1"/>
  <c r="P765" i="1"/>
  <c r="Q765" i="1" s="1"/>
  <c r="O765" i="1"/>
  <c r="L765" i="1"/>
  <c r="J765" i="1"/>
  <c r="M765" i="1" s="1"/>
  <c r="G765" i="1"/>
  <c r="AE764" i="1"/>
  <c r="V764" i="1"/>
  <c r="W764" i="1" s="1"/>
  <c r="U764" i="1"/>
  <c r="P764" i="1"/>
  <c r="Q764" i="1" s="1"/>
  <c r="O764" i="1"/>
  <c r="L764" i="1"/>
  <c r="J764" i="1"/>
  <c r="M764" i="1" s="1"/>
  <c r="G764" i="1"/>
  <c r="AE763" i="1"/>
  <c r="V763" i="1"/>
  <c r="W763" i="1" s="1"/>
  <c r="U763" i="1"/>
  <c r="P763" i="1"/>
  <c r="Q763" i="1" s="1"/>
  <c r="O763" i="1"/>
  <c r="L763" i="1"/>
  <c r="J763" i="1"/>
  <c r="M763" i="1" s="1"/>
  <c r="G763" i="1"/>
  <c r="AE762" i="1"/>
  <c r="V762" i="1"/>
  <c r="W762" i="1" s="1"/>
  <c r="U762" i="1"/>
  <c r="P762" i="1"/>
  <c r="Q762" i="1" s="1"/>
  <c r="O762" i="1"/>
  <c r="L762" i="1"/>
  <c r="J762" i="1"/>
  <c r="M762" i="1" s="1"/>
  <c r="G762" i="1"/>
  <c r="AE761" i="1"/>
  <c r="V761" i="1"/>
  <c r="W761" i="1" s="1"/>
  <c r="U761" i="1"/>
  <c r="P761" i="1"/>
  <c r="Q761" i="1" s="1"/>
  <c r="O761" i="1"/>
  <c r="L761" i="1"/>
  <c r="J761" i="1"/>
  <c r="M761" i="1" s="1"/>
  <c r="G761" i="1"/>
  <c r="AE760" i="1"/>
  <c r="V760" i="1"/>
  <c r="W760" i="1" s="1"/>
  <c r="U760" i="1"/>
  <c r="P760" i="1"/>
  <c r="Q760" i="1" s="1"/>
  <c r="O760" i="1"/>
  <c r="L760" i="1"/>
  <c r="J760" i="1"/>
  <c r="M760" i="1" s="1"/>
  <c r="G760" i="1"/>
  <c r="AE759" i="1"/>
  <c r="V759" i="1"/>
  <c r="W759" i="1" s="1"/>
  <c r="U759" i="1"/>
  <c r="P759" i="1"/>
  <c r="Q759" i="1" s="1"/>
  <c r="O759" i="1"/>
  <c r="L759" i="1"/>
  <c r="J759" i="1"/>
  <c r="M759" i="1" s="1"/>
  <c r="G759" i="1"/>
  <c r="AE758" i="1"/>
  <c r="V758" i="1"/>
  <c r="W758" i="1" s="1"/>
  <c r="U758" i="1"/>
  <c r="P758" i="1"/>
  <c r="Q758" i="1" s="1"/>
  <c r="O758" i="1"/>
  <c r="L758" i="1"/>
  <c r="J758" i="1"/>
  <c r="M758" i="1" s="1"/>
  <c r="G758" i="1"/>
  <c r="AE757" i="1"/>
  <c r="V757" i="1"/>
  <c r="W757" i="1" s="1"/>
  <c r="U757" i="1"/>
  <c r="P757" i="1"/>
  <c r="Q757" i="1" s="1"/>
  <c r="O757" i="1"/>
  <c r="L757" i="1"/>
  <c r="J757" i="1"/>
  <c r="M757" i="1" s="1"/>
  <c r="G757" i="1"/>
  <c r="AE756" i="1"/>
  <c r="V756" i="1"/>
  <c r="W756" i="1" s="1"/>
  <c r="U756" i="1"/>
  <c r="P756" i="1"/>
  <c r="Q756" i="1" s="1"/>
  <c r="O756" i="1"/>
  <c r="L756" i="1"/>
  <c r="J756" i="1"/>
  <c r="M756" i="1" s="1"/>
  <c r="G756" i="1"/>
  <c r="AE755" i="1"/>
  <c r="V755" i="1"/>
  <c r="W755" i="1" s="1"/>
  <c r="U755" i="1"/>
  <c r="P755" i="1"/>
  <c r="Q755" i="1" s="1"/>
  <c r="O755" i="1"/>
  <c r="L755" i="1"/>
  <c r="J755" i="1"/>
  <c r="M755" i="1" s="1"/>
  <c r="G755" i="1"/>
  <c r="AE754" i="1"/>
  <c r="Y754" i="1"/>
  <c r="V754" i="1"/>
  <c r="W754" i="1" s="1"/>
  <c r="U754" i="1"/>
  <c r="X754" i="1" s="1"/>
  <c r="P754" i="1"/>
  <c r="Q754" i="1" s="1"/>
  <c r="O754" i="1"/>
  <c r="L754" i="1"/>
  <c r="J754" i="1"/>
  <c r="M754" i="1" s="1"/>
  <c r="G754" i="1"/>
  <c r="AE753" i="1"/>
  <c r="V753" i="1"/>
  <c r="W753" i="1" s="1"/>
  <c r="U753" i="1"/>
  <c r="P753" i="1"/>
  <c r="Q753" i="1" s="1"/>
  <c r="O753" i="1"/>
  <c r="L753" i="1"/>
  <c r="J753" i="1"/>
  <c r="M753" i="1" s="1"/>
  <c r="G753" i="1"/>
  <c r="AE752" i="1"/>
  <c r="V752" i="1"/>
  <c r="W752" i="1" s="1"/>
  <c r="U752" i="1"/>
  <c r="P752" i="1"/>
  <c r="Q752" i="1" s="1"/>
  <c r="O752" i="1"/>
  <c r="L752" i="1"/>
  <c r="J752" i="1"/>
  <c r="M752" i="1" s="1"/>
  <c r="G752" i="1"/>
  <c r="AE751" i="1"/>
  <c r="V751" i="1"/>
  <c r="W751" i="1" s="1"/>
  <c r="U751" i="1"/>
  <c r="P751" i="1"/>
  <c r="Q751" i="1" s="1"/>
  <c r="O751" i="1"/>
  <c r="L751" i="1"/>
  <c r="J751" i="1"/>
  <c r="M751" i="1" s="1"/>
  <c r="G751" i="1"/>
  <c r="AE750" i="1"/>
  <c r="V750" i="1"/>
  <c r="W750" i="1" s="1"/>
  <c r="U750" i="1"/>
  <c r="P750" i="1"/>
  <c r="Q750" i="1" s="1"/>
  <c r="O750" i="1"/>
  <c r="L750" i="1"/>
  <c r="J750" i="1"/>
  <c r="M750" i="1" s="1"/>
  <c r="G750" i="1"/>
  <c r="AE749" i="1"/>
  <c r="V749" i="1"/>
  <c r="W749" i="1" s="1"/>
  <c r="U749" i="1"/>
  <c r="P749" i="1"/>
  <c r="Q749" i="1" s="1"/>
  <c r="O749" i="1"/>
  <c r="L749" i="1"/>
  <c r="J749" i="1"/>
  <c r="M749" i="1" s="1"/>
  <c r="G749" i="1"/>
  <c r="AE748" i="1"/>
  <c r="V748" i="1"/>
  <c r="W748" i="1" s="1"/>
  <c r="U748" i="1"/>
  <c r="P748" i="1"/>
  <c r="Q748" i="1" s="1"/>
  <c r="O748" i="1"/>
  <c r="L748" i="1"/>
  <c r="J748" i="1"/>
  <c r="M748" i="1" s="1"/>
  <c r="G748" i="1"/>
  <c r="AE747" i="1"/>
  <c r="V747" i="1"/>
  <c r="W747" i="1" s="1"/>
  <c r="U747" i="1"/>
  <c r="P747" i="1"/>
  <c r="Q747" i="1" s="1"/>
  <c r="O747" i="1"/>
  <c r="L747" i="1"/>
  <c r="J747" i="1"/>
  <c r="M747" i="1" s="1"/>
  <c r="G747" i="1"/>
  <c r="AE746" i="1"/>
  <c r="V746" i="1"/>
  <c r="W746" i="1" s="1"/>
  <c r="U746" i="1"/>
  <c r="P746" i="1"/>
  <c r="Q746" i="1" s="1"/>
  <c r="O746" i="1"/>
  <c r="L746" i="1"/>
  <c r="J746" i="1"/>
  <c r="M746" i="1" s="1"/>
  <c r="G746" i="1"/>
  <c r="AE745" i="1"/>
  <c r="V745" i="1"/>
  <c r="W745" i="1" s="1"/>
  <c r="U745" i="1"/>
  <c r="P745" i="1"/>
  <c r="Q745" i="1" s="1"/>
  <c r="O745" i="1"/>
  <c r="L745" i="1"/>
  <c r="J745" i="1"/>
  <c r="M745" i="1" s="1"/>
  <c r="G745" i="1"/>
  <c r="AE744" i="1"/>
  <c r="V744" i="1"/>
  <c r="W744" i="1" s="1"/>
  <c r="U744" i="1"/>
  <c r="P744" i="1"/>
  <c r="Q744" i="1" s="1"/>
  <c r="O744" i="1"/>
  <c r="L744" i="1"/>
  <c r="J744" i="1"/>
  <c r="M744" i="1" s="1"/>
  <c r="G744" i="1"/>
  <c r="AE743" i="1"/>
  <c r="V743" i="1"/>
  <c r="W743" i="1" s="1"/>
  <c r="U743" i="1"/>
  <c r="P743" i="1"/>
  <c r="Q743" i="1" s="1"/>
  <c r="O743" i="1"/>
  <c r="L743" i="1"/>
  <c r="J743" i="1"/>
  <c r="M743" i="1" s="1"/>
  <c r="G743" i="1"/>
  <c r="AE742" i="1"/>
  <c r="V742" i="1"/>
  <c r="W742" i="1" s="1"/>
  <c r="U742" i="1"/>
  <c r="P742" i="1"/>
  <c r="Q742" i="1" s="1"/>
  <c r="O742" i="1"/>
  <c r="L742" i="1"/>
  <c r="J742" i="1"/>
  <c r="M742" i="1" s="1"/>
  <c r="G742" i="1"/>
  <c r="AE741" i="1"/>
  <c r="V741" i="1"/>
  <c r="W741" i="1" s="1"/>
  <c r="U741" i="1"/>
  <c r="P741" i="1"/>
  <c r="Q741" i="1" s="1"/>
  <c r="O741" i="1"/>
  <c r="L741" i="1"/>
  <c r="J741" i="1"/>
  <c r="M741" i="1" s="1"/>
  <c r="G741" i="1"/>
  <c r="AE740" i="1"/>
  <c r="V740" i="1"/>
  <c r="W740" i="1" s="1"/>
  <c r="U740" i="1"/>
  <c r="P740" i="1"/>
  <c r="Q740" i="1" s="1"/>
  <c r="O740" i="1"/>
  <c r="L740" i="1"/>
  <c r="J740" i="1"/>
  <c r="M740" i="1" s="1"/>
  <c r="G740" i="1"/>
  <c r="AE739" i="1"/>
  <c r="V739" i="1"/>
  <c r="W739" i="1" s="1"/>
  <c r="U739" i="1"/>
  <c r="P739" i="1"/>
  <c r="Q739" i="1" s="1"/>
  <c r="O739" i="1"/>
  <c r="L739" i="1"/>
  <c r="J739" i="1"/>
  <c r="M739" i="1" s="1"/>
  <c r="G739" i="1"/>
  <c r="AE738" i="1"/>
  <c r="V738" i="1"/>
  <c r="W738" i="1" s="1"/>
  <c r="U738" i="1"/>
  <c r="P738" i="1"/>
  <c r="Q738" i="1" s="1"/>
  <c r="O738" i="1"/>
  <c r="L738" i="1"/>
  <c r="J738" i="1"/>
  <c r="M738" i="1" s="1"/>
  <c r="G738" i="1"/>
  <c r="AE737" i="1"/>
  <c r="V737" i="1"/>
  <c r="W737" i="1" s="1"/>
  <c r="U737" i="1"/>
  <c r="P737" i="1"/>
  <c r="Q737" i="1" s="1"/>
  <c r="O737" i="1"/>
  <c r="L737" i="1"/>
  <c r="J737" i="1"/>
  <c r="M737" i="1" s="1"/>
  <c r="G737" i="1"/>
  <c r="AE736" i="1"/>
  <c r="V736" i="1"/>
  <c r="W736" i="1" s="1"/>
  <c r="U736" i="1"/>
  <c r="P736" i="1"/>
  <c r="Q736" i="1" s="1"/>
  <c r="O736" i="1"/>
  <c r="L736" i="1"/>
  <c r="J736" i="1"/>
  <c r="M736" i="1" s="1"/>
  <c r="G736" i="1"/>
  <c r="AE735" i="1"/>
  <c r="V735" i="1"/>
  <c r="W735" i="1" s="1"/>
  <c r="U735" i="1"/>
  <c r="P735" i="1"/>
  <c r="Q735" i="1" s="1"/>
  <c r="O735" i="1"/>
  <c r="L735" i="1"/>
  <c r="J735" i="1"/>
  <c r="M735" i="1" s="1"/>
  <c r="G735" i="1"/>
  <c r="AE734" i="1"/>
  <c r="V734" i="1"/>
  <c r="W734" i="1" s="1"/>
  <c r="U734" i="1"/>
  <c r="S734" i="1"/>
  <c r="P734" i="1"/>
  <c r="Q734" i="1" s="1"/>
  <c r="O734" i="1"/>
  <c r="R734" i="1" s="1"/>
  <c r="L734" i="1"/>
  <c r="J734" i="1"/>
  <c r="M734" i="1" s="1"/>
  <c r="G734" i="1"/>
  <c r="AE733" i="1"/>
  <c r="V733" i="1"/>
  <c r="W733" i="1" s="1"/>
  <c r="U733" i="1"/>
  <c r="P733" i="1"/>
  <c r="Q733" i="1" s="1"/>
  <c r="O733" i="1"/>
  <c r="L733" i="1"/>
  <c r="J733" i="1"/>
  <c r="M733" i="1" s="1"/>
  <c r="G733" i="1"/>
  <c r="AE732" i="1"/>
  <c r="V732" i="1"/>
  <c r="W732" i="1" s="1"/>
  <c r="U732" i="1"/>
  <c r="P732" i="1"/>
  <c r="Q732" i="1" s="1"/>
  <c r="O732" i="1"/>
  <c r="L732" i="1"/>
  <c r="J732" i="1"/>
  <c r="M732" i="1" s="1"/>
  <c r="G732" i="1"/>
  <c r="AE731" i="1"/>
  <c r="V731" i="1"/>
  <c r="W731" i="1" s="1"/>
  <c r="U731" i="1"/>
  <c r="P731" i="1"/>
  <c r="Q731" i="1" s="1"/>
  <c r="O731" i="1"/>
  <c r="L731" i="1"/>
  <c r="J731" i="1"/>
  <c r="M731" i="1" s="1"/>
  <c r="G731" i="1"/>
  <c r="AE730" i="1"/>
  <c r="V730" i="1"/>
  <c r="W730" i="1" s="1"/>
  <c r="U730" i="1"/>
  <c r="P730" i="1"/>
  <c r="Q730" i="1" s="1"/>
  <c r="O730" i="1"/>
  <c r="L730" i="1"/>
  <c r="J730" i="1"/>
  <c r="M730" i="1" s="1"/>
  <c r="G730" i="1"/>
  <c r="AE729" i="1"/>
  <c r="V729" i="1"/>
  <c r="W729" i="1" s="1"/>
  <c r="U729" i="1"/>
  <c r="P729" i="1"/>
  <c r="Q729" i="1" s="1"/>
  <c r="O729" i="1"/>
  <c r="L729" i="1"/>
  <c r="J729" i="1"/>
  <c r="M729" i="1" s="1"/>
  <c r="G729" i="1"/>
  <c r="AE728" i="1"/>
  <c r="V728" i="1"/>
  <c r="W728" i="1" s="1"/>
  <c r="U728" i="1"/>
  <c r="P728" i="1"/>
  <c r="Q728" i="1" s="1"/>
  <c r="O728" i="1"/>
  <c r="L728" i="1"/>
  <c r="J728" i="1"/>
  <c r="M728" i="1" s="1"/>
  <c r="G728" i="1"/>
  <c r="AE727" i="1"/>
  <c r="V727" i="1"/>
  <c r="W727" i="1" s="1"/>
  <c r="U727" i="1"/>
  <c r="P727" i="1"/>
  <c r="Q727" i="1" s="1"/>
  <c r="O727" i="1"/>
  <c r="L727" i="1"/>
  <c r="J727" i="1"/>
  <c r="M727" i="1" s="1"/>
  <c r="G727" i="1"/>
  <c r="AE726" i="1"/>
  <c r="V726" i="1"/>
  <c r="W726" i="1" s="1"/>
  <c r="U726" i="1"/>
  <c r="P726" i="1"/>
  <c r="Q726" i="1" s="1"/>
  <c r="O726" i="1"/>
  <c r="L726" i="1"/>
  <c r="J726" i="1"/>
  <c r="M726" i="1" s="1"/>
  <c r="G726" i="1"/>
  <c r="AE725" i="1"/>
  <c r="V725" i="1"/>
  <c r="W725" i="1" s="1"/>
  <c r="U725" i="1"/>
  <c r="P725" i="1"/>
  <c r="Q725" i="1" s="1"/>
  <c r="O725" i="1"/>
  <c r="L725" i="1"/>
  <c r="J725" i="1"/>
  <c r="M725" i="1" s="1"/>
  <c r="G725" i="1"/>
  <c r="AE724" i="1"/>
  <c r="V724" i="1"/>
  <c r="W724" i="1" s="1"/>
  <c r="U724" i="1"/>
  <c r="P724" i="1"/>
  <c r="Q724" i="1" s="1"/>
  <c r="O724" i="1"/>
  <c r="L724" i="1"/>
  <c r="J724" i="1"/>
  <c r="M724" i="1" s="1"/>
  <c r="G724" i="1"/>
  <c r="AE723" i="1"/>
  <c r="V723" i="1"/>
  <c r="W723" i="1" s="1"/>
  <c r="U723" i="1"/>
  <c r="P723" i="1"/>
  <c r="Q723" i="1" s="1"/>
  <c r="O723" i="1"/>
  <c r="L723" i="1"/>
  <c r="J723" i="1"/>
  <c r="M723" i="1" s="1"/>
  <c r="G723" i="1"/>
  <c r="AE722" i="1"/>
  <c r="V722" i="1"/>
  <c r="W722" i="1" s="1"/>
  <c r="U722" i="1"/>
  <c r="P722" i="1"/>
  <c r="Q722" i="1" s="1"/>
  <c r="O722" i="1"/>
  <c r="L722" i="1"/>
  <c r="J722" i="1"/>
  <c r="M722" i="1" s="1"/>
  <c r="G722" i="1"/>
  <c r="AE721" i="1"/>
  <c r="V721" i="1"/>
  <c r="W721" i="1" s="1"/>
  <c r="U721" i="1"/>
  <c r="P721" i="1"/>
  <c r="Q721" i="1" s="1"/>
  <c r="O721" i="1"/>
  <c r="L721" i="1"/>
  <c r="J721" i="1"/>
  <c r="M721" i="1" s="1"/>
  <c r="G721" i="1"/>
  <c r="AE720" i="1"/>
  <c r="V720" i="1"/>
  <c r="W720" i="1" s="1"/>
  <c r="U720" i="1"/>
  <c r="P720" i="1"/>
  <c r="Q720" i="1" s="1"/>
  <c r="O720" i="1"/>
  <c r="L720" i="1"/>
  <c r="J720" i="1"/>
  <c r="M720" i="1" s="1"/>
  <c r="G720" i="1"/>
  <c r="AE719" i="1"/>
  <c r="V719" i="1"/>
  <c r="W719" i="1" s="1"/>
  <c r="U719" i="1"/>
  <c r="P719" i="1"/>
  <c r="Q719" i="1" s="1"/>
  <c r="O719" i="1"/>
  <c r="L719" i="1"/>
  <c r="J719" i="1"/>
  <c r="M719" i="1" s="1"/>
  <c r="G719" i="1"/>
  <c r="AE718" i="1"/>
  <c r="V718" i="1"/>
  <c r="W718" i="1" s="1"/>
  <c r="U718" i="1"/>
  <c r="P718" i="1"/>
  <c r="Q718" i="1" s="1"/>
  <c r="O718" i="1"/>
  <c r="L718" i="1"/>
  <c r="J718" i="1"/>
  <c r="M718" i="1" s="1"/>
  <c r="G718" i="1"/>
  <c r="AE717" i="1"/>
  <c r="V717" i="1"/>
  <c r="W717" i="1" s="1"/>
  <c r="U717" i="1"/>
  <c r="P717" i="1"/>
  <c r="Q717" i="1" s="1"/>
  <c r="O717" i="1"/>
  <c r="L717" i="1"/>
  <c r="J717" i="1"/>
  <c r="M717" i="1" s="1"/>
  <c r="G717" i="1"/>
  <c r="AE716" i="1"/>
  <c r="V716" i="1"/>
  <c r="W716" i="1" s="1"/>
  <c r="U716" i="1"/>
  <c r="S716" i="1"/>
  <c r="P716" i="1"/>
  <c r="Q716" i="1" s="1"/>
  <c r="O716" i="1"/>
  <c r="R716" i="1" s="1"/>
  <c r="L716" i="1"/>
  <c r="J716" i="1"/>
  <c r="M716" i="1" s="1"/>
  <c r="G716" i="1"/>
  <c r="AE715" i="1"/>
  <c r="V715" i="1"/>
  <c r="W715" i="1" s="1"/>
  <c r="U715" i="1"/>
  <c r="P715" i="1"/>
  <c r="Q715" i="1" s="1"/>
  <c r="O715" i="1"/>
  <c r="L715" i="1"/>
  <c r="J715" i="1"/>
  <c r="M715" i="1" s="1"/>
  <c r="G715" i="1"/>
  <c r="AE714" i="1"/>
  <c r="V714" i="1"/>
  <c r="W714" i="1" s="1"/>
  <c r="U714" i="1"/>
  <c r="P714" i="1"/>
  <c r="Q714" i="1" s="1"/>
  <c r="O714" i="1"/>
  <c r="L714" i="1"/>
  <c r="J714" i="1"/>
  <c r="M714" i="1" s="1"/>
  <c r="G714" i="1"/>
  <c r="AE713" i="1"/>
  <c r="Y713" i="1"/>
  <c r="V713" i="1"/>
  <c r="W713" i="1" s="1"/>
  <c r="U713" i="1"/>
  <c r="X713" i="1" s="1"/>
  <c r="P713" i="1"/>
  <c r="Q713" i="1" s="1"/>
  <c r="O713" i="1"/>
  <c r="L713" i="1"/>
  <c r="J713" i="1"/>
  <c r="M713" i="1" s="1"/>
  <c r="G713" i="1"/>
  <c r="AE712" i="1"/>
  <c r="V712" i="1"/>
  <c r="W712" i="1" s="1"/>
  <c r="U712" i="1"/>
  <c r="P712" i="1"/>
  <c r="Q712" i="1" s="1"/>
  <c r="O712" i="1"/>
  <c r="L712" i="1"/>
  <c r="J712" i="1"/>
  <c r="M712" i="1" s="1"/>
  <c r="G712" i="1"/>
  <c r="AE711" i="1"/>
  <c r="V711" i="1"/>
  <c r="W711" i="1" s="1"/>
  <c r="U711" i="1"/>
  <c r="P711" i="1"/>
  <c r="Q711" i="1" s="1"/>
  <c r="O711" i="1"/>
  <c r="L711" i="1"/>
  <c r="J711" i="1"/>
  <c r="M711" i="1" s="1"/>
  <c r="G711" i="1"/>
  <c r="AE710" i="1"/>
  <c r="V710" i="1"/>
  <c r="W710" i="1" s="1"/>
  <c r="U710" i="1"/>
  <c r="P710" i="1"/>
  <c r="Q710" i="1" s="1"/>
  <c r="O710" i="1"/>
  <c r="L710" i="1"/>
  <c r="J710" i="1"/>
  <c r="M710" i="1" s="1"/>
  <c r="G710" i="1"/>
  <c r="AE709" i="1"/>
  <c r="V709" i="1"/>
  <c r="W709" i="1" s="1"/>
  <c r="U709" i="1"/>
  <c r="P709" i="1"/>
  <c r="Q709" i="1" s="1"/>
  <c r="O709" i="1"/>
  <c r="L709" i="1"/>
  <c r="J709" i="1"/>
  <c r="M709" i="1" s="1"/>
  <c r="G709" i="1"/>
  <c r="AE708" i="1"/>
  <c r="V708" i="1"/>
  <c r="W708" i="1" s="1"/>
  <c r="U708" i="1"/>
  <c r="P708" i="1"/>
  <c r="Q708" i="1" s="1"/>
  <c r="O708" i="1"/>
  <c r="L708" i="1"/>
  <c r="J708" i="1"/>
  <c r="M708" i="1" s="1"/>
  <c r="G708" i="1"/>
  <c r="AE707" i="1"/>
  <c r="V707" i="1"/>
  <c r="W707" i="1" s="1"/>
  <c r="U707" i="1"/>
  <c r="P707" i="1"/>
  <c r="Q707" i="1" s="1"/>
  <c r="O707" i="1"/>
  <c r="L707" i="1"/>
  <c r="J707" i="1"/>
  <c r="M707" i="1" s="1"/>
  <c r="G707" i="1"/>
  <c r="AE706" i="1"/>
  <c r="V706" i="1"/>
  <c r="W706" i="1" s="1"/>
  <c r="U706" i="1"/>
  <c r="P706" i="1"/>
  <c r="Q706" i="1" s="1"/>
  <c r="O706" i="1"/>
  <c r="L706" i="1"/>
  <c r="J706" i="1"/>
  <c r="M706" i="1" s="1"/>
  <c r="G706" i="1"/>
  <c r="AE705" i="1"/>
  <c r="V705" i="1"/>
  <c r="W705" i="1" s="1"/>
  <c r="U705" i="1"/>
  <c r="P705" i="1"/>
  <c r="Q705" i="1" s="1"/>
  <c r="O705" i="1"/>
  <c r="L705" i="1"/>
  <c r="J705" i="1"/>
  <c r="M705" i="1" s="1"/>
  <c r="G705" i="1"/>
  <c r="AE704" i="1"/>
  <c r="V704" i="1"/>
  <c r="W704" i="1" s="1"/>
  <c r="U704" i="1"/>
  <c r="P704" i="1"/>
  <c r="Q704" i="1" s="1"/>
  <c r="O704" i="1"/>
  <c r="L704" i="1"/>
  <c r="J704" i="1"/>
  <c r="M704" i="1" s="1"/>
  <c r="G704" i="1"/>
  <c r="AE703" i="1"/>
  <c r="V703" i="1"/>
  <c r="W703" i="1" s="1"/>
  <c r="U703" i="1"/>
  <c r="P703" i="1"/>
  <c r="Q703" i="1" s="1"/>
  <c r="O703" i="1"/>
  <c r="L703" i="1"/>
  <c r="J703" i="1"/>
  <c r="M703" i="1" s="1"/>
  <c r="G703" i="1"/>
  <c r="AE702" i="1"/>
  <c r="V702" i="1"/>
  <c r="W702" i="1" s="1"/>
  <c r="U702" i="1"/>
  <c r="P702" i="1"/>
  <c r="Q702" i="1" s="1"/>
  <c r="O702" i="1"/>
  <c r="L702" i="1"/>
  <c r="J702" i="1"/>
  <c r="M702" i="1" s="1"/>
  <c r="G702" i="1"/>
  <c r="AE701" i="1"/>
  <c r="V701" i="1"/>
  <c r="W701" i="1" s="1"/>
  <c r="U701" i="1"/>
  <c r="P701" i="1"/>
  <c r="Q701" i="1" s="1"/>
  <c r="O701" i="1"/>
  <c r="L701" i="1"/>
  <c r="J701" i="1"/>
  <c r="M701" i="1" s="1"/>
  <c r="G701" i="1"/>
  <c r="AE700" i="1"/>
  <c r="V700" i="1"/>
  <c r="W700" i="1" s="1"/>
  <c r="U700" i="1"/>
  <c r="P700" i="1"/>
  <c r="Q700" i="1" s="1"/>
  <c r="O700" i="1"/>
  <c r="L700" i="1"/>
  <c r="J700" i="1"/>
  <c r="M700" i="1" s="1"/>
  <c r="G700" i="1"/>
  <c r="AE699" i="1"/>
  <c r="V699" i="1"/>
  <c r="W699" i="1" s="1"/>
  <c r="U699" i="1"/>
  <c r="P699" i="1"/>
  <c r="Q699" i="1" s="1"/>
  <c r="O699" i="1"/>
  <c r="L699" i="1"/>
  <c r="J699" i="1"/>
  <c r="M699" i="1" s="1"/>
  <c r="G699" i="1"/>
  <c r="AE698" i="1"/>
  <c r="V698" i="1"/>
  <c r="W698" i="1" s="1"/>
  <c r="U698" i="1"/>
  <c r="P698" i="1"/>
  <c r="Q698" i="1" s="1"/>
  <c r="O698" i="1"/>
  <c r="L698" i="1"/>
  <c r="J698" i="1"/>
  <c r="M698" i="1" s="1"/>
  <c r="G698" i="1"/>
  <c r="AE697" i="1"/>
  <c r="V697" i="1"/>
  <c r="W697" i="1" s="1"/>
  <c r="U697" i="1"/>
  <c r="P697" i="1"/>
  <c r="Q697" i="1" s="1"/>
  <c r="O697" i="1"/>
  <c r="L697" i="1"/>
  <c r="J697" i="1"/>
  <c r="M697" i="1" s="1"/>
  <c r="G697" i="1"/>
  <c r="AE696" i="1"/>
  <c r="V696" i="1"/>
  <c r="W696" i="1" s="1"/>
  <c r="U696" i="1"/>
  <c r="P696" i="1"/>
  <c r="Q696" i="1" s="1"/>
  <c r="O696" i="1"/>
  <c r="L696" i="1"/>
  <c r="J696" i="1"/>
  <c r="M696" i="1" s="1"/>
  <c r="G696" i="1"/>
  <c r="AE695" i="1"/>
  <c r="V695" i="1"/>
  <c r="W695" i="1" s="1"/>
  <c r="U695" i="1"/>
  <c r="P695" i="1"/>
  <c r="Q695" i="1" s="1"/>
  <c r="O695" i="1"/>
  <c r="L695" i="1"/>
  <c r="J695" i="1"/>
  <c r="M695" i="1" s="1"/>
  <c r="G695" i="1"/>
  <c r="AE694" i="1"/>
  <c r="V694" i="1"/>
  <c r="W694" i="1" s="1"/>
  <c r="U694" i="1"/>
  <c r="P694" i="1"/>
  <c r="Q694" i="1" s="1"/>
  <c r="O694" i="1"/>
  <c r="L694" i="1"/>
  <c r="J694" i="1"/>
  <c r="M694" i="1" s="1"/>
  <c r="G694" i="1"/>
  <c r="AE693" i="1"/>
  <c r="V693" i="1"/>
  <c r="W693" i="1" s="1"/>
  <c r="U693" i="1"/>
  <c r="P693" i="1"/>
  <c r="Q693" i="1" s="1"/>
  <c r="O693" i="1"/>
  <c r="L693" i="1"/>
  <c r="J693" i="1"/>
  <c r="M693" i="1" s="1"/>
  <c r="G693" i="1"/>
  <c r="AE692" i="1"/>
  <c r="V692" i="1"/>
  <c r="W692" i="1" s="1"/>
  <c r="U692" i="1"/>
  <c r="P692" i="1"/>
  <c r="Q692" i="1" s="1"/>
  <c r="O692" i="1"/>
  <c r="L692" i="1"/>
  <c r="J692" i="1"/>
  <c r="M692" i="1" s="1"/>
  <c r="G692" i="1"/>
  <c r="AE691" i="1"/>
  <c r="V691" i="1"/>
  <c r="W691" i="1" s="1"/>
  <c r="U691" i="1"/>
  <c r="P691" i="1"/>
  <c r="Q691" i="1" s="1"/>
  <c r="O691" i="1"/>
  <c r="L691" i="1"/>
  <c r="J691" i="1"/>
  <c r="M691" i="1" s="1"/>
  <c r="G691" i="1"/>
  <c r="AE690" i="1"/>
  <c r="V690" i="1"/>
  <c r="W690" i="1" s="1"/>
  <c r="U690" i="1"/>
  <c r="P690" i="1"/>
  <c r="Q690" i="1" s="1"/>
  <c r="O690" i="1"/>
  <c r="L690" i="1"/>
  <c r="J690" i="1"/>
  <c r="M690" i="1" s="1"/>
  <c r="G690" i="1"/>
  <c r="AE689" i="1"/>
  <c r="V689" i="1"/>
  <c r="W689" i="1" s="1"/>
  <c r="U689" i="1"/>
  <c r="P689" i="1"/>
  <c r="Q689" i="1" s="1"/>
  <c r="O689" i="1"/>
  <c r="L689" i="1"/>
  <c r="J689" i="1"/>
  <c r="M689" i="1" s="1"/>
  <c r="G689" i="1"/>
  <c r="AE688" i="1"/>
  <c r="V688" i="1"/>
  <c r="W688" i="1" s="1"/>
  <c r="U688" i="1"/>
  <c r="P688" i="1"/>
  <c r="Q688" i="1" s="1"/>
  <c r="O688" i="1"/>
  <c r="L688" i="1"/>
  <c r="J688" i="1"/>
  <c r="M688" i="1" s="1"/>
  <c r="G688" i="1"/>
  <c r="AE687" i="1"/>
  <c r="V687" i="1"/>
  <c r="W687" i="1" s="1"/>
  <c r="U687" i="1"/>
  <c r="P687" i="1"/>
  <c r="Q687" i="1" s="1"/>
  <c r="O687" i="1"/>
  <c r="L687" i="1"/>
  <c r="J687" i="1"/>
  <c r="M687" i="1" s="1"/>
  <c r="G687" i="1"/>
  <c r="AE686" i="1"/>
  <c r="V686" i="1"/>
  <c r="W686" i="1" s="1"/>
  <c r="U686" i="1"/>
  <c r="P686" i="1"/>
  <c r="Q686" i="1" s="1"/>
  <c r="O686" i="1"/>
  <c r="L686" i="1"/>
  <c r="J686" i="1"/>
  <c r="M686" i="1" s="1"/>
  <c r="G686" i="1"/>
  <c r="AE685" i="1"/>
  <c r="V685" i="1"/>
  <c r="W685" i="1" s="1"/>
  <c r="U685" i="1"/>
  <c r="P685" i="1"/>
  <c r="Q685" i="1" s="1"/>
  <c r="O685" i="1"/>
  <c r="L685" i="1"/>
  <c r="J685" i="1"/>
  <c r="M685" i="1" s="1"/>
  <c r="G685" i="1"/>
  <c r="AE684" i="1"/>
  <c r="V684" i="1"/>
  <c r="W684" i="1" s="1"/>
  <c r="U684" i="1"/>
  <c r="P684" i="1"/>
  <c r="Q684" i="1" s="1"/>
  <c r="O684" i="1"/>
  <c r="L684" i="1"/>
  <c r="J684" i="1"/>
  <c r="M684" i="1" s="1"/>
  <c r="G684" i="1"/>
  <c r="AE683" i="1"/>
  <c r="V683" i="1"/>
  <c r="W683" i="1" s="1"/>
  <c r="U683" i="1"/>
  <c r="P683" i="1"/>
  <c r="Q683" i="1" s="1"/>
  <c r="O683" i="1"/>
  <c r="L683" i="1"/>
  <c r="J683" i="1"/>
  <c r="M683" i="1" s="1"/>
  <c r="G683" i="1"/>
  <c r="AE682" i="1"/>
  <c r="V682" i="1"/>
  <c r="W682" i="1" s="1"/>
  <c r="U682" i="1"/>
  <c r="P682" i="1"/>
  <c r="Q682" i="1" s="1"/>
  <c r="O682" i="1"/>
  <c r="L682" i="1"/>
  <c r="J682" i="1"/>
  <c r="M682" i="1" s="1"/>
  <c r="G682" i="1"/>
  <c r="AE681" i="1"/>
  <c r="V681" i="1"/>
  <c r="W681" i="1" s="1"/>
  <c r="U681" i="1"/>
  <c r="P681" i="1"/>
  <c r="Q681" i="1" s="1"/>
  <c r="O681" i="1"/>
  <c r="L681" i="1"/>
  <c r="J681" i="1"/>
  <c r="M681" i="1" s="1"/>
  <c r="G681" i="1"/>
  <c r="AE680" i="1"/>
  <c r="V680" i="1"/>
  <c r="W680" i="1" s="1"/>
  <c r="U680" i="1"/>
  <c r="P680" i="1"/>
  <c r="Q680" i="1" s="1"/>
  <c r="O680" i="1"/>
  <c r="L680" i="1"/>
  <c r="J680" i="1"/>
  <c r="M680" i="1" s="1"/>
  <c r="G680" i="1"/>
  <c r="AE679" i="1"/>
  <c r="V679" i="1"/>
  <c r="W679" i="1" s="1"/>
  <c r="U679" i="1"/>
  <c r="P679" i="1"/>
  <c r="Q679" i="1" s="1"/>
  <c r="O679" i="1"/>
  <c r="L679" i="1"/>
  <c r="J679" i="1"/>
  <c r="M679" i="1" s="1"/>
  <c r="G679" i="1"/>
  <c r="AE678" i="1"/>
  <c r="Y678" i="1"/>
  <c r="V678" i="1"/>
  <c r="W678" i="1" s="1"/>
  <c r="U678" i="1"/>
  <c r="X678" i="1" s="1"/>
  <c r="P678" i="1"/>
  <c r="Q678" i="1" s="1"/>
  <c r="O678" i="1"/>
  <c r="L678" i="1"/>
  <c r="J678" i="1"/>
  <c r="M678" i="1" s="1"/>
  <c r="G678" i="1"/>
  <c r="AE677" i="1"/>
  <c r="V677" i="1"/>
  <c r="W677" i="1" s="1"/>
  <c r="U677" i="1"/>
  <c r="S677" i="1"/>
  <c r="P677" i="1"/>
  <c r="Q677" i="1" s="1"/>
  <c r="O677" i="1"/>
  <c r="R677" i="1" s="1"/>
  <c r="L677" i="1"/>
  <c r="J677" i="1"/>
  <c r="M677" i="1" s="1"/>
  <c r="G677" i="1"/>
  <c r="AE676" i="1"/>
  <c r="V676" i="1"/>
  <c r="W676" i="1" s="1"/>
  <c r="U676" i="1"/>
  <c r="P676" i="1"/>
  <c r="Q676" i="1" s="1"/>
  <c r="O676" i="1"/>
  <c r="L676" i="1"/>
  <c r="J676" i="1"/>
  <c r="M676" i="1" s="1"/>
  <c r="G676" i="1"/>
  <c r="AE675" i="1"/>
  <c r="V675" i="1"/>
  <c r="W675" i="1" s="1"/>
  <c r="U675" i="1"/>
  <c r="P675" i="1"/>
  <c r="Q675" i="1" s="1"/>
  <c r="O675" i="1"/>
  <c r="L675" i="1"/>
  <c r="J675" i="1"/>
  <c r="M675" i="1" s="1"/>
  <c r="G675" i="1"/>
  <c r="AE674" i="1"/>
  <c r="V674" i="1"/>
  <c r="W674" i="1" s="1"/>
  <c r="U674" i="1"/>
  <c r="P674" i="1"/>
  <c r="Q674" i="1" s="1"/>
  <c r="O674" i="1"/>
  <c r="L674" i="1"/>
  <c r="J674" i="1"/>
  <c r="M674" i="1" s="1"/>
  <c r="G674" i="1"/>
  <c r="AE673" i="1"/>
  <c r="V673" i="1"/>
  <c r="W673" i="1" s="1"/>
  <c r="U673" i="1"/>
  <c r="P673" i="1"/>
  <c r="Q673" i="1" s="1"/>
  <c r="O673" i="1"/>
  <c r="L673" i="1"/>
  <c r="J673" i="1"/>
  <c r="M673" i="1" s="1"/>
  <c r="G673" i="1"/>
  <c r="AE672" i="1"/>
  <c r="Y672" i="1"/>
  <c r="V672" i="1"/>
  <c r="W672" i="1" s="1"/>
  <c r="U672" i="1"/>
  <c r="X672" i="1" s="1"/>
  <c r="S672" i="1"/>
  <c r="P672" i="1"/>
  <c r="Q672" i="1" s="1"/>
  <c r="O672" i="1"/>
  <c r="R672" i="1" s="1"/>
  <c r="L672" i="1"/>
  <c r="J672" i="1"/>
  <c r="M672" i="1" s="1"/>
  <c r="G672" i="1"/>
  <c r="AE671" i="1"/>
  <c r="V671" i="1"/>
  <c r="W671" i="1" s="1"/>
  <c r="U671" i="1"/>
  <c r="P671" i="1"/>
  <c r="Q671" i="1" s="1"/>
  <c r="O671" i="1"/>
  <c r="L671" i="1"/>
  <c r="J671" i="1"/>
  <c r="M671" i="1" s="1"/>
  <c r="G671" i="1"/>
  <c r="AE670" i="1"/>
  <c r="Y670" i="1"/>
  <c r="V670" i="1"/>
  <c r="W670" i="1" s="1"/>
  <c r="U670" i="1"/>
  <c r="X670" i="1" s="1"/>
  <c r="P670" i="1"/>
  <c r="Q670" i="1" s="1"/>
  <c r="O670" i="1"/>
  <c r="L670" i="1"/>
  <c r="J670" i="1"/>
  <c r="M670" i="1" s="1"/>
  <c r="G670" i="1"/>
  <c r="AE669" i="1"/>
  <c r="V669" i="1"/>
  <c r="W669" i="1" s="1"/>
  <c r="U669" i="1"/>
  <c r="P669" i="1"/>
  <c r="Q669" i="1" s="1"/>
  <c r="O669" i="1"/>
  <c r="L669" i="1"/>
  <c r="J669" i="1"/>
  <c r="M669" i="1" s="1"/>
  <c r="G669" i="1"/>
  <c r="AE668" i="1"/>
  <c r="V668" i="1"/>
  <c r="W668" i="1" s="1"/>
  <c r="U668" i="1"/>
  <c r="P668" i="1"/>
  <c r="Q668" i="1" s="1"/>
  <c r="O668" i="1"/>
  <c r="L668" i="1"/>
  <c r="J668" i="1"/>
  <c r="M668" i="1" s="1"/>
  <c r="G668" i="1"/>
  <c r="AE667" i="1"/>
  <c r="V667" i="1"/>
  <c r="W667" i="1" s="1"/>
  <c r="U667" i="1"/>
  <c r="P667" i="1"/>
  <c r="Q667" i="1" s="1"/>
  <c r="O667" i="1"/>
  <c r="L667" i="1"/>
  <c r="J667" i="1"/>
  <c r="M667" i="1" s="1"/>
  <c r="G667" i="1"/>
  <c r="AE666" i="1"/>
  <c r="V666" i="1"/>
  <c r="W666" i="1" s="1"/>
  <c r="U666" i="1"/>
  <c r="P666" i="1"/>
  <c r="Q666" i="1" s="1"/>
  <c r="O666" i="1"/>
  <c r="L666" i="1"/>
  <c r="J666" i="1"/>
  <c r="M666" i="1" s="1"/>
  <c r="G666" i="1"/>
  <c r="AE665" i="1"/>
  <c r="V665" i="1"/>
  <c r="W665" i="1" s="1"/>
  <c r="U665" i="1"/>
  <c r="P665" i="1"/>
  <c r="Q665" i="1" s="1"/>
  <c r="O665" i="1"/>
  <c r="L665" i="1"/>
  <c r="J665" i="1"/>
  <c r="M665" i="1" s="1"/>
  <c r="G665" i="1"/>
  <c r="AE664" i="1"/>
  <c r="V664" i="1"/>
  <c r="W664" i="1" s="1"/>
  <c r="U664" i="1"/>
  <c r="P664" i="1"/>
  <c r="Q664" i="1" s="1"/>
  <c r="O664" i="1"/>
  <c r="L664" i="1"/>
  <c r="J664" i="1"/>
  <c r="M664" i="1" s="1"/>
  <c r="G664" i="1"/>
  <c r="AE663" i="1"/>
  <c r="V663" i="1"/>
  <c r="W663" i="1" s="1"/>
  <c r="U663" i="1"/>
  <c r="P663" i="1"/>
  <c r="Q663" i="1" s="1"/>
  <c r="O663" i="1"/>
  <c r="L663" i="1"/>
  <c r="J663" i="1"/>
  <c r="M663" i="1" s="1"/>
  <c r="G663" i="1"/>
  <c r="AE662" i="1"/>
  <c r="V662" i="1"/>
  <c r="W662" i="1" s="1"/>
  <c r="U662" i="1"/>
  <c r="P662" i="1"/>
  <c r="Q662" i="1" s="1"/>
  <c r="O662" i="1"/>
  <c r="L662" i="1"/>
  <c r="J662" i="1"/>
  <c r="M662" i="1" s="1"/>
  <c r="G662" i="1"/>
  <c r="AE661" i="1"/>
  <c r="V661" i="1"/>
  <c r="W661" i="1" s="1"/>
  <c r="U661" i="1"/>
  <c r="P661" i="1"/>
  <c r="Q661" i="1" s="1"/>
  <c r="O661" i="1"/>
  <c r="L661" i="1"/>
  <c r="J661" i="1"/>
  <c r="M661" i="1" s="1"/>
  <c r="G661" i="1"/>
  <c r="AE660" i="1"/>
  <c r="V660" i="1"/>
  <c r="W660" i="1" s="1"/>
  <c r="U660" i="1"/>
  <c r="P660" i="1"/>
  <c r="Q660" i="1" s="1"/>
  <c r="O660" i="1"/>
  <c r="L660" i="1"/>
  <c r="J660" i="1"/>
  <c r="M660" i="1" s="1"/>
  <c r="G660" i="1"/>
  <c r="AE659" i="1"/>
  <c r="V659" i="1"/>
  <c r="W659" i="1" s="1"/>
  <c r="U659" i="1"/>
  <c r="P659" i="1"/>
  <c r="Q659" i="1" s="1"/>
  <c r="O659" i="1"/>
  <c r="L659" i="1"/>
  <c r="J659" i="1"/>
  <c r="M659" i="1" s="1"/>
  <c r="G659" i="1"/>
  <c r="AE658" i="1"/>
  <c r="V658" i="1"/>
  <c r="W658" i="1" s="1"/>
  <c r="U658" i="1"/>
  <c r="P658" i="1"/>
  <c r="Q658" i="1" s="1"/>
  <c r="O658" i="1"/>
  <c r="L658" i="1"/>
  <c r="J658" i="1"/>
  <c r="M658" i="1" s="1"/>
  <c r="G658" i="1"/>
  <c r="AE657" i="1"/>
  <c r="V657" i="1"/>
  <c r="W657" i="1" s="1"/>
  <c r="U657" i="1"/>
  <c r="P657" i="1"/>
  <c r="Q657" i="1" s="1"/>
  <c r="O657" i="1"/>
  <c r="L657" i="1"/>
  <c r="J657" i="1"/>
  <c r="M657" i="1" s="1"/>
  <c r="G657" i="1"/>
  <c r="AE656" i="1"/>
  <c r="V656" i="1"/>
  <c r="W656" i="1" s="1"/>
  <c r="U656" i="1"/>
  <c r="P656" i="1"/>
  <c r="Q656" i="1" s="1"/>
  <c r="O656" i="1"/>
  <c r="L656" i="1"/>
  <c r="J656" i="1"/>
  <c r="M656" i="1" s="1"/>
  <c r="G656" i="1"/>
  <c r="AE655" i="1"/>
  <c r="V655" i="1"/>
  <c r="W655" i="1" s="1"/>
  <c r="U655" i="1"/>
  <c r="P655" i="1"/>
  <c r="Q655" i="1" s="1"/>
  <c r="O655" i="1"/>
  <c r="L655" i="1"/>
  <c r="J655" i="1"/>
  <c r="M655" i="1" s="1"/>
  <c r="G655" i="1"/>
  <c r="AE654" i="1"/>
  <c r="V654" i="1"/>
  <c r="W654" i="1" s="1"/>
  <c r="U654" i="1"/>
  <c r="P654" i="1"/>
  <c r="Q654" i="1" s="1"/>
  <c r="O654" i="1"/>
  <c r="L654" i="1"/>
  <c r="J654" i="1"/>
  <c r="M654" i="1" s="1"/>
  <c r="G654" i="1"/>
  <c r="AE653" i="1"/>
  <c r="V653" i="1"/>
  <c r="W653" i="1" s="1"/>
  <c r="U653" i="1"/>
  <c r="P653" i="1"/>
  <c r="Q653" i="1" s="1"/>
  <c r="O653" i="1"/>
  <c r="L653" i="1"/>
  <c r="J653" i="1"/>
  <c r="M653" i="1" s="1"/>
  <c r="G653" i="1"/>
  <c r="AE652" i="1"/>
  <c r="V652" i="1"/>
  <c r="W652" i="1" s="1"/>
  <c r="U652" i="1"/>
  <c r="P652" i="1"/>
  <c r="Q652" i="1" s="1"/>
  <c r="O652" i="1"/>
  <c r="L652" i="1"/>
  <c r="J652" i="1"/>
  <c r="M652" i="1" s="1"/>
  <c r="G652" i="1"/>
  <c r="AE651" i="1"/>
  <c r="V651" i="1"/>
  <c r="W651" i="1" s="1"/>
  <c r="U651" i="1"/>
  <c r="P651" i="1"/>
  <c r="Q651" i="1" s="1"/>
  <c r="O651" i="1"/>
  <c r="L651" i="1"/>
  <c r="J651" i="1"/>
  <c r="M651" i="1" s="1"/>
  <c r="G651" i="1"/>
  <c r="AE650" i="1"/>
  <c r="V650" i="1"/>
  <c r="W650" i="1" s="1"/>
  <c r="U650" i="1"/>
  <c r="P650" i="1"/>
  <c r="Q650" i="1" s="1"/>
  <c r="O650" i="1"/>
  <c r="L650" i="1"/>
  <c r="J650" i="1"/>
  <c r="M650" i="1" s="1"/>
  <c r="G650" i="1"/>
  <c r="AE649" i="1"/>
  <c r="V649" i="1"/>
  <c r="W649" i="1" s="1"/>
  <c r="U649" i="1"/>
  <c r="P649" i="1"/>
  <c r="Q649" i="1" s="1"/>
  <c r="O649" i="1"/>
  <c r="L649" i="1"/>
  <c r="J649" i="1"/>
  <c r="M649" i="1" s="1"/>
  <c r="G649" i="1"/>
  <c r="AE648" i="1"/>
  <c r="V648" i="1"/>
  <c r="W648" i="1" s="1"/>
  <c r="U648" i="1"/>
  <c r="P648" i="1"/>
  <c r="Q648" i="1" s="1"/>
  <c r="O648" i="1"/>
  <c r="L648" i="1"/>
  <c r="J648" i="1"/>
  <c r="M648" i="1" s="1"/>
  <c r="G648" i="1"/>
  <c r="AE647" i="1"/>
  <c r="V647" i="1"/>
  <c r="W647" i="1" s="1"/>
  <c r="U647" i="1"/>
  <c r="S647" i="1"/>
  <c r="P647" i="1"/>
  <c r="Q647" i="1" s="1"/>
  <c r="O647" i="1"/>
  <c r="R647" i="1" s="1"/>
  <c r="L647" i="1"/>
  <c r="J647" i="1"/>
  <c r="M647" i="1" s="1"/>
  <c r="G647" i="1"/>
  <c r="AE646" i="1"/>
  <c r="V646" i="1"/>
  <c r="W646" i="1" s="1"/>
  <c r="U646" i="1"/>
  <c r="P646" i="1"/>
  <c r="Q646" i="1" s="1"/>
  <c r="O646" i="1"/>
  <c r="L646" i="1"/>
  <c r="J646" i="1"/>
  <c r="M646" i="1" s="1"/>
  <c r="G646" i="1"/>
  <c r="AE645" i="1"/>
  <c r="V645" i="1"/>
  <c r="W645" i="1" s="1"/>
  <c r="U645" i="1"/>
  <c r="S645" i="1"/>
  <c r="P645" i="1"/>
  <c r="Q645" i="1" s="1"/>
  <c r="O645" i="1"/>
  <c r="R645" i="1" s="1"/>
  <c r="L645" i="1"/>
  <c r="J645" i="1"/>
  <c r="M645" i="1" s="1"/>
  <c r="G645" i="1"/>
  <c r="AE644" i="1"/>
  <c r="V644" i="1"/>
  <c r="W644" i="1" s="1"/>
  <c r="U644" i="1"/>
  <c r="P644" i="1"/>
  <c r="Q644" i="1" s="1"/>
  <c r="O644" i="1"/>
  <c r="L644" i="1"/>
  <c r="J644" i="1"/>
  <c r="M644" i="1" s="1"/>
  <c r="G644" i="1"/>
  <c r="AE643" i="1"/>
  <c r="V643" i="1"/>
  <c r="W643" i="1" s="1"/>
  <c r="U643" i="1"/>
  <c r="P643" i="1"/>
  <c r="Q643" i="1" s="1"/>
  <c r="O643" i="1"/>
  <c r="L643" i="1"/>
  <c r="J643" i="1"/>
  <c r="M643" i="1" s="1"/>
  <c r="G643" i="1"/>
  <c r="AE642" i="1"/>
  <c r="Y642" i="1"/>
  <c r="V642" i="1"/>
  <c r="W642" i="1" s="1"/>
  <c r="U642" i="1"/>
  <c r="X642" i="1" s="1"/>
  <c r="P642" i="1"/>
  <c r="Q642" i="1" s="1"/>
  <c r="O642" i="1"/>
  <c r="L642" i="1"/>
  <c r="J642" i="1"/>
  <c r="M642" i="1" s="1"/>
  <c r="G642" i="1"/>
  <c r="AE641" i="1"/>
  <c r="V641" i="1"/>
  <c r="W641" i="1" s="1"/>
  <c r="U641" i="1"/>
  <c r="P641" i="1"/>
  <c r="Q641" i="1" s="1"/>
  <c r="O641" i="1"/>
  <c r="L641" i="1"/>
  <c r="J641" i="1"/>
  <c r="M641" i="1" s="1"/>
  <c r="G641" i="1"/>
  <c r="AE640" i="1"/>
  <c r="V640" i="1"/>
  <c r="W640" i="1" s="1"/>
  <c r="U640" i="1"/>
  <c r="P640" i="1"/>
  <c r="Q640" i="1" s="1"/>
  <c r="O640" i="1"/>
  <c r="L640" i="1"/>
  <c r="J640" i="1"/>
  <c r="M640" i="1" s="1"/>
  <c r="G640" i="1"/>
  <c r="AE639" i="1"/>
  <c r="V639" i="1"/>
  <c r="W639" i="1" s="1"/>
  <c r="U639" i="1"/>
  <c r="P639" i="1"/>
  <c r="Q639" i="1" s="1"/>
  <c r="O639" i="1"/>
  <c r="L639" i="1"/>
  <c r="J639" i="1"/>
  <c r="M639" i="1" s="1"/>
  <c r="G639" i="1"/>
  <c r="AE638" i="1"/>
  <c r="V638" i="1"/>
  <c r="W638" i="1" s="1"/>
  <c r="U638" i="1"/>
  <c r="P638" i="1"/>
  <c r="Q638" i="1" s="1"/>
  <c r="O638" i="1"/>
  <c r="L638" i="1"/>
  <c r="J638" i="1"/>
  <c r="M638" i="1" s="1"/>
  <c r="G638" i="1"/>
  <c r="AE637" i="1"/>
  <c r="V637" i="1"/>
  <c r="W637" i="1" s="1"/>
  <c r="U637" i="1"/>
  <c r="P637" i="1"/>
  <c r="Q637" i="1" s="1"/>
  <c r="O637" i="1"/>
  <c r="L637" i="1"/>
  <c r="J637" i="1"/>
  <c r="M637" i="1" s="1"/>
  <c r="G637" i="1"/>
  <c r="AE636" i="1"/>
  <c r="V636" i="1"/>
  <c r="W636" i="1" s="1"/>
  <c r="U636" i="1"/>
  <c r="S636" i="1"/>
  <c r="P636" i="1"/>
  <c r="Q636" i="1" s="1"/>
  <c r="O636" i="1"/>
  <c r="R636" i="1" s="1"/>
  <c r="L636" i="1"/>
  <c r="J636" i="1"/>
  <c r="M636" i="1" s="1"/>
  <c r="G636" i="1"/>
  <c r="AE635" i="1"/>
  <c r="V635" i="1"/>
  <c r="W635" i="1" s="1"/>
  <c r="U635" i="1"/>
  <c r="S635" i="1"/>
  <c r="P635" i="1"/>
  <c r="Q635" i="1" s="1"/>
  <c r="O635" i="1"/>
  <c r="R635" i="1" s="1"/>
  <c r="L635" i="1"/>
  <c r="J635" i="1"/>
  <c r="M635" i="1" s="1"/>
  <c r="G635" i="1"/>
  <c r="AE634" i="1"/>
  <c r="V634" i="1"/>
  <c r="W634" i="1" s="1"/>
  <c r="U634" i="1"/>
  <c r="P634" i="1"/>
  <c r="Q634" i="1" s="1"/>
  <c r="O634" i="1"/>
  <c r="L634" i="1"/>
  <c r="J634" i="1"/>
  <c r="M634" i="1" s="1"/>
  <c r="G634" i="1"/>
  <c r="AE633" i="1"/>
  <c r="V633" i="1"/>
  <c r="W633" i="1" s="1"/>
  <c r="U633" i="1"/>
  <c r="P633" i="1"/>
  <c r="Q633" i="1" s="1"/>
  <c r="O633" i="1"/>
  <c r="L633" i="1"/>
  <c r="J633" i="1"/>
  <c r="M633" i="1" s="1"/>
  <c r="G633" i="1"/>
  <c r="AE632" i="1"/>
  <c r="Y632" i="1"/>
  <c r="V632" i="1"/>
  <c r="W632" i="1" s="1"/>
  <c r="U632" i="1"/>
  <c r="X632" i="1" s="1"/>
  <c r="P632" i="1"/>
  <c r="Q632" i="1" s="1"/>
  <c r="O632" i="1"/>
  <c r="L632" i="1"/>
  <c r="J632" i="1"/>
  <c r="M632" i="1" s="1"/>
  <c r="G632" i="1"/>
  <c r="AE631" i="1"/>
  <c r="V631" i="1"/>
  <c r="W631" i="1" s="1"/>
  <c r="U631" i="1"/>
  <c r="P631" i="1"/>
  <c r="Q631" i="1" s="1"/>
  <c r="O631" i="1"/>
  <c r="L631" i="1"/>
  <c r="J631" i="1"/>
  <c r="M631" i="1" s="1"/>
  <c r="G631" i="1"/>
  <c r="AE630" i="1"/>
  <c r="V630" i="1"/>
  <c r="W630" i="1" s="1"/>
  <c r="U630" i="1"/>
  <c r="S630" i="1"/>
  <c r="P630" i="1"/>
  <c r="Q630" i="1" s="1"/>
  <c r="O630" i="1"/>
  <c r="R630" i="1" s="1"/>
  <c r="L630" i="1"/>
  <c r="J630" i="1"/>
  <c r="M630" i="1" s="1"/>
  <c r="G630" i="1"/>
  <c r="AE629" i="1"/>
  <c r="V629" i="1"/>
  <c r="W629" i="1" s="1"/>
  <c r="U629" i="1"/>
  <c r="P629" i="1"/>
  <c r="Q629" i="1" s="1"/>
  <c r="O629" i="1"/>
  <c r="L629" i="1"/>
  <c r="J629" i="1"/>
  <c r="M629" i="1" s="1"/>
  <c r="G629" i="1"/>
  <c r="AE628" i="1"/>
  <c r="V628" i="1"/>
  <c r="W628" i="1" s="1"/>
  <c r="U628" i="1"/>
  <c r="P628" i="1"/>
  <c r="Q628" i="1" s="1"/>
  <c r="O628" i="1"/>
  <c r="L628" i="1"/>
  <c r="J628" i="1"/>
  <c r="M628" i="1" s="1"/>
  <c r="G628" i="1"/>
  <c r="AE627" i="1"/>
  <c r="V627" i="1"/>
  <c r="W627" i="1" s="1"/>
  <c r="U627" i="1"/>
  <c r="P627" i="1"/>
  <c r="Q627" i="1" s="1"/>
  <c r="O627" i="1"/>
  <c r="L627" i="1"/>
  <c r="J627" i="1"/>
  <c r="M627" i="1" s="1"/>
  <c r="G627" i="1"/>
  <c r="AE626" i="1"/>
  <c r="V626" i="1"/>
  <c r="W626" i="1" s="1"/>
  <c r="U626" i="1"/>
  <c r="P626" i="1"/>
  <c r="Q626" i="1" s="1"/>
  <c r="O626" i="1"/>
  <c r="L626" i="1"/>
  <c r="J626" i="1"/>
  <c r="M626" i="1" s="1"/>
  <c r="G626" i="1"/>
  <c r="AE625" i="1"/>
  <c r="V625" i="1"/>
  <c r="W625" i="1" s="1"/>
  <c r="U625" i="1"/>
  <c r="P625" i="1"/>
  <c r="Q625" i="1" s="1"/>
  <c r="O625" i="1"/>
  <c r="L625" i="1"/>
  <c r="J625" i="1"/>
  <c r="M625" i="1" s="1"/>
  <c r="G625" i="1"/>
  <c r="AE624" i="1"/>
  <c r="V624" i="1"/>
  <c r="W624" i="1" s="1"/>
  <c r="U624" i="1"/>
  <c r="P624" i="1"/>
  <c r="Q624" i="1" s="1"/>
  <c r="O624" i="1"/>
  <c r="L624" i="1"/>
  <c r="J624" i="1"/>
  <c r="M624" i="1" s="1"/>
  <c r="G624" i="1"/>
  <c r="AE623" i="1"/>
  <c r="V623" i="1"/>
  <c r="W623" i="1" s="1"/>
  <c r="U623" i="1"/>
  <c r="P623" i="1"/>
  <c r="Q623" i="1" s="1"/>
  <c r="O623" i="1"/>
  <c r="L623" i="1"/>
  <c r="J623" i="1"/>
  <c r="M623" i="1" s="1"/>
  <c r="G623" i="1"/>
  <c r="AE622" i="1"/>
  <c r="V622" i="1"/>
  <c r="W622" i="1" s="1"/>
  <c r="U622" i="1"/>
  <c r="P622" i="1"/>
  <c r="Q622" i="1" s="1"/>
  <c r="O622" i="1"/>
  <c r="L622" i="1"/>
  <c r="J622" i="1"/>
  <c r="M622" i="1" s="1"/>
  <c r="G622" i="1"/>
  <c r="AE621" i="1"/>
  <c r="V621" i="1"/>
  <c r="W621" i="1" s="1"/>
  <c r="U621" i="1"/>
  <c r="P621" i="1"/>
  <c r="Q621" i="1" s="1"/>
  <c r="O621" i="1"/>
  <c r="L621" i="1"/>
  <c r="J621" i="1"/>
  <c r="M621" i="1" s="1"/>
  <c r="G621" i="1"/>
  <c r="AE620" i="1"/>
  <c r="V620" i="1"/>
  <c r="W620" i="1" s="1"/>
  <c r="U620" i="1"/>
  <c r="P620" i="1"/>
  <c r="Q620" i="1" s="1"/>
  <c r="O620" i="1"/>
  <c r="L620" i="1"/>
  <c r="J620" i="1"/>
  <c r="M620" i="1" s="1"/>
  <c r="G620" i="1"/>
  <c r="AE619" i="1"/>
  <c r="V619" i="1"/>
  <c r="W619" i="1" s="1"/>
  <c r="U619" i="1"/>
  <c r="P619" i="1"/>
  <c r="Q619" i="1" s="1"/>
  <c r="O619" i="1"/>
  <c r="L619" i="1"/>
  <c r="J619" i="1"/>
  <c r="M619" i="1" s="1"/>
  <c r="G619" i="1"/>
  <c r="AE618" i="1"/>
  <c r="V618" i="1"/>
  <c r="W618" i="1" s="1"/>
  <c r="U618" i="1"/>
  <c r="P618" i="1"/>
  <c r="Q618" i="1" s="1"/>
  <c r="O618" i="1"/>
  <c r="L618" i="1"/>
  <c r="J618" i="1"/>
  <c r="M618" i="1" s="1"/>
  <c r="G618" i="1"/>
  <c r="AE617" i="1"/>
  <c r="V617" i="1"/>
  <c r="W617" i="1" s="1"/>
  <c r="U617" i="1"/>
  <c r="P617" i="1"/>
  <c r="Q617" i="1" s="1"/>
  <c r="O617" i="1"/>
  <c r="L617" i="1"/>
  <c r="J617" i="1"/>
  <c r="M617" i="1" s="1"/>
  <c r="G617" i="1"/>
  <c r="AE616" i="1"/>
  <c r="V616" i="1"/>
  <c r="W616" i="1" s="1"/>
  <c r="U616" i="1"/>
  <c r="P616" i="1"/>
  <c r="Q616" i="1" s="1"/>
  <c r="O616" i="1"/>
  <c r="L616" i="1"/>
  <c r="J616" i="1"/>
  <c r="M616" i="1" s="1"/>
  <c r="G616" i="1"/>
  <c r="AE615" i="1"/>
  <c r="Y615" i="1"/>
  <c r="V615" i="1"/>
  <c r="W615" i="1" s="1"/>
  <c r="U615" i="1"/>
  <c r="X615" i="1" s="1"/>
  <c r="P615" i="1"/>
  <c r="Q615" i="1" s="1"/>
  <c r="O615" i="1"/>
  <c r="L615" i="1"/>
  <c r="J615" i="1"/>
  <c r="M615" i="1" s="1"/>
  <c r="G615" i="1"/>
  <c r="AE614" i="1"/>
  <c r="V614" i="1"/>
  <c r="W614" i="1" s="1"/>
  <c r="U614" i="1"/>
  <c r="P614" i="1"/>
  <c r="Q614" i="1" s="1"/>
  <c r="O614" i="1"/>
  <c r="L614" i="1"/>
  <c r="J614" i="1"/>
  <c r="M614" i="1" s="1"/>
  <c r="G614" i="1"/>
  <c r="AE613" i="1"/>
  <c r="V613" i="1"/>
  <c r="W613" i="1" s="1"/>
  <c r="U613" i="1"/>
  <c r="S613" i="1"/>
  <c r="P613" i="1"/>
  <c r="Q613" i="1" s="1"/>
  <c r="O613" i="1"/>
  <c r="R613" i="1" s="1"/>
  <c r="L613" i="1"/>
  <c r="J613" i="1"/>
  <c r="M613" i="1" s="1"/>
  <c r="G613" i="1"/>
  <c r="AE612" i="1"/>
  <c r="V612" i="1"/>
  <c r="W612" i="1" s="1"/>
  <c r="U612" i="1"/>
  <c r="P612" i="1"/>
  <c r="Q612" i="1" s="1"/>
  <c r="O612" i="1"/>
  <c r="L612" i="1"/>
  <c r="J612" i="1"/>
  <c r="M612" i="1" s="1"/>
  <c r="G612" i="1"/>
  <c r="AE611" i="1"/>
  <c r="V611" i="1"/>
  <c r="W611" i="1" s="1"/>
  <c r="U611" i="1"/>
  <c r="P611" i="1"/>
  <c r="Q611" i="1" s="1"/>
  <c r="O611" i="1"/>
  <c r="L611" i="1"/>
  <c r="J611" i="1"/>
  <c r="M611" i="1" s="1"/>
  <c r="G611" i="1"/>
  <c r="AE610" i="1"/>
  <c r="Y610" i="1"/>
  <c r="V610" i="1"/>
  <c r="W610" i="1" s="1"/>
  <c r="U610" i="1"/>
  <c r="X610" i="1" s="1"/>
  <c r="S610" i="1"/>
  <c r="P610" i="1"/>
  <c r="Q610" i="1" s="1"/>
  <c r="O610" i="1"/>
  <c r="R610" i="1" s="1"/>
  <c r="L610" i="1"/>
  <c r="J610" i="1"/>
  <c r="M610" i="1" s="1"/>
  <c r="G610" i="1"/>
  <c r="AE609" i="1"/>
  <c r="V609" i="1"/>
  <c r="W609" i="1" s="1"/>
  <c r="U609" i="1"/>
  <c r="P609" i="1"/>
  <c r="Q609" i="1" s="1"/>
  <c r="O609" i="1"/>
  <c r="L609" i="1"/>
  <c r="J609" i="1"/>
  <c r="M609" i="1" s="1"/>
  <c r="G609" i="1"/>
  <c r="AE608" i="1"/>
  <c r="V608" i="1"/>
  <c r="W608" i="1" s="1"/>
  <c r="U608" i="1"/>
  <c r="P608" i="1"/>
  <c r="Q608" i="1" s="1"/>
  <c r="O608" i="1"/>
  <c r="L608" i="1"/>
  <c r="J608" i="1"/>
  <c r="M608" i="1" s="1"/>
  <c r="G608" i="1"/>
  <c r="AE607" i="1"/>
  <c r="V607" i="1"/>
  <c r="W607" i="1" s="1"/>
  <c r="U607" i="1"/>
  <c r="P607" i="1"/>
  <c r="Q607" i="1" s="1"/>
  <c r="O607" i="1"/>
  <c r="L607" i="1"/>
  <c r="J607" i="1"/>
  <c r="M607" i="1" s="1"/>
  <c r="G607" i="1"/>
  <c r="AE606" i="1"/>
  <c r="Y606" i="1"/>
  <c r="V606" i="1"/>
  <c r="W606" i="1" s="1"/>
  <c r="U606" i="1"/>
  <c r="X606" i="1" s="1"/>
  <c r="P606" i="1"/>
  <c r="Q606" i="1" s="1"/>
  <c r="O606" i="1"/>
  <c r="L606" i="1"/>
  <c r="J606" i="1"/>
  <c r="M606" i="1" s="1"/>
  <c r="G606" i="1"/>
  <c r="AE605" i="1"/>
  <c r="V605" i="1"/>
  <c r="W605" i="1" s="1"/>
  <c r="U605" i="1"/>
  <c r="P605" i="1"/>
  <c r="Q605" i="1" s="1"/>
  <c r="O605" i="1"/>
  <c r="L605" i="1"/>
  <c r="J605" i="1"/>
  <c r="M605" i="1" s="1"/>
  <c r="G605" i="1"/>
  <c r="AE604" i="1"/>
  <c r="Y604" i="1"/>
  <c r="V604" i="1"/>
  <c r="W604" i="1" s="1"/>
  <c r="U604" i="1"/>
  <c r="X604" i="1" s="1"/>
  <c r="P604" i="1"/>
  <c r="Q604" i="1" s="1"/>
  <c r="O604" i="1"/>
  <c r="L604" i="1"/>
  <c r="J604" i="1"/>
  <c r="M604" i="1" s="1"/>
  <c r="G604" i="1"/>
  <c r="AE603" i="1"/>
  <c r="V603" i="1"/>
  <c r="W603" i="1" s="1"/>
  <c r="U603" i="1"/>
  <c r="P603" i="1"/>
  <c r="Q603" i="1" s="1"/>
  <c r="O603" i="1"/>
  <c r="L603" i="1"/>
  <c r="J603" i="1"/>
  <c r="M603" i="1" s="1"/>
  <c r="G603" i="1"/>
  <c r="AE602" i="1"/>
  <c r="V602" i="1"/>
  <c r="W602" i="1" s="1"/>
  <c r="U602" i="1"/>
  <c r="S602" i="1"/>
  <c r="P602" i="1"/>
  <c r="Q602" i="1" s="1"/>
  <c r="O602" i="1"/>
  <c r="R602" i="1" s="1"/>
  <c r="L602" i="1"/>
  <c r="J602" i="1"/>
  <c r="M602" i="1" s="1"/>
  <c r="G602" i="1"/>
  <c r="AE601" i="1"/>
  <c r="V601" i="1"/>
  <c r="W601" i="1" s="1"/>
  <c r="U601" i="1"/>
  <c r="P601" i="1"/>
  <c r="Q601" i="1" s="1"/>
  <c r="O601" i="1"/>
  <c r="L601" i="1"/>
  <c r="J601" i="1"/>
  <c r="M601" i="1" s="1"/>
  <c r="G601" i="1"/>
  <c r="AE600" i="1"/>
  <c r="V600" i="1"/>
  <c r="W600" i="1" s="1"/>
  <c r="U600" i="1"/>
  <c r="P600" i="1"/>
  <c r="Q600" i="1" s="1"/>
  <c r="O600" i="1"/>
  <c r="L600" i="1"/>
  <c r="J600" i="1"/>
  <c r="M600" i="1" s="1"/>
  <c r="G600" i="1"/>
  <c r="AE599" i="1"/>
  <c r="V599" i="1"/>
  <c r="W599" i="1" s="1"/>
  <c r="U599" i="1"/>
  <c r="P599" i="1"/>
  <c r="Q599" i="1" s="1"/>
  <c r="O599" i="1"/>
  <c r="L599" i="1"/>
  <c r="J599" i="1"/>
  <c r="M599" i="1" s="1"/>
  <c r="G599" i="1"/>
  <c r="AE598" i="1"/>
  <c r="V598" i="1"/>
  <c r="W598" i="1" s="1"/>
  <c r="U598" i="1"/>
  <c r="P598" i="1"/>
  <c r="Q598" i="1" s="1"/>
  <c r="O598" i="1"/>
  <c r="L598" i="1"/>
  <c r="J598" i="1"/>
  <c r="M598" i="1" s="1"/>
  <c r="G598" i="1"/>
  <c r="AE597" i="1"/>
  <c r="V597" i="1"/>
  <c r="W597" i="1" s="1"/>
  <c r="U597" i="1"/>
  <c r="P597" i="1"/>
  <c r="Q597" i="1" s="1"/>
  <c r="O597" i="1"/>
  <c r="L597" i="1"/>
  <c r="J597" i="1"/>
  <c r="M597" i="1" s="1"/>
  <c r="G597" i="1"/>
  <c r="AE596" i="1"/>
  <c r="V596" i="1"/>
  <c r="W596" i="1" s="1"/>
  <c r="U596" i="1"/>
  <c r="P596" i="1"/>
  <c r="Q596" i="1" s="1"/>
  <c r="O596" i="1"/>
  <c r="L596" i="1"/>
  <c r="J596" i="1"/>
  <c r="M596" i="1" s="1"/>
  <c r="G596" i="1"/>
  <c r="AE595" i="1"/>
  <c r="V595" i="1"/>
  <c r="W595" i="1" s="1"/>
  <c r="U595" i="1"/>
  <c r="P595" i="1"/>
  <c r="Q595" i="1" s="1"/>
  <c r="O595" i="1"/>
  <c r="L595" i="1"/>
  <c r="J595" i="1"/>
  <c r="M595" i="1" s="1"/>
  <c r="G595" i="1"/>
  <c r="AE594" i="1"/>
  <c r="V594" i="1"/>
  <c r="W594" i="1" s="1"/>
  <c r="U594" i="1"/>
  <c r="P594" i="1"/>
  <c r="Q594" i="1" s="1"/>
  <c r="O594" i="1"/>
  <c r="L594" i="1"/>
  <c r="J594" i="1"/>
  <c r="M594" i="1" s="1"/>
  <c r="G594" i="1"/>
  <c r="AE593" i="1"/>
  <c r="V593" i="1"/>
  <c r="W593" i="1" s="1"/>
  <c r="U593" i="1"/>
  <c r="P593" i="1"/>
  <c r="Q593" i="1" s="1"/>
  <c r="O593" i="1"/>
  <c r="L593" i="1"/>
  <c r="J593" i="1"/>
  <c r="M593" i="1" s="1"/>
  <c r="G593" i="1"/>
  <c r="AE592" i="1"/>
  <c r="V592" i="1"/>
  <c r="W592" i="1" s="1"/>
  <c r="U592" i="1"/>
  <c r="P592" i="1"/>
  <c r="Q592" i="1" s="1"/>
  <c r="O592" i="1"/>
  <c r="L592" i="1"/>
  <c r="J592" i="1"/>
  <c r="M592" i="1" s="1"/>
  <c r="G592" i="1"/>
  <c r="AE591" i="1"/>
  <c r="V591" i="1"/>
  <c r="W591" i="1" s="1"/>
  <c r="U591" i="1"/>
  <c r="S591" i="1"/>
  <c r="P591" i="1"/>
  <c r="Q591" i="1" s="1"/>
  <c r="O591" i="1"/>
  <c r="R591" i="1" s="1"/>
  <c r="L591" i="1"/>
  <c r="J591" i="1"/>
  <c r="M591" i="1" s="1"/>
  <c r="G591" i="1"/>
  <c r="AE590" i="1"/>
  <c r="V590" i="1"/>
  <c r="W590" i="1" s="1"/>
  <c r="U590" i="1"/>
  <c r="P590" i="1"/>
  <c r="Q590" i="1" s="1"/>
  <c r="O590" i="1"/>
  <c r="L590" i="1"/>
  <c r="J590" i="1"/>
  <c r="M590" i="1" s="1"/>
  <c r="G590" i="1"/>
  <c r="AE589" i="1"/>
  <c r="V589" i="1"/>
  <c r="W589" i="1" s="1"/>
  <c r="U589" i="1"/>
  <c r="P589" i="1"/>
  <c r="Q589" i="1" s="1"/>
  <c r="O589" i="1"/>
  <c r="L589" i="1"/>
  <c r="J589" i="1"/>
  <c r="M589" i="1" s="1"/>
  <c r="G589" i="1"/>
  <c r="AE588" i="1"/>
  <c r="V588" i="1"/>
  <c r="W588" i="1" s="1"/>
  <c r="U588" i="1"/>
  <c r="P588" i="1"/>
  <c r="Q588" i="1" s="1"/>
  <c r="O588" i="1"/>
  <c r="L588" i="1"/>
  <c r="J588" i="1"/>
  <c r="M588" i="1" s="1"/>
  <c r="G588" i="1"/>
  <c r="AE587" i="1"/>
  <c r="V587" i="1"/>
  <c r="W587" i="1" s="1"/>
  <c r="U587" i="1"/>
  <c r="P587" i="1"/>
  <c r="Q587" i="1" s="1"/>
  <c r="O587" i="1"/>
  <c r="L587" i="1"/>
  <c r="J587" i="1"/>
  <c r="M587" i="1" s="1"/>
  <c r="G587" i="1"/>
  <c r="AE586" i="1"/>
  <c r="V586" i="1"/>
  <c r="W586" i="1" s="1"/>
  <c r="U586" i="1"/>
  <c r="P586" i="1"/>
  <c r="Q586" i="1" s="1"/>
  <c r="O586" i="1"/>
  <c r="L586" i="1"/>
  <c r="J586" i="1"/>
  <c r="M586" i="1" s="1"/>
  <c r="G586" i="1"/>
  <c r="AE585" i="1"/>
  <c r="V585" i="1"/>
  <c r="W585" i="1" s="1"/>
  <c r="U585" i="1"/>
  <c r="P585" i="1"/>
  <c r="Q585" i="1" s="1"/>
  <c r="O585" i="1"/>
  <c r="L585" i="1"/>
  <c r="J585" i="1"/>
  <c r="M585" i="1" s="1"/>
  <c r="G585" i="1"/>
  <c r="AE584" i="1"/>
  <c r="V584" i="1"/>
  <c r="W584" i="1" s="1"/>
  <c r="U584" i="1"/>
  <c r="P584" i="1"/>
  <c r="Q584" i="1" s="1"/>
  <c r="O584" i="1"/>
  <c r="L584" i="1"/>
  <c r="J584" i="1"/>
  <c r="M584" i="1" s="1"/>
  <c r="G584" i="1"/>
  <c r="AE583" i="1"/>
  <c r="V583" i="1"/>
  <c r="W583" i="1" s="1"/>
  <c r="U583" i="1"/>
  <c r="P583" i="1"/>
  <c r="Q583" i="1" s="1"/>
  <c r="O583" i="1"/>
  <c r="L583" i="1"/>
  <c r="J583" i="1"/>
  <c r="M583" i="1" s="1"/>
  <c r="G583" i="1"/>
  <c r="AE582" i="1"/>
  <c r="V582" i="1"/>
  <c r="W582" i="1" s="1"/>
  <c r="U582" i="1"/>
  <c r="P582" i="1"/>
  <c r="Q582" i="1" s="1"/>
  <c r="O582" i="1"/>
  <c r="L582" i="1"/>
  <c r="J582" i="1"/>
  <c r="M582" i="1" s="1"/>
  <c r="G582" i="1"/>
  <c r="AE581" i="1"/>
  <c r="V581" i="1"/>
  <c r="W581" i="1" s="1"/>
  <c r="U581" i="1"/>
  <c r="P581" i="1"/>
  <c r="Q581" i="1" s="1"/>
  <c r="O581" i="1"/>
  <c r="L581" i="1"/>
  <c r="J581" i="1"/>
  <c r="M581" i="1" s="1"/>
  <c r="G581" i="1"/>
  <c r="AE580" i="1"/>
  <c r="V580" i="1"/>
  <c r="W580" i="1" s="1"/>
  <c r="U580" i="1"/>
  <c r="P580" i="1"/>
  <c r="Q580" i="1" s="1"/>
  <c r="O580" i="1"/>
  <c r="L580" i="1"/>
  <c r="J580" i="1"/>
  <c r="M580" i="1" s="1"/>
  <c r="G580" i="1"/>
  <c r="AE579" i="1"/>
  <c r="V579" i="1"/>
  <c r="W579" i="1" s="1"/>
  <c r="U579" i="1"/>
  <c r="P579" i="1"/>
  <c r="Q579" i="1" s="1"/>
  <c r="O579" i="1"/>
  <c r="L579" i="1"/>
  <c r="J579" i="1"/>
  <c r="M579" i="1" s="1"/>
  <c r="G579" i="1"/>
  <c r="AE578" i="1"/>
  <c r="V578" i="1"/>
  <c r="W578" i="1" s="1"/>
  <c r="U578" i="1"/>
  <c r="S578" i="1"/>
  <c r="P578" i="1"/>
  <c r="Q578" i="1" s="1"/>
  <c r="O578" i="1"/>
  <c r="R578" i="1" s="1"/>
  <c r="L578" i="1"/>
  <c r="J578" i="1"/>
  <c r="M578" i="1" s="1"/>
  <c r="G578" i="1"/>
  <c r="AE577" i="1"/>
  <c r="V577" i="1"/>
  <c r="W577" i="1" s="1"/>
  <c r="U577" i="1"/>
  <c r="P577" i="1"/>
  <c r="Q577" i="1" s="1"/>
  <c r="O577" i="1"/>
  <c r="L577" i="1"/>
  <c r="J577" i="1"/>
  <c r="M577" i="1" s="1"/>
  <c r="G577" i="1"/>
  <c r="AE576" i="1"/>
  <c r="V576" i="1"/>
  <c r="W576" i="1" s="1"/>
  <c r="U576" i="1"/>
  <c r="P576" i="1"/>
  <c r="Q576" i="1" s="1"/>
  <c r="O576" i="1"/>
  <c r="L576" i="1"/>
  <c r="J576" i="1"/>
  <c r="M576" i="1" s="1"/>
  <c r="G576" i="1"/>
  <c r="AE575" i="1"/>
  <c r="V575" i="1"/>
  <c r="W575" i="1" s="1"/>
  <c r="U575" i="1"/>
  <c r="P575" i="1"/>
  <c r="Q575" i="1" s="1"/>
  <c r="O575" i="1"/>
  <c r="L575" i="1"/>
  <c r="J575" i="1"/>
  <c r="M575" i="1" s="1"/>
  <c r="G575" i="1"/>
  <c r="AE574" i="1"/>
  <c r="V574" i="1"/>
  <c r="W574" i="1" s="1"/>
  <c r="U574" i="1"/>
  <c r="P574" i="1"/>
  <c r="Q574" i="1" s="1"/>
  <c r="O574" i="1"/>
  <c r="L574" i="1"/>
  <c r="J574" i="1"/>
  <c r="M574" i="1" s="1"/>
  <c r="G574" i="1"/>
  <c r="AE573" i="1"/>
  <c r="V573" i="1"/>
  <c r="W573" i="1" s="1"/>
  <c r="U573" i="1"/>
  <c r="P573" i="1"/>
  <c r="Q573" i="1" s="1"/>
  <c r="O573" i="1"/>
  <c r="L573" i="1"/>
  <c r="J573" i="1"/>
  <c r="M573" i="1" s="1"/>
  <c r="G573" i="1"/>
  <c r="AE572" i="1"/>
  <c r="V572" i="1"/>
  <c r="W572" i="1" s="1"/>
  <c r="U572" i="1"/>
  <c r="S572" i="1"/>
  <c r="P572" i="1"/>
  <c r="Q572" i="1" s="1"/>
  <c r="O572" i="1"/>
  <c r="R572" i="1" s="1"/>
  <c r="L572" i="1"/>
  <c r="J572" i="1"/>
  <c r="M572" i="1" s="1"/>
  <c r="G572" i="1"/>
  <c r="AE571" i="1"/>
  <c r="V571" i="1"/>
  <c r="W571" i="1" s="1"/>
  <c r="U571" i="1"/>
  <c r="P571" i="1"/>
  <c r="Q571" i="1" s="1"/>
  <c r="O571" i="1"/>
  <c r="L571" i="1"/>
  <c r="J571" i="1"/>
  <c r="M571" i="1" s="1"/>
  <c r="G571" i="1"/>
  <c r="AE570" i="1"/>
  <c r="V570" i="1"/>
  <c r="W570" i="1" s="1"/>
  <c r="U570" i="1"/>
  <c r="P570" i="1"/>
  <c r="Q570" i="1" s="1"/>
  <c r="O570" i="1"/>
  <c r="L570" i="1"/>
  <c r="J570" i="1"/>
  <c r="M570" i="1" s="1"/>
  <c r="G570" i="1"/>
  <c r="AE569" i="1"/>
  <c r="V569" i="1"/>
  <c r="W569" i="1" s="1"/>
  <c r="U569" i="1"/>
  <c r="P569" i="1"/>
  <c r="Q569" i="1" s="1"/>
  <c r="O569" i="1"/>
  <c r="L569" i="1"/>
  <c r="J569" i="1"/>
  <c r="M569" i="1" s="1"/>
  <c r="G569" i="1"/>
  <c r="AE568" i="1"/>
  <c r="V568" i="1"/>
  <c r="W568" i="1" s="1"/>
  <c r="U568" i="1"/>
  <c r="P568" i="1"/>
  <c r="Q568" i="1" s="1"/>
  <c r="O568" i="1"/>
  <c r="L568" i="1"/>
  <c r="J568" i="1"/>
  <c r="M568" i="1" s="1"/>
  <c r="G568" i="1"/>
  <c r="AE567" i="1"/>
  <c r="V567" i="1"/>
  <c r="W567" i="1" s="1"/>
  <c r="U567" i="1"/>
  <c r="P567" i="1"/>
  <c r="Q567" i="1" s="1"/>
  <c r="O567" i="1"/>
  <c r="L567" i="1"/>
  <c r="J567" i="1"/>
  <c r="M567" i="1" s="1"/>
  <c r="G567" i="1"/>
  <c r="AE566" i="1"/>
  <c r="V566" i="1"/>
  <c r="W566" i="1" s="1"/>
  <c r="U566" i="1"/>
  <c r="P566" i="1"/>
  <c r="Q566" i="1" s="1"/>
  <c r="O566" i="1"/>
  <c r="L566" i="1"/>
  <c r="J566" i="1"/>
  <c r="M566" i="1" s="1"/>
  <c r="G566" i="1"/>
  <c r="AE565" i="1"/>
  <c r="V565" i="1"/>
  <c r="W565" i="1" s="1"/>
  <c r="U565" i="1"/>
  <c r="P565" i="1"/>
  <c r="Q565" i="1" s="1"/>
  <c r="O565" i="1"/>
  <c r="L565" i="1"/>
  <c r="J565" i="1"/>
  <c r="M565" i="1" s="1"/>
  <c r="G565" i="1"/>
  <c r="AE564" i="1"/>
  <c r="V564" i="1"/>
  <c r="W564" i="1" s="1"/>
  <c r="U564" i="1"/>
  <c r="P564" i="1"/>
  <c r="Q564" i="1" s="1"/>
  <c r="O564" i="1"/>
  <c r="L564" i="1"/>
  <c r="J564" i="1"/>
  <c r="M564" i="1" s="1"/>
  <c r="G564" i="1"/>
  <c r="AE563" i="1"/>
  <c r="V563" i="1"/>
  <c r="W563" i="1" s="1"/>
  <c r="U563" i="1"/>
  <c r="P563" i="1"/>
  <c r="Q563" i="1" s="1"/>
  <c r="O563" i="1"/>
  <c r="L563" i="1"/>
  <c r="J563" i="1"/>
  <c r="M563" i="1" s="1"/>
  <c r="G563" i="1"/>
  <c r="AE562" i="1"/>
  <c r="V562" i="1"/>
  <c r="W562" i="1" s="1"/>
  <c r="U562" i="1"/>
  <c r="P562" i="1"/>
  <c r="Q562" i="1" s="1"/>
  <c r="O562" i="1"/>
  <c r="L562" i="1"/>
  <c r="J562" i="1"/>
  <c r="M562" i="1" s="1"/>
  <c r="G562" i="1"/>
  <c r="AE561" i="1"/>
  <c r="V561" i="1"/>
  <c r="W561" i="1" s="1"/>
  <c r="U561" i="1"/>
  <c r="S561" i="1"/>
  <c r="P561" i="1"/>
  <c r="Q561" i="1" s="1"/>
  <c r="O561" i="1"/>
  <c r="R561" i="1" s="1"/>
  <c r="L561" i="1"/>
  <c r="J561" i="1"/>
  <c r="M561" i="1" s="1"/>
  <c r="G561" i="1"/>
  <c r="AE560" i="1"/>
  <c r="V560" i="1"/>
  <c r="W560" i="1" s="1"/>
  <c r="U560" i="1"/>
  <c r="P560" i="1"/>
  <c r="Q560" i="1" s="1"/>
  <c r="O560" i="1"/>
  <c r="L560" i="1"/>
  <c r="J560" i="1"/>
  <c r="M560" i="1" s="1"/>
  <c r="G560" i="1"/>
  <c r="AE559" i="1"/>
  <c r="V559" i="1"/>
  <c r="W559" i="1" s="1"/>
  <c r="U559" i="1"/>
  <c r="P559" i="1"/>
  <c r="Q559" i="1" s="1"/>
  <c r="O559" i="1"/>
  <c r="L559" i="1"/>
  <c r="J559" i="1"/>
  <c r="M559" i="1" s="1"/>
  <c r="G559" i="1"/>
  <c r="AE558" i="1"/>
  <c r="Y558" i="1"/>
  <c r="V558" i="1"/>
  <c r="W558" i="1" s="1"/>
  <c r="U558" i="1"/>
  <c r="X558" i="1" s="1"/>
  <c r="P558" i="1"/>
  <c r="Q558" i="1" s="1"/>
  <c r="O558" i="1"/>
  <c r="L558" i="1"/>
  <c r="J558" i="1"/>
  <c r="M558" i="1" s="1"/>
  <c r="G558" i="1"/>
  <c r="AE557" i="1"/>
  <c r="V557" i="1"/>
  <c r="W557" i="1" s="1"/>
  <c r="U557" i="1"/>
  <c r="P557" i="1"/>
  <c r="Q557" i="1" s="1"/>
  <c r="O557" i="1"/>
  <c r="L557" i="1"/>
  <c r="J557" i="1"/>
  <c r="M557" i="1" s="1"/>
  <c r="G557" i="1"/>
  <c r="AE556" i="1"/>
  <c r="V556" i="1"/>
  <c r="W556" i="1" s="1"/>
  <c r="U556" i="1"/>
  <c r="P556" i="1"/>
  <c r="Q556" i="1" s="1"/>
  <c r="O556" i="1"/>
  <c r="L556" i="1"/>
  <c r="J556" i="1"/>
  <c r="M556" i="1" s="1"/>
  <c r="G556" i="1"/>
  <c r="AE555" i="1"/>
  <c r="V555" i="1"/>
  <c r="W555" i="1" s="1"/>
  <c r="U555" i="1"/>
  <c r="P555" i="1"/>
  <c r="Q555" i="1" s="1"/>
  <c r="O555" i="1"/>
  <c r="L555" i="1"/>
  <c r="J555" i="1"/>
  <c r="M555" i="1" s="1"/>
  <c r="G555" i="1"/>
  <c r="AE554" i="1"/>
  <c r="V554" i="1"/>
  <c r="W554" i="1" s="1"/>
  <c r="U554" i="1"/>
  <c r="P554" i="1"/>
  <c r="Q554" i="1" s="1"/>
  <c r="O554" i="1"/>
  <c r="L554" i="1"/>
  <c r="J554" i="1"/>
  <c r="M554" i="1" s="1"/>
  <c r="G554" i="1"/>
  <c r="AE553" i="1"/>
  <c r="V553" i="1"/>
  <c r="W553" i="1" s="1"/>
  <c r="U553" i="1"/>
  <c r="P553" i="1"/>
  <c r="Q553" i="1" s="1"/>
  <c r="O553" i="1"/>
  <c r="L553" i="1"/>
  <c r="J553" i="1"/>
  <c r="M553" i="1" s="1"/>
  <c r="G553" i="1"/>
  <c r="AE552" i="1"/>
  <c r="V552" i="1"/>
  <c r="W552" i="1" s="1"/>
  <c r="U552" i="1"/>
  <c r="P552" i="1"/>
  <c r="Q552" i="1" s="1"/>
  <c r="O552" i="1"/>
  <c r="L552" i="1"/>
  <c r="J552" i="1"/>
  <c r="M552" i="1" s="1"/>
  <c r="G552" i="1"/>
  <c r="AE551" i="1"/>
  <c r="V551" i="1"/>
  <c r="W551" i="1" s="1"/>
  <c r="U551" i="1"/>
  <c r="P551" i="1"/>
  <c r="Q551" i="1" s="1"/>
  <c r="O551" i="1"/>
  <c r="L551" i="1"/>
  <c r="J551" i="1"/>
  <c r="M551" i="1" s="1"/>
  <c r="G551" i="1"/>
  <c r="AE550" i="1"/>
  <c r="V550" i="1"/>
  <c r="W550" i="1" s="1"/>
  <c r="U550" i="1"/>
  <c r="P550" i="1"/>
  <c r="Q550" i="1" s="1"/>
  <c r="O550" i="1"/>
  <c r="L550" i="1"/>
  <c r="J550" i="1"/>
  <c r="M550" i="1" s="1"/>
  <c r="G550" i="1"/>
  <c r="AE549" i="1"/>
  <c r="V549" i="1"/>
  <c r="W549" i="1" s="1"/>
  <c r="U549" i="1"/>
  <c r="P549" i="1"/>
  <c r="Q549" i="1" s="1"/>
  <c r="O549" i="1"/>
  <c r="L549" i="1"/>
  <c r="J549" i="1"/>
  <c r="M549" i="1" s="1"/>
  <c r="G549" i="1"/>
  <c r="AE548" i="1"/>
  <c r="Y548" i="1"/>
  <c r="V548" i="1"/>
  <c r="W548" i="1" s="1"/>
  <c r="U548" i="1"/>
  <c r="X548" i="1" s="1"/>
  <c r="P548" i="1"/>
  <c r="Q548" i="1" s="1"/>
  <c r="O548" i="1"/>
  <c r="L548" i="1"/>
  <c r="J548" i="1"/>
  <c r="M548" i="1" s="1"/>
  <c r="G548" i="1"/>
  <c r="AE547" i="1"/>
  <c r="V547" i="1"/>
  <c r="W547" i="1" s="1"/>
  <c r="U547" i="1"/>
  <c r="S547" i="1"/>
  <c r="P547" i="1"/>
  <c r="Q547" i="1" s="1"/>
  <c r="O547" i="1"/>
  <c r="R547" i="1" s="1"/>
  <c r="L547" i="1"/>
  <c r="J547" i="1"/>
  <c r="M547" i="1" s="1"/>
  <c r="G547" i="1"/>
  <c r="AE546" i="1"/>
  <c r="V546" i="1"/>
  <c r="W546" i="1" s="1"/>
  <c r="U546" i="1"/>
  <c r="P546" i="1"/>
  <c r="Q546" i="1" s="1"/>
  <c r="O546" i="1"/>
  <c r="L546" i="1"/>
  <c r="J546" i="1"/>
  <c r="M546" i="1" s="1"/>
  <c r="G546" i="1"/>
  <c r="AE545" i="1"/>
  <c r="V545" i="1"/>
  <c r="W545" i="1" s="1"/>
  <c r="U545" i="1"/>
  <c r="P545" i="1"/>
  <c r="Q545" i="1" s="1"/>
  <c r="O545" i="1"/>
  <c r="L545" i="1"/>
  <c r="J545" i="1"/>
  <c r="M545" i="1" s="1"/>
  <c r="G545" i="1"/>
  <c r="AE544" i="1"/>
  <c r="V544" i="1"/>
  <c r="W544" i="1" s="1"/>
  <c r="U544" i="1"/>
  <c r="P544" i="1"/>
  <c r="Q544" i="1" s="1"/>
  <c r="O544" i="1"/>
  <c r="L544" i="1"/>
  <c r="J544" i="1"/>
  <c r="M544" i="1" s="1"/>
  <c r="G544" i="1"/>
  <c r="AE543" i="1"/>
  <c r="V543" i="1"/>
  <c r="W543" i="1" s="1"/>
  <c r="U543" i="1"/>
  <c r="P543" i="1"/>
  <c r="Q543" i="1" s="1"/>
  <c r="O543" i="1"/>
  <c r="L543" i="1"/>
  <c r="J543" i="1"/>
  <c r="M543" i="1" s="1"/>
  <c r="G543" i="1"/>
  <c r="AE542" i="1"/>
  <c r="V542" i="1"/>
  <c r="W542" i="1" s="1"/>
  <c r="U542" i="1"/>
  <c r="S542" i="1"/>
  <c r="P542" i="1"/>
  <c r="Q542" i="1" s="1"/>
  <c r="O542" i="1"/>
  <c r="R542" i="1" s="1"/>
  <c r="L542" i="1"/>
  <c r="J542" i="1"/>
  <c r="M542" i="1" s="1"/>
  <c r="G542" i="1"/>
  <c r="AE541" i="1"/>
  <c r="V541" i="1"/>
  <c r="W541" i="1" s="1"/>
  <c r="U541" i="1"/>
  <c r="P541" i="1"/>
  <c r="Q541" i="1" s="1"/>
  <c r="O541" i="1"/>
  <c r="L541" i="1"/>
  <c r="J541" i="1"/>
  <c r="M541" i="1" s="1"/>
  <c r="G541" i="1"/>
  <c r="AE540" i="1"/>
  <c r="V540" i="1"/>
  <c r="W540" i="1" s="1"/>
  <c r="U540" i="1"/>
  <c r="P540" i="1"/>
  <c r="Q540" i="1" s="1"/>
  <c r="O540" i="1"/>
  <c r="L540" i="1"/>
  <c r="J540" i="1"/>
  <c r="M540" i="1" s="1"/>
  <c r="G540" i="1"/>
  <c r="AE539" i="1"/>
  <c r="V539" i="1"/>
  <c r="W539" i="1" s="1"/>
  <c r="U539" i="1"/>
  <c r="P539" i="1"/>
  <c r="Q539" i="1" s="1"/>
  <c r="O539" i="1"/>
  <c r="L539" i="1"/>
  <c r="J539" i="1"/>
  <c r="M539" i="1" s="1"/>
  <c r="G539" i="1"/>
  <c r="AE538" i="1"/>
  <c r="V538" i="1"/>
  <c r="W538" i="1" s="1"/>
  <c r="U538" i="1"/>
  <c r="P538" i="1"/>
  <c r="Q538" i="1" s="1"/>
  <c r="O538" i="1"/>
  <c r="L538" i="1"/>
  <c r="J538" i="1"/>
  <c r="M538" i="1" s="1"/>
  <c r="G538" i="1"/>
  <c r="AE537" i="1"/>
  <c r="V537" i="1"/>
  <c r="W537" i="1" s="1"/>
  <c r="U537" i="1"/>
  <c r="P537" i="1"/>
  <c r="Q537" i="1" s="1"/>
  <c r="O537" i="1"/>
  <c r="L537" i="1"/>
  <c r="J537" i="1"/>
  <c r="M537" i="1" s="1"/>
  <c r="G537" i="1"/>
  <c r="AE536" i="1"/>
  <c r="Y536" i="1"/>
  <c r="V536" i="1"/>
  <c r="W536" i="1" s="1"/>
  <c r="U536" i="1"/>
  <c r="X536" i="1" s="1"/>
  <c r="S536" i="1"/>
  <c r="P536" i="1"/>
  <c r="Q536" i="1" s="1"/>
  <c r="O536" i="1"/>
  <c r="R536" i="1" s="1"/>
  <c r="L536" i="1"/>
  <c r="J536" i="1"/>
  <c r="M536" i="1" s="1"/>
  <c r="G536" i="1"/>
  <c r="AE535" i="1"/>
  <c r="V535" i="1"/>
  <c r="W535" i="1" s="1"/>
  <c r="U535" i="1"/>
  <c r="P535" i="1"/>
  <c r="Q535" i="1" s="1"/>
  <c r="O535" i="1"/>
  <c r="L535" i="1"/>
  <c r="J535" i="1"/>
  <c r="M535" i="1" s="1"/>
  <c r="G535" i="1"/>
  <c r="AE534" i="1"/>
  <c r="V534" i="1"/>
  <c r="W534" i="1" s="1"/>
  <c r="U534" i="1"/>
  <c r="P534" i="1"/>
  <c r="Q534" i="1" s="1"/>
  <c r="O534" i="1"/>
  <c r="L534" i="1"/>
  <c r="J534" i="1"/>
  <c r="M534" i="1" s="1"/>
  <c r="G534" i="1"/>
  <c r="AE533" i="1"/>
  <c r="V533" i="1"/>
  <c r="W533" i="1" s="1"/>
  <c r="U533" i="1"/>
  <c r="P533" i="1"/>
  <c r="Q533" i="1" s="1"/>
  <c r="O533" i="1"/>
  <c r="L533" i="1"/>
  <c r="J533" i="1"/>
  <c r="M533" i="1" s="1"/>
  <c r="G533" i="1"/>
  <c r="AE532" i="1"/>
  <c r="V532" i="1"/>
  <c r="W532" i="1" s="1"/>
  <c r="U532" i="1"/>
  <c r="P532" i="1"/>
  <c r="Q532" i="1" s="1"/>
  <c r="O532" i="1"/>
  <c r="L532" i="1"/>
  <c r="J532" i="1"/>
  <c r="M532" i="1" s="1"/>
  <c r="G532" i="1"/>
  <c r="AE531" i="1"/>
  <c r="V531" i="1"/>
  <c r="W531" i="1" s="1"/>
  <c r="U531" i="1"/>
  <c r="P531" i="1"/>
  <c r="Q531" i="1" s="1"/>
  <c r="O531" i="1"/>
  <c r="L531" i="1"/>
  <c r="J531" i="1"/>
  <c r="M531" i="1" s="1"/>
  <c r="G531" i="1"/>
  <c r="AE530" i="1"/>
  <c r="V530" i="1"/>
  <c r="W530" i="1" s="1"/>
  <c r="U530" i="1"/>
  <c r="P530" i="1"/>
  <c r="Q530" i="1" s="1"/>
  <c r="O530" i="1"/>
  <c r="L530" i="1"/>
  <c r="J530" i="1"/>
  <c r="M530" i="1" s="1"/>
  <c r="G530" i="1"/>
  <c r="AE529" i="1"/>
  <c r="V529" i="1"/>
  <c r="W529" i="1" s="1"/>
  <c r="U529" i="1"/>
  <c r="P529" i="1"/>
  <c r="Q529" i="1" s="1"/>
  <c r="O529" i="1"/>
  <c r="L529" i="1"/>
  <c r="J529" i="1"/>
  <c r="M529" i="1" s="1"/>
  <c r="G529" i="1"/>
  <c r="AE528" i="1"/>
  <c r="V528" i="1"/>
  <c r="W528" i="1" s="1"/>
  <c r="U528" i="1"/>
  <c r="P528" i="1"/>
  <c r="Q528" i="1" s="1"/>
  <c r="O528" i="1"/>
  <c r="L528" i="1"/>
  <c r="J528" i="1"/>
  <c r="M528" i="1" s="1"/>
  <c r="G528" i="1"/>
  <c r="AE527" i="1"/>
  <c r="V527" i="1"/>
  <c r="W527" i="1" s="1"/>
  <c r="U527" i="1"/>
  <c r="P527" i="1"/>
  <c r="Q527" i="1" s="1"/>
  <c r="O527" i="1"/>
  <c r="L527" i="1"/>
  <c r="J527" i="1"/>
  <c r="M527" i="1" s="1"/>
  <c r="G527" i="1"/>
  <c r="AE526" i="1"/>
  <c r="Y526" i="1"/>
  <c r="V526" i="1"/>
  <c r="W526" i="1" s="1"/>
  <c r="U526" i="1"/>
  <c r="X526" i="1" s="1"/>
  <c r="P526" i="1"/>
  <c r="Q526" i="1" s="1"/>
  <c r="O526" i="1"/>
  <c r="L526" i="1"/>
  <c r="J526" i="1"/>
  <c r="M526" i="1" s="1"/>
  <c r="G526" i="1"/>
  <c r="AE525" i="1"/>
  <c r="V525" i="1"/>
  <c r="W525" i="1" s="1"/>
  <c r="U525" i="1"/>
  <c r="P525" i="1"/>
  <c r="Q525" i="1" s="1"/>
  <c r="O525" i="1"/>
  <c r="L525" i="1"/>
  <c r="J525" i="1"/>
  <c r="M525" i="1" s="1"/>
  <c r="G525" i="1"/>
  <c r="AE524" i="1"/>
  <c r="V524" i="1"/>
  <c r="W524" i="1" s="1"/>
  <c r="U524" i="1"/>
  <c r="P524" i="1"/>
  <c r="Q524" i="1" s="1"/>
  <c r="O524" i="1"/>
  <c r="L524" i="1"/>
  <c r="J524" i="1"/>
  <c r="M524" i="1" s="1"/>
  <c r="G524" i="1"/>
  <c r="AE523" i="1"/>
  <c r="Y523" i="1"/>
  <c r="V523" i="1"/>
  <c r="W523" i="1" s="1"/>
  <c r="U523" i="1"/>
  <c r="X523" i="1" s="1"/>
  <c r="P523" i="1"/>
  <c r="Q523" i="1" s="1"/>
  <c r="O523" i="1"/>
  <c r="L523" i="1"/>
  <c r="J523" i="1"/>
  <c r="M523" i="1" s="1"/>
  <c r="G523" i="1"/>
  <c r="AE522" i="1"/>
  <c r="V522" i="1"/>
  <c r="W522" i="1" s="1"/>
  <c r="U522" i="1"/>
  <c r="P522" i="1"/>
  <c r="Q522" i="1" s="1"/>
  <c r="O522" i="1"/>
  <c r="L522" i="1"/>
  <c r="J522" i="1"/>
  <c r="M522" i="1" s="1"/>
  <c r="G522" i="1"/>
  <c r="AE521" i="1"/>
  <c r="V521" i="1"/>
  <c r="W521" i="1" s="1"/>
  <c r="U521" i="1"/>
  <c r="P521" i="1"/>
  <c r="Q521" i="1" s="1"/>
  <c r="O521" i="1"/>
  <c r="L521" i="1"/>
  <c r="J521" i="1"/>
  <c r="M521" i="1" s="1"/>
  <c r="G521" i="1"/>
  <c r="AE520" i="1"/>
  <c r="V520" i="1"/>
  <c r="W520" i="1" s="1"/>
  <c r="U520" i="1"/>
  <c r="P520" i="1"/>
  <c r="Q520" i="1" s="1"/>
  <c r="O520" i="1"/>
  <c r="L520" i="1"/>
  <c r="J520" i="1"/>
  <c r="M520" i="1" s="1"/>
  <c r="G520" i="1"/>
  <c r="AE519" i="1"/>
  <c r="V519" i="1"/>
  <c r="W519" i="1" s="1"/>
  <c r="U519" i="1"/>
  <c r="P519" i="1"/>
  <c r="Q519" i="1" s="1"/>
  <c r="O519" i="1"/>
  <c r="L519" i="1"/>
  <c r="J519" i="1"/>
  <c r="M519" i="1" s="1"/>
  <c r="G519" i="1"/>
  <c r="AE518" i="1"/>
  <c r="V518" i="1"/>
  <c r="W518" i="1" s="1"/>
  <c r="U518" i="1"/>
  <c r="P518" i="1"/>
  <c r="Q518" i="1" s="1"/>
  <c r="O518" i="1"/>
  <c r="L518" i="1"/>
  <c r="J518" i="1"/>
  <c r="M518" i="1" s="1"/>
  <c r="G518" i="1"/>
  <c r="AE517" i="1"/>
  <c r="V517" i="1"/>
  <c r="W517" i="1" s="1"/>
  <c r="U517" i="1"/>
  <c r="P517" i="1"/>
  <c r="Q517" i="1" s="1"/>
  <c r="O517" i="1"/>
  <c r="L517" i="1"/>
  <c r="J517" i="1"/>
  <c r="M517" i="1" s="1"/>
  <c r="G517" i="1"/>
  <c r="AE516" i="1"/>
  <c r="V516" i="1"/>
  <c r="W516" i="1" s="1"/>
  <c r="U516" i="1"/>
  <c r="P516" i="1"/>
  <c r="Q516" i="1" s="1"/>
  <c r="O516" i="1"/>
  <c r="L516" i="1"/>
  <c r="J516" i="1"/>
  <c r="M516" i="1" s="1"/>
  <c r="G516" i="1"/>
  <c r="AE515" i="1"/>
  <c r="V515" i="1"/>
  <c r="W515" i="1" s="1"/>
  <c r="U515" i="1"/>
  <c r="P515" i="1"/>
  <c r="Q515" i="1" s="1"/>
  <c r="O515" i="1"/>
  <c r="L515" i="1"/>
  <c r="J515" i="1"/>
  <c r="M515" i="1" s="1"/>
  <c r="G515" i="1"/>
  <c r="AE514" i="1"/>
  <c r="V514" i="1"/>
  <c r="W514" i="1" s="1"/>
  <c r="U514" i="1"/>
  <c r="P514" i="1"/>
  <c r="Q514" i="1" s="1"/>
  <c r="O514" i="1"/>
  <c r="L514" i="1"/>
  <c r="J514" i="1"/>
  <c r="M514" i="1" s="1"/>
  <c r="G514" i="1"/>
  <c r="AE513" i="1"/>
  <c r="Y513" i="1"/>
  <c r="V513" i="1"/>
  <c r="W513" i="1" s="1"/>
  <c r="U513" i="1"/>
  <c r="X513" i="1" s="1"/>
  <c r="S513" i="1"/>
  <c r="P513" i="1"/>
  <c r="Q513" i="1" s="1"/>
  <c r="O513" i="1"/>
  <c r="R513" i="1" s="1"/>
  <c r="L513" i="1"/>
  <c r="J513" i="1"/>
  <c r="M513" i="1" s="1"/>
  <c r="G513" i="1"/>
  <c r="AE512" i="1"/>
  <c r="V512" i="1"/>
  <c r="W512" i="1" s="1"/>
  <c r="U512" i="1"/>
  <c r="P512" i="1"/>
  <c r="Q512" i="1" s="1"/>
  <c r="O512" i="1"/>
  <c r="L512" i="1"/>
  <c r="J512" i="1"/>
  <c r="M512" i="1" s="1"/>
  <c r="G512" i="1"/>
  <c r="AE511" i="1"/>
  <c r="Y511" i="1"/>
  <c r="V511" i="1"/>
  <c r="W511" i="1" s="1"/>
  <c r="U511" i="1"/>
  <c r="X511" i="1" s="1"/>
  <c r="P511" i="1"/>
  <c r="Q511" i="1" s="1"/>
  <c r="O511" i="1"/>
  <c r="L511" i="1"/>
  <c r="J511" i="1"/>
  <c r="M511" i="1" s="1"/>
  <c r="G511" i="1"/>
  <c r="AE510" i="1"/>
  <c r="V510" i="1"/>
  <c r="W510" i="1" s="1"/>
  <c r="U510" i="1"/>
  <c r="P510" i="1"/>
  <c r="Q510" i="1" s="1"/>
  <c r="O510" i="1"/>
  <c r="L510" i="1"/>
  <c r="J510" i="1"/>
  <c r="M510" i="1" s="1"/>
  <c r="G510" i="1"/>
  <c r="AE509" i="1"/>
  <c r="V509" i="1"/>
  <c r="W509" i="1" s="1"/>
  <c r="U509" i="1"/>
  <c r="P509" i="1"/>
  <c r="Q509" i="1" s="1"/>
  <c r="O509" i="1"/>
  <c r="L509" i="1"/>
  <c r="J509" i="1"/>
  <c r="M509" i="1" s="1"/>
  <c r="G509" i="1"/>
  <c r="AE508" i="1"/>
  <c r="Y508" i="1"/>
  <c r="V508" i="1"/>
  <c r="W508" i="1" s="1"/>
  <c r="U508" i="1"/>
  <c r="X508" i="1" s="1"/>
  <c r="S508" i="1"/>
  <c r="P508" i="1"/>
  <c r="Q508" i="1" s="1"/>
  <c r="O508" i="1"/>
  <c r="R508" i="1" s="1"/>
  <c r="L508" i="1"/>
  <c r="J508" i="1"/>
  <c r="M508" i="1" s="1"/>
  <c r="G508" i="1"/>
  <c r="AE507" i="1"/>
  <c r="V507" i="1"/>
  <c r="W507" i="1" s="1"/>
  <c r="U507" i="1"/>
  <c r="P507" i="1"/>
  <c r="Q507" i="1" s="1"/>
  <c r="O507" i="1"/>
  <c r="L507" i="1"/>
  <c r="J507" i="1"/>
  <c r="M507" i="1" s="1"/>
  <c r="G507" i="1"/>
  <c r="AE506" i="1"/>
  <c r="V506" i="1"/>
  <c r="W506" i="1" s="1"/>
  <c r="U506" i="1"/>
  <c r="P506" i="1"/>
  <c r="Q506" i="1" s="1"/>
  <c r="O506" i="1"/>
  <c r="L506" i="1"/>
  <c r="J506" i="1"/>
  <c r="M506" i="1" s="1"/>
  <c r="G506" i="1"/>
  <c r="AE505" i="1"/>
  <c r="V505" i="1"/>
  <c r="W505" i="1" s="1"/>
  <c r="U505" i="1"/>
  <c r="P505" i="1"/>
  <c r="Q505" i="1" s="1"/>
  <c r="O505" i="1"/>
  <c r="L505" i="1"/>
  <c r="J505" i="1"/>
  <c r="M505" i="1" s="1"/>
  <c r="G505" i="1"/>
  <c r="AE504" i="1"/>
  <c r="V504" i="1"/>
  <c r="W504" i="1" s="1"/>
  <c r="U504" i="1"/>
  <c r="P504" i="1"/>
  <c r="Q504" i="1" s="1"/>
  <c r="O504" i="1"/>
  <c r="L504" i="1"/>
  <c r="J504" i="1"/>
  <c r="M504" i="1" s="1"/>
  <c r="G504" i="1"/>
  <c r="AE503" i="1"/>
  <c r="V503" i="1"/>
  <c r="W503" i="1" s="1"/>
  <c r="U503" i="1"/>
  <c r="P503" i="1"/>
  <c r="Q503" i="1" s="1"/>
  <c r="O503" i="1"/>
  <c r="L503" i="1"/>
  <c r="J503" i="1"/>
  <c r="M503" i="1" s="1"/>
  <c r="G503" i="1"/>
  <c r="AE502" i="1"/>
  <c r="V502" i="1"/>
  <c r="W502" i="1" s="1"/>
  <c r="U502" i="1"/>
  <c r="P502" i="1"/>
  <c r="Q502" i="1" s="1"/>
  <c r="O502" i="1"/>
  <c r="L502" i="1"/>
  <c r="J502" i="1"/>
  <c r="M502" i="1" s="1"/>
  <c r="G502" i="1"/>
  <c r="AE501" i="1"/>
  <c r="V501" i="1"/>
  <c r="W501" i="1" s="1"/>
  <c r="U501" i="1"/>
  <c r="P501" i="1"/>
  <c r="Q501" i="1" s="1"/>
  <c r="O501" i="1"/>
  <c r="L501" i="1"/>
  <c r="J501" i="1"/>
  <c r="M501" i="1" s="1"/>
  <c r="G501" i="1"/>
  <c r="AE500" i="1"/>
  <c r="V500" i="1"/>
  <c r="W500" i="1" s="1"/>
  <c r="U500" i="1"/>
  <c r="P500" i="1"/>
  <c r="Q500" i="1" s="1"/>
  <c r="O500" i="1"/>
  <c r="L500" i="1"/>
  <c r="J500" i="1"/>
  <c r="M500" i="1" s="1"/>
  <c r="G500" i="1"/>
  <c r="AE499" i="1"/>
  <c r="V499" i="1"/>
  <c r="W499" i="1" s="1"/>
  <c r="U499" i="1"/>
  <c r="P499" i="1"/>
  <c r="Q499" i="1" s="1"/>
  <c r="O499" i="1"/>
  <c r="L499" i="1"/>
  <c r="J499" i="1"/>
  <c r="M499" i="1" s="1"/>
  <c r="G499" i="1"/>
  <c r="AE498" i="1"/>
  <c r="V498" i="1"/>
  <c r="W498" i="1" s="1"/>
  <c r="U498" i="1"/>
  <c r="P498" i="1"/>
  <c r="Q498" i="1" s="1"/>
  <c r="O498" i="1"/>
  <c r="L498" i="1"/>
  <c r="J498" i="1"/>
  <c r="M498" i="1" s="1"/>
  <c r="G498" i="1"/>
  <c r="AE497" i="1"/>
  <c r="V497" i="1"/>
  <c r="W497" i="1" s="1"/>
  <c r="U497" i="1"/>
  <c r="P497" i="1"/>
  <c r="Q497" i="1" s="1"/>
  <c r="O497" i="1"/>
  <c r="L497" i="1"/>
  <c r="J497" i="1"/>
  <c r="M497" i="1" s="1"/>
  <c r="G497" i="1"/>
  <c r="AE496" i="1"/>
  <c r="V496" i="1"/>
  <c r="W496" i="1" s="1"/>
  <c r="U496" i="1"/>
  <c r="P496" i="1"/>
  <c r="Q496" i="1" s="1"/>
  <c r="O496" i="1"/>
  <c r="L496" i="1"/>
  <c r="J496" i="1"/>
  <c r="M496" i="1" s="1"/>
  <c r="G496" i="1"/>
  <c r="AE495" i="1"/>
  <c r="V495" i="1"/>
  <c r="W495" i="1" s="1"/>
  <c r="U495" i="1"/>
  <c r="P495" i="1"/>
  <c r="Q495" i="1" s="1"/>
  <c r="O495" i="1"/>
  <c r="L495" i="1"/>
  <c r="J495" i="1"/>
  <c r="M495" i="1" s="1"/>
  <c r="G495" i="1"/>
  <c r="AE494" i="1"/>
  <c r="V494" i="1"/>
  <c r="W494" i="1" s="1"/>
  <c r="U494" i="1"/>
  <c r="S494" i="1"/>
  <c r="P494" i="1"/>
  <c r="Q494" i="1" s="1"/>
  <c r="O494" i="1"/>
  <c r="R494" i="1" s="1"/>
  <c r="L494" i="1"/>
  <c r="J494" i="1"/>
  <c r="M494" i="1" s="1"/>
  <c r="G494" i="1"/>
  <c r="AE493" i="1"/>
  <c r="V493" i="1"/>
  <c r="W493" i="1" s="1"/>
  <c r="U493" i="1"/>
  <c r="P493" i="1"/>
  <c r="Q493" i="1" s="1"/>
  <c r="O493" i="1"/>
  <c r="L493" i="1"/>
  <c r="J493" i="1"/>
  <c r="M493" i="1" s="1"/>
  <c r="G493" i="1"/>
  <c r="AE492" i="1"/>
  <c r="V492" i="1"/>
  <c r="W492" i="1" s="1"/>
  <c r="U492" i="1"/>
  <c r="P492" i="1"/>
  <c r="Q492" i="1" s="1"/>
  <c r="O492" i="1"/>
  <c r="L492" i="1"/>
  <c r="J492" i="1"/>
  <c r="M492" i="1" s="1"/>
  <c r="G492" i="1"/>
  <c r="AE491" i="1"/>
  <c r="V491" i="1"/>
  <c r="W491" i="1" s="1"/>
  <c r="U491" i="1"/>
  <c r="P491" i="1"/>
  <c r="Q491" i="1" s="1"/>
  <c r="O491" i="1"/>
  <c r="L491" i="1"/>
  <c r="J491" i="1"/>
  <c r="M491" i="1" s="1"/>
  <c r="G491" i="1"/>
  <c r="AE490" i="1"/>
  <c r="Y490" i="1"/>
  <c r="V490" i="1"/>
  <c r="W490" i="1" s="1"/>
  <c r="U490" i="1"/>
  <c r="X490" i="1" s="1"/>
  <c r="S490" i="1"/>
  <c r="P490" i="1"/>
  <c r="Q490" i="1" s="1"/>
  <c r="O490" i="1"/>
  <c r="R490" i="1" s="1"/>
  <c r="L490" i="1"/>
  <c r="J490" i="1"/>
  <c r="M490" i="1" s="1"/>
  <c r="G490" i="1"/>
  <c r="AE489" i="1"/>
  <c r="Y489" i="1"/>
  <c r="V489" i="1"/>
  <c r="W489" i="1" s="1"/>
  <c r="U489" i="1"/>
  <c r="X489" i="1" s="1"/>
  <c r="P489" i="1"/>
  <c r="Q489" i="1" s="1"/>
  <c r="O489" i="1"/>
  <c r="L489" i="1"/>
  <c r="J489" i="1"/>
  <c r="M489" i="1" s="1"/>
  <c r="G489" i="1"/>
  <c r="AE488" i="1"/>
  <c r="V488" i="1"/>
  <c r="W488" i="1" s="1"/>
  <c r="U488" i="1"/>
  <c r="P488" i="1"/>
  <c r="Q488" i="1" s="1"/>
  <c r="O488" i="1"/>
  <c r="L488" i="1"/>
  <c r="J488" i="1"/>
  <c r="M488" i="1" s="1"/>
  <c r="G488" i="1"/>
  <c r="AE487" i="1"/>
  <c r="V487" i="1"/>
  <c r="W487" i="1" s="1"/>
  <c r="U487" i="1"/>
  <c r="P487" i="1"/>
  <c r="Q487" i="1" s="1"/>
  <c r="O487" i="1"/>
  <c r="L487" i="1"/>
  <c r="J487" i="1"/>
  <c r="M487" i="1" s="1"/>
  <c r="G487" i="1"/>
  <c r="AE486" i="1"/>
  <c r="V486" i="1"/>
  <c r="W486" i="1" s="1"/>
  <c r="U486" i="1"/>
  <c r="P486" i="1"/>
  <c r="Q486" i="1" s="1"/>
  <c r="O486" i="1"/>
  <c r="L486" i="1"/>
  <c r="J486" i="1"/>
  <c r="M486" i="1" s="1"/>
  <c r="G486" i="1"/>
  <c r="AE485" i="1"/>
  <c r="Y485" i="1"/>
  <c r="V485" i="1"/>
  <c r="W485" i="1" s="1"/>
  <c r="U485" i="1"/>
  <c r="X485" i="1" s="1"/>
  <c r="P485" i="1"/>
  <c r="Q485" i="1" s="1"/>
  <c r="O485" i="1"/>
  <c r="L485" i="1"/>
  <c r="J485" i="1"/>
  <c r="M485" i="1" s="1"/>
  <c r="G485" i="1"/>
  <c r="AE484" i="1"/>
  <c r="V484" i="1"/>
  <c r="W484" i="1" s="1"/>
  <c r="U484" i="1"/>
  <c r="P484" i="1"/>
  <c r="Q484" i="1" s="1"/>
  <c r="O484" i="1"/>
  <c r="L484" i="1"/>
  <c r="J484" i="1"/>
  <c r="M484" i="1" s="1"/>
  <c r="G484" i="1"/>
  <c r="AE483" i="1"/>
  <c r="V483" i="1"/>
  <c r="W483" i="1" s="1"/>
  <c r="U483" i="1"/>
  <c r="P483" i="1"/>
  <c r="Q483" i="1" s="1"/>
  <c r="O483" i="1"/>
  <c r="L483" i="1"/>
  <c r="J483" i="1"/>
  <c r="M483" i="1" s="1"/>
  <c r="G483" i="1"/>
  <c r="AE482" i="1"/>
  <c r="V482" i="1"/>
  <c r="W482" i="1" s="1"/>
  <c r="U482" i="1"/>
  <c r="P482" i="1"/>
  <c r="Q482" i="1" s="1"/>
  <c r="O482" i="1"/>
  <c r="L482" i="1"/>
  <c r="J482" i="1"/>
  <c r="M482" i="1" s="1"/>
  <c r="G482" i="1"/>
  <c r="AE481" i="1"/>
  <c r="Y481" i="1"/>
  <c r="V481" i="1"/>
  <c r="W481" i="1" s="1"/>
  <c r="U481" i="1"/>
  <c r="X481" i="1" s="1"/>
  <c r="S481" i="1"/>
  <c r="P481" i="1"/>
  <c r="Q481" i="1" s="1"/>
  <c r="O481" i="1"/>
  <c r="R481" i="1" s="1"/>
  <c r="L481" i="1"/>
  <c r="J481" i="1"/>
  <c r="M481" i="1" s="1"/>
  <c r="G481" i="1"/>
  <c r="AE480" i="1"/>
  <c r="V480" i="1"/>
  <c r="W480" i="1" s="1"/>
  <c r="U480" i="1"/>
  <c r="P480" i="1"/>
  <c r="Q480" i="1" s="1"/>
  <c r="O480" i="1"/>
  <c r="L480" i="1"/>
  <c r="J480" i="1"/>
  <c r="M480" i="1" s="1"/>
  <c r="G480" i="1"/>
  <c r="AE479" i="1"/>
  <c r="V479" i="1"/>
  <c r="W479" i="1" s="1"/>
  <c r="U479" i="1"/>
  <c r="P479" i="1"/>
  <c r="Q479" i="1" s="1"/>
  <c r="O479" i="1"/>
  <c r="L479" i="1"/>
  <c r="J479" i="1"/>
  <c r="M479" i="1" s="1"/>
  <c r="G479" i="1"/>
  <c r="AE478" i="1"/>
  <c r="V478" i="1"/>
  <c r="W478" i="1" s="1"/>
  <c r="U478" i="1"/>
  <c r="P478" i="1"/>
  <c r="Q478" i="1" s="1"/>
  <c r="O478" i="1"/>
  <c r="L478" i="1"/>
  <c r="J478" i="1"/>
  <c r="M478" i="1" s="1"/>
  <c r="G478" i="1"/>
  <c r="AE477" i="1"/>
  <c r="V477" i="1"/>
  <c r="W477" i="1" s="1"/>
  <c r="U477" i="1"/>
  <c r="P477" i="1"/>
  <c r="Q477" i="1" s="1"/>
  <c r="O477" i="1"/>
  <c r="L477" i="1"/>
  <c r="J477" i="1"/>
  <c r="M477" i="1" s="1"/>
  <c r="G477" i="1"/>
  <c r="AE476" i="1"/>
  <c r="V476" i="1"/>
  <c r="W476" i="1" s="1"/>
  <c r="U476" i="1"/>
  <c r="S476" i="1"/>
  <c r="P476" i="1"/>
  <c r="Q476" i="1" s="1"/>
  <c r="O476" i="1"/>
  <c r="R476" i="1" s="1"/>
  <c r="L476" i="1"/>
  <c r="J476" i="1"/>
  <c r="M476" i="1" s="1"/>
  <c r="G476" i="1"/>
  <c r="AE475" i="1"/>
  <c r="V475" i="1"/>
  <c r="W475" i="1" s="1"/>
  <c r="U475" i="1"/>
  <c r="P475" i="1"/>
  <c r="Q475" i="1" s="1"/>
  <c r="O475" i="1"/>
  <c r="L475" i="1"/>
  <c r="J475" i="1"/>
  <c r="M475" i="1" s="1"/>
  <c r="G475" i="1"/>
  <c r="AE474" i="1"/>
  <c r="V474" i="1"/>
  <c r="W474" i="1" s="1"/>
  <c r="U474" i="1"/>
  <c r="P474" i="1"/>
  <c r="Q474" i="1" s="1"/>
  <c r="O474" i="1"/>
  <c r="L474" i="1"/>
  <c r="J474" i="1"/>
  <c r="M474" i="1" s="1"/>
  <c r="G474" i="1"/>
  <c r="AE473" i="1"/>
  <c r="V473" i="1"/>
  <c r="W473" i="1" s="1"/>
  <c r="U473" i="1"/>
  <c r="P473" i="1"/>
  <c r="Q473" i="1" s="1"/>
  <c r="O473" i="1"/>
  <c r="L473" i="1"/>
  <c r="J473" i="1"/>
  <c r="M473" i="1" s="1"/>
  <c r="G473" i="1"/>
  <c r="AE472" i="1"/>
  <c r="V472" i="1"/>
  <c r="W472" i="1" s="1"/>
  <c r="U472" i="1"/>
  <c r="P472" i="1"/>
  <c r="Q472" i="1" s="1"/>
  <c r="O472" i="1"/>
  <c r="L472" i="1"/>
  <c r="J472" i="1"/>
  <c r="M472" i="1" s="1"/>
  <c r="G472" i="1"/>
  <c r="AE471" i="1"/>
  <c r="V471" i="1"/>
  <c r="W471" i="1" s="1"/>
  <c r="U471" i="1"/>
  <c r="P471" i="1"/>
  <c r="Q471" i="1" s="1"/>
  <c r="O471" i="1"/>
  <c r="L471" i="1"/>
  <c r="J471" i="1"/>
  <c r="M471" i="1" s="1"/>
  <c r="G471" i="1"/>
  <c r="AE470" i="1"/>
  <c r="V470" i="1"/>
  <c r="W470" i="1" s="1"/>
  <c r="U470" i="1"/>
  <c r="P470" i="1"/>
  <c r="Q470" i="1" s="1"/>
  <c r="O470" i="1"/>
  <c r="L470" i="1"/>
  <c r="J470" i="1"/>
  <c r="M470" i="1" s="1"/>
  <c r="G470" i="1"/>
  <c r="AE469" i="1"/>
  <c r="V469" i="1"/>
  <c r="W469" i="1" s="1"/>
  <c r="U469" i="1"/>
  <c r="P469" i="1"/>
  <c r="Q469" i="1" s="1"/>
  <c r="O469" i="1"/>
  <c r="L469" i="1"/>
  <c r="J469" i="1"/>
  <c r="M469" i="1" s="1"/>
  <c r="G469" i="1"/>
  <c r="AE468" i="1"/>
  <c r="V468" i="1"/>
  <c r="W468" i="1" s="1"/>
  <c r="U468" i="1"/>
  <c r="P468" i="1"/>
  <c r="Q468" i="1" s="1"/>
  <c r="O468" i="1"/>
  <c r="L468" i="1"/>
  <c r="J468" i="1"/>
  <c r="M468" i="1" s="1"/>
  <c r="G468" i="1"/>
  <c r="AE467" i="1"/>
  <c r="V467" i="1"/>
  <c r="W467" i="1" s="1"/>
  <c r="U467" i="1"/>
  <c r="P467" i="1"/>
  <c r="Q467" i="1" s="1"/>
  <c r="O467" i="1"/>
  <c r="L467" i="1"/>
  <c r="J467" i="1"/>
  <c r="M467" i="1" s="1"/>
  <c r="G467" i="1"/>
  <c r="AE466" i="1"/>
  <c r="V466" i="1"/>
  <c r="W466" i="1" s="1"/>
  <c r="U466" i="1"/>
  <c r="P466" i="1"/>
  <c r="Q466" i="1" s="1"/>
  <c r="O466" i="1"/>
  <c r="L466" i="1"/>
  <c r="J466" i="1"/>
  <c r="M466" i="1" s="1"/>
  <c r="G466" i="1"/>
  <c r="AE465" i="1"/>
  <c r="V465" i="1"/>
  <c r="W465" i="1" s="1"/>
  <c r="U465" i="1"/>
  <c r="P465" i="1"/>
  <c r="Q465" i="1" s="1"/>
  <c r="O465" i="1"/>
  <c r="L465" i="1"/>
  <c r="J465" i="1"/>
  <c r="M465" i="1" s="1"/>
  <c r="G465" i="1"/>
  <c r="AE464" i="1"/>
  <c r="V464" i="1"/>
  <c r="W464" i="1" s="1"/>
  <c r="U464" i="1"/>
  <c r="P464" i="1"/>
  <c r="Q464" i="1" s="1"/>
  <c r="O464" i="1"/>
  <c r="L464" i="1"/>
  <c r="J464" i="1"/>
  <c r="M464" i="1" s="1"/>
  <c r="G464" i="1"/>
  <c r="AE463" i="1"/>
  <c r="V463" i="1"/>
  <c r="W463" i="1" s="1"/>
  <c r="U463" i="1"/>
  <c r="S463" i="1"/>
  <c r="P463" i="1"/>
  <c r="Q463" i="1" s="1"/>
  <c r="O463" i="1"/>
  <c r="R463" i="1" s="1"/>
  <c r="L463" i="1"/>
  <c r="J463" i="1"/>
  <c r="M463" i="1" s="1"/>
  <c r="G463" i="1"/>
  <c r="AE462" i="1"/>
  <c r="V462" i="1"/>
  <c r="W462" i="1" s="1"/>
  <c r="U462" i="1"/>
  <c r="S462" i="1"/>
  <c r="P462" i="1"/>
  <c r="Q462" i="1" s="1"/>
  <c r="O462" i="1"/>
  <c r="R462" i="1" s="1"/>
  <c r="L462" i="1"/>
  <c r="J462" i="1"/>
  <c r="M462" i="1" s="1"/>
  <c r="G462" i="1"/>
  <c r="AE461" i="1"/>
  <c r="V461" i="1"/>
  <c r="W461" i="1" s="1"/>
  <c r="U461" i="1"/>
  <c r="P461" i="1"/>
  <c r="Q461" i="1" s="1"/>
  <c r="O461" i="1"/>
  <c r="L461" i="1"/>
  <c r="J461" i="1"/>
  <c r="M461" i="1" s="1"/>
  <c r="G461" i="1"/>
  <c r="AE460" i="1"/>
  <c r="V460" i="1"/>
  <c r="W460" i="1" s="1"/>
  <c r="U460" i="1"/>
  <c r="P460" i="1"/>
  <c r="Q460" i="1" s="1"/>
  <c r="O460" i="1"/>
  <c r="L460" i="1"/>
  <c r="J460" i="1"/>
  <c r="M460" i="1" s="1"/>
  <c r="G460" i="1"/>
  <c r="AE459" i="1"/>
  <c r="V459" i="1"/>
  <c r="W459" i="1" s="1"/>
  <c r="U459" i="1"/>
  <c r="P459" i="1"/>
  <c r="Q459" i="1" s="1"/>
  <c r="O459" i="1"/>
  <c r="L459" i="1"/>
  <c r="J459" i="1"/>
  <c r="M459" i="1" s="1"/>
  <c r="G459" i="1"/>
  <c r="AE458" i="1"/>
  <c r="V458" i="1"/>
  <c r="W458" i="1" s="1"/>
  <c r="U458" i="1"/>
  <c r="P458" i="1"/>
  <c r="Q458" i="1" s="1"/>
  <c r="O458" i="1"/>
  <c r="L458" i="1"/>
  <c r="J458" i="1"/>
  <c r="M458" i="1" s="1"/>
  <c r="G458" i="1"/>
  <c r="AE457" i="1"/>
  <c r="V457" i="1"/>
  <c r="W457" i="1" s="1"/>
  <c r="U457" i="1"/>
  <c r="P457" i="1"/>
  <c r="Q457" i="1" s="1"/>
  <c r="O457" i="1"/>
  <c r="L457" i="1"/>
  <c r="J457" i="1"/>
  <c r="M457" i="1" s="1"/>
  <c r="G457" i="1"/>
  <c r="AE456" i="1"/>
  <c r="V456" i="1"/>
  <c r="W456" i="1" s="1"/>
  <c r="U456" i="1"/>
  <c r="S456" i="1"/>
  <c r="P456" i="1"/>
  <c r="Q456" i="1" s="1"/>
  <c r="O456" i="1"/>
  <c r="R456" i="1" s="1"/>
  <c r="L456" i="1"/>
  <c r="J456" i="1"/>
  <c r="M456" i="1" s="1"/>
  <c r="G456" i="1"/>
  <c r="AE455" i="1"/>
  <c r="V455" i="1"/>
  <c r="W455" i="1" s="1"/>
  <c r="U455" i="1"/>
  <c r="P455" i="1"/>
  <c r="Q455" i="1" s="1"/>
  <c r="O455" i="1"/>
  <c r="L455" i="1"/>
  <c r="J455" i="1"/>
  <c r="M455" i="1" s="1"/>
  <c r="G455" i="1"/>
  <c r="AE454" i="1"/>
  <c r="V454" i="1"/>
  <c r="W454" i="1" s="1"/>
  <c r="U454" i="1"/>
  <c r="P454" i="1"/>
  <c r="Q454" i="1" s="1"/>
  <c r="O454" i="1"/>
  <c r="L454" i="1"/>
  <c r="J454" i="1"/>
  <c r="M454" i="1" s="1"/>
  <c r="G454" i="1"/>
  <c r="AE453" i="1"/>
  <c r="V453" i="1"/>
  <c r="W453" i="1" s="1"/>
  <c r="U453" i="1"/>
  <c r="P453" i="1"/>
  <c r="Q453" i="1" s="1"/>
  <c r="O453" i="1"/>
  <c r="L453" i="1"/>
  <c r="J453" i="1"/>
  <c r="M453" i="1" s="1"/>
  <c r="G453" i="1"/>
  <c r="AE452" i="1"/>
  <c r="V452" i="1"/>
  <c r="W452" i="1" s="1"/>
  <c r="U452" i="1"/>
  <c r="P452" i="1"/>
  <c r="Q452" i="1" s="1"/>
  <c r="O452" i="1"/>
  <c r="L452" i="1"/>
  <c r="J452" i="1"/>
  <c r="M452" i="1" s="1"/>
  <c r="G452" i="1"/>
  <c r="AE451" i="1"/>
  <c r="V451" i="1"/>
  <c r="W451" i="1" s="1"/>
  <c r="U451" i="1"/>
  <c r="P451" i="1"/>
  <c r="Q451" i="1" s="1"/>
  <c r="O451" i="1"/>
  <c r="L451" i="1"/>
  <c r="J451" i="1"/>
  <c r="M451" i="1" s="1"/>
  <c r="G451" i="1"/>
  <c r="AE450" i="1"/>
  <c r="V450" i="1"/>
  <c r="W450" i="1" s="1"/>
  <c r="U450" i="1"/>
  <c r="P450" i="1"/>
  <c r="Q450" i="1" s="1"/>
  <c r="O450" i="1"/>
  <c r="L450" i="1"/>
  <c r="J450" i="1"/>
  <c r="M450" i="1" s="1"/>
  <c r="G450" i="1"/>
  <c r="AE449" i="1"/>
  <c r="Y449" i="1"/>
  <c r="V449" i="1"/>
  <c r="W449" i="1" s="1"/>
  <c r="U449" i="1"/>
  <c r="X449" i="1" s="1"/>
  <c r="P449" i="1"/>
  <c r="Q449" i="1" s="1"/>
  <c r="O449" i="1"/>
  <c r="L449" i="1"/>
  <c r="J449" i="1"/>
  <c r="M449" i="1" s="1"/>
  <c r="G449" i="1"/>
  <c r="AE448" i="1"/>
  <c r="V448" i="1"/>
  <c r="W448" i="1" s="1"/>
  <c r="U448" i="1"/>
  <c r="P448" i="1"/>
  <c r="Q448" i="1" s="1"/>
  <c r="O448" i="1"/>
  <c r="L448" i="1"/>
  <c r="J448" i="1"/>
  <c r="M448" i="1" s="1"/>
  <c r="G448" i="1"/>
  <c r="AE447" i="1"/>
  <c r="V447" i="1"/>
  <c r="W447" i="1" s="1"/>
  <c r="U447" i="1"/>
  <c r="P447" i="1"/>
  <c r="Q447" i="1" s="1"/>
  <c r="O447" i="1"/>
  <c r="L447" i="1"/>
  <c r="J447" i="1"/>
  <c r="M447" i="1" s="1"/>
  <c r="G447" i="1"/>
  <c r="AE446" i="1"/>
  <c r="V446" i="1"/>
  <c r="W446" i="1" s="1"/>
  <c r="U446" i="1"/>
  <c r="P446" i="1"/>
  <c r="Q446" i="1" s="1"/>
  <c r="O446" i="1"/>
  <c r="L446" i="1"/>
  <c r="J446" i="1"/>
  <c r="M446" i="1" s="1"/>
  <c r="G446" i="1"/>
  <c r="AE445" i="1"/>
  <c r="V445" i="1"/>
  <c r="W445" i="1" s="1"/>
  <c r="U445" i="1"/>
  <c r="P445" i="1"/>
  <c r="Q445" i="1" s="1"/>
  <c r="O445" i="1"/>
  <c r="L445" i="1"/>
  <c r="J445" i="1"/>
  <c r="M445" i="1" s="1"/>
  <c r="G445" i="1"/>
  <c r="AE444" i="1"/>
  <c r="V444" i="1"/>
  <c r="W444" i="1" s="1"/>
  <c r="U444" i="1"/>
  <c r="P444" i="1"/>
  <c r="Q444" i="1" s="1"/>
  <c r="O444" i="1"/>
  <c r="L444" i="1"/>
  <c r="J444" i="1"/>
  <c r="M444" i="1" s="1"/>
  <c r="G444" i="1"/>
  <c r="AE443" i="1"/>
  <c r="V443" i="1"/>
  <c r="W443" i="1" s="1"/>
  <c r="U443" i="1"/>
  <c r="P443" i="1"/>
  <c r="Q443" i="1" s="1"/>
  <c r="O443" i="1"/>
  <c r="L443" i="1"/>
  <c r="J443" i="1"/>
  <c r="M443" i="1" s="1"/>
  <c r="G443" i="1"/>
  <c r="AE442" i="1"/>
  <c r="Y442" i="1"/>
  <c r="V442" i="1"/>
  <c r="W442" i="1" s="1"/>
  <c r="U442" i="1"/>
  <c r="X442" i="1" s="1"/>
  <c r="S442" i="1"/>
  <c r="P442" i="1"/>
  <c r="Q442" i="1" s="1"/>
  <c r="O442" i="1"/>
  <c r="R442" i="1" s="1"/>
  <c r="L442" i="1"/>
  <c r="J442" i="1"/>
  <c r="M442" i="1" s="1"/>
  <c r="G442" i="1"/>
  <c r="AE441" i="1"/>
  <c r="V441" i="1"/>
  <c r="W441" i="1" s="1"/>
  <c r="U441" i="1"/>
  <c r="P441" i="1"/>
  <c r="Q441" i="1" s="1"/>
  <c r="O441" i="1"/>
  <c r="L441" i="1"/>
  <c r="J441" i="1"/>
  <c r="M441" i="1" s="1"/>
  <c r="G441" i="1"/>
  <c r="AE440" i="1"/>
  <c r="V440" i="1"/>
  <c r="W440" i="1" s="1"/>
  <c r="U440" i="1"/>
  <c r="P440" i="1"/>
  <c r="Q440" i="1" s="1"/>
  <c r="O440" i="1"/>
  <c r="L440" i="1"/>
  <c r="J440" i="1"/>
  <c r="M440" i="1" s="1"/>
  <c r="G440" i="1"/>
  <c r="AE439" i="1"/>
  <c r="V439" i="1"/>
  <c r="W439" i="1" s="1"/>
  <c r="U439" i="1"/>
  <c r="P439" i="1"/>
  <c r="Q439" i="1" s="1"/>
  <c r="O439" i="1"/>
  <c r="L439" i="1"/>
  <c r="J439" i="1"/>
  <c r="M439" i="1" s="1"/>
  <c r="G439" i="1"/>
  <c r="AE438" i="1"/>
  <c r="V438" i="1"/>
  <c r="W438" i="1" s="1"/>
  <c r="U438" i="1"/>
  <c r="P438" i="1"/>
  <c r="Q438" i="1" s="1"/>
  <c r="O438" i="1"/>
  <c r="L438" i="1"/>
  <c r="J438" i="1"/>
  <c r="M438" i="1" s="1"/>
  <c r="G438" i="1"/>
  <c r="AE437" i="1"/>
  <c r="V437" i="1"/>
  <c r="W437" i="1" s="1"/>
  <c r="U437" i="1"/>
  <c r="P437" i="1"/>
  <c r="Q437" i="1" s="1"/>
  <c r="O437" i="1"/>
  <c r="L437" i="1"/>
  <c r="J437" i="1"/>
  <c r="M437" i="1" s="1"/>
  <c r="G437" i="1"/>
  <c r="AE436" i="1"/>
  <c r="V436" i="1"/>
  <c r="W436" i="1" s="1"/>
  <c r="U436" i="1"/>
  <c r="P436" i="1"/>
  <c r="Q436" i="1" s="1"/>
  <c r="O436" i="1"/>
  <c r="L436" i="1"/>
  <c r="J436" i="1"/>
  <c r="M436" i="1" s="1"/>
  <c r="G436" i="1"/>
  <c r="AE435" i="1"/>
  <c r="V435" i="1"/>
  <c r="W435" i="1" s="1"/>
  <c r="U435" i="1"/>
  <c r="P435" i="1"/>
  <c r="Q435" i="1" s="1"/>
  <c r="O435" i="1"/>
  <c r="L435" i="1"/>
  <c r="J435" i="1"/>
  <c r="M435" i="1" s="1"/>
  <c r="G435" i="1"/>
  <c r="AE434" i="1"/>
  <c r="V434" i="1"/>
  <c r="W434" i="1" s="1"/>
  <c r="U434" i="1"/>
  <c r="P434" i="1"/>
  <c r="Q434" i="1" s="1"/>
  <c r="O434" i="1"/>
  <c r="L434" i="1"/>
  <c r="J434" i="1"/>
  <c r="M434" i="1" s="1"/>
  <c r="G434" i="1"/>
  <c r="AE433" i="1"/>
  <c r="V433" i="1"/>
  <c r="W433" i="1" s="1"/>
  <c r="U433" i="1"/>
  <c r="P433" i="1"/>
  <c r="Q433" i="1" s="1"/>
  <c r="O433" i="1"/>
  <c r="L433" i="1"/>
  <c r="J433" i="1"/>
  <c r="M433" i="1" s="1"/>
  <c r="G433" i="1"/>
  <c r="AE432" i="1"/>
  <c r="V432" i="1"/>
  <c r="W432" i="1" s="1"/>
  <c r="U432" i="1"/>
  <c r="P432" i="1"/>
  <c r="Q432" i="1" s="1"/>
  <c r="O432" i="1"/>
  <c r="L432" i="1"/>
  <c r="J432" i="1"/>
  <c r="M432" i="1" s="1"/>
  <c r="G432" i="1"/>
  <c r="AE431" i="1"/>
  <c r="V431" i="1"/>
  <c r="W431" i="1" s="1"/>
  <c r="U431" i="1"/>
  <c r="P431" i="1"/>
  <c r="Q431" i="1" s="1"/>
  <c r="O431" i="1"/>
  <c r="L431" i="1"/>
  <c r="J431" i="1"/>
  <c r="M431" i="1" s="1"/>
  <c r="G431" i="1"/>
  <c r="AE430" i="1"/>
  <c r="V430" i="1"/>
  <c r="W430" i="1" s="1"/>
  <c r="U430" i="1"/>
  <c r="P430" i="1"/>
  <c r="Q430" i="1" s="1"/>
  <c r="O430" i="1"/>
  <c r="L430" i="1"/>
  <c r="J430" i="1"/>
  <c r="M430" i="1" s="1"/>
  <c r="G430" i="1"/>
  <c r="AE429" i="1"/>
  <c r="V429" i="1"/>
  <c r="W429" i="1" s="1"/>
  <c r="U429" i="1"/>
  <c r="P429" i="1"/>
  <c r="Q429" i="1" s="1"/>
  <c r="O429" i="1"/>
  <c r="L429" i="1"/>
  <c r="J429" i="1"/>
  <c r="M429" i="1" s="1"/>
  <c r="G429" i="1"/>
  <c r="AE428" i="1"/>
  <c r="V428" i="1"/>
  <c r="W428" i="1" s="1"/>
  <c r="U428" i="1"/>
  <c r="S428" i="1"/>
  <c r="P428" i="1"/>
  <c r="Q428" i="1" s="1"/>
  <c r="O428" i="1"/>
  <c r="R428" i="1" s="1"/>
  <c r="L428" i="1"/>
  <c r="J428" i="1"/>
  <c r="M428" i="1" s="1"/>
  <c r="G428" i="1"/>
  <c r="AE427" i="1"/>
  <c r="V427" i="1"/>
  <c r="W427" i="1" s="1"/>
  <c r="U427" i="1"/>
  <c r="P427" i="1"/>
  <c r="Q427" i="1" s="1"/>
  <c r="O427" i="1"/>
  <c r="L427" i="1"/>
  <c r="J427" i="1"/>
  <c r="M427" i="1" s="1"/>
  <c r="G427" i="1"/>
  <c r="AE426" i="1"/>
  <c r="V426" i="1"/>
  <c r="W426" i="1" s="1"/>
  <c r="U426" i="1"/>
  <c r="P426" i="1"/>
  <c r="Q426" i="1" s="1"/>
  <c r="O426" i="1"/>
  <c r="L426" i="1"/>
  <c r="J426" i="1"/>
  <c r="M426" i="1" s="1"/>
  <c r="G426" i="1"/>
  <c r="AE425" i="1"/>
  <c r="V425" i="1"/>
  <c r="W425" i="1" s="1"/>
  <c r="U425" i="1"/>
  <c r="P425" i="1"/>
  <c r="Q425" i="1" s="1"/>
  <c r="O425" i="1"/>
  <c r="L425" i="1"/>
  <c r="J425" i="1"/>
  <c r="M425" i="1" s="1"/>
  <c r="G425" i="1"/>
  <c r="AE424" i="1"/>
  <c r="V424" i="1"/>
  <c r="W424" i="1" s="1"/>
  <c r="U424" i="1"/>
  <c r="P424" i="1"/>
  <c r="Q424" i="1" s="1"/>
  <c r="O424" i="1"/>
  <c r="L424" i="1"/>
  <c r="J424" i="1"/>
  <c r="M424" i="1" s="1"/>
  <c r="G424" i="1"/>
  <c r="AE423" i="1"/>
  <c r="V423" i="1"/>
  <c r="W423" i="1" s="1"/>
  <c r="U423" i="1"/>
  <c r="P423" i="1"/>
  <c r="Q423" i="1" s="1"/>
  <c r="O423" i="1"/>
  <c r="L423" i="1"/>
  <c r="J423" i="1"/>
  <c r="M423" i="1" s="1"/>
  <c r="G423" i="1"/>
  <c r="AE422" i="1"/>
  <c r="V422" i="1"/>
  <c r="W422" i="1" s="1"/>
  <c r="U422" i="1"/>
  <c r="P422" i="1"/>
  <c r="Q422" i="1" s="1"/>
  <c r="O422" i="1"/>
  <c r="L422" i="1"/>
  <c r="J422" i="1"/>
  <c r="M422" i="1" s="1"/>
  <c r="G422" i="1"/>
  <c r="AE421" i="1"/>
  <c r="V421" i="1"/>
  <c r="W421" i="1" s="1"/>
  <c r="U421" i="1"/>
  <c r="P421" i="1"/>
  <c r="Q421" i="1" s="1"/>
  <c r="O421" i="1"/>
  <c r="L421" i="1"/>
  <c r="J421" i="1"/>
  <c r="M421" i="1" s="1"/>
  <c r="G421" i="1"/>
  <c r="AE420" i="1"/>
  <c r="V420" i="1"/>
  <c r="W420" i="1" s="1"/>
  <c r="U420" i="1"/>
  <c r="P420" i="1"/>
  <c r="Q420" i="1" s="1"/>
  <c r="O420" i="1"/>
  <c r="L420" i="1"/>
  <c r="J420" i="1"/>
  <c r="M420" i="1" s="1"/>
  <c r="G420" i="1"/>
  <c r="AE419" i="1"/>
  <c r="V419" i="1"/>
  <c r="W419" i="1" s="1"/>
  <c r="U419" i="1"/>
  <c r="P419" i="1"/>
  <c r="Q419" i="1" s="1"/>
  <c r="O419" i="1"/>
  <c r="L419" i="1"/>
  <c r="J419" i="1"/>
  <c r="M419" i="1" s="1"/>
  <c r="G419" i="1"/>
  <c r="AE418" i="1"/>
  <c r="V418" i="1"/>
  <c r="W418" i="1" s="1"/>
  <c r="U418" i="1"/>
  <c r="P418" i="1"/>
  <c r="Q418" i="1" s="1"/>
  <c r="O418" i="1"/>
  <c r="L418" i="1"/>
  <c r="J418" i="1"/>
  <c r="M418" i="1" s="1"/>
  <c r="G418" i="1"/>
  <c r="AE417" i="1"/>
  <c r="V417" i="1"/>
  <c r="W417" i="1" s="1"/>
  <c r="U417" i="1"/>
  <c r="P417" i="1"/>
  <c r="Q417" i="1" s="1"/>
  <c r="O417" i="1"/>
  <c r="L417" i="1"/>
  <c r="J417" i="1"/>
  <c r="M417" i="1" s="1"/>
  <c r="G417" i="1"/>
  <c r="AE416" i="1"/>
  <c r="V416" i="1"/>
  <c r="W416" i="1" s="1"/>
  <c r="U416" i="1"/>
  <c r="P416" i="1"/>
  <c r="Q416" i="1" s="1"/>
  <c r="O416" i="1"/>
  <c r="L416" i="1"/>
  <c r="J416" i="1"/>
  <c r="M416" i="1" s="1"/>
  <c r="G416" i="1"/>
  <c r="AE415" i="1"/>
  <c r="V415" i="1"/>
  <c r="W415" i="1" s="1"/>
  <c r="U415" i="1"/>
  <c r="P415" i="1"/>
  <c r="Q415" i="1" s="1"/>
  <c r="O415" i="1"/>
  <c r="L415" i="1"/>
  <c r="J415" i="1"/>
  <c r="M415" i="1" s="1"/>
  <c r="G415" i="1"/>
  <c r="AE414" i="1"/>
  <c r="V414" i="1"/>
  <c r="W414" i="1" s="1"/>
  <c r="U414" i="1"/>
  <c r="P414" i="1"/>
  <c r="Q414" i="1" s="1"/>
  <c r="O414" i="1"/>
  <c r="L414" i="1"/>
  <c r="J414" i="1"/>
  <c r="M414" i="1" s="1"/>
  <c r="G414" i="1"/>
  <c r="AE413" i="1"/>
  <c r="V413" i="1"/>
  <c r="W413" i="1" s="1"/>
  <c r="U413" i="1"/>
  <c r="P413" i="1"/>
  <c r="Q413" i="1" s="1"/>
  <c r="O413" i="1"/>
  <c r="L413" i="1"/>
  <c r="J413" i="1"/>
  <c r="M413" i="1" s="1"/>
  <c r="G413" i="1"/>
  <c r="AE412" i="1"/>
  <c r="V412" i="1"/>
  <c r="W412" i="1" s="1"/>
  <c r="U412" i="1"/>
  <c r="P412" i="1"/>
  <c r="Q412" i="1" s="1"/>
  <c r="O412" i="1"/>
  <c r="L412" i="1"/>
  <c r="J412" i="1"/>
  <c r="M412" i="1" s="1"/>
  <c r="G412" i="1"/>
  <c r="AE411" i="1"/>
  <c r="V411" i="1"/>
  <c r="W411" i="1" s="1"/>
  <c r="U411" i="1"/>
  <c r="P411" i="1"/>
  <c r="Q411" i="1" s="1"/>
  <c r="O411" i="1"/>
  <c r="L411" i="1"/>
  <c r="J411" i="1"/>
  <c r="M411" i="1" s="1"/>
  <c r="G411" i="1"/>
  <c r="AE410" i="1"/>
  <c r="Y410" i="1"/>
  <c r="V410" i="1"/>
  <c r="W410" i="1" s="1"/>
  <c r="U410" i="1"/>
  <c r="X410" i="1" s="1"/>
  <c r="P410" i="1"/>
  <c r="Q410" i="1" s="1"/>
  <c r="O410" i="1"/>
  <c r="L410" i="1"/>
  <c r="J410" i="1"/>
  <c r="M410" i="1" s="1"/>
  <c r="G410" i="1"/>
  <c r="AE409" i="1"/>
  <c r="V409" i="1"/>
  <c r="W409" i="1" s="1"/>
  <c r="U409" i="1"/>
  <c r="P409" i="1"/>
  <c r="Q409" i="1" s="1"/>
  <c r="O409" i="1"/>
  <c r="L409" i="1"/>
  <c r="J409" i="1"/>
  <c r="M409" i="1" s="1"/>
  <c r="G409" i="1"/>
  <c r="AE408" i="1"/>
  <c r="V408" i="1"/>
  <c r="W408" i="1" s="1"/>
  <c r="U408" i="1"/>
  <c r="P408" i="1"/>
  <c r="Q408" i="1" s="1"/>
  <c r="O408" i="1"/>
  <c r="L408" i="1"/>
  <c r="J408" i="1"/>
  <c r="M408" i="1" s="1"/>
  <c r="G408" i="1"/>
  <c r="AE407" i="1"/>
  <c r="V407" i="1"/>
  <c r="W407" i="1" s="1"/>
  <c r="U407" i="1"/>
  <c r="P407" i="1"/>
  <c r="Q407" i="1" s="1"/>
  <c r="O407" i="1"/>
  <c r="L407" i="1"/>
  <c r="J407" i="1"/>
  <c r="M407" i="1" s="1"/>
  <c r="G407" i="1"/>
  <c r="AE406" i="1"/>
  <c r="V406" i="1"/>
  <c r="W406" i="1" s="1"/>
  <c r="U406" i="1"/>
  <c r="P406" i="1"/>
  <c r="Q406" i="1" s="1"/>
  <c r="O406" i="1"/>
  <c r="L406" i="1"/>
  <c r="J406" i="1"/>
  <c r="M406" i="1" s="1"/>
  <c r="G406" i="1"/>
  <c r="AE405" i="1"/>
  <c r="V405" i="1"/>
  <c r="W405" i="1" s="1"/>
  <c r="U405" i="1"/>
  <c r="P405" i="1"/>
  <c r="Q405" i="1" s="1"/>
  <c r="O405" i="1"/>
  <c r="L405" i="1"/>
  <c r="J405" i="1"/>
  <c r="M405" i="1" s="1"/>
  <c r="G405" i="1"/>
  <c r="AE404" i="1"/>
  <c r="V404" i="1"/>
  <c r="W404" i="1" s="1"/>
  <c r="U404" i="1"/>
  <c r="P404" i="1"/>
  <c r="Q404" i="1" s="1"/>
  <c r="O404" i="1"/>
  <c r="L404" i="1"/>
  <c r="J404" i="1"/>
  <c r="M404" i="1" s="1"/>
  <c r="G404" i="1"/>
  <c r="AE403" i="1"/>
  <c r="V403" i="1"/>
  <c r="W403" i="1" s="1"/>
  <c r="U403" i="1"/>
  <c r="P403" i="1"/>
  <c r="Q403" i="1" s="1"/>
  <c r="O403" i="1"/>
  <c r="L403" i="1"/>
  <c r="J403" i="1"/>
  <c r="M403" i="1" s="1"/>
  <c r="G403" i="1"/>
  <c r="AE402" i="1"/>
  <c r="V402" i="1"/>
  <c r="W402" i="1" s="1"/>
  <c r="U402" i="1"/>
  <c r="P402" i="1"/>
  <c r="Q402" i="1" s="1"/>
  <c r="O402" i="1"/>
  <c r="L402" i="1"/>
  <c r="J402" i="1"/>
  <c r="M402" i="1" s="1"/>
  <c r="G402" i="1"/>
  <c r="AE401" i="1"/>
  <c r="V401" i="1"/>
  <c r="W401" i="1" s="1"/>
  <c r="U401" i="1"/>
  <c r="S401" i="1"/>
  <c r="P401" i="1"/>
  <c r="Q401" i="1" s="1"/>
  <c r="O401" i="1"/>
  <c r="R401" i="1" s="1"/>
  <c r="L401" i="1"/>
  <c r="J401" i="1"/>
  <c r="M401" i="1" s="1"/>
  <c r="G401" i="1"/>
  <c r="AE400" i="1"/>
  <c r="V400" i="1"/>
  <c r="W400" i="1" s="1"/>
  <c r="U400" i="1"/>
  <c r="P400" i="1"/>
  <c r="Q400" i="1" s="1"/>
  <c r="O400" i="1"/>
  <c r="L400" i="1"/>
  <c r="J400" i="1"/>
  <c r="M400" i="1" s="1"/>
  <c r="G400" i="1"/>
  <c r="AE399" i="1"/>
  <c r="V399" i="1"/>
  <c r="W399" i="1" s="1"/>
  <c r="U399" i="1"/>
  <c r="P399" i="1"/>
  <c r="Q399" i="1" s="1"/>
  <c r="O399" i="1"/>
  <c r="L399" i="1"/>
  <c r="J399" i="1"/>
  <c r="M399" i="1" s="1"/>
  <c r="G399" i="1"/>
  <c r="AE398" i="1"/>
  <c r="V398" i="1"/>
  <c r="W398" i="1" s="1"/>
  <c r="U398" i="1"/>
  <c r="P398" i="1"/>
  <c r="Q398" i="1" s="1"/>
  <c r="O398" i="1"/>
  <c r="L398" i="1"/>
  <c r="J398" i="1"/>
  <c r="M398" i="1" s="1"/>
  <c r="G398" i="1"/>
  <c r="AE397" i="1"/>
  <c r="V397" i="1"/>
  <c r="W397" i="1" s="1"/>
  <c r="U397" i="1"/>
  <c r="P397" i="1"/>
  <c r="Q397" i="1" s="1"/>
  <c r="O397" i="1"/>
  <c r="L397" i="1"/>
  <c r="J397" i="1"/>
  <c r="M397" i="1" s="1"/>
  <c r="G397" i="1"/>
  <c r="AE396" i="1"/>
  <c r="V396" i="1"/>
  <c r="W396" i="1" s="1"/>
  <c r="U396" i="1"/>
  <c r="S396" i="1"/>
  <c r="P396" i="1"/>
  <c r="Q396" i="1" s="1"/>
  <c r="O396" i="1"/>
  <c r="R396" i="1" s="1"/>
  <c r="L396" i="1"/>
  <c r="J396" i="1"/>
  <c r="M396" i="1" s="1"/>
  <c r="G396" i="1"/>
  <c r="AE395" i="1"/>
  <c r="V395" i="1"/>
  <c r="W395" i="1" s="1"/>
  <c r="U395" i="1"/>
  <c r="S395" i="1"/>
  <c r="P395" i="1"/>
  <c r="Q395" i="1" s="1"/>
  <c r="O395" i="1"/>
  <c r="R395" i="1" s="1"/>
  <c r="L395" i="1"/>
  <c r="J395" i="1"/>
  <c r="M395" i="1" s="1"/>
  <c r="G395" i="1"/>
  <c r="AE394" i="1"/>
  <c r="V394" i="1"/>
  <c r="W394" i="1" s="1"/>
  <c r="U394" i="1"/>
  <c r="P394" i="1"/>
  <c r="Q394" i="1" s="1"/>
  <c r="O394" i="1"/>
  <c r="L394" i="1"/>
  <c r="J394" i="1"/>
  <c r="M394" i="1" s="1"/>
  <c r="G394" i="1"/>
  <c r="AE393" i="1"/>
  <c r="V393" i="1"/>
  <c r="W393" i="1" s="1"/>
  <c r="U393" i="1"/>
  <c r="P393" i="1"/>
  <c r="Q393" i="1" s="1"/>
  <c r="O393" i="1"/>
  <c r="L393" i="1"/>
  <c r="J393" i="1"/>
  <c r="M393" i="1" s="1"/>
  <c r="G393" i="1"/>
  <c r="AE392" i="1"/>
  <c r="V392" i="1"/>
  <c r="W392" i="1" s="1"/>
  <c r="U392" i="1"/>
  <c r="P392" i="1"/>
  <c r="Q392" i="1" s="1"/>
  <c r="O392" i="1"/>
  <c r="L392" i="1"/>
  <c r="J392" i="1"/>
  <c r="M392" i="1" s="1"/>
  <c r="G392" i="1"/>
  <c r="AE391" i="1"/>
  <c r="V391" i="1"/>
  <c r="W391" i="1" s="1"/>
  <c r="U391" i="1"/>
  <c r="P391" i="1"/>
  <c r="Q391" i="1" s="1"/>
  <c r="O391" i="1"/>
  <c r="L391" i="1"/>
  <c r="J391" i="1"/>
  <c r="M391" i="1" s="1"/>
  <c r="G391" i="1"/>
  <c r="AE390" i="1"/>
  <c r="V390" i="1"/>
  <c r="W390" i="1" s="1"/>
  <c r="U390" i="1"/>
  <c r="P390" i="1"/>
  <c r="Q390" i="1" s="1"/>
  <c r="O390" i="1"/>
  <c r="L390" i="1"/>
  <c r="J390" i="1"/>
  <c r="M390" i="1" s="1"/>
  <c r="G390" i="1"/>
  <c r="AE389" i="1"/>
  <c r="V389" i="1"/>
  <c r="W389" i="1" s="1"/>
  <c r="U389" i="1"/>
  <c r="S389" i="1"/>
  <c r="P389" i="1"/>
  <c r="Q389" i="1" s="1"/>
  <c r="O389" i="1"/>
  <c r="R389" i="1" s="1"/>
  <c r="L389" i="1"/>
  <c r="J389" i="1"/>
  <c r="M389" i="1" s="1"/>
  <c r="G389" i="1"/>
  <c r="AE388" i="1"/>
  <c r="V388" i="1"/>
  <c r="W388" i="1" s="1"/>
  <c r="U388" i="1"/>
  <c r="P388" i="1"/>
  <c r="Q388" i="1" s="1"/>
  <c r="O388" i="1"/>
  <c r="L388" i="1"/>
  <c r="J388" i="1"/>
  <c r="M388" i="1" s="1"/>
  <c r="G388" i="1"/>
  <c r="AE387" i="1"/>
  <c r="V387" i="1"/>
  <c r="W387" i="1" s="1"/>
  <c r="U387" i="1"/>
  <c r="P387" i="1"/>
  <c r="Q387" i="1" s="1"/>
  <c r="O387" i="1"/>
  <c r="L387" i="1"/>
  <c r="J387" i="1"/>
  <c r="M387" i="1" s="1"/>
  <c r="G387" i="1"/>
  <c r="AE386" i="1"/>
  <c r="V386" i="1"/>
  <c r="W386" i="1" s="1"/>
  <c r="U386" i="1"/>
  <c r="P386" i="1"/>
  <c r="Q386" i="1" s="1"/>
  <c r="O386" i="1"/>
  <c r="L386" i="1"/>
  <c r="J386" i="1"/>
  <c r="M386" i="1" s="1"/>
  <c r="G386" i="1"/>
  <c r="AE385" i="1"/>
  <c r="V385" i="1"/>
  <c r="W385" i="1" s="1"/>
  <c r="U385" i="1"/>
  <c r="P385" i="1"/>
  <c r="Q385" i="1" s="1"/>
  <c r="O385" i="1"/>
  <c r="L385" i="1"/>
  <c r="J385" i="1"/>
  <c r="M385" i="1" s="1"/>
  <c r="G385" i="1"/>
  <c r="AE384" i="1"/>
  <c r="V384" i="1"/>
  <c r="W384" i="1" s="1"/>
  <c r="U384" i="1"/>
  <c r="S384" i="1"/>
  <c r="P384" i="1"/>
  <c r="Q384" i="1" s="1"/>
  <c r="O384" i="1"/>
  <c r="R384" i="1" s="1"/>
  <c r="L384" i="1"/>
  <c r="J384" i="1"/>
  <c r="M384" i="1" s="1"/>
  <c r="G384" i="1"/>
  <c r="AE383" i="1"/>
  <c r="V383" i="1"/>
  <c r="W383" i="1" s="1"/>
  <c r="U383" i="1"/>
  <c r="P383" i="1"/>
  <c r="Q383" i="1" s="1"/>
  <c r="O383" i="1"/>
  <c r="L383" i="1"/>
  <c r="J383" i="1"/>
  <c r="M383" i="1" s="1"/>
  <c r="G383" i="1"/>
  <c r="AE382" i="1"/>
  <c r="Y382" i="1"/>
  <c r="V382" i="1"/>
  <c r="W382" i="1" s="1"/>
  <c r="U382" i="1"/>
  <c r="X382" i="1" s="1"/>
  <c r="S382" i="1"/>
  <c r="P382" i="1"/>
  <c r="Q382" i="1" s="1"/>
  <c r="O382" i="1"/>
  <c r="R382" i="1" s="1"/>
  <c r="L382" i="1"/>
  <c r="J382" i="1"/>
  <c r="M382" i="1" s="1"/>
  <c r="G382" i="1"/>
  <c r="AE381" i="1"/>
  <c r="Y381" i="1"/>
  <c r="V381" i="1"/>
  <c r="W381" i="1" s="1"/>
  <c r="U381" i="1"/>
  <c r="X381" i="1" s="1"/>
  <c r="S381" i="1"/>
  <c r="P381" i="1"/>
  <c r="Q381" i="1" s="1"/>
  <c r="O381" i="1"/>
  <c r="R381" i="1" s="1"/>
  <c r="L381" i="1"/>
  <c r="J381" i="1"/>
  <c r="M381" i="1" s="1"/>
  <c r="G381" i="1"/>
  <c r="AE380" i="1"/>
  <c r="V380" i="1"/>
  <c r="W380" i="1" s="1"/>
  <c r="U380" i="1"/>
  <c r="P380" i="1"/>
  <c r="Q380" i="1" s="1"/>
  <c r="O380" i="1"/>
  <c r="L380" i="1"/>
  <c r="J380" i="1"/>
  <c r="M380" i="1" s="1"/>
  <c r="G380" i="1"/>
  <c r="AE379" i="1"/>
  <c r="V379" i="1"/>
  <c r="W379" i="1" s="1"/>
  <c r="U379" i="1"/>
  <c r="S379" i="1"/>
  <c r="P379" i="1"/>
  <c r="Q379" i="1" s="1"/>
  <c r="O379" i="1"/>
  <c r="R379" i="1" s="1"/>
  <c r="L379" i="1"/>
  <c r="J379" i="1"/>
  <c r="M379" i="1" s="1"/>
  <c r="G379" i="1"/>
  <c r="AE378" i="1"/>
  <c r="V378" i="1"/>
  <c r="W378" i="1" s="1"/>
  <c r="U378" i="1"/>
  <c r="P378" i="1"/>
  <c r="Q378" i="1" s="1"/>
  <c r="O378" i="1"/>
  <c r="L378" i="1"/>
  <c r="J378" i="1"/>
  <c r="M378" i="1" s="1"/>
  <c r="G378" i="1"/>
  <c r="AE377" i="1"/>
  <c r="V377" i="1"/>
  <c r="W377" i="1" s="1"/>
  <c r="U377" i="1"/>
  <c r="P377" i="1"/>
  <c r="Q377" i="1" s="1"/>
  <c r="O377" i="1"/>
  <c r="L377" i="1"/>
  <c r="J377" i="1"/>
  <c r="M377" i="1" s="1"/>
  <c r="G377" i="1"/>
  <c r="AE376" i="1"/>
  <c r="V376" i="1"/>
  <c r="W376" i="1" s="1"/>
  <c r="U376" i="1"/>
  <c r="P376" i="1"/>
  <c r="Q376" i="1" s="1"/>
  <c r="O376" i="1"/>
  <c r="L376" i="1"/>
  <c r="J376" i="1"/>
  <c r="M376" i="1" s="1"/>
  <c r="G376" i="1"/>
  <c r="AE375" i="1"/>
  <c r="V375" i="1"/>
  <c r="W375" i="1" s="1"/>
  <c r="U375" i="1"/>
  <c r="S375" i="1"/>
  <c r="P375" i="1"/>
  <c r="Q375" i="1" s="1"/>
  <c r="O375" i="1"/>
  <c r="R375" i="1" s="1"/>
  <c r="L375" i="1"/>
  <c r="J375" i="1"/>
  <c r="M375" i="1" s="1"/>
  <c r="G375" i="1"/>
  <c r="AE374" i="1"/>
  <c r="V374" i="1"/>
  <c r="W374" i="1" s="1"/>
  <c r="U374" i="1"/>
  <c r="P374" i="1"/>
  <c r="Q374" i="1" s="1"/>
  <c r="O374" i="1"/>
  <c r="L374" i="1"/>
  <c r="J374" i="1"/>
  <c r="M374" i="1" s="1"/>
  <c r="G374" i="1"/>
  <c r="AE373" i="1"/>
  <c r="V373" i="1"/>
  <c r="W373" i="1" s="1"/>
  <c r="U373" i="1"/>
  <c r="S373" i="1"/>
  <c r="P373" i="1"/>
  <c r="Q373" i="1" s="1"/>
  <c r="O373" i="1"/>
  <c r="R373" i="1" s="1"/>
  <c r="L373" i="1"/>
  <c r="J373" i="1"/>
  <c r="M373" i="1" s="1"/>
  <c r="G373" i="1"/>
  <c r="AE372" i="1"/>
  <c r="Y372" i="1"/>
  <c r="V372" i="1"/>
  <c r="W372" i="1" s="1"/>
  <c r="U372" i="1"/>
  <c r="X372" i="1" s="1"/>
  <c r="S372" i="1"/>
  <c r="P372" i="1"/>
  <c r="Q372" i="1" s="1"/>
  <c r="O372" i="1"/>
  <c r="R372" i="1" s="1"/>
  <c r="L372" i="1"/>
  <c r="J372" i="1"/>
  <c r="M372" i="1" s="1"/>
  <c r="G372" i="1"/>
  <c r="AE371" i="1"/>
  <c r="V371" i="1"/>
  <c r="W371" i="1" s="1"/>
  <c r="U371" i="1"/>
  <c r="S371" i="1"/>
  <c r="P371" i="1"/>
  <c r="Q371" i="1" s="1"/>
  <c r="O371" i="1"/>
  <c r="R371" i="1" s="1"/>
  <c r="L371" i="1"/>
  <c r="J371" i="1"/>
  <c r="M371" i="1" s="1"/>
  <c r="G371" i="1"/>
  <c r="AE370" i="1"/>
  <c r="V370" i="1"/>
  <c r="W370" i="1" s="1"/>
  <c r="U370" i="1"/>
  <c r="P370" i="1"/>
  <c r="Q370" i="1" s="1"/>
  <c r="O370" i="1"/>
  <c r="L370" i="1"/>
  <c r="J370" i="1"/>
  <c r="M370" i="1" s="1"/>
  <c r="G370" i="1"/>
  <c r="AE369" i="1"/>
  <c r="Y369" i="1"/>
  <c r="V369" i="1"/>
  <c r="W369" i="1" s="1"/>
  <c r="U369" i="1"/>
  <c r="X369" i="1" s="1"/>
  <c r="P369" i="1"/>
  <c r="Q369" i="1" s="1"/>
  <c r="O369" i="1"/>
  <c r="L369" i="1"/>
  <c r="J369" i="1"/>
  <c r="M369" i="1" s="1"/>
  <c r="G369" i="1"/>
  <c r="AE368" i="1"/>
  <c r="V368" i="1"/>
  <c r="W368" i="1" s="1"/>
  <c r="U368" i="1"/>
  <c r="S368" i="1"/>
  <c r="P368" i="1"/>
  <c r="Q368" i="1" s="1"/>
  <c r="O368" i="1"/>
  <c r="R368" i="1" s="1"/>
  <c r="L368" i="1"/>
  <c r="J368" i="1"/>
  <c r="M368" i="1" s="1"/>
  <c r="G368" i="1"/>
  <c r="AE367" i="1"/>
  <c r="Y367" i="1"/>
  <c r="V367" i="1"/>
  <c r="W367" i="1" s="1"/>
  <c r="U367" i="1"/>
  <c r="X367" i="1" s="1"/>
  <c r="P367" i="1"/>
  <c r="Q367" i="1" s="1"/>
  <c r="O367" i="1"/>
  <c r="L367" i="1"/>
  <c r="J367" i="1"/>
  <c r="M367" i="1" s="1"/>
  <c r="G367" i="1"/>
  <c r="AE366" i="1"/>
  <c r="V366" i="1"/>
  <c r="W366" i="1" s="1"/>
  <c r="U366" i="1"/>
  <c r="P366" i="1"/>
  <c r="Q366" i="1" s="1"/>
  <c r="O366" i="1"/>
  <c r="L366" i="1"/>
  <c r="J366" i="1"/>
  <c r="M366" i="1" s="1"/>
  <c r="G366" i="1"/>
  <c r="AE365" i="1"/>
  <c r="V365" i="1"/>
  <c r="W365" i="1" s="1"/>
  <c r="U365" i="1"/>
  <c r="P365" i="1"/>
  <c r="Q365" i="1" s="1"/>
  <c r="O365" i="1"/>
  <c r="L365" i="1"/>
  <c r="J365" i="1"/>
  <c r="M365" i="1" s="1"/>
  <c r="G365" i="1"/>
  <c r="AE364" i="1"/>
  <c r="V364" i="1"/>
  <c r="W364" i="1" s="1"/>
  <c r="U364" i="1"/>
  <c r="P364" i="1"/>
  <c r="Q364" i="1" s="1"/>
  <c r="O364" i="1"/>
  <c r="L364" i="1"/>
  <c r="J364" i="1"/>
  <c r="M364" i="1" s="1"/>
  <c r="G364" i="1"/>
  <c r="AE363" i="1"/>
  <c r="V363" i="1"/>
  <c r="W363" i="1" s="1"/>
  <c r="U363" i="1"/>
  <c r="P363" i="1"/>
  <c r="Q363" i="1" s="1"/>
  <c r="O363" i="1"/>
  <c r="L363" i="1"/>
  <c r="J363" i="1"/>
  <c r="M363" i="1" s="1"/>
  <c r="G363" i="1"/>
  <c r="AE362" i="1"/>
  <c r="Y362" i="1"/>
  <c r="V362" i="1"/>
  <c r="W362" i="1" s="1"/>
  <c r="U362" i="1"/>
  <c r="X362" i="1" s="1"/>
  <c r="P362" i="1"/>
  <c r="Q362" i="1" s="1"/>
  <c r="O362" i="1"/>
  <c r="L362" i="1"/>
  <c r="J362" i="1"/>
  <c r="M362" i="1" s="1"/>
  <c r="G362" i="1"/>
  <c r="AE361" i="1"/>
  <c r="V361" i="1"/>
  <c r="W361" i="1" s="1"/>
  <c r="U361" i="1"/>
  <c r="P361" i="1"/>
  <c r="Q361" i="1" s="1"/>
  <c r="O361" i="1"/>
  <c r="L361" i="1"/>
  <c r="J361" i="1"/>
  <c r="M361" i="1" s="1"/>
  <c r="G361" i="1"/>
  <c r="AE360" i="1"/>
  <c r="V360" i="1"/>
  <c r="W360" i="1" s="1"/>
  <c r="U360" i="1"/>
  <c r="P360" i="1"/>
  <c r="Q360" i="1" s="1"/>
  <c r="O360" i="1"/>
  <c r="L360" i="1"/>
  <c r="J360" i="1"/>
  <c r="M360" i="1" s="1"/>
  <c r="G360" i="1"/>
  <c r="AE359" i="1"/>
  <c r="V359" i="1"/>
  <c r="W359" i="1" s="1"/>
  <c r="U359" i="1"/>
  <c r="S359" i="1"/>
  <c r="P359" i="1"/>
  <c r="Q359" i="1" s="1"/>
  <c r="O359" i="1"/>
  <c r="R359" i="1" s="1"/>
  <c r="L359" i="1"/>
  <c r="J359" i="1"/>
  <c r="M359" i="1" s="1"/>
  <c r="G359" i="1"/>
  <c r="AE358" i="1"/>
  <c r="V358" i="1"/>
  <c r="W358" i="1" s="1"/>
  <c r="U358" i="1"/>
  <c r="P358" i="1"/>
  <c r="Q358" i="1" s="1"/>
  <c r="O358" i="1"/>
  <c r="L358" i="1"/>
  <c r="J358" i="1"/>
  <c r="M358" i="1" s="1"/>
  <c r="G358" i="1"/>
  <c r="AE357" i="1"/>
  <c r="Y357" i="1"/>
  <c r="V357" i="1"/>
  <c r="W357" i="1" s="1"/>
  <c r="U357" i="1"/>
  <c r="X357" i="1" s="1"/>
  <c r="P357" i="1"/>
  <c r="Q357" i="1" s="1"/>
  <c r="O357" i="1"/>
  <c r="L357" i="1"/>
  <c r="J357" i="1"/>
  <c r="M357" i="1" s="1"/>
  <c r="G357" i="1"/>
  <c r="AE356" i="1"/>
  <c r="V356" i="1"/>
  <c r="W356" i="1" s="1"/>
  <c r="U356" i="1"/>
  <c r="P356" i="1"/>
  <c r="Q356" i="1" s="1"/>
  <c r="O356" i="1"/>
  <c r="L356" i="1"/>
  <c r="J356" i="1"/>
  <c r="M356" i="1" s="1"/>
  <c r="G356" i="1"/>
  <c r="AE355" i="1"/>
  <c r="V355" i="1"/>
  <c r="W355" i="1" s="1"/>
  <c r="U355" i="1"/>
  <c r="S355" i="1"/>
  <c r="P355" i="1"/>
  <c r="Q355" i="1" s="1"/>
  <c r="O355" i="1"/>
  <c r="R355" i="1" s="1"/>
  <c r="L355" i="1"/>
  <c r="J355" i="1"/>
  <c r="M355" i="1" s="1"/>
  <c r="G355" i="1"/>
  <c r="AE354" i="1"/>
  <c r="V354" i="1"/>
  <c r="W354" i="1" s="1"/>
  <c r="U354" i="1"/>
  <c r="P354" i="1"/>
  <c r="Q354" i="1" s="1"/>
  <c r="O354" i="1"/>
  <c r="L354" i="1"/>
  <c r="J354" i="1"/>
  <c r="M354" i="1" s="1"/>
  <c r="G354" i="1"/>
  <c r="AE353" i="1"/>
  <c r="Y353" i="1"/>
  <c r="V353" i="1"/>
  <c r="W353" i="1" s="1"/>
  <c r="U353" i="1"/>
  <c r="X353" i="1" s="1"/>
  <c r="P353" i="1"/>
  <c r="Q353" i="1" s="1"/>
  <c r="O353" i="1"/>
  <c r="L353" i="1"/>
  <c r="J353" i="1"/>
  <c r="M353" i="1" s="1"/>
  <c r="G353" i="1"/>
  <c r="AE352" i="1"/>
  <c r="V352" i="1"/>
  <c r="W352" i="1" s="1"/>
  <c r="U352" i="1"/>
  <c r="P352" i="1"/>
  <c r="Q352" i="1" s="1"/>
  <c r="O352" i="1"/>
  <c r="L352" i="1"/>
  <c r="J352" i="1"/>
  <c r="M352" i="1" s="1"/>
  <c r="G352" i="1"/>
  <c r="AE351" i="1"/>
  <c r="V351" i="1"/>
  <c r="W351" i="1" s="1"/>
  <c r="U351" i="1"/>
  <c r="S351" i="1"/>
  <c r="P351" i="1"/>
  <c r="Q351" i="1" s="1"/>
  <c r="O351" i="1"/>
  <c r="R351" i="1" s="1"/>
  <c r="L351" i="1"/>
  <c r="J351" i="1"/>
  <c r="M351" i="1" s="1"/>
  <c r="G351" i="1"/>
  <c r="AE350" i="1"/>
  <c r="V350" i="1"/>
  <c r="W350" i="1" s="1"/>
  <c r="U350" i="1"/>
  <c r="P350" i="1"/>
  <c r="Q350" i="1" s="1"/>
  <c r="O350" i="1"/>
  <c r="L350" i="1"/>
  <c r="J350" i="1"/>
  <c r="M350" i="1" s="1"/>
  <c r="G350" i="1"/>
  <c r="AE349" i="1"/>
  <c r="Y349" i="1"/>
  <c r="V349" i="1"/>
  <c r="W349" i="1" s="1"/>
  <c r="U349" i="1"/>
  <c r="X349" i="1" s="1"/>
  <c r="S349" i="1"/>
  <c r="P349" i="1"/>
  <c r="Q349" i="1" s="1"/>
  <c r="O349" i="1"/>
  <c r="R349" i="1" s="1"/>
  <c r="L349" i="1"/>
  <c r="J349" i="1"/>
  <c r="M349" i="1" s="1"/>
  <c r="G349" i="1"/>
  <c r="AE348" i="1"/>
  <c r="V348" i="1"/>
  <c r="W348" i="1" s="1"/>
  <c r="U348" i="1"/>
  <c r="P348" i="1"/>
  <c r="Q348" i="1" s="1"/>
  <c r="O348" i="1"/>
  <c r="L348" i="1"/>
  <c r="J348" i="1"/>
  <c r="M348" i="1" s="1"/>
  <c r="G348" i="1"/>
  <c r="AE347" i="1"/>
  <c r="V347" i="1"/>
  <c r="W347" i="1" s="1"/>
  <c r="U347" i="1"/>
  <c r="P347" i="1"/>
  <c r="Q347" i="1" s="1"/>
  <c r="O347" i="1"/>
  <c r="L347" i="1"/>
  <c r="J347" i="1"/>
  <c r="M347" i="1" s="1"/>
  <c r="G347" i="1"/>
  <c r="AE346" i="1"/>
  <c r="V346" i="1"/>
  <c r="W346" i="1" s="1"/>
  <c r="U346" i="1"/>
  <c r="P346" i="1"/>
  <c r="Q346" i="1" s="1"/>
  <c r="O346" i="1"/>
  <c r="L346" i="1"/>
  <c r="J346" i="1"/>
  <c r="M346" i="1" s="1"/>
  <c r="G346" i="1"/>
  <c r="AE345" i="1"/>
  <c r="V345" i="1"/>
  <c r="W345" i="1" s="1"/>
  <c r="U345" i="1"/>
  <c r="P345" i="1"/>
  <c r="Q345" i="1" s="1"/>
  <c r="O345" i="1"/>
  <c r="L345" i="1"/>
  <c r="J345" i="1"/>
  <c r="M345" i="1" s="1"/>
  <c r="G345" i="1"/>
  <c r="AE344" i="1"/>
  <c r="V344" i="1"/>
  <c r="W344" i="1" s="1"/>
  <c r="U344" i="1"/>
  <c r="P344" i="1"/>
  <c r="Q344" i="1" s="1"/>
  <c r="O344" i="1"/>
  <c r="L344" i="1"/>
  <c r="J344" i="1"/>
  <c r="M344" i="1" s="1"/>
  <c r="G344" i="1"/>
  <c r="AE343" i="1"/>
  <c r="V343" i="1"/>
  <c r="W343" i="1" s="1"/>
  <c r="U343" i="1"/>
  <c r="P343" i="1"/>
  <c r="Q343" i="1" s="1"/>
  <c r="O343" i="1"/>
  <c r="L343" i="1"/>
  <c r="J343" i="1"/>
  <c r="M343" i="1" s="1"/>
  <c r="G343" i="1"/>
  <c r="AE342" i="1"/>
  <c r="V342" i="1"/>
  <c r="W342" i="1" s="1"/>
  <c r="U342" i="1"/>
  <c r="S342" i="1"/>
  <c r="P342" i="1"/>
  <c r="Q342" i="1" s="1"/>
  <c r="O342" i="1"/>
  <c r="R342" i="1" s="1"/>
  <c r="L342" i="1"/>
  <c r="J342" i="1"/>
  <c r="M342" i="1" s="1"/>
  <c r="G342" i="1"/>
  <c r="AE341" i="1"/>
  <c r="V341" i="1"/>
  <c r="W341" i="1" s="1"/>
  <c r="U341" i="1"/>
  <c r="P341" i="1"/>
  <c r="Q341" i="1" s="1"/>
  <c r="O341" i="1"/>
  <c r="L341" i="1"/>
  <c r="J341" i="1"/>
  <c r="M341" i="1" s="1"/>
  <c r="G341" i="1"/>
  <c r="AE340" i="1"/>
  <c r="V340" i="1"/>
  <c r="W340" i="1" s="1"/>
  <c r="U340" i="1"/>
  <c r="P340" i="1"/>
  <c r="Q340" i="1" s="1"/>
  <c r="O340" i="1"/>
  <c r="L340" i="1"/>
  <c r="J340" i="1"/>
  <c r="M340" i="1" s="1"/>
  <c r="G340" i="1"/>
  <c r="AE339" i="1"/>
  <c r="V339" i="1"/>
  <c r="W339" i="1" s="1"/>
  <c r="U339" i="1"/>
  <c r="P339" i="1"/>
  <c r="Q339" i="1" s="1"/>
  <c r="O339" i="1"/>
  <c r="L339" i="1"/>
  <c r="J339" i="1"/>
  <c r="M339" i="1" s="1"/>
  <c r="G339" i="1"/>
  <c r="AE338" i="1"/>
  <c r="V338" i="1"/>
  <c r="W338" i="1" s="1"/>
  <c r="U338" i="1"/>
  <c r="P338" i="1"/>
  <c r="Q338" i="1" s="1"/>
  <c r="O338" i="1"/>
  <c r="L338" i="1"/>
  <c r="J338" i="1"/>
  <c r="M338" i="1" s="1"/>
  <c r="G338" i="1"/>
  <c r="AE337" i="1"/>
  <c r="V337" i="1"/>
  <c r="W337" i="1" s="1"/>
  <c r="U337" i="1"/>
  <c r="P337" i="1"/>
  <c r="Q337" i="1" s="1"/>
  <c r="O337" i="1"/>
  <c r="L337" i="1"/>
  <c r="J337" i="1"/>
  <c r="M337" i="1" s="1"/>
  <c r="G337" i="1"/>
  <c r="AE336" i="1"/>
  <c r="V336" i="1"/>
  <c r="W336" i="1" s="1"/>
  <c r="U336" i="1"/>
  <c r="P336" i="1"/>
  <c r="Q336" i="1" s="1"/>
  <c r="O336" i="1"/>
  <c r="L336" i="1"/>
  <c r="J336" i="1"/>
  <c r="M336" i="1" s="1"/>
  <c r="G336" i="1"/>
  <c r="AE335" i="1"/>
  <c r="V335" i="1"/>
  <c r="W335" i="1" s="1"/>
  <c r="U335" i="1"/>
  <c r="P335" i="1"/>
  <c r="Q335" i="1" s="1"/>
  <c r="O335" i="1"/>
  <c r="L335" i="1"/>
  <c r="J335" i="1"/>
  <c r="M335" i="1" s="1"/>
  <c r="G335" i="1"/>
  <c r="AE334" i="1"/>
  <c r="V334" i="1"/>
  <c r="W334" i="1" s="1"/>
  <c r="U334" i="1"/>
  <c r="P334" i="1"/>
  <c r="Q334" i="1" s="1"/>
  <c r="O334" i="1"/>
  <c r="L334" i="1"/>
  <c r="J334" i="1"/>
  <c r="M334" i="1" s="1"/>
  <c r="G334" i="1"/>
  <c r="AE333" i="1"/>
  <c r="V333" i="1"/>
  <c r="W333" i="1" s="1"/>
  <c r="U333" i="1"/>
  <c r="P333" i="1"/>
  <c r="Q333" i="1" s="1"/>
  <c r="O333" i="1"/>
  <c r="L333" i="1"/>
  <c r="J333" i="1"/>
  <c r="M333" i="1" s="1"/>
  <c r="G333" i="1"/>
  <c r="AE332" i="1"/>
  <c r="V332" i="1"/>
  <c r="W332" i="1" s="1"/>
  <c r="U332" i="1"/>
  <c r="P332" i="1"/>
  <c r="Q332" i="1" s="1"/>
  <c r="O332" i="1"/>
  <c r="L332" i="1"/>
  <c r="J332" i="1"/>
  <c r="M332" i="1" s="1"/>
  <c r="G332" i="1"/>
  <c r="AE331" i="1"/>
  <c r="V331" i="1"/>
  <c r="W331" i="1" s="1"/>
  <c r="U331" i="1"/>
  <c r="P331" i="1"/>
  <c r="Q331" i="1" s="1"/>
  <c r="O331" i="1"/>
  <c r="L331" i="1"/>
  <c r="J331" i="1"/>
  <c r="M331" i="1" s="1"/>
  <c r="G331" i="1"/>
  <c r="AE330" i="1"/>
  <c r="V330" i="1"/>
  <c r="W330" i="1" s="1"/>
  <c r="U330" i="1"/>
  <c r="S330" i="1"/>
  <c r="P330" i="1"/>
  <c r="Q330" i="1" s="1"/>
  <c r="O330" i="1"/>
  <c r="R330" i="1" s="1"/>
  <c r="L330" i="1"/>
  <c r="J330" i="1"/>
  <c r="M330" i="1" s="1"/>
  <c r="G330" i="1"/>
  <c r="AE329" i="1"/>
  <c r="V329" i="1"/>
  <c r="W329" i="1" s="1"/>
  <c r="U329" i="1"/>
  <c r="P329" i="1"/>
  <c r="Q329" i="1" s="1"/>
  <c r="O329" i="1"/>
  <c r="L329" i="1"/>
  <c r="J329" i="1"/>
  <c r="M329" i="1" s="1"/>
  <c r="G329" i="1"/>
  <c r="AE328" i="1"/>
  <c r="V328" i="1"/>
  <c r="W328" i="1" s="1"/>
  <c r="U328" i="1"/>
  <c r="P328" i="1"/>
  <c r="Q328" i="1" s="1"/>
  <c r="O328" i="1"/>
  <c r="L328" i="1"/>
  <c r="J328" i="1"/>
  <c r="M328" i="1" s="1"/>
  <c r="G328" i="1"/>
  <c r="AE327" i="1"/>
  <c r="V327" i="1"/>
  <c r="W327" i="1" s="1"/>
  <c r="U327" i="1"/>
  <c r="S327" i="1"/>
  <c r="P327" i="1"/>
  <c r="Q327" i="1" s="1"/>
  <c r="O327" i="1"/>
  <c r="R327" i="1" s="1"/>
  <c r="L327" i="1"/>
  <c r="J327" i="1"/>
  <c r="M327" i="1" s="1"/>
  <c r="G327" i="1"/>
  <c r="AE326" i="1"/>
  <c r="V326" i="1"/>
  <c r="W326" i="1" s="1"/>
  <c r="U326" i="1"/>
  <c r="P326" i="1"/>
  <c r="Q326" i="1" s="1"/>
  <c r="O326" i="1"/>
  <c r="L326" i="1"/>
  <c r="J326" i="1"/>
  <c r="M326" i="1" s="1"/>
  <c r="G326" i="1"/>
  <c r="AE325" i="1"/>
  <c r="V325" i="1"/>
  <c r="W325" i="1" s="1"/>
  <c r="U325" i="1"/>
  <c r="P325" i="1"/>
  <c r="Q325" i="1" s="1"/>
  <c r="O325" i="1"/>
  <c r="L325" i="1"/>
  <c r="J325" i="1"/>
  <c r="M325" i="1" s="1"/>
  <c r="G325" i="1"/>
  <c r="AE324" i="1"/>
  <c r="Y324" i="1"/>
  <c r="V324" i="1"/>
  <c r="W324" i="1" s="1"/>
  <c r="U324" i="1"/>
  <c r="X324" i="1" s="1"/>
  <c r="P324" i="1"/>
  <c r="Q324" i="1" s="1"/>
  <c r="O324" i="1"/>
  <c r="L324" i="1"/>
  <c r="J324" i="1"/>
  <c r="M324" i="1" s="1"/>
  <c r="G324" i="1"/>
  <c r="AE323" i="1"/>
  <c r="V323" i="1"/>
  <c r="W323" i="1" s="1"/>
  <c r="U323" i="1"/>
  <c r="P323" i="1"/>
  <c r="Q323" i="1" s="1"/>
  <c r="O323" i="1"/>
  <c r="L323" i="1"/>
  <c r="J323" i="1"/>
  <c r="M323" i="1" s="1"/>
  <c r="G323" i="1"/>
  <c r="AE322" i="1"/>
  <c r="V322" i="1"/>
  <c r="W322" i="1" s="1"/>
  <c r="U322" i="1"/>
  <c r="P322" i="1"/>
  <c r="Q322" i="1" s="1"/>
  <c r="O322" i="1"/>
  <c r="L322" i="1"/>
  <c r="J322" i="1"/>
  <c r="M322" i="1" s="1"/>
  <c r="G322" i="1"/>
  <c r="AE321" i="1"/>
  <c r="V321" i="1"/>
  <c r="W321" i="1" s="1"/>
  <c r="U321" i="1"/>
  <c r="S321" i="1"/>
  <c r="P321" i="1"/>
  <c r="Q321" i="1" s="1"/>
  <c r="O321" i="1"/>
  <c r="R321" i="1" s="1"/>
  <c r="L321" i="1"/>
  <c r="J321" i="1"/>
  <c r="M321" i="1" s="1"/>
  <c r="G321" i="1"/>
  <c r="AE320" i="1"/>
  <c r="V320" i="1"/>
  <c r="W320" i="1" s="1"/>
  <c r="U320" i="1"/>
  <c r="P320" i="1"/>
  <c r="Q320" i="1" s="1"/>
  <c r="O320" i="1"/>
  <c r="L320" i="1"/>
  <c r="J320" i="1"/>
  <c r="M320" i="1" s="1"/>
  <c r="G320" i="1"/>
  <c r="AE319" i="1"/>
  <c r="V319" i="1"/>
  <c r="W319" i="1" s="1"/>
  <c r="U319" i="1"/>
  <c r="P319" i="1"/>
  <c r="Q319" i="1" s="1"/>
  <c r="O319" i="1"/>
  <c r="L319" i="1"/>
  <c r="J319" i="1"/>
  <c r="M319" i="1" s="1"/>
  <c r="G319" i="1"/>
  <c r="AE318" i="1"/>
  <c r="V318" i="1"/>
  <c r="W318" i="1" s="1"/>
  <c r="U318" i="1"/>
  <c r="P318" i="1"/>
  <c r="Q318" i="1" s="1"/>
  <c r="O318" i="1"/>
  <c r="L318" i="1"/>
  <c r="J318" i="1"/>
  <c r="M318" i="1" s="1"/>
  <c r="G318" i="1"/>
  <c r="AE317" i="1"/>
  <c r="V317" i="1"/>
  <c r="W317" i="1" s="1"/>
  <c r="U317" i="1"/>
  <c r="P317" i="1"/>
  <c r="Q317" i="1" s="1"/>
  <c r="O317" i="1"/>
  <c r="L317" i="1"/>
  <c r="J317" i="1"/>
  <c r="M317" i="1" s="1"/>
  <c r="G317" i="1"/>
  <c r="AE316" i="1"/>
  <c r="V316" i="1"/>
  <c r="W316" i="1" s="1"/>
  <c r="U316" i="1"/>
  <c r="P316" i="1"/>
  <c r="Q316" i="1" s="1"/>
  <c r="O316" i="1"/>
  <c r="L316" i="1"/>
  <c r="J316" i="1"/>
  <c r="M316" i="1" s="1"/>
  <c r="G316" i="1"/>
  <c r="AE315" i="1"/>
  <c r="V315" i="1"/>
  <c r="W315" i="1" s="1"/>
  <c r="U315" i="1"/>
  <c r="P315" i="1"/>
  <c r="Q315" i="1" s="1"/>
  <c r="O315" i="1"/>
  <c r="L315" i="1"/>
  <c r="J315" i="1"/>
  <c r="M315" i="1" s="1"/>
  <c r="G315" i="1"/>
  <c r="AE314" i="1"/>
  <c r="Y314" i="1"/>
  <c r="V314" i="1"/>
  <c r="W314" i="1" s="1"/>
  <c r="U314" i="1"/>
  <c r="X314" i="1" s="1"/>
  <c r="S314" i="1"/>
  <c r="P314" i="1"/>
  <c r="Q314" i="1" s="1"/>
  <c r="O314" i="1"/>
  <c r="R314" i="1" s="1"/>
  <c r="L314" i="1"/>
  <c r="J314" i="1"/>
  <c r="M314" i="1" s="1"/>
  <c r="G314" i="1"/>
  <c r="AE313" i="1"/>
  <c r="V313" i="1"/>
  <c r="W313" i="1" s="1"/>
  <c r="U313" i="1"/>
  <c r="P313" i="1"/>
  <c r="Q313" i="1" s="1"/>
  <c r="O313" i="1"/>
  <c r="L313" i="1"/>
  <c r="J313" i="1"/>
  <c r="M313" i="1" s="1"/>
  <c r="G313" i="1"/>
  <c r="AE312" i="1"/>
  <c r="V312" i="1"/>
  <c r="W312" i="1" s="1"/>
  <c r="U312" i="1"/>
  <c r="P312" i="1"/>
  <c r="Q312" i="1" s="1"/>
  <c r="O312" i="1"/>
  <c r="L312" i="1"/>
  <c r="J312" i="1"/>
  <c r="M312" i="1" s="1"/>
  <c r="G312" i="1"/>
  <c r="AE311" i="1"/>
  <c r="V311" i="1"/>
  <c r="W311" i="1" s="1"/>
  <c r="U311" i="1"/>
  <c r="S311" i="1"/>
  <c r="P311" i="1"/>
  <c r="Q311" i="1" s="1"/>
  <c r="O311" i="1"/>
  <c r="R311" i="1" s="1"/>
  <c r="L311" i="1"/>
  <c r="J311" i="1"/>
  <c r="M311" i="1" s="1"/>
  <c r="G311" i="1"/>
  <c r="AE310" i="1"/>
  <c r="V310" i="1"/>
  <c r="W310" i="1" s="1"/>
  <c r="U310" i="1"/>
  <c r="P310" i="1"/>
  <c r="Q310" i="1" s="1"/>
  <c r="O310" i="1"/>
  <c r="L310" i="1"/>
  <c r="J310" i="1"/>
  <c r="M310" i="1" s="1"/>
  <c r="G310" i="1"/>
  <c r="AE309" i="1"/>
  <c r="V309" i="1"/>
  <c r="W309" i="1" s="1"/>
  <c r="U309" i="1"/>
  <c r="P309" i="1"/>
  <c r="Q309" i="1" s="1"/>
  <c r="O309" i="1"/>
  <c r="L309" i="1"/>
  <c r="J309" i="1"/>
  <c r="M309" i="1" s="1"/>
  <c r="G309" i="1"/>
  <c r="AE308" i="1"/>
  <c r="V308" i="1"/>
  <c r="W308" i="1" s="1"/>
  <c r="U308" i="1"/>
  <c r="S308" i="1"/>
  <c r="P308" i="1"/>
  <c r="Q308" i="1" s="1"/>
  <c r="O308" i="1"/>
  <c r="R308" i="1" s="1"/>
  <c r="L308" i="1"/>
  <c r="J308" i="1"/>
  <c r="M308" i="1" s="1"/>
  <c r="G308" i="1"/>
  <c r="AE307" i="1"/>
  <c r="V307" i="1"/>
  <c r="W307" i="1" s="1"/>
  <c r="U307" i="1"/>
  <c r="P307" i="1"/>
  <c r="Q307" i="1" s="1"/>
  <c r="O307" i="1"/>
  <c r="L307" i="1"/>
  <c r="J307" i="1"/>
  <c r="M307" i="1" s="1"/>
  <c r="G307" i="1"/>
  <c r="AE306" i="1"/>
  <c r="V306" i="1"/>
  <c r="W306" i="1" s="1"/>
  <c r="U306" i="1"/>
  <c r="P306" i="1"/>
  <c r="Q306" i="1" s="1"/>
  <c r="O306" i="1"/>
  <c r="L306" i="1"/>
  <c r="J306" i="1"/>
  <c r="M306" i="1" s="1"/>
  <c r="G306" i="1"/>
  <c r="AE305" i="1"/>
  <c r="V305" i="1"/>
  <c r="W305" i="1" s="1"/>
  <c r="U305" i="1"/>
  <c r="S305" i="1"/>
  <c r="P305" i="1"/>
  <c r="Q305" i="1" s="1"/>
  <c r="O305" i="1"/>
  <c r="R305" i="1" s="1"/>
  <c r="L305" i="1"/>
  <c r="J305" i="1"/>
  <c r="M305" i="1" s="1"/>
  <c r="G305" i="1"/>
  <c r="AE304" i="1"/>
  <c r="V304" i="1"/>
  <c r="W304" i="1" s="1"/>
  <c r="U304" i="1"/>
  <c r="P304" i="1"/>
  <c r="Q304" i="1" s="1"/>
  <c r="O304" i="1"/>
  <c r="L304" i="1"/>
  <c r="J304" i="1"/>
  <c r="M304" i="1" s="1"/>
  <c r="G304" i="1"/>
  <c r="AE303" i="1"/>
  <c r="V303" i="1"/>
  <c r="W303" i="1" s="1"/>
  <c r="U303" i="1"/>
  <c r="P303" i="1"/>
  <c r="Q303" i="1" s="1"/>
  <c r="O303" i="1"/>
  <c r="L303" i="1"/>
  <c r="J303" i="1"/>
  <c r="M303" i="1" s="1"/>
  <c r="G303" i="1"/>
  <c r="AE302" i="1"/>
  <c r="V302" i="1"/>
  <c r="W302" i="1" s="1"/>
  <c r="U302" i="1"/>
  <c r="P302" i="1"/>
  <c r="Q302" i="1" s="1"/>
  <c r="O302" i="1"/>
  <c r="L302" i="1"/>
  <c r="J302" i="1"/>
  <c r="M302" i="1" s="1"/>
  <c r="G302" i="1"/>
  <c r="AE301" i="1"/>
  <c r="V301" i="1"/>
  <c r="W301" i="1" s="1"/>
  <c r="U301" i="1"/>
  <c r="P301" i="1"/>
  <c r="Q301" i="1" s="1"/>
  <c r="O301" i="1"/>
  <c r="L301" i="1"/>
  <c r="J301" i="1"/>
  <c r="M301" i="1" s="1"/>
  <c r="G301" i="1"/>
  <c r="AE300" i="1"/>
  <c r="V300" i="1"/>
  <c r="W300" i="1" s="1"/>
  <c r="U300" i="1"/>
  <c r="P300" i="1"/>
  <c r="Q300" i="1" s="1"/>
  <c r="O300" i="1"/>
  <c r="L300" i="1"/>
  <c r="J300" i="1"/>
  <c r="M300" i="1" s="1"/>
  <c r="G300" i="1"/>
  <c r="AE299" i="1"/>
  <c r="V299" i="1"/>
  <c r="W299" i="1" s="1"/>
  <c r="U299" i="1"/>
  <c r="P299" i="1"/>
  <c r="Q299" i="1" s="1"/>
  <c r="O299" i="1"/>
  <c r="L299" i="1"/>
  <c r="J299" i="1"/>
  <c r="M299" i="1" s="1"/>
  <c r="G299" i="1"/>
  <c r="AE298" i="1"/>
  <c r="V298" i="1"/>
  <c r="W298" i="1" s="1"/>
  <c r="U298" i="1"/>
  <c r="P298" i="1"/>
  <c r="Q298" i="1" s="1"/>
  <c r="O298" i="1"/>
  <c r="L298" i="1"/>
  <c r="J298" i="1"/>
  <c r="M298" i="1" s="1"/>
  <c r="G298" i="1"/>
  <c r="AE297" i="1"/>
  <c r="V297" i="1"/>
  <c r="W297" i="1" s="1"/>
  <c r="U297" i="1"/>
  <c r="S297" i="1"/>
  <c r="P297" i="1"/>
  <c r="Q297" i="1" s="1"/>
  <c r="O297" i="1"/>
  <c r="R297" i="1" s="1"/>
  <c r="L297" i="1"/>
  <c r="J297" i="1"/>
  <c r="M297" i="1" s="1"/>
  <c r="G297" i="1"/>
  <c r="AE296" i="1"/>
  <c r="V296" i="1"/>
  <c r="W296" i="1" s="1"/>
  <c r="U296" i="1"/>
  <c r="P296" i="1"/>
  <c r="Q296" i="1" s="1"/>
  <c r="O296" i="1"/>
  <c r="L296" i="1"/>
  <c r="J296" i="1"/>
  <c r="M296" i="1" s="1"/>
  <c r="G296" i="1"/>
  <c r="AE295" i="1"/>
  <c r="V295" i="1"/>
  <c r="W295" i="1" s="1"/>
  <c r="U295" i="1"/>
  <c r="P295" i="1"/>
  <c r="Q295" i="1" s="1"/>
  <c r="O295" i="1"/>
  <c r="L295" i="1"/>
  <c r="J295" i="1"/>
  <c r="M295" i="1" s="1"/>
  <c r="G295" i="1"/>
  <c r="AE294" i="1"/>
  <c r="V294" i="1"/>
  <c r="W294" i="1" s="1"/>
  <c r="U294" i="1"/>
  <c r="P294" i="1"/>
  <c r="Q294" i="1" s="1"/>
  <c r="O294" i="1"/>
  <c r="L294" i="1"/>
  <c r="J294" i="1"/>
  <c r="M294" i="1" s="1"/>
  <c r="G294" i="1"/>
  <c r="AE293" i="1"/>
  <c r="V293" i="1"/>
  <c r="W293" i="1" s="1"/>
  <c r="U293" i="1"/>
  <c r="P293" i="1"/>
  <c r="Q293" i="1" s="1"/>
  <c r="O293" i="1"/>
  <c r="L293" i="1"/>
  <c r="J293" i="1"/>
  <c r="M293" i="1" s="1"/>
  <c r="G293" i="1"/>
  <c r="AE292" i="1"/>
  <c r="V292" i="1"/>
  <c r="W292" i="1" s="1"/>
  <c r="U292" i="1"/>
  <c r="P292" i="1"/>
  <c r="Q292" i="1" s="1"/>
  <c r="O292" i="1"/>
  <c r="L292" i="1"/>
  <c r="J292" i="1"/>
  <c r="M292" i="1" s="1"/>
  <c r="G292" i="1"/>
  <c r="AE291" i="1"/>
  <c r="V291" i="1"/>
  <c r="W291" i="1" s="1"/>
  <c r="U291" i="1"/>
  <c r="P291" i="1"/>
  <c r="Q291" i="1" s="1"/>
  <c r="O291" i="1"/>
  <c r="L291" i="1"/>
  <c r="J291" i="1"/>
  <c r="M291" i="1" s="1"/>
  <c r="G291" i="1"/>
  <c r="AE290" i="1"/>
  <c r="V290" i="1"/>
  <c r="W290" i="1" s="1"/>
  <c r="U290" i="1"/>
  <c r="P290" i="1"/>
  <c r="Q290" i="1" s="1"/>
  <c r="O290" i="1"/>
  <c r="L290" i="1"/>
  <c r="J290" i="1"/>
  <c r="M290" i="1" s="1"/>
  <c r="G290" i="1"/>
  <c r="AE289" i="1"/>
  <c r="V289" i="1"/>
  <c r="W289" i="1" s="1"/>
  <c r="U289" i="1"/>
  <c r="P289" i="1"/>
  <c r="Q289" i="1" s="1"/>
  <c r="O289" i="1"/>
  <c r="L289" i="1"/>
  <c r="J289" i="1"/>
  <c r="M289" i="1" s="1"/>
  <c r="G289" i="1"/>
  <c r="AE288" i="1"/>
  <c r="V288" i="1"/>
  <c r="W288" i="1" s="1"/>
  <c r="U288" i="1"/>
  <c r="P288" i="1"/>
  <c r="Q288" i="1" s="1"/>
  <c r="O288" i="1"/>
  <c r="L288" i="1"/>
  <c r="J288" i="1"/>
  <c r="M288" i="1" s="1"/>
  <c r="G288" i="1"/>
  <c r="AE287" i="1"/>
  <c r="V287" i="1"/>
  <c r="W287" i="1" s="1"/>
  <c r="U287" i="1"/>
  <c r="P287" i="1"/>
  <c r="Q287" i="1" s="1"/>
  <c r="O287" i="1"/>
  <c r="L287" i="1"/>
  <c r="J287" i="1"/>
  <c r="M287" i="1" s="1"/>
  <c r="G287" i="1"/>
  <c r="AE286" i="1"/>
  <c r="V286" i="1"/>
  <c r="W286" i="1" s="1"/>
  <c r="U286" i="1"/>
  <c r="S286" i="1"/>
  <c r="P286" i="1"/>
  <c r="Q286" i="1" s="1"/>
  <c r="O286" i="1"/>
  <c r="R286" i="1" s="1"/>
  <c r="L286" i="1"/>
  <c r="J286" i="1"/>
  <c r="M286" i="1" s="1"/>
  <c r="G286" i="1"/>
  <c r="AE285" i="1"/>
  <c r="V285" i="1"/>
  <c r="W285" i="1" s="1"/>
  <c r="U285" i="1"/>
  <c r="P285" i="1"/>
  <c r="Q285" i="1" s="1"/>
  <c r="O285" i="1"/>
  <c r="L285" i="1"/>
  <c r="J285" i="1"/>
  <c r="M285" i="1" s="1"/>
  <c r="G285" i="1"/>
  <c r="AE284" i="1"/>
  <c r="V284" i="1"/>
  <c r="W284" i="1" s="1"/>
  <c r="U284" i="1"/>
  <c r="P284" i="1"/>
  <c r="Q284" i="1" s="1"/>
  <c r="O284" i="1"/>
  <c r="L284" i="1"/>
  <c r="J284" i="1"/>
  <c r="M284" i="1" s="1"/>
  <c r="G284" i="1"/>
  <c r="AE283" i="1"/>
  <c r="V283" i="1"/>
  <c r="W283" i="1" s="1"/>
  <c r="U283" i="1"/>
  <c r="S283" i="1"/>
  <c r="P283" i="1"/>
  <c r="Q283" i="1" s="1"/>
  <c r="O283" i="1"/>
  <c r="R283" i="1" s="1"/>
  <c r="L283" i="1"/>
  <c r="J283" i="1"/>
  <c r="M283" i="1" s="1"/>
  <c r="G283" i="1"/>
  <c r="AE282" i="1"/>
  <c r="V282" i="1"/>
  <c r="W282" i="1" s="1"/>
  <c r="U282" i="1"/>
  <c r="P282" i="1"/>
  <c r="Q282" i="1" s="1"/>
  <c r="O282" i="1"/>
  <c r="L282" i="1"/>
  <c r="J282" i="1"/>
  <c r="M282" i="1" s="1"/>
  <c r="G282" i="1"/>
  <c r="AE281" i="1"/>
  <c r="V281" i="1"/>
  <c r="W281" i="1" s="1"/>
  <c r="U281" i="1"/>
  <c r="P281" i="1"/>
  <c r="Q281" i="1" s="1"/>
  <c r="O281" i="1"/>
  <c r="L281" i="1"/>
  <c r="J281" i="1"/>
  <c r="M281" i="1" s="1"/>
  <c r="G281" i="1"/>
  <c r="AE280" i="1"/>
  <c r="V280" i="1"/>
  <c r="W280" i="1" s="1"/>
  <c r="U280" i="1"/>
  <c r="P280" i="1"/>
  <c r="Q280" i="1" s="1"/>
  <c r="O280" i="1"/>
  <c r="L280" i="1"/>
  <c r="J280" i="1"/>
  <c r="M280" i="1" s="1"/>
  <c r="G280" i="1"/>
  <c r="AE279" i="1"/>
  <c r="V279" i="1"/>
  <c r="W279" i="1" s="1"/>
  <c r="U279" i="1"/>
  <c r="P279" i="1"/>
  <c r="Q279" i="1" s="1"/>
  <c r="O279" i="1"/>
  <c r="L279" i="1"/>
  <c r="J279" i="1"/>
  <c r="M279" i="1" s="1"/>
  <c r="G279" i="1"/>
  <c r="AE278" i="1"/>
  <c r="V278" i="1"/>
  <c r="W278" i="1" s="1"/>
  <c r="U278" i="1"/>
  <c r="P278" i="1"/>
  <c r="Q278" i="1" s="1"/>
  <c r="O278" i="1"/>
  <c r="L278" i="1"/>
  <c r="J278" i="1"/>
  <c r="M278" i="1" s="1"/>
  <c r="G278" i="1"/>
  <c r="AE277" i="1"/>
  <c r="V277" i="1"/>
  <c r="W277" i="1" s="1"/>
  <c r="U277" i="1"/>
  <c r="P277" i="1"/>
  <c r="Q277" i="1" s="1"/>
  <c r="O277" i="1"/>
  <c r="L277" i="1"/>
  <c r="J277" i="1"/>
  <c r="M277" i="1" s="1"/>
  <c r="G277" i="1"/>
  <c r="AE276" i="1"/>
  <c r="V276" i="1"/>
  <c r="W276" i="1" s="1"/>
  <c r="U276" i="1"/>
  <c r="S276" i="1"/>
  <c r="P276" i="1"/>
  <c r="Q276" i="1" s="1"/>
  <c r="O276" i="1"/>
  <c r="R276" i="1" s="1"/>
  <c r="L276" i="1"/>
  <c r="J276" i="1"/>
  <c r="M276" i="1" s="1"/>
  <c r="G276" i="1"/>
  <c r="AE275" i="1"/>
  <c r="V275" i="1"/>
  <c r="W275" i="1" s="1"/>
  <c r="U275" i="1"/>
  <c r="P275" i="1"/>
  <c r="Q275" i="1" s="1"/>
  <c r="O275" i="1"/>
  <c r="L275" i="1"/>
  <c r="J275" i="1"/>
  <c r="M275" i="1" s="1"/>
  <c r="G275" i="1"/>
  <c r="AE274" i="1"/>
  <c r="V274" i="1"/>
  <c r="W274" i="1" s="1"/>
  <c r="U274" i="1"/>
  <c r="P274" i="1"/>
  <c r="Q274" i="1" s="1"/>
  <c r="O274" i="1"/>
  <c r="L274" i="1"/>
  <c r="J274" i="1"/>
  <c r="M274" i="1" s="1"/>
  <c r="G274" i="1"/>
  <c r="AE273" i="1"/>
  <c r="V273" i="1"/>
  <c r="W273" i="1" s="1"/>
  <c r="U273" i="1"/>
  <c r="S273" i="1"/>
  <c r="P273" i="1"/>
  <c r="Q273" i="1" s="1"/>
  <c r="O273" i="1"/>
  <c r="R273" i="1" s="1"/>
  <c r="L273" i="1"/>
  <c r="J273" i="1"/>
  <c r="M273" i="1" s="1"/>
  <c r="G273" i="1"/>
  <c r="AE272" i="1"/>
  <c r="V272" i="1"/>
  <c r="W272" i="1" s="1"/>
  <c r="U272" i="1"/>
  <c r="P272" i="1"/>
  <c r="Q272" i="1" s="1"/>
  <c r="O272" i="1"/>
  <c r="L272" i="1"/>
  <c r="J272" i="1"/>
  <c r="M272" i="1" s="1"/>
  <c r="G272" i="1"/>
  <c r="AE271" i="1"/>
  <c r="V271" i="1"/>
  <c r="W271" i="1" s="1"/>
  <c r="U271" i="1"/>
  <c r="P271" i="1"/>
  <c r="Q271" i="1" s="1"/>
  <c r="O271" i="1"/>
  <c r="L271" i="1"/>
  <c r="J271" i="1"/>
  <c r="M271" i="1" s="1"/>
  <c r="G271" i="1"/>
  <c r="AE270" i="1"/>
  <c r="V270" i="1"/>
  <c r="W270" i="1" s="1"/>
  <c r="U270" i="1"/>
  <c r="P270" i="1"/>
  <c r="Q270" i="1" s="1"/>
  <c r="O270" i="1"/>
  <c r="L270" i="1"/>
  <c r="J270" i="1"/>
  <c r="M270" i="1" s="1"/>
  <c r="G270" i="1"/>
  <c r="AE269" i="1"/>
  <c r="V269" i="1"/>
  <c r="U269" i="1"/>
  <c r="S269" i="1"/>
  <c r="R269" i="1"/>
  <c r="P269" i="1"/>
  <c r="O269" i="1"/>
  <c r="L269" i="1"/>
  <c r="J269" i="1"/>
  <c r="M269" i="1" s="1"/>
  <c r="G269" i="1"/>
  <c r="AE268" i="1"/>
  <c r="V268" i="1"/>
  <c r="W268" i="1" s="1"/>
  <c r="U268" i="1"/>
  <c r="S268" i="1"/>
  <c r="P268" i="1"/>
  <c r="Q268" i="1" s="1"/>
  <c r="O268" i="1"/>
  <c r="R268" i="1" s="1"/>
  <c r="L268" i="1"/>
  <c r="J268" i="1"/>
  <c r="M268" i="1" s="1"/>
  <c r="G268" i="1"/>
  <c r="AE267" i="1"/>
  <c r="V267" i="1"/>
  <c r="W267" i="1" s="1"/>
  <c r="U267" i="1"/>
  <c r="P267" i="1"/>
  <c r="Q267" i="1" s="1"/>
  <c r="O267" i="1"/>
  <c r="L267" i="1"/>
  <c r="J267" i="1"/>
  <c r="M267" i="1" s="1"/>
  <c r="G267" i="1"/>
  <c r="AE266" i="1"/>
  <c r="V266" i="1"/>
  <c r="W266" i="1" s="1"/>
  <c r="U266" i="1"/>
  <c r="P266" i="1"/>
  <c r="Q266" i="1" s="1"/>
  <c r="O266" i="1"/>
  <c r="L266" i="1"/>
  <c r="J266" i="1"/>
  <c r="M266" i="1" s="1"/>
  <c r="G266" i="1"/>
  <c r="AE265" i="1"/>
  <c r="V265" i="1"/>
  <c r="W265" i="1" s="1"/>
  <c r="U265" i="1"/>
  <c r="P265" i="1"/>
  <c r="Q265" i="1" s="1"/>
  <c r="O265" i="1"/>
  <c r="L265" i="1"/>
  <c r="J265" i="1"/>
  <c r="M265" i="1" s="1"/>
  <c r="G265" i="1"/>
  <c r="AE264" i="1"/>
  <c r="V264" i="1"/>
  <c r="W264" i="1" s="1"/>
  <c r="U264" i="1"/>
  <c r="S264" i="1"/>
  <c r="P264" i="1"/>
  <c r="Q264" i="1" s="1"/>
  <c r="O264" i="1"/>
  <c r="R264" i="1" s="1"/>
  <c r="L264" i="1"/>
  <c r="J264" i="1"/>
  <c r="M264" i="1" s="1"/>
  <c r="G264" i="1"/>
  <c r="AE263" i="1"/>
  <c r="Y263" i="1"/>
  <c r="V263" i="1"/>
  <c r="W263" i="1" s="1"/>
  <c r="U263" i="1"/>
  <c r="X263" i="1" s="1"/>
  <c r="P263" i="1"/>
  <c r="Q263" i="1" s="1"/>
  <c r="O263" i="1"/>
  <c r="L263" i="1"/>
  <c r="J263" i="1"/>
  <c r="M263" i="1" s="1"/>
  <c r="G263" i="1"/>
  <c r="AE262" i="1"/>
  <c r="V262" i="1"/>
  <c r="W262" i="1" s="1"/>
  <c r="U262" i="1"/>
  <c r="P262" i="1"/>
  <c r="Q262" i="1" s="1"/>
  <c r="O262" i="1"/>
  <c r="L262" i="1"/>
  <c r="J262" i="1"/>
  <c r="M262" i="1" s="1"/>
  <c r="G262" i="1"/>
  <c r="AE261" i="1"/>
  <c r="Y261" i="1"/>
  <c r="V261" i="1"/>
  <c r="W261" i="1" s="1"/>
  <c r="U261" i="1"/>
  <c r="X261" i="1" s="1"/>
  <c r="P261" i="1"/>
  <c r="Q261" i="1" s="1"/>
  <c r="O261" i="1"/>
  <c r="L261" i="1"/>
  <c r="J261" i="1"/>
  <c r="M261" i="1" s="1"/>
  <c r="G261" i="1"/>
  <c r="AE260" i="1"/>
  <c r="V260" i="1"/>
  <c r="W260" i="1" s="1"/>
  <c r="U260" i="1"/>
  <c r="P260" i="1"/>
  <c r="Q260" i="1" s="1"/>
  <c r="O260" i="1"/>
  <c r="L260" i="1"/>
  <c r="J260" i="1"/>
  <c r="M260" i="1" s="1"/>
  <c r="G260" i="1"/>
  <c r="AE259" i="1"/>
  <c r="V259" i="1"/>
  <c r="W259" i="1" s="1"/>
  <c r="U259" i="1"/>
  <c r="P259" i="1"/>
  <c r="Q259" i="1" s="1"/>
  <c r="O259" i="1"/>
  <c r="L259" i="1"/>
  <c r="J259" i="1"/>
  <c r="M259" i="1" s="1"/>
  <c r="G259" i="1"/>
  <c r="AE258" i="1"/>
  <c r="V258" i="1"/>
  <c r="W258" i="1" s="1"/>
  <c r="U258" i="1"/>
  <c r="P258" i="1"/>
  <c r="Q258" i="1" s="1"/>
  <c r="O258" i="1"/>
  <c r="L258" i="1"/>
  <c r="J258" i="1"/>
  <c r="M258" i="1" s="1"/>
  <c r="G258" i="1"/>
  <c r="AE257" i="1"/>
  <c r="V257" i="1"/>
  <c r="W257" i="1" s="1"/>
  <c r="U257" i="1"/>
  <c r="S257" i="1"/>
  <c r="P257" i="1"/>
  <c r="Q257" i="1" s="1"/>
  <c r="O257" i="1"/>
  <c r="R257" i="1" s="1"/>
  <c r="L257" i="1"/>
  <c r="J257" i="1"/>
  <c r="M257" i="1" s="1"/>
  <c r="G257" i="1"/>
  <c r="AE256" i="1"/>
  <c r="V256" i="1"/>
  <c r="W256" i="1" s="1"/>
  <c r="U256" i="1"/>
  <c r="P256" i="1"/>
  <c r="Q256" i="1" s="1"/>
  <c r="O256" i="1"/>
  <c r="L256" i="1"/>
  <c r="J256" i="1"/>
  <c r="M256" i="1" s="1"/>
  <c r="G256" i="1"/>
  <c r="AE255" i="1"/>
  <c r="V255" i="1"/>
  <c r="W255" i="1" s="1"/>
  <c r="U255" i="1"/>
  <c r="P255" i="1"/>
  <c r="Q255" i="1" s="1"/>
  <c r="O255" i="1"/>
  <c r="L255" i="1"/>
  <c r="J255" i="1"/>
  <c r="M255" i="1" s="1"/>
  <c r="G255" i="1"/>
  <c r="AE254" i="1"/>
  <c r="Y254" i="1"/>
  <c r="V254" i="1"/>
  <c r="W254" i="1" s="1"/>
  <c r="U254" i="1"/>
  <c r="X254" i="1" s="1"/>
  <c r="S254" i="1"/>
  <c r="P254" i="1"/>
  <c r="Q254" i="1" s="1"/>
  <c r="O254" i="1"/>
  <c r="R254" i="1" s="1"/>
  <c r="L254" i="1"/>
  <c r="J254" i="1"/>
  <c r="M254" i="1" s="1"/>
  <c r="G254" i="1"/>
  <c r="AE253" i="1"/>
  <c r="V253" i="1"/>
  <c r="W253" i="1" s="1"/>
  <c r="U253" i="1"/>
  <c r="P253" i="1"/>
  <c r="Q253" i="1" s="1"/>
  <c r="O253" i="1"/>
  <c r="L253" i="1"/>
  <c r="J253" i="1"/>
  <c r="M253" i="1" s="1"/>
  <c r="G253" i="1"/>
  <c r="AE252" i="1"/>
  <c r="V252" i="1"/>
  <c r="W252" i="1" s="1"/>
  <c r="U252" i="1"/>
  <c r="P252" i="1"/>
  <c r="Q252" i="1" s="1"/>
  <c r="O252" i="1"/>
  <c r="L252" i="1"/>
  <c r="J252" i="1"/>
  <c r="M252" i="1" s="1"/>
  <c r="G252" i="1"/>
  <c r="AE251" i="1"/>
  <c r="V251" i="1"/>
  <c r="W251" i="1" s="1"/>
  <c r="U251" i="1"/>
  <c r="P251" i="1"/>
  <c r="Q251" i="1" s="1"/>
  <c r="O251" i="1"/>
  <c r="L251" i="1"/>
  <c r="J251" i="1"/>
  <c r="M251" i="1" s="1"/>
  <c r="G251" i="1"/>
  <c r="AE250" i="1"/>
  <c r="V250" i="1"/>
  <c r="W250" i="1" s="1"/>
  <c r="U250" i="1"/>
  <c r="S250" i="1"/>
  <c r="P250" i="1"/>
  <c r="Q250" i="1" s="1"/>
  <c r="O250" i="1"/>
  <c r="R250" i="1" s="1"/>
  <c r="L250" i="1"/>
  <c r="J250" i="1"/>
  <c r="M250" i="1" s="1"/>
  <c r="G250" i="1"/>
  <c r="AE249" i="1"/>
  <c r="V249" i="1"/>
  <c r="W249" i="1" s="1"/>
  <c r="U249" i="1"/>
  <c r="P249" i="1"/>
  <c r="Q249" i="1" s="1"/>
  <c r="O249" i="1"/>
  <c r="L249" i="1"/>
  <c r="J249" i="1"/>
  <c r="M249" i="1" s="1"/>
  <c r="G249" i="1"/>
  <c r="AE248" i="1"/>
  <c r="V248" i="1"/>
  <c r="W248" i="1" s="1"/>
  <c r="U248" i="1"/>
  <c r="P248" i="1"/>
  <c r="Q248" i="1" s="1"/>
  <c r="O248" i="1"/>
  <c r="L248" i="1"/>
  <c r="J248" i="1"/>
  <c r="M248" i="1" s="1"/>
  <c r="G248" i="1"/>
  <c r="AE247" i="1"/>
  <c r="V247" i="1"/>
  <c r="W247" i="1" s="1"/>
  <c r="U247" i="1"/>
  <c r="P247" i="1"/>
  <c r="Q247" i="1" s="1"/>
  <c r="O247" i="1"/>
  <c r="L247" i="1"/>
  <c r="J247" i="1"/>
  <c r="M247" i="1" s="1"/>
  <c r="G247" i="1"/>
  <c r="AE246" i="1"/>
  <c r="V246" i="1"/>
  <c r="W246" i="1" s="1"/>
  <c r="U246" i="1"/>
  <c r="P246" i="1"/>
  <c r="Q246" i="1" s="1"/>
  <c r="O246" i="1"/>
  <c r="L246" i="1"/>
  <c r="J246" i="1"/>
  <c r="M246" i="1" s="1"/>
  <c r="G246" i="1"/>
  <c r="AE245" i="1"/>
  <c r="V245" i="1"/>
  <c r="W245" i="1" s="1"/>
  <c r="U245" i="1"/>
  <c r="S245" i="1"/>
  <c r="P245" i="1"/>
  <c r="Q245" i="1" s="1"/>
  <c r="O245" i="1"/>
  <c r="R245" i="1" s="1"/>
  <c r="L245" i="1"/>
  <c r="J245" i="1"/>
  <c r="M245" i="1" s="1"/>
  <c r="G245" i="1"/>
  <c r="AE244" i="1"/>
  <c r="V244" i="1"/>
  <c r="W244" i="1" s="1"/>
  <c r="U244" i="1"/>
  <c r="P244" i="1"/>
  <c r="Q244" i="1" s="1"/>
  <c r="O244" i="1"/>
  <c r="L244" i="1"/>
  <c r="J244" i="1"/>
  <c r="M244" i="1" s="1"/>
  <c r="G244" i="1"/>
  <c r="AE243" i="1"/>
  <c r="V243" i="1"/>
  <c r="W243" i="1" s="1"/>
  <c r="U243" i="1"/>
  <c r="P243" i="1"/>
  <c r="Q243" i="1" s="1"/>
  <c r="O243" i="1"/>
  <c r="L243" i="1"/>
  <c r="J243" i="1"/>
  <c r="M243" i="1" s="1"/>
  <c r="G243" i="1"/>
  <c r="AE242" i="1"/>
  <c r="V242" i="1"/>
  <c r="W242" i="1" s="1"/>
  <c r="U242" i="1"/>
  <c r="P242" i="1"/>
  <c r="Q242" i="1" s="1"/>
  <c r="O242" i="1"/>
  <c r="L242" i="1"/>
  <c r="J242" i="1"/>
  <c r="M242" i="1" s="1"/>
  <c r="G242" i="1"/>
  <c r="AE241" i="1"/>
  <c r="Y241" i="1"/>
  <c r="V241" i="1"/>
  <c r="W241" i="1" s="1"/>
  <c r="U241" i="1"/>
  <c r="X241" i="1" s="1"/>
  <c r="S241" i="1"/>
  <c r="P241" i="1"/>
  <c r="Q241" i="1" s="1"/>
  <c r="O241" i="1"/>
  <c r="R241" i="1" s="1"/>
  <c r="L241" i="1"/>
  <c r="J241" i="1"/>
  <c r="M241" i="1" s="1"/>
  <c r="G241" i="1"/>
  <c r="AE240" i="1"/>
  <c r="Y240" i="1"/>
  <c r="V240" i="1"/>
  <c r="W240" i="1" s="1"/>
  <c r="U240" i="1"/>
  <c r="X240" i="1" s="1"/>
  <c r="S240" i="1"/>
  <c r="P240" i="1"/>
  <c r="Q240" i="1" s="1"/>
  <c r="O240" i="1"/>
  <c r="R240" i="1" s="1"/>
  <c r="L240" i="1"/>
  <c r="J240" i="1"/>
  <c r="M240" i="1" s="1"/>
  <c r="G240" i="1"/>
  <c r="AE239" i="1"/>
  <c r="V239" i="1"/>
  <c r="W239" i="1" s="1"/>
  <c r="U239" i="1"/>
  <c r="P239" i="1"/>
  <c r="Q239" i="1" s="1"/>
  <c r="O239" i="1"/>
  <c r="L239" i="1"/>
  <c r="J239" i="1"/>
  <c r="M239" i="1" s="1"/>
  <c r="G239" i="1"/>
  <c r="AE238" i="1"/>
  <c r="V238" i="1"/>
  <c r="W238" i="1" s="1"/>
  <c r="U238" i="1"/>
  <c r="P238" i="1"/>
  <c r="Q238" i="1" s="1"/>
  <c r="O238" i="1"/>
  <c r="L238" i="1"/>
  <c r="J238" i="1"/>
  <c r="M238" i="1" s="1"/>
  <c r="G238" i="1"/>
  <c r="AE237" i="1"/>
  <c r="Y237" i="1"/>
  <c r="V237" i="1"/>
  <c r="W237" i="1" s="1"/>
  <c r="U237" i="1"/>
  <c r="X237" i="1" s="1"/>
  <c r="P237" i="1"/>
  <c r="Q237" i="1" s="1"/>
  <c r="O237" i="1"/>
  <c r="L237" i="1"/>
  <c r="J237" i="1"/>
  <c r="M237" i="1" s="1"/>
  <c r="G237" i="1"/>
  <c r="AE236" i="1"/>
  <c r="V236" i="1"/>
  <c r="W236" i="1" s="1"/>
  <c r="U236" i="1"/>
  <c r="P236" i="1"/>
  <c r="Q236" i="1" s="1"/>
  <c r="O236" i="1"/>
  <c r="L236" i="1"/>
  <c r="J236" i="1"/>
  <c r="M236" i="1" s="1"/>
  <c r="G236" i="1"/>
  <c r="AE235" i="1"/>
  <c r="Y235" i="1"/>
  <c r="V235" i="1"/>
  <c r="W235" i="1" s="1"/>
  <c r="U235" i="1"/>
  <c r="X235" i="1" s="1"/>
  <c r="P235" i="1"/>
  <c r="Q235" i="1" s="1"/>
  <c r="O235" i="1"/>
  <c r="L235" i="1"/>
  <c r="J235" i="1"/>
  <c r="M235" i="1" s="1"/>
  <c r="G235" i="1"/>
  <c r="AE234" i="1"/>
  <c r="V234" i="1"/>
  <c r="W234" i="1" s="1"/>
  <c r="U234" i="1"/>
  <c r="P234" i="1"/>
  <c r="Q234" i="1" s="1"/>
  <c r="O234" i="1"/>
  <c r="L234" i="1"/>
  <c r="J234" i="1"/>
  <c r="M234" i="1" s="1"/>
  <c r="G234" i="1"/>
  <c r="AE233" i="1"/>
  <c r="V233" i="1"/>
  <c r="W233" i="1" s="1"/>
  <c r="U233" i="1"/>
  <c r="S233" i="1"/>
  <c r="P233" i="1"/>
  <c r="Q233" i="1" s="1"/>
  <c r="O233" i="1"/>
  <c r="R233" i="1" s="1"/>
  <c r="L233" i="1"/>
  <c r="J233" i="1"/>
  <c r="M233" i="1" s="1"/>
  <c r="G233" i="1"/>
  <c r="AE232" i="1"/>
  <c r="V232" i="1"/>
  <c r="W232" i="1" s="1"/>
  <c r="U232" i="1"/>
  <c r="P232" i="1"/>
  <c r="Q232" i="1" s="1"/>
  <c r="O232" i="1"/>
  <c r="L232" i="1"/>
  <c r="J232" i="1"/>
  <c r="M232" i="1" s="1"/>
  <c r="G232" i="1"/>
  <c r="AE231" i="1"/>
  <c r="V231" i="1"/>
  <c r="W231" i="1" s="1"/>
  <c r="U231" i="1"/>
  <c r="P231" i="1"/>
  <c r="Q231" i="1" s="1"/>
  <c r="O231" i="1"/>
  <c r="L231" i="1"/>
  <c r="J231" i="1"/>
  <c r="M231" i="1" s="1"/>
  <c r="G231" i="1"/>
  <c r="AE230" i="1"/>
  <c r="V230" i="1"/>
  <c r="W230" i="1" s="1"/>
  <c r="U230" i="1"/>
  <c r="P230" i="1"/>
  <c r="Q230" i="1" s="1"/>
  <c r="O230" i="1"/>
  <c r="L230" i="1"/>
  <c r="J230" i="1"/>
  <c r="M230" i="1" s="1"/>
  <c r="G230" i="1"/>
  <c r="AE229" i="1"/>
  <c r="Y229" i="1"/>
  <c r="V229" i="1"/>
  <c r="W229" i="1" s="1"/>
  <c r="U229" i="1"/>
  <c r="X229" i="1" s="1"/>
  <c r="P229" i="1"/>
  <c r="Q229" i="1" s="1"/>
  <c r="O229" i="1"/>
  <c r="L229" i="1"/>
  <c r="J229" i="1"/>
  <c r="M229" i="1" s="1"/>
  <c r="G229" i="1"/>
  <c r="AE228" i="1"/>
  <c r="V228" i="1"/>
  <c r="W228" i="1" s="1"/>
  <c r="U228" i="1"/>
  <c r="P228" i="1"/>
  <c r="Q228" i="1" s="1"/>
  <c r="O228" i="1"/>
  <c r="L228" i="1"/>
  <c r="J228" i="1"/>
  <c r="M228" i="1" s="1"/>
  <c r="G228" i="1"/>
  <c r="AE227" i="1"/>
  <c r="V227" i="1"/>
  <c r="W227" i="1" s="1"/>
  <c r="U227" i="1"/>
  <c r="P227" i="1"/>
  <c r="Q227" i="1" s="1"/>
  <c r="O227" i="1"/>
  <c r="L227" i="1"/>
  <c r="J227" i="1"/>
  <c r="M227" i="1" s="1"/>
  <c r="G227" i="1"/>
  <c r="AE226" i="1"/>
  <c r="V226" i="1"/>
  <c r="W226" i="1" s="1"/>
  <c r="U226" i="1"/>
  <c r="P226" i="1"/>
  <c r="Q226" i="1" s="1"/>
  <c r="O226" i="1"/>
  <c r="L226" i="1"/>
  <c r="J226" i="1"/>
  <c r="M226" i="1" s="1"/>
  <c r="G226" i="1"/>
  <c r="AE225" i="1"/>
  <c r="V225" i="1"/>
  <c r="W225" i="1" s="1"/>
  <c r="U225" i="1"/>
  <c r="P225" i="1"/>
  <c r="Q225" i="1" s="1"/>
  <c r="O225" i="1"/>
  <c r="L225" i="1"/>
  <c r="J225" i="1"/>
  <c r="M225" i="1" s="1"/>
  <c r="G225" i="1"/>
  <c r="AE224" i="1"/>
  <c r="V224" i="1"/>
  <c r="W224" i="1" s="1"/>
  <c r="U224" i="1"/>
  <c r="P224" i="1"/>
  <c r="Q224" i="1" s="1"/>
  <c r="O224" i="1"/>
  <c r="L224" i="1"/>
  <c r="J224" i="1"/>
  <c r="M224" i="1" s="1"/>
  <c r="G224" i="1"/>
  <c r="AE223" i="1"/>
  <c r="V223" i="1"/>
  <c r="W223" i="1" s="1"/>
  <c r="U223" i="1"/>
  <c r="P223" i="1"/>
  <c r="Q223" i="1" s="1"/>
  <c r="O223" i="1"/>
  <c r="L223" i="1"/>
  <c r="J223" i="1"/>
  <c r="M223" i="1" s="1"/>
  <c r="G223" i="1"/>
  <c r="AE222" i="1"/>
  <c r="V222" i="1"/>
  <c r="W222" i="1" s="1"/>
  <c r="U222" i="1"/>
  <c r="P222" i="1"/>
  <c r="Q222" i="1" s="1"/>
  <c r="O222" i="1"/>
  <c r="L222" i="1"/>
  <c r="J222" i="1"/>
  <c r="M222" i="1" s="1"/>
  <c r="G222" i="1"/>
  <c r="AE221" i="1"/>
  <c r="V221" i="1"/>
  <c r="W221" i="1" s="1"/>
  <c r="U221" i="1"/>
  <c r="S221" i="1"/>
  <c r="P221" i="1"/>
  <c r="Q221" i="1" s="1"/>
  <c r="O221" i="1"/>
  <c r="R221" i="1" s="1"/>
  <c r="L221" i="1"/>
  <c r="J221" i="1"/>
  <c r="M221" i="1" s="1"/>
  <c r="G221" i="1"/>
  <c r="AE220" i="1"/>
  <c r="V220" i="1"/>
  <c r="W220" i="1" s="1"/>
  <c r="U220" i="1"/>
  <c r="P220" i="1"/>
  <c r="Q220" i="1" s="1"/>
  <c r="O220" i="1"/>
  <c r="L220" i="1"/>
  <c r="J220" i="1"/>
  <c r="M220" i="1" s="1"/>
  <c r="G220" i="1"/>
  <c r="AE219" i="1"/>
  <c r="V219" i="1"/>
  <c r="W219" i="1" s="1"/>
  <c r="U219" i="1"/>
  <c r="P219" i="1"/>
  <c r="Q219" i="1" s="1"/>
  <c r="O219" i="1"/>
  <c r="L219" i="1"/>
  <c r="J219" i="1"/>
  <c r="M219" i="1" s="1"/>
  <c r="G219" i="1"/>
  <c r="AE218" i="1"/>
  <c r="V218" i="1"/>
  <c r="W218" i="1" s="1"/>
  <c r="U218" i="1"/>
  <c r="P218" i="1"/>
  <c r="Q218" i="1" s="1"/>
  <c r="O218" i="1"/>
  <c r="L218" i="1"/>
  <c r="J218" i="1"/>
  <c r="M218" i="1" s="1"/>
  <c r="G218" i="1"/>
  <c r="AE217" i="1"/>
  <c r="V217" i="1"/>
  <c r="W217" i="1" s="1"/>
  <c r="U217" i="1"/>
  <c r="P217" i="1"/>
  <c r="Q217" i="1" s="1"/>
  <c r="O217" i="1"/>
  <c r="L217" i="1"/>
  <c r="J217" i="1"/>
  <c r="M217" i="1" s="1"/>
  <c r="G217" i="1"/>
  <c r="AE216" i="1"/>
  <c r="V216" i="1"/>
  <c r="W216" i="1" s="1"/>
  <c r="U216" i="1"/>
  <c r="P216" i="1"/>
  <c r="Q216" i="1" s="1"/>
  <c r="O216" i="1"/>
  <c r="L216" i="1"/>
  <c r="J216" i="1"/>
  <c r="M216" i="1" s="1"/>
  <c r="G216" i="1"/>
  <c r="AE215" i="1"/>
  <c r="V215" i="1"/>
  <c r="W215" i="1" s="1"/>
  <c r="U215" i="1"/>
  <c r="P215" i="1"/>
  <c r="Q215" i="1" s="1"/>
  <c r="O215" i="1"/>
  <c r="L215" i="1"/>
  <c r="J215" i="1"/>
  <c r="M215" i="1" s="1"/>
  <c r="G215" i="1"/>
  <c r="AE214" i="1"/>
  <c r="V214" i="1"/>
  <c r="W214" i="1" s="1"/>
  <c r="U214" i="1"/>
  <c r="P214" i="1"/>
  <c r="Q214" i="1" s="1"/>
  <c r="O214" i="1"/>
  <c r="L214" i="1"/>
  <c r="J214" i="1"/>
  <c r="M214" i="1" s="1"/>
  <c r="G214" i="1"/>
  <c r="AE213" i="1"/>
  <c r="V213" i="1"/>
  <c r="W213" i="1" s="1"/>
  <c r="U213" i="1"/>
  <c r="P213" i="1"/>
  <c r="Q213" i="1" s="1"/>
  <c r="O213" i="1"/>
  <c r="L213" i="1"/>
  <c r="J213" i="1"/>
  <c r="M213" i="1" s="1"/>
  <c r="G213" i="1"/>
  <c r="AE212" i="1"/>
  <c r="V212" i="1"/>
  <c r="W212" i="1" s="1"/>
  <c r="U212" i="1"/>
  <c r="P212" i="1"/>
  <c r="Q212" i="1" s="1"/>
  <c r="O212" i="1"/>
  <c r="L212" i="1"/>
  <c r="J212" i="1"/>
  <c r="M212" i="1" s="1"/>
  <c r="G212" i="1"/>
  <c r="AE211" i="1"/>
  <c r="V211" i="1"/>
  <c r="W211" i="1" s="1"/>
  <c r="U211" i="1"/>
  <c r="S211" i="1"/>
  <c r="P211" i="1"/>
  <c r="Q211" i="1" s="1"/>
  <c r="O211" i="1"/>
  <c r="R211" i="1" s="1"/>
  <c r="L211" i="1"/>
  <c r="J211" i="1"/>
  <c r="M211" i="1" s="1"/>
  <c r="G211" i="1"/>
  <c r="AE210" i="1"/>
  <c r="V210" i="1"/>
  <c r="W210" i="1" s="1"/>
  <c r="U210" i="1"/>
  <c r="P210" i="1"/>
  <c r="Q210" i="1" s="1"/>
  <c r="O210" i="1"/>
  <c r="L210" i="1"/>
  <c r="J210" i="1"/>
  <c r="M210" i="1" s="1"/>
  <c r="G210" i="1"/>
  <c r="AE209" i="1"/>
  <c r="V209" i="1"/>
  <c r="W209" i="1" s="1"/>
  <c r="U209" i="1"/>
  <c r="P209" i="1"/>
  <c r="Q209" i="1" s="1"/>
  <c r="O209" i="1"/>
  <c r="L209" i="1"/>
  <c r="J209" i="1"/>
  <c r="M209" i="1" s="1"/>
  <c r="G209" i="1"/>
  <c r="AE208" i="1"/>
  <c r="V208" i="1"/>
  <c r="W208" i="1" s="1"/>
  <c r="U208" i="1"/>
  <c r="P208" i="1"/>
  <c r="Q208" i="1" s="1"/>
  <c r="O208" i="1"/>
  <c r="L208" i="1"/>
  <c r="J208" i="1"/>
  <c r="M208" i="1" s="1"/>
  <c r="G208" i="1"/>
  <c r="AE207" i="1"/>
  <c r="V207" i="1"/>
  <c r="W207" i="1" s="1"/>
  <c r="U207" i="1"/>
  <c r="P207" i="1"/>
  <c r="Q207" i="1" s="1"/>
  <c r="O207" i="1"/>
  <c r="L207" i="1"/>
  <c r="J207" i="1"/>
  <c r="M207" i="1" s="1"/>
  <c r="G207" i="1"/>
  <c r="AE206" i="1"/>
  <c r="V206" i="1"/>
  <c r="W206" i="1" s="1"/>
  <c r="U206" i="1"/>
  <c r="P206" i="1"/>
  <c r="Q206" i="1" s="1"/>
  <c r="O206" i="1"/>
  <c r="L206" i="1"/>
  <c r="J206" i="1"/>
  <c r="M206" i="1" s="1"/>
  <c r="G206" i="1"/>
  <c r="AE205" i="1"/>
  <c r="V205" i="1"/>
  <c r="W205" i="1" s="1"/>
  <c r="U205" i="1"/>
  <c r="P205" i="1"/>
  <c r="Q205" i="1" s="1"/>
  <c r="O205" i="1"/>
  <c r="L205" i="1"/>
  <c r="J205" i="1"/>
  <c r="M205" i="1" s="1"/>
  <c r="G205" i="1"/>
  <c r="AE204" i="1"/>
  <c r="V204" i="1"/>
  <c r="W204" i="1" s="1"/>
  <c r="U204" i="1"/>
  <c r="P204" i="1"/>
  <c r="Q204" i="1" s="1"/>
  <c r="O204" i="1"/>
  <c r="L204" i="1"/>
  <c r="J204" i="1"/>
  <c r="M204" i="1" s="1"/>
  <c r="G204" i="1"/>
  <c r="AE203" i="1"/>
  <c r="V203" i="1"/>
  <c r="W203" i="1" s="1"/>
  <c r="U203" i="1"/>
  <c r="P203" i="1"/>
  <c r="Q203" i="1" s="1"/>
  <c r="O203" i="1"/>
  <c r="L203" i="1"/>
  <c r="J203" i="1"/>
  <c r="M203" i="1" s="1"/>
  <c r="G203" i="1"/>
  <c r="AE202" i="1"/>
  <c r="V202" i="1"/>
  <c r="W202" i="1" s="1"/>
  <c r="U202" i="1"/>
  <c r="P202" i="1"/>
  <c r="Q202" i="1" s="1"/>
  <c r="O202" i="1"/>
  <c r="L202" i="1"/>
  <c r="J202" i="1"/>
  <c r="M202" i="1" s="1"/>
  <c r="G202" i="1"/>
  <c r="AE201" i="1"/>
  <c r="V201" i="1"/>
  <c r="W201" i="1" s="1"/>
  <c r="U201" i="1"/>
  <c r="P201" i="1"/>
  <c r="Q201" i="1" s="1"/>
  <c r="O201" i="1"/>
  <c r="L201" i="1"/>
  <c r="J201" i="1"/>
  <c r="M201" i="1" s="1"/>
  <c r="G201" i="1"/>
  <c r="AE200" i="1"/>
  <c r="V200" i="1"/>
  <c r="W200" i="1" s="1"/>
  <c r="U200" i="1"/>
  <c r="P200" i="1"/>
  <c r="Q200" i="1" s="1"/>
  <c r="O200" i="1"/>
  <c r="L200" i="1"/>
  <c r="J200" i="1"/>
  <c r="M200" i="1" s="1"/>
  <c r="G200" i="1"/>
  <c r="AE199" i="1"/>
  <c r="V199" i="1"/>
  <c r="W199" i="1" s="1"/>
  <c r="U199" i="1"/>
  <c r="P199" i="1"/>
  <c r="Q199" i="1" s="1"/>
  <c r="O199" i="1"/>
  <c r="L199" i="1"/>
  <c r="J199" i="1"/>
  <c r="M199" i="1" s="1"/>
  <c r="G199" i="1"/>
  <c r="AE198" i="1"/>
  <c r="V198" i="1"/>
  <c r="W198" i="1" s="1"/>
  <c r="U198" i="1"/>
  <c r="S198" i="1"/>
  <c r="P198" i="1"/>
  <c r="Q198" i="1" s="1"/>
  <c r="O198" i="1"/>
  <c r="R198" i="1" s="1"/>
  <c r="L198" i="1"/>
  <c r="J198" i="1"/>
  <c r="M198" i="1" s="1"/>
  <c r="G198" i="1"/>
  <c r="AE197" i="1"/>
  <c r="V197" i="1"/>
  <c r="W197" i="1" s="1"/>
  <c r="U197" i="1"/>
  <c r="S197" i="1"/>
  <c r="P197" i="1"/>
  <c r="Q197" i="1" s="1"/>
  <c r="O197" i="1"/>
  <c r="R197" i="1" s="1"/>
  <c r="L197" i="1"/>
  <c r="J197" i="1"/>
  <c r="M197" i="1" s="1"/>
  <c r="G197" i="1"/>
  <c r="AE196" i="1"/>
  <c r="V196" i="1"/>
  <c r="W196" i="1" s="1"/>
  <c r="U196" i="1"/>
  <c r="P196" i="1"/>
  <c r="Q196" i="1" s="1"/>
  <c r="O196" i="1"/>
  <c r="L196" i="1"/>
  <c r="J196" i="1"/>
  <c r="M196" i="1" s="1"/>
  <c r="G196" i="1"/>
  <c r="AE195" i="1"/>
  <c r="V195" i="1"/>
  <c r="W195" i="1" s="1"/>
  <c r="U195" i="1"/>
  <c r="P195" i="1"/>
  <c r="Q195" i="1" s="1"/>
  <c r="O195" i="1"/>
  <c r="L195" i="1"/>
  <c r="J195" i="1"/>
  <c r="M195" i="1" s="1"/>
  <c r="G195" i="1"/>
  <c r="AE194" i="1"/>
  <c r="V194" i="1"/>
  <c r="W194" i="1" s="1"/>
  <c r="U194" i="1"/>
  <c r="P194" i="1"/>
  <c r="Q194" i="1" s="1"/>
  <c r="O194" i="1"/>
  <c r="L194" i="1"/>
  <c r="J194" i="1"/>
  <c r="M194" i="1" s="1"/>
  <c r="G194" i="1"/>
  <c r="AE193" i="1"/>
  <c r="V193" i="1"/>
  <c r="W193" i="1" s="1"/>
  <c r="U193" i="1"/>
  <c r="S193" i="1"/>
  <c r="P193" i="1"/>
  <c r="Q193" i="1" s="1"/>
  <c r="O193" i="1"/>
  <c r="R193" i="1" s="1"/>
  <c r="L193" i="1"/>
  <c r="J193" i="1"/>
  <c r="M193" i="1" s="1"/>
  <c r="G193" i="1"/>
  <c r="AE192" i="1"/>
  <c r="V192" i="1"/>
  <c r="W192" i="1" s="1"/>
  <c r="U192" i="1"/>
  <c r="P192" i="1"/>
  <c r="Q192" i="1" s="1"/>
  <c r="O192" i="1"/>
  <c r="L192" i="1"/>
  <c r="J192" i="1"/>
  <c r="M192" i="1" s="1"/>
  <c r="G192" i="1"/>
  <c r="AE191" i="1"/>
  <c r="V191" i="1"/>
  <c r="W191" i="1" s="1"/>
  <c r="U191" i="1"/>
  <c r="P191" i="1"/>
  <c r="Q191" i="1" s="1"/>
  <c r="O191" i="1"/>
  <c r="L191" i="1"/>
  <c r="J191" i="1"/>
  <c r="M191" i="1" s="1"/>
  <c r="G191" i="1"/>
  <c r="AE190" i="1"/>
  <c r="V190" i="1"/>
  <c r="W190" i="1" s="1"/>
  <c r="U190" i="1"/>
  <c r="P190" i="1"/>
  <c r="Q190" i="1" s="1"/>
  <c r="O190" i="1"/>
  <c r="L190" i="1"/>
  <c r="J190" i="1"/>
  <c r="M190" i="1" s="1"/>
  <c r="G190" i="1"/>
  <c r="AE189" i="1"/>
  <c r="V189" i="1"/>
  <c r="W189" i="1" s="1"/>
  <c r="U189" i="1"/>
  <c r="P189" i="1"/>
  <c r="Q189" i="1" s="1"/>
  <c r="O189" i="1"/>
  <c r="L189" i="1"/>
  <c r="J189" i="1"/>
  <c r="M189" i="1" s="1"/>
  <c r="G189" i="1"/>
  <c r="AE188" i="1"/>
  <c r="V188" i="1"/>
  <c r="W188" i="1" s="1"/>
  <c r="U188" i="1"/>
  <c r="S188" i="1"/>
  <c r="P188" i="1"/>
  <c r="Q188" i="1" s="1"/>
  <c r="O188" i="1"/>
  <c r="R188" i="1" s="1"/>
  <c r="L188" i="1"/>
  <c r="J188" i="1"/>
  <c r="M188" i="1" s="1"/>
  <c r="G188" i="1"/>
  <c r="AE187" i="1"/>
  <c r="V187" i="1"/>
  <c r="W187" i="1" s="1"/>
  <c r="U187" i="1"/>
  <c r="P187" i="1"/>
  <c r="Q187" i="1" s="1"/>
  <c r="O187" i="1"/>
  <c r="L187" i="1"/>
  <c r="J187" i="1"/>
  <c r="M187" i="1" s="1"/>
  <c r="G187" i="1"/>
  <c r="AE186" i="1"/>
  <c r="V186" i="1"/>
  <c r="W186" i="1" s="1"/>
  <c r="U186" i="1"/>
  <c r="P186" i="1"/>
  <c r="Q186" i="1" s="1"/>
  <c r="O186" i="1"/>
  <c r="L186" i="1"/>
  <c r="J186" i="1"/>
  <c r="M186" i="1" s="1"/>
  <c r="G186" i="1"/>
  <c r="AE185" i="1"/>
  <c r="V185" i="1"/>
  <c r="W185" i="1" s="1"/>
  <c r="U185" i="1"/>
  <c r="P185" i="1"/>
  <c r="Q185" i="1" s="1"/>
  <c r="O185" i="1"/>
  <c r="L185" i="1"/>
  <c r="J185" i="1"/>
  <c r="M185" i="1" s="1"/>
  <c r="G185" i="1"/>
  <c r="AE184" i="1"/>
  <c r="V184" i="1"/>
  <c r="W184" i="1" s="1"/>
  <c r="U184" i="1"/>
  <c r="P184" i="1"/>
  <c r="Q184" i="1" s="1"/>
  <c r="O184" i="1"/>
  <c r="L184" i="1"/>
  <c r="J184" i="1"/>
  <c r="M184" i="1" s="1"/>
  <c r="G184" i="1"/>
  <c r="AE183" i="1"/>
  <c r="V183" i="1"/>
  <c r="W183" i="1" s="1"/>
  <c r="U183" i="1"/>
  <c r="S183" i="1"/>
  <c r="P183" i="1"/>
  <c r="Q183" i="1" s="1"/>
  <c r="O183" i="1"/>
  <c r="R183" i="1" s="1"/>
  <c r="L183" i="1"/>
  <c r="J183" i="1"/>
  <c r="M183" i="1" s="1"/>
  <c r="G183" i="1"/>
  <c r="AE182" i="1"/>
  <c r="V182" i="1"/>
  <c r="W182" i="1" s="1"/>
  <c r="U182" i="1"/>
  <c r="P182" i="1"/>
  <c r="Q182" i="1" s="1"/>
  <c r="O182" i="1"/>
  <c r="L182" i="1"/>
  <c r="J182" i="1"/>
  <c r="M182" i="1" s="1"/>
  <c r="G182" i="1"/>
  <c r="AE181" i="1"/>
  <c r="V181" i="1"/>
  <c r="W181" i="1" s="1"/>
  <c r="U181" i="1"/>
  <c r="P181" i="1"/>
  <c r="Q181" i="1" s="1"/>
  <c r="O181" i="1"/>
  <c r="L181" i="1"/>
  <c r="J181" i="1"/>
  <c r="M181" i="1" s="1"/>
  <c r="G181" i="1"/>
  <c r="AE180" i="1"/>
  <c r="V180" i="1"/>
  <c r="W180" i="1" s="1"/>
  <c r="U180" i="1"/>
  <c r="P180" i="1"/>
  <c r="Q180" i="1" s="1"/>
  <c r="O180" i="1"/>
  <c r="L180" i="1"/>
  <c r="J180" i="1"/>
  <c r="M180" i="1" s="1"/>
  <c r="G180" i="1"/>
  <c r="AE179" i="1"/>
  <c r="V179" i="1"/>
  <c r="W179" i="1" s="1"/>
  <c r="U179" i="1"/>
  <c r="P179" i="1"/>
  <c r="Q179" i="1" s="1"/>
  <c r="O179" i="1"/>
  <c r="L179" i="1"/>
  <c r="J179" i="1"/>
  <c r="M179" i="1" s="1"/>
  <c r="G179" i="1"/>
  <c r="AE178" i="1"/>
  <c r="V178" i="1"/>
  <c r="W178" i="1" s="1"/>
  <c r="U178" i="1"/>
  <c r="S178" i="1"/>
  <c r="P178" i="1"/>
  <c r="Q178" i="1" s="1"/>
  <c r="O178" i="1"/>
  <c r="R178" i="1" s="1"/>
  <c r="L178" i="1"/>
  <c r="J178" i="1"/>
  <c r="M178" i="1" s="1"/>
  <c r="G178" i="1"/>
  <c r="AE177" i="1"/>
  <c r="V177" i="1"/>
  <c r="W177" i="1" s="1"/>
  <c r="U177" i="1"/>
  <c r="P177" i="1"/>
  <c r="Q177" i="1" s="1"/>
  <c r="O177" i="1"/>
  <c r="L177" i="1"/>
  <c r="J177" i="1"/>
  <c r="M177" i="1" s="1"/>
  <c r="G177" i="1"/>
  <c r="AE176" i="1"/>
  <c r="V176" i="1"/>
  <c r="W176" i="1" s="1"/>
  <c r="U176" i="1"/>
  <c r="P176" i="1"/>
  <c r="Q176" i="1" s="1"/>
  <c r="O176" i="1"/>
  <c r="L176" i="1"/>
  <c r="J176" i="1"/>
  <c r="M176" i="1" s="1"/>
  <c r="G176" i="1"/>
  <c r="AE175" i="1"/>
  <c r="V175" i="1"/>
  <c r="W175" i="1" s="1"/>
  <c r="U175" i="1"/>
  <c r="P175" i="1"/>
  <c r="Q175" i="1" s="1"/>
  <c r="O175" i="1"/>
  <c r="L175" i="1"/>
  <c r="J175" i="1"/>
  <c r="M175" i="1" s="1"/>
  <c r="G175" i="1"/>
  <c r="AE174" i="1"/>
  <c r="V174" i="1"/>
  <c r="W174" i="1" s="1"/>
  <c r="U174" i="1"/>
  <c r="P174" i="1"/>
  <c r="Q174" i="1" s="1"/>
  <c r="O174" i="1"/>
  <c r="L174" i="1"/>
  <c r="J174" i="1"/>
  <c r="M174" i="1" s="1"/>
  <c r="G174" i="1"/>
  <c r="AE173" i="1"/>
  <c r="V173" i="1"/>
  <c r="W173" i="1" s="1"/>
  <c r="U173" i="1"/>
  <c r="P173" i="1"/>
  <c r="Q173" i="1" s="1"/>
  <c r="O173" i="1"/>
  <c r="L173" i="1"/>
  <c r="J173" i="1"/>
  <c r="M173" i="1" s="1"/>
  <c r="G173" i="1"/>
  <c r="AE172" i="1"/>
  <c r="V172" i="1"/>
  <c r="W172" i="1" s="1"/>
  <c r="U172" i="1"/>
  <c r="P172" i="1"/>
  <c r="Q172" i="1" s="1"/>
  <c r="O172" i="1"/>
  <c r="L172" i="1"/>
  <c r="J172" i="1"/>
  <c r="M172" i="1" s="1"/>
  <c r="G172" i="1"/>
  <c r="AE171" i="1"/>
  <c r="V171" i="1"/>
  <c r="W171" i="1" s="1"/>
  <c r="U171" i="1"/>
  <c r="P171" i="1"/>
  <c r="Q171" i="1" s="1"/>
  <c r="O171" i="1"/>
  <c r="L171" i="1"/>
  <c r="J171" i="1"/>
  <c r="M171" i="1" s="1"/>
  <c r="G171" i="1"/>
  <c r="AE170" i="1"/>
  <c r="V170" i="1"/>
  <c r="W170" i="1" s="1"/>
  <c r="U170" i="1"/>
  <c r="P170" i="1"/>
  <c r="Q170" i="1" s="1"/>
  <c r="O170" i="1"/>
  <c r="L170" i="1"/>
  <c r="J170" i="1"/>
  <c r="M170" i="1" s="1"/>
  <c r="G170" i="1"/>
  <c r="AE169" i="1"/>
  <c r="V169" i="1"/>
  <c r="W169" i="1" s="1"/>
  <c r="U169" i="1"/>
  <c r="P169" i="1"/>
  <c r="Q169" i="1" s="1"/>
  <c r="O169" i="1"/>
  <c r="L169" i="1"/>
  <c r="J169" i="1"/>
  <c r="M169" i="1" s="1"/>
  <c r="G169" i="1"/>
  <c r="AE168" i="1"/>
  <c r="V168" i="1"/>
  <c r="W168" i="1" s="1"/>
  <c r="U168" i="1"/>
  <c r="P168" i="1"/>
  <c r="Q168" i="1" s="1"/>
  <c r="O168" i="1"/>
  <c r="L168" i="1"/>
  <c r="J168" i="1"/>
  <c r="M168" i="1" s="1"/>
  <c r="G168" i="1"/>
  <c r="AE167" i="1"/>
  <c r="V167" i="1"/>
  <c r="W167" i="1" s="1"/>
  <c r="U167" i="1"/>
  <c r="S167" i="1"/>
  <c r="P167" i="1"/>
  <c r="Q167" i="1" s="1"/>
  <c r="O167" i="1"/>
  <c r="R167" i="1" s="1"/>
  <c r="L167" i="1"/>
  <c r="J167" i="1"/>
  <c r="M167" i="1" s="1"/>
  <c r="G167" i="1"/>
  <c r="AE166" i="1"/>
  <c r="V166" i="1"/>
  <c r="W166" i="1" s="1"/>
  <c r="U166" i="1"/>
  <c r="P166" i="1"/>
  <c r="Q166" i="1" s="1"/>
  <c r="O166" i="1"/>
  <c r="L166" i="1"/>
  <c r="J166" i="1"/>
  <c r="M166" i="1" s="1"/>
  <c r="G166" i="1"/>
  <c r="AE165" i="1"/>
  <c r="V165" i="1"/>
  <c r="W165" i="1" s="1"/>
  <c r="U165" i="1"/>
  <c r="S165" i="1"/>
  <c r="P165" i="1"/>
  <c r="Q165" i="1" s="1"/>
  <c r="O165" i="1"/>
  <c r="R165" i="1" s="1"/>
  <c r="L165" i="1"/>
  <c r="J165" i="1"/>
  <c r="M165" i="1" s="1"/>
  <c r="G165" i="1"/>
  <c r="AE164" i="1"/>
  <c r="V164" i="1"/>
  <c r="W164" i="1" s="1"/>
  <c r="U164" i="1"/>
  <c r="P164" i="1"/>
  <c r="Q164" i="1" s="1"/>
  <c r="O164" i="1"/>
  <c r="L164" i="1"/>
  <c r="J164" i="1"/>
  <c r="M164" i="1" s="1"/>
  <c r="G164" i="1"/>
  <c r="AE163" i="1"/>
  <c r="V163" i="1"/>
  <c r="W163" i="1" s="1"/>
  <c r="U163" i="1"/>
  <c r="P163" i="1"/>
  <c r="Q163" i="1" s="1"/>
  <c r="O163" i="1"/>
  <c r="L163" i="1"/>
  <c r="J163" i="1"/>
  <c r="M163" i="1" s="1"/>
  <c r="G163" i="1"/>
  <c r="AE162" i="1"/>
  <c r="V162" i="1"/>
  <c r="W162" i="1" s="1"/>
  <c r="U162" i="1"/>
  <c r="P162" i="1"/>
  <c r="Q162" i="1" s="1"/>
  <c r="O162" i="1"/>
  <c r="L162" i="1"/>
  <c r="J162" i="1"/>
  <c r="M162" i="1" s="1"/>
  <c r="G162" i="1"/>
  <c r="AE161" i="1"/>
  <c r="V161" i="1"/>
  <c r="W161" i="1" s="1"/>
  <c r="U161" i="1"/>
  <c r="P161" i="1"/>
  <c r="Q161" i="1" s="1"/>
  <c r="O161" i="1"/>
  <c r="L161" i="1"/>
  <c r="J161" i="1"/>
  <c r="M161" i="1" s="1"/>
  <c r="G161" i="1"/>
  <c r="AE160" i="1"/>
  <c r="V160" i="1"/>
  <c r="W160" i="1" s="1"/>
  <c r="U160" i="1"/>
  <c r="P160" i="1"/>
  <c r="Q160" i="1" s="1"/>
  <c r="O160" i="1"/>
  <c r="L160" i="1"/>
  <c r="J160" i="1"/>
  <c r="M160" i="1" s="1"/>
  <c r="G160" i="1"/>
  <c r="AE159" i="1"/>
  <c r="V159" i="1"/>
  <c r="W159" i="1" s="1"/>
  <c r="U159" i="1"/>
  <c r="S159" i="1"/>
  <c r="P159" i="1"/>
  <c r="Q159" i="1" s="1"/>
  <c r="O159" i="1"/>
  <c r="R159" i="1" s="1"/>
  <c r="L159" i="1"/>
  <c r="J159" i="1"/>
  <c r="M159" i="1" s="1"/>
  <c r="G159" i="1"/>
  <c r="AE158" i="1"/>
  <c r="V158" i="1"/>
  <c r="W158" i="1" s="1"/>
  <c r="U158" i="1"/>
  <c r="P158" i="1"/>
  <c r="Q158" i="1" s="1"/>
  <c r="O158" i="1"/>
  <c r="L158" i="1"/>
  <c r="J158" i="1"/>
  <c r="M158" i="1" s="1"/>
  <c r="G158" i="1"/>
  <c r="AE157" i="1"/>
  <c r="V157" i="1"/>
  <c r="W157" i="1" s="1"/>
  <c r="U157" i="1"/>
  <c r="P157" i="1"/>
  <c r="Q157" i="1" s="1"/>
  <c r="O157" i="1"/>
  <c r="L157" i="1"/>
  <c r="J157" i="1"/>
  <c r="M157" i="1" s="1"/>
  <c r="G157" i="1"/>
  <c r="AE156" i="1"/>
  <c r="V156" i="1"/>
  <c r="W156" i="1" s="1"/>
  <c r="U156" i="1"/>
  <c r="P156" i="1"/>
  <c r="Q156" i="1" s="1"/>
  <c r="O156" i="1"/>
  <c r="L156" i="1"/>
  <c r="J156" i="1"/>
  <c r="M156" i="1" s="1"/>
  <c r="G156" i="1"/>
  <c r="AE155" i="1"/>
  <c r="V155" i="1"/>
  <c r="W155" i="1" s="1"/>
  <c r="U155" i="1"/>
  <c r="P155" i="1"/>
  <c r="Q155" i="1" s="1"/>
  <c r="O155" i="1"/>
  <c r="L155" i="1"/>
  <c r="J155" i="1"/>
  <c r="M155" i="1" s="1"/>
  <c r="G155" i="1"/>
  <c r="AE154" i="1"/>
  <c r="V154" i="1"/>
  <c r="W154" i="1" s="1"/>
  <c r="U154" i="1"/>
  <c r="P154" i="1"/>
  <c r="Q154" i="1" s="1"/>
  <c r="O154" i="1"/>
  <c r="L154" i="1"/>
  <c r="J154" i="1"/>
  <c r="M154" i="1" s="1"/>
  <c r="G154" i="1"/>
  <c r="AE153" i="1"/>
  <c r="Y153" i="1"/>
  <c r="V153" i="1"/>
  <c r="W153" i="1" s="1"/>
  <c r="U153" i="1"/>
  <c r="X153" i="1" s="1"/>
  <c r="P153" i="1"/>
  <c r="Q153" i="1" s="1"/>
  <c r="O153" i="1"/>
  <c r="L153" i="1"/>
  <c r="J153" i="1"/>
  <c r="M153" i="1" s="1"/>
  <c r="G153" i="1"/>
  <c r="AE152" i="1"/>
  <c r="V152" i="1"/>
  <c r="W152" i="1" s="1"/>
  <c r="U152" i="1"/>
  <c r="P152" i="1"/>
  <c r="Q152" i="1" s="1"/>
  <c r="O152" i="1"/>
  <c r="L152" i="1"/>
  <c r="J152" i="1"/>
  <c r="M152" i="1" s="1"/>
  <c r="G152" i="1"/>
  <c r="AE151" i="1"/>
  <c r="V151" i="1"/>
  <c r="W151" i="1" s="1"/>
  <c r="U151" i="1"/>
  <c r="P151" i="1"/>
  <c r="Q151" i="1" s="1"/>
  <c r="O151" i="1"/>
  <c r="L151" i="1"/>
  <c r="J151" i="1"/>
  <c r="M151" i="1" s="1"/>
  <c r="G151" i="1"/>
  <c r="AE150" i="1"/>
  <c r="V150" i="1"/>
  <c r="W150" i="1" s="1"/>
  <c r="U150" i="1"/>
  <c r="P150" i="1"/>
  <c r="Q150" i="1" s="1"/>
  <c r="O150" i="1"/>
  <c r="L150" i="1"/>
  <c r="J150" i="1"/>
  <c r="M150" i="1" s="1"/>
  <c r="G150" i="1"/>
  <c r="AE149" i="1"/>
  <c r="V149" i="1"/>
  <c r="W149" i="1" s="1"/>
  <c r="U149" i="1"/>
  <c r="P149" i="1"/>
  <c r="Q149" i="1" s="1"/>
  <c r="O149" i="1"/>
  <c r="L149" i="1"/>
  <c r="J149" i="1"/>
  <c r="M149" i="1" s="1"/>
  <c r="G149" i="1"/>
  <c r="AE148" i="1"/>
  <c r="V148" i="1"/>
  <c r="W148" i="1" s="1"/>
  <c r="U148" i="1"/>
  <c r="P148" i="1"/>
  <c r="Q148" i="1" s="1"/>
  <c r="O148" i="1"/>
  <c r="L148" i="1"/>
  <c r="J148" i="1"/>
  <c r="M148" i="1" s="1"/>
  <c r="G148" i="1"/>
  <c r="AE147" i="1"/>
  <c r="V147" i="1"/>
  <c r="W147" i="1" s="1"/>
  <c r="U147" i="1"/>
  <c r="P147" i="1"/>
  <c r="Q147" i="1" s="1"/>
  <c r="O147" i="1"/>
  <c r="L147" i="1"/>
  <c r="J147" i="1"/>
  <c r="M147" i="1" s="1"/>
  <c r="G147" i="1"/>
  <c r="AE146" i="1"/>
  <c r="V146" i="1"/>
  <c r="W146" i="1" s="1"/>
  <c r="U146" i="1"/>
  <c r="P146" i="1"/>
  <c r="Q146" i="1" s="1"/>
  <c r="O146" i="1"/>
  <c r="L146" i="1"/>
  <c r="J146" i="1"/>
  <c r="M146" i="1" s="1"/>
  <c r="G146" i="1"/>
  <c r="AE145" i="1"/>
  <c r="V145" i="1"/>
  <c r="W145" i="1" s="1"/>
  <c r="U145" i="1"/>
  <c r="S145" i="1"/>
  <c r="P145" i="1"/>
  <c r="Q145" i="1" s="1"/>
  <c r="O145" i="1"/>
  <c r="R145" i="1" s="1"/>
  <c r="L145" i="1"/>
  <c r="J145" i="1"/>
  <c r="M145" i="1" s="1"/>
  <c r="G145" i="1"/>
  <c r="AE144" i="1"/>
  <c r="V144" i="1"/>
  <c r="W144" i="1" s="1"/>
  <c r="U144" i="1"/>
  <c r="P144" i="1"/>
  <c r="Q144" i="1" s="1"/>
  <c r="O144" i="1"/>
  <c r="L144" i="1"/>
  <c r="J144" i="1"/>
  <c r="M144" i="1" s="1"/>
  <c r="G144" i="1"/>
  <c r="AE143" i="1"/>
  <c r="Y143" i="1"/>
  <c r="V143" i="1"/>
  <c r="W143" i="1" s="1"/>
  <c r="U143" i="1"/>
  <c r="X143" i="1" s="1"/>
  <c r="S143" i="1"/>
  <c r="P143" i="1"/>
  <c r="Q143" i="1" s="1"/>
  <c r="O143" i="1"/>
  <c r="R143" i="1" s="1"/>
  <c r="L143" i="1"/>
  <c r="J143" i="1"/>
  <c r="M143" i="1" s="1"/>
  <c r="G143" i="1"/>
  <c r="AE142" i="1"/>
  <c r="Y142" i="1"/>
  <c r="V142" i="1"/>
  <c r="W142" i="1" s="1"/>
  <c r="U142" i="1"/>
  <c r="X142" i="1" s="1"/>
  <c r="S142" i="1"/>
  <c r="P142" i="1"/>
  <c r="Q142" i="1" s="1"/>
  <c r="O142" i="1"/>
  <c r="R142" i="1" s="1"/>
  <c r="L142" i="1"/>
  <c r="J142" i="1"/>
  <c r="M142" i="1" s="1"/>
  <c r="G142" i="1"/>
  <c r="AE141" i="1"/>
  <c r="V141" i="1"/>
  <c r="W141" i="1" s="1"/>
  <c r="U141" i="1"/>
  <c r="P141" i="1"/>
  <c r="Q141" i="1" s="1"/>
  <c r="O141" i="1"/>
  <c r="L141" i="1"/>
  <c r="J141" i="1"/>
  <c r="M141" i="1" s="1"/>
  <c r="G141" i="1"/>
  <c r="AE140" i="1"/>
  <c r="V140" i="1"/>
  <c r="W140" i="1" s="1"/>
  <c r="U140" i="1"/>
  <c r="P140" i="1"/>
  <c r="Q140" i="1" s="1"/>
  <c r="O140" i="1"/>
  <c r="L140" i="1"/>
  <c r="J140" i="1"/>
  <c r="M140" i="1" s="1"/>
  <c r="G140" i="1"/>
  <c r="AE139" i="1"/>
  <c r="Y139" i="1"/>
  <c r="V139" i="1"/>
  <c r="W139" i="1" s="1"/>
  <c r="U139" i="1"/>
  <c r="X139" i="1" s="1"/>
  <c r="P139" i="1"/>
  <c r="Q139" i="1" s="1"/>
  <c r="O139" i="1"/>
  <c r="L139" i="1"/>
  <c r="J139" i="1"/>
  <c r="M139" i="1" s="1"/>
  <c r="G139" i="1"/>
  <c r="AE138" i="1"/>
  <c r="V138" i="1"/>
  <c r="W138" i="1" s="1"/>
  <c r="U138" i="1"/>
  <c r="S138" i="1"/>
  <c r="P138" i="1"/>
  <c r="Q138" i="1" s="1"/>
  <c r="O138" i="1"/>
  <c r="R138" i="1" s="1"/>
  <c r="L138" i="1"/>
  <c r="J138" i="1"/>
  <c r="M138" i="1" s="1"/>
  <c r="G138" i="1"/>
  <c r="AE137" i="1"/>
  <c r="Y137" i="1"/>
  <c r="V137" i="1"/>
  <c r="W137" i="1" s="1"/>
  <c r="U137" i="1"/>
  <c r="X137" i="1" s="1"/>
  <c r="P137" i="1"/>
  <c r="Q137" i="1" s="1"/>
  <c r="O137" i="1"/>
  <c r="L137" i="1"/>
  <c r="J137" i="1"/>
  <c r="M137" i="1" s="1"/>
  <c r="G137" i="1"/>
  <c r="AE136" i="1"/>
  <c r="V136" i="1"/>
  <c r="W136" i="1" s="1"/>
  <c r="U136" i="1"/>
  <c r="P136" i="1"/>
  <c r="Q136" i="1" s="1"/>
  <c r="O136" i="1"/>
  <c r="L136" i="1"/>
  <c r="J136" i="1"/>
  <c r="M136" i="1" s="1"/>
  <c r="G136" i="1"/>
  <c r="AE135" i="1"/>
  <c r="V135" i="1"/>
  <c r="W135" i="1" s="1"/>
  <c r="U135" i="1"/>
  <c r="P135" i="1"/>
  <c r="Q135" i="1" s="1"/>
  <c r="O135" i="1"/>
  <c r="L135" i="1"/>
  <c r="J135" i="1"/>
  <c r="M135" i="1" s="1"/>
  <c r="G135" i="1"/>
  <c r="AE134" i="1"/>
  <c r="V134" i="1"/>
  <c r="W134" i="1" s="1"/>
  <c r="U134" i="1"/>
  <c r="P134" i="1"/>
  <c r="Q134" i="1" s="1"/>
  <c r="O134" i="1"/>
  <c r="L134" i="1"/>
  <c r="J134" i="1"/>
  <c r="M134" i="1" s="1"/>
  <c r="G134" i="1"/>
  <c r="AE133" i="1"/>
  <c r="V133" i="1"/>
  <c r="W133" i="1" s="1"/>
  <c r="U133" i="1"/>
  <c r="P133" i="1"/>
  <c r="Q133" i="1" s="1"/>
  <c r="O133" i="1"/>
  <c r="L133" i="1"/>
  <c r="J133" i="1"/>
  <c r="M133" i="1" s="1"/>
  <c r="G133" i="1"/>
  <c r="AE132" i="1"/>
  <c r="V132" i="1"/>
  <c r="W132" i="1" s="1"/>
  <c r="U132" i="1"/>
  <c r="P132" i="1"/>
  <c r="Q132" i="1" s="1"/>
  <c r="O132" i="1"/>
  <c r="L132" i="1"/>
  <c r="J132" i="1"/>
  <c r="M132" i="1" s="1"/>
  <c r="G132" i="1"/>
  <c r="AE131" i="1"/>
  <c r="V131" i="1"/>
  <c r="W131" i="1" s="1"/>
  <c r="U131" i="1"/>
  <c r="P131" i="1"/>
  <c r="Q131" i="1" s="1"/>
  <c r="O131" i="1"/>
  <c r="L131" i="1"/>
  <c r="J131" i="1"/>
  <c r="M131" i="1" s="1"/>
  <c r="G131" i="1"/>
  <c r="AE130" i="1"/>
  <c r="V130" i="1"/>
  <c r="W130" i="1" s="1"/>
  <c r="U130" i="1"/>
  <c r="P130" i="1"/>
  <c r="Q130" i="1" s="1"/>
  <c r="O130" i="1"/>
  <c r="L130" i="1"/>
  <c r="J130" i="1"/>
  <c r="M130" i="1" s="1"/>
  <c r="G130" i="1"/>
  <c r="AE129" i="1"/>
  <c r="V129" i="1"/>
  <c r="W129" i="1" s="1"/>
  <c r="U129" i="1"/>
  <c r="P129" i="1"/>
  <c r="Q129" i="1" s="1"/>
  <c r="O129" i="1"/>
  <c r="L129" i="1"/>
  <c r="J129" i="1"/>
  <c r="M129" i="1" s="1"/>
  <c r="G129" i="1"/>
  <c r="AE128" i="1"/>
  <c r="V128" i="1"/>
  <c r="W128" i="1" s="1"/>
  <c r="U128" i="1"/>
  <c r="P128" i="1"/>
  <c r="Q128" i="1" s="1"/>
  <c r="O128" i="1"/>
  <c r="L128" i="1"/>
  <c r="J128" i="1"/>
  <c r="M128" i="1" s="1"/>
  <c r="G128" i="1"/>
  <c r="AE127" i="1"/>
  <c r="V127" i="1"/>
  <c r="W127" i="1" s="1"/>
  <c r="U127" i="1"/>
  <c r="P127" i="1"/>
  <c r="Q127" i="1" s="1"/>
  <c r="O127" i="1"/>
  <c r="L127" i="1"/>
  <c r="J127" i="1"/>
  <c r="M127" i="1" s="1"/>
  <c r="G127" i="1"/>
  <c r="AE126" i="1"/>
  <c r="V126" i="1"/>
  <c r="W126" i="1" s="1"/>
  <c r="U126" i="1"/>
  <c r="P126" i="1"/>
  <c r="Q126" i="1" s="1"/>
  <c r="O126" i="1"/>
  <c r="L126" i="1"/>
  <c r="J126" i="1"/>
  <c r="M126" i="1" s="1"/>
  <c r="G126" i="1"/>
  <c r="AE125" i="1"/>
  <c r="V125" i="1"/>
  <c r="W125" i="1" s="1"/>
  <c r="U125" i="1"/>
  <c r="P125" i="1"/>
  <c r="Q125" i="1" s="1"/>
  <c r="O125" i="1"/>
  <c r="L125" i="1"/>
  <c r="J125" i="1"/>
  <c r="M125" i="1" s="1"/>
  <c r="G125" i="1"/>
  <c r="AE124" i="1"/>
  <c r="V124" i="1"/>
  <c r="W124" i="1" s="1"/>
  <c r="U124" i="1"/>
  <c r="P124" i="1"/>
  <c r="Q124" i="1" s="1"/>
  <c r="O124" i="1"/>
  <c r="L124" i="1"/>
  <c r="J124" i="1"/>
  <c r="M124" i="1" s="1"/>
  <c r="G124" i="1"/>
  <c r="AE123" i="1"/>
  <c r="V123" i="1"/>
  <c r="W123" i="1" s="1"/>
  <c r="U123" i="1"/>
  <c r="P123" i="1"/>
  <c r="Q123" i="1" s="1"/>
  <c r="O123" i="1"/>
  <c r="L123" i="1"/>
  <c r="J123" i="1"/>
  <c r="M123" i="1" s="1"/>
  <c r="G123" i="1"/>
  <c r="AE122" i="1"/>
  <c r="V122" i="1"/>
  <c r="W122" i="1" s="1"/>
  <c r="U122" i="1"/>
  <c r="P122" i="1"/>
  <c r="Q122" i="1" s="1"/>
  <c r="O122" i="1"/>
  <c r="L122" i="1"/>
  <c r="J122" i="1"/>
  <c r="M122" i="1" s="1"/>
  <c r="G122" i="1"/>
  <c r="AE121" i="1"/>
  <c r="V121" i="1"/>
  <c r="W121" i="1" s="1"/>
  <c r="U121" i="1"/>
  <c r="P121" i="1"/>
  <c r="Q121" i="1" s="1"/>
  <c r="O121" i="1"/>
  <c r="L121" i="1"/>
  <c r="J121" i="1"/>
  <c r="M121" i="1" s="1"/>
  <c r="G121" i="1"/>
  <c r="AE120" i="1"/>
  <c r="V120" i="1"/>
  <c r="W120" i="1" s="1"/>
  <c r="U120" i="1"/>
  <c r="P120" i="1"/>
  <c r="Q120" i="1" s="1"/>
  <c r="O120" i="1"/>
  <c r="L120" i="1"/>
  <c r="J120" i="1"/>
  <c r="M120" i="1" s="1"/>
  <c r="G120" i="1"/>
  <c r="AE119" i="1"/>
  <c r="V119" i="1"/>
  <c r="W119" i="1" s="1"/>
  <c r="U119" i="1"/>
  <c r="P119" i="1"/>
  <c r="Q119" i="1" s="1"/>
  <c r="O119" i="1"/>
  <c r="L119" i="1"/>
  <c r="J119" i="1"/>
  <c r="M119" i="1" s="1"/>
  <c r="G119" i="1"/>
  <c r="AE118" i="1"/>
  <c r="V118" i="1"/>
  <c r="W118" i="1" s="1"/>
  <c r="U118" i="1"/>
  <c r="P118" i="1"/>
  <c r="Q118" i="1" s="1"/>
  <c r="O118" i="1"/>
  <c r="L118" i="1"/>
  <c r="J118" i="1"/>
  <c r="M118" i="1" s="1"/>
  <c r="G118" i="1"/>
  <c r="AE117" i="1"/>
  <c r="V117" i="1"/>
  <c r="W117" i="1" s="1"/>
  <c r="U117" i="1"/>
  <c r="P117" i="1"/>
  <c r="Q117" i="1" s="1"/>
  <c r="O117" i="1"/>
  <c r="L117" i="1"/>
  <c r="J117" i="1"/>
  <c r="M117" i="1" s="1"/>
  <c r="G117" i="1"/>
  <c r="AE116" i="1"/>
  <c r="V116" i="1"/>
  <c r="W116" i="1" s="1"/>
  <c r="U116" i="1"/>
  <c r="P116" i="1"/>
  <c r="Q116" i="1" s="1"/>
  <c r="O116" i="1"/>
  <c r="L116" i="1"/>
  <c r="J116" i="1"/>
  <c r="M116" i="1" s="1"/>
  <c r="G116" i="1"/>
  <c r="AE115" i="1"/>
  <c r="V115" i="1"/>
  <c r="W115" i="1" s="1"/>
  <c r="U115" i="1"/>
  <c r="P115" i="1"/>
  <c r="Q115" i="1" s="1"/>
  <c r="O115" i="1"/>
  <c r="L115" i="1"/>
  <c r="J115" i="1"/>
  <c r="M115" i="1" s="1"/>
  <c r="G115" i="1"/>
  <c r="AE114" i="1"/>
  <c r="V114" i="1"/>
  <c r="W114" i="1" s="1"/>
  <c r="U114" i="1"/>
  <c r="P114" i="1"/>
  <c r="Q114" i="1" s="1"/>
  <c r="O114" i="1"/>
  <c r="L114" i="1"/>
  <c r="J114" i="1"/>
  <c r="M114" i="1" s="1"/>
  <c r="G114" i="1"/>
  <c r="AE113" i="1"/>
  <c r="V113" i="1"/>
  <c r="W113" i="1" s="1"/>
  <c r="U113" i="1"/>
  <c r="P113" i="1"/>
  <c r="Q113" i="1" s="1"/>
  <c r="O113" i="1"/>
  <c r="L113" i="1"/>
  <c r="J113" i="1"/>
  <c r="M113" i="1" s="1"/>
  <c r="G113" i="1"/>
  <c r="AE112" i="1"/>
  <c r="V112" i="1"/>
  <c r="W112" i="1" s="1"/>
  <c r="U112" i="1"/>
  <c r="P112" i="1"/>
  <c r="Q112" i="1" s="1"/>
  <c r="O112" i="1"/>
  <c r="L112" i="1"/>
  <c r="J112" i="1"/>
  <c r="M112" i="1" s="1"/>
  <c r="G112" i="1"/>
  <c r="AE111" i="1"/>
  <c r="V111" i="1"/>
  <c r="W111" i="1" s="1"/>
  <c r="U111" i="1"/>
  <c r="S111" i="1"/>
  <c r="P111" i="1"/>
  <c r="Q111" i="1" s="1"/>
  <c r="O111" i="1"/>
  <c r="R111" i="1" s="1"/>
  <c r="L111" i="1"/>
  <c r="J111" i="1"/>
  <c r="M111" i="1" s="1"/>
  <c r="G111" i="1"/>
  <c r="AE110" i="1"/>
  <c r="V110" i="1"/>
  <c r="W110" i="1" s="1"/>
  <c r="U110" i="1"/>
  <c r="P110" i="1"/>
  <c r="Q110" i="1" s="1"/>
  <c r="O110" i="1"/>
  <c r="L110" i="1"/>
  <c r="J110" i="1"/>
  <c r="M110" i="1" s="1"/>
  <c r="G110" i="1"/>
  <c r="AE109" i="1"/>
  <c r="V109" i="1"/>
  <c r="W109" i="1" s="1"/>
  <c r="U109" i="1"/>
  <c r="P109" i="1"/>
  <c r="Q109" i="1" s="1"/>
  <c r="O109" i="1"/>
  <c r="L109" i="1"/>
  <c r="J109" i="1"/>
  <c r="M109" i="1" s="1"/>
  <c r="G109" i="1"/>
  <c r="AE108" i="1"/>
  <c r="V108" i="1"/>
  <c r="W108" i="1" s="1"/>
  <c r="U108" i="1"/>
  <c r="P108" i="1"/>
  <c r="Q108" i="1" s="1"/>
  <c r="O108" i="1"/>
  <c r="L108" i="1"/>
  <c r="J108" i="1"/>
  <c r="M108" i="1" s="1"/>
  <c r="G108" i="1"/>
  <c r="AE107" i="1"/>
  <c r="V107" i="1"/>
  <c r="W107" i="1" s="1"/>
  <c r="U107" i="1"/>
  <c r="P107" i="1"/>
  <c r="Q107" i="1" s="1"/>
  <c r="O107" i="1"/>
  <c r="L107" i="1"/>
  <c r="J107" i="1"/>
  <c r="M107" i="1" s="1"/>
  <c r="G107" i="1"/>
  <c r="AE106" i="1"/>
  <c r="V106" i="1"/>
  <c r="W106" i="1" s="1"/>
  <c r="U106" i="1"/>
  <c r="P106" i="1"/>
  <c r="Q106" i="1" s="1"/>
  <c r="O106" i="1"/>
  <c r="L106" i="1"/>
  <c r="J106" i="1"/>
  <c r="M106" i="1" s="1"/>
  <c r="G106" i="1"/>
  <c r="AE105" i="1"/>
  <c r="V105" i="1"/>
  <c r="W105" i="1" s="1"/>
  <c r="U105" i="1"/>
  <c r="P105" i="1"/>
  <c r="Q105" i="1" s="1"/>
  <c r="O105" i="1"/>
  <c r="L105" i="1"/>
  <c r="J105" i="1"/>
  <c r="M105" i="1" s="1"/>
  <c r="G105" i="1"/>
  <c r="AE104" i="1"/>
  <c r="V104" i="1"/>
  <c r="W104" i="1" s="1"/>
  <c r="U104" i="1"/>
  <c r="P104" i="1"/>
  <c r="Q104" i="1" s="1"/>
  <c r="O104" i="1"/>
  <c r="L104" i="1"/>
  <c r="J104" i="1"/>
  <c r="M104" i="1" s="1"/>
  <c r="G104" i="1"/>
  <c r="AE103" i="1"/>
  <c r="V103" i="1"/>
  <c r="W103" i="1" s="1"/>
  <c r="U103" i="1"/>
  <c r="P103" i="1"/>
  <c r="Q103" i="1" s="1"/>
  <c r="O103" i="1"/>
  <c r="L103" i="1"/>
  <c r="J103" i="1"/>
  <c r="M103" i="1" s="1"/>
  <c r="G103" i="1"/>
  <c r="AE102" i="1"/>
  <c r="V102" i="1"/>
  <c r="W102" i="1" s="1"/>
  <c r="U102" i="1"/>
  <c r="P102" i="1"/>
  <c r="Q102" i="1" s="1"/>
  <c r="O102" i="1"/>
  <c r="L102" i="1"/>
  <c r="J102" i="1"/>
  <c r="M102" i="1" s="1"/>
  <c r="G102" i="1"/>
  <c r="AE101" i="1"/>
  <c r="V101" i="1"/>
  <c r="W101" i="1" s="1"/>
  <c r="U101" i="1"/>
  <c r="P101" i="1"/>
  <c r="Q101" i="1" s="1"/>
  <c r="O101" i="1"/>
  <c r="L101" i="1"/>
  <c r="J101" i="1"/>
  <c r="M101" i="1" s="1"/>
  <c r="G101" i="1"/>
  <c r="AE100" i="1"/>
  <c r="V100" i="1"/>
  <c r="W100" i="1" s="1"/>
  <c r="U100" i="1"/>
  <c r="P100" i="1"/>
  <c r="Q100" i="1" s="1"/>
  <c r="O100" i="1"/>
  <c r="L100" i="1"/>
  <c r="J100" i="1"/>
  <c r="M100" i="1" s="1"/>
  <c r="G100" i="1"/>
  <c r="AE99" i="1"/>
  <c r="V99" i="1"/>
  <c r="W99" i="1" s="1"/>
  <c r="U99" i="1"/>
  <c r="P99" i="1"/>
  <c r="Q99" i="1" s="1"/>
  <c r="O99" i="1"/>
  <c r="L99" i="1"/>
  <c r="J99" i="1"/>
  <c r="M99" i="1" s="1"/>
  <c r="G99" i="1"/>
  <c r="AE98" i="1"/>
  <c r="V98" i="1"/>
  <c r="W98" i="1" s="1"/>
  <c r="U98" i="1"/>
  <c r="P98" i="1"/>
  <c r="Q98" i="1" s="1"/>
  <c r="O98" i="1"/>
  <c r="L98" i="1"/>
  <c r="J98" i="1"/>
  <c r="M98" i="1" s="1"/>
  <c r="G98" i="1"/>
  <c r="AE97" i="1"/>
  <c r="V97" i="1"/>
  <c r="W97" i="1" s="1"/>
  <c r="U97" i="1"/>
  <c r="P97" i="1"/>
  <c r="Q97" i="1" s="1"/>
  <c r="O97" i="1"/>
  <c r="L97" i="1"/>
  <c r="J97" i="1"/>
  <c r="M97" i="1" s="1"/>
  <c r="G97" i="1"/>
  <c r="AE96" i="1"/>
  <c r="V96" i="1"/>
  <c r="W96" i="1" s="1"/>
  <c r="U96" i="1"/>
  <c r="P96" i="1"/>
  <c r="Q96" i="1" s="1"/>
  <c r="O96" i="1"/>
  <c r="L96" i="1"/>
  <c r="J96" i="1"/>
  <c r="M96" i="1" s="1"/>
  <c r="G96" i="1"/>
  <c r="AE95" i="1"/>
  <c r="V95" i="1"/>
  <c r="W95" i="1" s="1"/>
  <c r="U95" i="1"/>
  <c r="S95" i="1"/>
  <c r="P95" i="1"/>
  <c r="Q95" i="1" s="1"/>
  <c r="O95" i="1"/>
  <c r="R95" i="1" s="1"/>
  <c r="L95" i="1"/>
  <c r="J95" i="1"/>
  <c r="M95" i="1" s="1"/>
  <c r="G95" i="1"/>
  <c r="AE94" i="1"/>
  <c r="V94" i="1"/>
  <c r="W94" i="1" s="1"/>
  <c r="U94" i="1"/>
  <c r="P94" i="1"/>
  <c r="Q94" i="1" s="1"/>
  <c r="O94" i="1"/>
  <c r="L94" i="1"/>
  <c r="J94" i="1"/>
  <c r="M94" i="1" s="1"/>
  <c r="G94" i="1"/>
  <c r="AE93" i="1"/>
  <c r="Y93" i="1"/>
  <c r="V93" i="1"/>
  <c r="W93" i="1" s="1"/>
  <c r="U93" i="1"/>
  <c r="X93" i="1" s="1"/>
  <c r="P93" i="1"/>
  <c r="Q93" i="1" s="1"/>
  <c r="O93" i="1"/>
  <c r="L93" i="1"/>
  <c r="J93" i="1"/>
  <c r="M93" i="1" s="1"/>
  <c r="G93" i="1"/>
  <c r="AE92" i="1"/>
  <c r="V92" i="1"/>
  <c r="W92" i="1" s="1"/>
  <c r="U92" i="1"/>
  <c r="P92" i="1"/>
  <c r="Q92" i="1" s="1"/>
  <c r="O92" i="1"/>
  <c r="L92" i="1"/>
  <c r="J92" i="1"/>
  <c r="M92" i="1" s="1"/>
  <c r="G92" i="1"/>
  <c r="AE91" i="1"/>
  <c r="V91" i="1"/>
  <c r="W91" i="1" s="1"/>
  <c r="U91" i="1"/>
  <c r="P91" i="1"/>
  <c r="Q91" i="1" s="1"/>
  <c r="O91" i="1"/>
  <c r="L91" i="1"/>
  <c r="J91" i="1"/>
  <c r="M91" i="1" s="1"/>
  <c r="G91" i="1"/>
  <c r="AE90" i="1"/>
  <c r="V90" i="1"/>
  <c r="W90" i="1" s="1"/>
  <c r="U90" i="1"/>
  <c r="P90" i="1"/>
  <c r="Q90" i="1" s="1"/>
  <c r="O90" i="1"/>
  <c r="L90" i="1"/>
  <c r="J90" i="1"/>
  <c r="M90" i="1" s="1"/>
  <c r="G90" i="1"/>
  <c r="AE89" i="1"/>
  <c r="V89" i="1"/>
  <c r="W89" i="1" s="1"/>
  <c r="U89" i="1"/>
  <c r="P89" i="1"/>
  <c r="Q89" i="1" s="1"/>
  <c r="O89" i="1"/>
  <c r="L89" i="1"/>
  <c r="J89" i="1"/>
  <c r="M89" i="1" s="1"/>
  <c r="G89" i="1"/>
  <c r="AE88" i="1"/>
  <c r="V88" i="1"/>
  <c r="W88" i="1" s="1"/>
  <c r="U88" i="1"/>
  <c r="P88" i="1"/>
  <c r="Q88" i="1" s="1"/>
  <c r="O88" i="1"/>
  <c r="L88" i="1"/>
  <c r="J88" i="1"/>
  <c r="M88" i="1" s="1"/>
  <c r="G88" i="1"/>
  <c r="AE87" i="1"/>
  <c r="V87" i="1"/>
  <c r="W87" i="1" s="1"/>
  <c r="U87" i="1"/>
  <c r="P87" i="1"/>
  <c r="Q87" i="1" s="1"/>
  <c r="O87" i="1"/>
  <c r="L87" i="1"/>
  <c r="J87" i="1"/>
  <c r="M87" i="1" s="1"/>
  <c r="G87" i="1"/>
  <c r="AE86" i="1"/>
  <c r="V86" i="1"/>
  <c r="W86" i="1" s="1"/>
  <c r="U86" i="1"/>
  <c r="P86" i="1"/>
  <c r="Q86" i="1" s="1"/>
  <c r="O86" i="1"/>
  <c r="L86" i="1"/>
  <c r="J86" i="1"/>
  <c r="M86" i="1" s="1"/>
  <c r="G86" i="1"/>
  <c r="AE85" i="1"/>
  <c r="V85" i="1"/>
  <c r="W85" i="1" s="1"/>
  <c r="U85" i="1"/>
  <c r="P85" i="1"/>
  <c r="Q85" i="1" s="1"/>
  <c r="O85" i="1"/>
  <c r="L85" i="1"/>
  <c r="J85" i="1"/>
  <c r="M85" i="1" s="1"/>
  <c r="G85" i="1"/>
  <c r="AE84" i="1"/>
  <c r="V84" i="1"/>
  <c r="W84" i="1" s="1"/>
  <c r="U84" i="1"/>
  <c r="P84" i="1"/>
  <c r="Q84" i="1" s="1"/>
  <c r="O84" i="1"/>
  <c r="L84" i="1"/>
  <c r="J84" i="1"/>
  <c r="M84" i="1" s="1"/>
  <c r="G84" i="1"/>
  <c r="AE83" i="1"/>
  <c r="V83" i="1"/>
  <c r="W83" i="1" s="1"/>
  <c r="U83" i="1"/>
  <c r="P83" i="1"/>
  <c r="Q83" i="1" s="1"/>
  <c r="O83" i="1"/>
  <c r="L83" i="1"/>
  <c r="J83" i="1"/>
  <c r="M83" i="1" s="1"/>
  <c r="G83" i="1"/>
  <c r="AE82" i="1"/>
  <c r="V82" i="1"/>
  <c r="W82" i="1" s="1"/>
  <c r="U82" i="1"/>
  <c r="P82" i="1"/>
  <c r="Q82" i="1" s="1"/>
  <c r="O82" i="1"/>
  <c r="L82" i="1"/>
  <c r="J82" i="1"/>
  <c r="M82" i="1" s="1"/>
  <c r="G82" i="1"/>
  <c r="AE81" i="1"/>
  <c r="V81" i="1"/>
  <c r="W81" i="1" s="1"/>
  <c r="U81" i="1"/>
  <c r="P81" i="1"/>
  <c r="Q81" i="1" s="1"/>
  <c r="O81" i="1"/>
  <c r="L81" i="1"/>
  <c r="J81" i="1"/>
  <c r="M81" i="1" s="1"/>
  <c r="G81" i="1"/>
  <c r="AE80" i="1"/>
  <c r="V80" i="1"/>
  <c r="W80" i="1" s="1"/>
  <c r="U80" i="1"/>
  <c r="P80" i="1"/>
  <c r="Q80" i="1" s="1"/>
  <c r="O80" i="1"/>
  <c r="L80" i="1"/>
  <c r="J80" i="1"/>
  <c r="M80" i="1" s="1"/>
  <c r="G80" i="1"/>
  <c r="AE79" i="1"/>
  <c r="V79" i="1"/>
  <c r="W79" i="1" s="1"/>
  <c r="U79" i="1"/>
  <c r="P79" i="1"/>
  <c r="Q79" i="1" s="1"/>
  <c r="O79" i="1"/>
  <c r="L79" i="1"/>
  <c r="J79" i="1"/>
  <c r="M79" i="1" s="1"/>
  <c r="G79" i="1"/>
  <c r="AE78" i="1"/>
  <c r="V78" i="1"/>
  <c r="W78" i="1" s="1"/>
  <c r="U78" i="1"/>
  <c r="P78" i="1"/>
  <c r="Q78" i="1" s="1"/>
  <c r="O78" i="1"/>
  <c r="L78" i="1"/>
  <c r="J78" i="1"/>
  <c r="M78" i="1" s="1"/>
  <c r="G78" i="1"/>
  <c r="AE77" i="1"/>
  <c r="V77" i="1"/>
  <c r="W77" i="1" s="1"/>
  <c r="U77" i="1"/>
  <c r="P77" i="1"/>
  <c r="Q77" i="1" s="1"/>
  <c r="O77" i="1"/>
  <c r="L77" i="1"/>
  <c r="J77" i="1"/>
  <c r="M77" i="1" s="1"/>
  <c r="G77" i="1"/>
  <c r="AE76" i="1"/>
  <c r="V76" i="1"/>
  <c r="W76" i="1" s="1"/>
  <c r="U76" i="1"/>
  <c r="P76" i="1"/>
  <c r="Q76" i="1" s="1"/>
  <c r="O76" i="1"/>
  <c r="L76" i="1"/>
  <c r="J76" i="1"/>
  <c r="M76" i="1" s="1"/>
  <c r="G76" i="1"/>
  <c r="AE75" i="1"/>
  <c r="V75" i="1"/>
  <c r="W75" i="1" s="1"/>
  <c r="U75" i="1"/>
  <c r="P75" i="1"/>
  <c r="Q75" i="1" s="1"/>
  <c r="O75" i="1"/>
  <c r="L75" i="1"/>
  <c r="J75" i="1"/>
  <c r="M75" i="1" s="1"/>
  <c r="G75" i="1"/>
  <c r="AE74" i="1"/>
  <c r="V74" i="1"/>
  <c r="W74" i="1" s="1"/>
  <c r="U74" i="1"/>
  <c r="P74" i="1"/>
  <c r="Q74" i="1" s="1"/>
  <c r="O74" i="1"/>
  <c r="L74" i="1"/>
  <c r="J74" i="1"/>
  <c r="M74" i="1" s="1"/>
  <c r="G74" i="1"/>
  <c r="AE73" i="1"/>
  <c r="V73" i="1"/>
  <c r="W73" i="1" s="1"/>
  <c r="U73" i="1"/>
  <c r="S73" i="1"/>
  <c r="P73" i="1"/>
  <c r="Q73" i="1" s="1"/>
  <c r="O73" i="1"/>
  <c r="R73" i="1" s="1"/>
  <c r="L73" i="1"/>
  <c r="J73" i="1"/>
  <c r="M73" i="1" s="1"/>
  <c r="G73" i="1"/>
  <c r="AE72" i="1"/>
  <c r="V72" i="1"/>
  <c r="W72" i="1" s="1"/>
  <c r="U72" i="1"/>
  <c r="P72" i="1"/>
  <c r="Q72" i="1" s="1"/>
  <c r="O72" i="1"/>
  <c r="L72" i="1"/>
  <c r="J72" i="1"/>
  <c r="M72" i="1" s="1"/>
  <c r="G72" i="1"/>
  <c r="AE71" i="1"/>
  <c r="V71" i="1"/>
  <c r="W71" i="1" s="1"/>
  <c r="U71" i="1"/>
  <c r="P71" i="1"/>
  <c r="Q71" i="1" s="1"/>
  <c r="O71" i="1"/>
  <c r="L71" i="1"/>
  <c r="J71" i="1"/>
  <c r="M71" i="1" s="1"/>
  <c r="G71" i="1"/>
  <c r="AE70" i="1"/>
  <c r="V70" i="1"/>
  <c r="W70" i="1" s="1"/>
  <c r="U70" i="1"/>
  <c r="P70" i="1"/>
  <c r="Q70" i="1" s="1"/>
  <c r="O70" i="1"/>
  <c r="L70" i="1"/>
  <c r="J70" i="1"/>
  <c r="M70" i="1" s="1"/>
  <c r="G70" i="1"/>
  <c r="AE69" i="1"/>
  <c r="V69" i="1"/>
  <c r="W69" i="1" s="1"/>
  <c r="U69" i="1"/>
  <c r="S69" i="1"/>
  <c r="P69" i="1"/>
  <c r="Q69" i="1" s="1"/>
  <c r="O69" i="1"/>
  <c r="R69" i="1" s="1"/>
  <c r="L69" i="1"/>
  <c r="J69" i="1"/>
  <c r="M69" i="1" s="1"/>
  <c r="G69" i="1"/>
  <c r="AE68" i="1"/>
  <c r="V68" i="1"/>
  <c r="W68" i="1" s="1"/>
  <c r="U68" i="1"/>
  <c r="P68" i="1"/>
  <c r="Q68" i="1" s="1"/>
  <c r="O68" i="1"/>
  <c r="L68" i="1"/>
  <c r="J68" i="1"/>
  <c r="M68" i="1" s="1"/>
  <c r="G68" i="1"/>
  <c r="AE67" i="1"/>
  <c r="V67" i="1"/>
  <c r="W67" i="1" s="1"/>
  <c r="U67" i="1"/>
  <c r="P67" i="1"/>
  <c r="Q67" i="1" s="1"/>
  <c r="O67" i="1"/>
  <c r="L67" i="1"/>
  <c r="J67" i="1"/>
  <c r="M67" i="1" s="1"/>
  <c r="G67" i="1"/>
  <c r="AE66" i="1"/>
  <c r="V66" i="1"/>
  <c r="W66" i="1" s="1"/>
  <c r="U66" i="1"/>
  <c r="P66" i="1"/>
  <c r="Q66" i="1" s="1"/>
  <c r="O66" i="1"/>
  <c r="L66" i="1"/>
  <c r="J66" i="1"/>
  <c r="M66" i="1" s="1"/>
  <c r="G66" i="1"/>
  <c r="AE65" i="1"/>
  <c r="V65" i="1"/>
  <c r="W65" i="1" s="1"/>
  <c r="U65" i="1"/>
  <c r="S65" i="1"/>
  <c r="P65" i="1"/>
  <c r="Q65" i="1" s="1"/>
  <c r="O65" i="1"/>
  <c r="R65" i="1" s="1"/>
  <c r="L65" i="1"/>
  <c r="J65" i="1"/>
  <c r="M65" i="1" s="1"/>
  <c r="G65" i="1"/>
  <c r="AE64" i="1"/>
  <c r="V64" i="1"/>
  <c r="W64" i="1" s="1"/>
  <c r="U64" i="1"/>
  <c r="P64" i="1"/>
  <c r="Q64" i="1" s="1"/>
  <c r="O64" i="1"/>
  <c r="L64" i="1"/>
  <c r="J64" i="1"/>
  <c r="M64" i="1" s="1"/>
  <c r="G64" i="1"/>
  <c r="AE63" i="1"/>
  <c r="V63" i="1"/>
  <c r="W63" i="1" s="1"/>
  <c r="U63" i="1"/>
  <c r="P63" i="1"/>
  <c r="Q63" i="1" s="1"/>
  <c r="O63" i="1"/>
  <c r="L63" i="1"/>
  <c r="J63" i="1"/>
  <c r="M63" i="1" s="1"/>
  <c r="G63" i="1"/>
  <c r="AE62" i="1"/>
  <c r="V62" i="1"/>
  <c r="W62" i="1" s="1"/>
  <c r="U62" i="1"/>
  <c r="P62" i="1"/>
  <c r="Q62" i="1" s="1"/>
  <c r="O62" i="1"/>
  <c r="L62" i="1"/>
  <c r="J62" i="1"/>
  <c r="M62" i="1" s="1"/>
  <c r="G62" i="1"/>
  <c r="AE61" i="1"/>
  <c r="V61" i="1"/>
  <c r="W61" i="1" s="1"/>
  <c r="U61" i="1"/>
  <c r="P61" i="1"/>
  <c r="Q61" i="1" s="1"/>
  <c r="O61" i="1"/>
  <c r="L61" i="1"/>
  <c r="J61" i="1"/>
  <c r="M61" i="1" s="1"/>
  <c r="G61" i="1"/>
  <c r="AE60" i="1"/>
  <c r="V60" i="1"/>
  <c r="W60" i="1" s="1"/>
  <c r="U60" i="1"/>
  <c r="P60" i="1"/>
  <c r="Q60" i="1" s="1"/>
  <c r="O60" i="1"/>
  <c r="L60" i="1"/>
  <c r="J60" i="1"/>
  <c r="M60" i="1" s="1"/>
  <c r="G60" i="1"/>
  <c r="AE59" i="1"/>
  <c r="V59" i="1"/>
  <c r="W59" i="1" s="1"/>
  <c r="U59" i="1"/>
  <c r="P59" i="1"/>
  <c r="Q59" i="1" s="1"/>
  <c r="O59" i="1"/>
  <c r="L59" i="1"/>
  <c r="J59" i="1"/>
  <c r="M59" i="1" s="1"/>
  <c r="G59" i="1"/>
  <c r="AE58" i="1"/>
  <c r="V58" i="1"/>
  <c r="W58" i="1" s="1"/>
  <c r="U58" i="1"/>
  <c r="P58" i="1"/>
  <c r="Q58" i="1" s="1"/>
  <c r="O58" i="1"/>
  <c r="L58" i="1"/>
  <c r="J58" i="1"/>
  <c r="M58" i="1" s="1"/>
  <c r="G58" i="1"/>
  <c r="AE57" i="1"/>
  <c r="V57" i="1"/>
  <c r="W57" i="1" s="1"/>
  <c r="U57" i="1"/>
  <c r="P57" i="1"/>
  <c r="Q57" i="1" s="1"/>
  <c r="O57" i="1"/>
  <c r="L57" i="1"/>
  <c r="J57" i="1"/>
  <c r="M57" i="1" s="1"/>
  <c r="G57" i="1"/>
  <c r="AE56" i="1"/>
  <c r="V56" i="1"/>
  <c r="W56" i="1" s="1"/>
  <c r="U56" i="1"/>
  <c r="P56" i="1"/>
  <c r="Q56" i="1" s="1"/>
  <c r="O56" i="1"/>
  <c r="L56" i="1"/>
  <c r="J56" i="1"/>
  <c r="M56" i="1" s="1"/>
  <c r="G56" i="1"/>
  <c r="AE55" i="1"/>
  <c r="V55" i="1"/>
  <c r="W55" i="1" s="1"/>
  <c r="U55" i="1"/>
  <c r="P55" i="1"/>
  <c r="Q55" i="1" s="1"/>
  <c r="O55" i="1"/>
  <c r="L55" i="1"/>
  <c r="J55" i="1"/>
  <c r="M55" i="1" s="1"/>
  <c r="G55" i="1"/>
  <c r="AE54" i="1"/>
  <c r="V54" i="1"/>
  <c r="W54" i="1" s="1"/>
  <c r="U54" i="1"/>
  <c r="P54" i="1"/>
  <c r="Q54" i="1" s="1"/>
  <c r="O54" i="1"/>
  <c r="L54" i="1"/>
  <c r="J54" i="1"/>
  <c r="M54" i="1" s="1"/>
  <c r="G54" i="1"/>
  <c r="AE53" i="1"/>
  <c r="V53" i="1"/>
  <c r="W53" i="1" s="1"/>
  <c r="U53" i="1"/>
  <c r="S53" i="1"/>
  <c r="P53" i="1"/>
  <c r="Q53" i="1" s="1"/>
  <c r="O53" i="1"/>
  <c r="R53" i="1" s="1"/>
  <c r="L53" i="1"/>
  <c r="J53" i="1"/>
  <c r="M53" i="1" s="1"/>
  <c r="G53" i="1"/>
  <c r="AE52" i="1"/>
  <c r="V52" i="1"/>
  <c r="W52" i="1" s="1"/>
  <c r="U52" i="1"/>
  <c r="S52" i="1"/>
  <c r="P52" i="1"/>
  <c r="Q52" i="1" s="1"/>
  <c r="O52" i="1"/>
  <c r="R52" i="1" s="1"/>
  <c r="L52" i="1"/>
  <c r="J52" i="1"/>
  <c r="M52" i="1" s="1"/>
  <c r="G52" i="1"/>
  <c r="AE51" i="1"/>
  <c r="V51" i="1"/>
  <c r="W51" i="1" s="1"/>
  <c r="U51" i="1"/>
  <c r="P51" i="1"/>
  <c r="Q51" i="1" s="1"/>
  <c r="O51" i="1"/>
  <c r="L51" i="1"/>
  <c r="J51" i="1"/>
  <c r="M51" i="1" s="1"/>
  <c r="G51" i="1"/>
  <c r="AE50" i="1"/>
  <c r="V50" i="1"/>
  <c r="W50" i="1" s="1"/>
  <c r="U50" i="1"/>
  <c r="P50" i="1"/>
  <c r="Q50" i="1" s="1"/>
  <c r="O50" i="1"/>
  <c r="L50" i="1"/>
  <c r="J50" i="1"/>
  <c r="M50" i="1" s="1"/>
  <c r="G50" i="1"/>
  <c r="AE49" i="1"/>
  <c r="V49" i="1"/>
  <c r="W49" i="1" s="1"/>
  <c r="U49" i="1"/>
  <c r="P49" i="1"/>
  <c r="Q49" i="1" s="1"/>
  <c r="O49" i="1"/>
  <c r="L49" i="1"/>
  <c r="J49" i="1"/>
  <c r="M49" i="1" s="1"/>
  <c r="G49" i="1"/>
  <c r="AE48" i="1"/>
  <c r="V48" i="1"/>
  <c r="W48" i="1" s="1"/>
  <c r="U48" i="1"/>
  <c r="P48" i="1"/>
  <c r="Q48" i="1" s="1"/>
  <c r="O48" i="1"/>
  <c r="L48" i="1"/>
  <c r="J48" i="1"/>
  <c r="M48" i="1" s="1"/>
  <c r="G48" i="1"/>
  <c r="AE47" i="1"/>
  <c r="V47" i="1"/>
  <c r="W47" i="1" s="1"/>
  <c r="U47" i="1"/>
  <c r="P47" i="1"/>
  <c r="Q47" i="1" s="1"/>
  <c r="O47" i="1"/>
  <c r="L47" i="1"/>
  <c r="J47" i="1"/>
  <c r="M47" i="1" s="1"/>
  <c r="G47" i="1"/>
  <c r="AE46" i="1"/>
  <c r="Y46" i="1"/>
  <c r="V46" i="1"/>
  <c r="W46" i="1" s="1"/>
  <c r="U46" i="1"/>
  <c r="X46" i="1" s="1"/>
  <c r="S46" i="1"/>
  <c r="P46" i="1"/>
  <c r="Q46" i="1" s="1"/>
  <c r="O46" i="1"/>
  <c r="R46" i="1" s="1"/>
  <c r="L46" i="1"/>
  <c r="J46" i="1"/>
  <c r="M46" i="1" s="1"/>
  <c r="G46" i="1"/>
  <c r="AE45" i="1"/>
  <c r="V45" i="1"/>
  <c r="W45" i="1" s="1"/>
  <c r="U45" i="1"/>
  <c r="P45" i="1"/>
  <c r="Q45" i="1" s="1"/>
  <c r="O45" i="1"/>
  <c r="L45" i="1"/>
  <c r="J45" i="1"/>
  <c r="M45" i="1" s="1"/>
  <c r="G45" i="1"/>
  <c r="AE44" i="1"/>
  <c r="V44" i="1"/>
  <c r="W44" i="1" s="1"/>
  <c r="U44" i="1"/>
  <c r="S44" i="1"/>
  <c r="P44" i="1"/>
  <c r="Q44" i="1" s="1"/>
  <c r="O44" i="1"/>
  <c r="R44" i="1" s="1"/>
  <c r="L44" i="1"/>
  <c r="J44" i="1"/>
  <c r="M44" i="1" s="1"/>
  <c r="G44" i="1"/>
  <c r="AE43" i="1"/>
  <c r="V43" i="1"/>
  <c r="W43" i="1" s="1"/>
  <c r="U43" i="1"/>
  <c r="P43" i="1"/>
  <c r="Q43" i="1" s="1"/>
  <c r="O43" i="1"/>
  <c r="L43" i="1"/>
  <c r="J43" i="1"/>
  <c r="M43" i="1" s="1"/>
  <c r="G43" i="1"/>
  <c r="AE42" i="1"/>
  <c r="V42" i="1"/>
  <c r="W42" i="1" s="1"/>
  <c r="U42" i="1"/>
  <c r="P42" i="1"/>
  <c r="Q42" i="1" s="1"/>
  <c r="O42" i="1"/>
  <c r="L42" i="1"/>
  <c r="J42" i="1"/>
  <c r="M42" i="1" s="1"/>
  <c r="G42" i="1"/>
  <c r="AE41" i="1"/>
  <c r="V41" i="1"/>
  <c r="W41" i="1" s="1"/>
  <c r="U41" i="1"/>
  <c r="S41" i="1"/>
  <c r="P41" i="1"/>
  <c r="Q41" i="1" s="1"/>
  <c r="O41" i="1"/>
  <c r="R41" i="1" s="1"/>
  <c r="L41" i="1"/>
  <c r="J41" i="1"/>
  <c r="M41" i="1" s="1"/>
  <c r="G41" i="1"/>
  <c r="AE40" i="1"/>
  <c r="V40" i="1"/>
  <c r="W40" i="1" s="1"/>
  <c r="U40" i="1"/>
  <c r="P40" i="1"/>
  <c r="Q40" i="1" s="1"/>
  <c r="O40" i="1"/>
  <c r="L40" i="1"/>
  <c r="J40" i="1"/>
  <c r="M40" i="1" s="1"/>
  <c r="G40" i="1"/>
  <c r="AE39" i="1"/>
  <c r="V39" i="1"/>
  <c r="W39" i="1" s="1"/>
  <c r="U39" i="1"/>
  <c r="P39" i="1"/>
  <c r="Q39" i="1" s="1"/>
  <c r="O39" i="1"/>
  <c r="L39" i="1"/>
  <c r="J39" i="1"/>
  <c r="M39" i="1" s="1"/>
  <c r="G39" i="1"/>
  <c r="AE38" i="1"/>
  <c r="V38" i="1"/>
  <c r="W38" i="1" s="1"/>
  <c r="U38" i="1"/>
  <c r="S38" i="1"/>
  <c r="P38" i="1"/>
  <c r="Q38" i="1" s="1"/>
  <c r="O38" i="1"/>
  <c r="R38" i="1" s="1"/>
  <c r="L38" i="1"/>
  <c r="J38" i="1"/>
  <c r="M38" i="1" s="1"/>
  <c r="G38" i="1"/>
  <c r="AE37" i="1"/>
  <c r="V37" i="1"/>
  <c r="W37" i="1" s="1"/>
  <c r="U37" i="1"/>
  <c r="P37" i="1"/>
  <c r="Q37" i="1" s="1"/>
  <c r="O37" i="1"/>
  <c r="L37" i="1"/>
  <c r="J37" i="1"/>
  <c r="M37" i="1" s="1"/>
  <c r="G37" i="1"/>
  <c r="AE36" i="1"/>
  <c r="Y36" i="1"/>
  <c r="V36" i="1"/>
  <c r="W36" i="1" s="1"/>
  <c r="U36" i="1"/>
  <c r="X36" i="1" s="1"/>
  <c r="S36" i="1"/>
  <c r="P36" i="1"/>
  <c r="Q36" i="1" s="1"/>
  <c r="O36" i="1"/>
  <c r="R36" i="1" s="1"/>
  <c r="L36" i="1"/>
  <c r="J36" i="1"/>
  <c r="M36" i="1" s="1"/>
  <c r="G36" i="1"/>
  <c r="AE35" i="1"/>
  <c r="V35" i="1"/>
  <c r="W35" i="1" s="1"/>
  <c r="U35" i="1"/>
  <c r="P35" i="1"/>
  <c r="Q35" i="1" s="1"/>
  <c r="O35" i="1"/>
  <c r="L35" i="1"/>
  <c r="J35" i="1"/>
  <c r="M35" i="1" s="1"/>
  <c r="G35" i="1"/>
  <c r="AE34" i="1"/>
  <c r="V34" i="1"/>
  <c r="W34" i="1" s="1"/>
  <c r="U34" i="1"/>
  <c r="S34" i="1"/>
  <c r="P34" i="1"/>
  <c r="Q34" i="1" s="1"/>
  <c r="O34" i="1"/>
  <c r="R34" i="1" s="1"/>
  <c r="L34" i="1"/>
  <c r="J34" i="1"/>
  <c r="M34" i="1" s="1"/>
  <c r="G34" i="1"/>
  <c r="AE33" i="1"/>
  <c r="V33" i="1"/>
  <c r="W33" i="1" s="1"/>
  <c r="U33" i="1"/>
  <c r="P33" i="1"/>
  <c r="Q33" i="1" s="1"/>
  <c r="O33" i="1"/>
  <c r="L33" i="1"/>
  <c r="J33" i="1"/>
  <c r="M33" i="1" s="1"/>
  <c r="G33" i="1"/>
  <c r="AE32" i="1"/>
  <c r="V32" i="1"/>
  <c r="W32" i="1" s="1"/>
  <c r="U32" i="1"/>
  <c r="P32" i="1"/>
  <c r="Q32" i="1" s="1"/>
  <c r="O32" i="1"/>
  <c r="L32" i="1"/>
  <c r="J32" i="1"/>
  <c r="M32" i="1" s="1"/>
  <c r="G32" i="1"/>
  <c r="AE31" i="1"/>
  <c r="V31" i="1"/>
  <c r="W31" i="1" s="1"/>
  <c r="U31" i="1"/>
  <c r="P31" i="1"/>
  <c r="Q31" i="1" s="1"/>
  <c r="O31" i="1"/>
  <c r="L31" i="1"/>
  <c r="J31" i="1"/>
  <c r="M31" i="1" s="1"/>
  <c r="G31" i="1"/>
  <c r="AE30" i="1"/>
  <c r="V30" i="1"/>
  <c r="W30" i="1" s="1"/>
  <c r="U30" i="1"/>
  <c r="P30" i="1"/>
  <c r="Q30" i="1" s="1"/>
  <c r="O30" i="1"/>
  <c r="L30" i="1"/>
  <c r="J30" i="1"/>
  <c r="M30" i="1" s="1"/>
  <c r="G30" i="1"/>
  <c r="AE29" i="1"/>
  <c r="V29" i="1"/>
  <c r="W29" i="1" s="1"/>
  <c r="U29" i="1"/>
  <c r="P29" i="1"/>
  <c r="Q29" i="1" s="1"/>
  <c r="O29" i="1"/>
  <c r="L29" i="1"/>
  <c r="J29" i="1"/>
  <c r="M29" i="1" s="1"/>
  <c r="G29" i="1"/>
  <c r="AE28" i="1"/>
  <c r="V28" i="1"/>
  <c r="W28" i="1" s="1"/>
  <c r="U28" i="1"/>
  <c r="P28" i="1"/>
  <c r="Q28" i="1" s="1"/>
  <c r="O28" i="1"/>
  <c r="L28" i="1"/>
  <c r="J28" i="1"/>
  <c r="M28" i="1" s="1"/>
  <c r="G28" i="1"/>
  <c r="AE27" i="1"/>
  <c r="V27" i="1"/>
  <c r="W27" i="1" s="1"/>
  <c r="U27" i="1"/>
  <c r="S27" i="1"/>
  <c r="P27" i="1"/>
  <c r="Q27" i="1" s="1"/>
  <c r="O27" i="1"/>
  <c r="R27" i="1" s="1"/>
  <c r="L27" i="1"/>
  <c r="J27" i="1"/>
  <c r="M27" i="1" s="1"/>
  <c r="G27" i="1"/>
  <c r="AE26" i="1"/>
  <c r="Y26" i="1"/>
  <c r="V26" i="1"/>
  <c r="W26" i="1" s="1"/>
  <c r="U26" i="1"/>
  <c r="X26" i="1" s="1"/>
  <c r="S26" i="1"/>
  <c r="P26" i="1"/>
  <c r="Q26" i="1" s="1"/>
  <c r="O26" i="1"/>
  <c r="R26" i="1" s="1"/>
  <c r="L26" i="1"/>
  <c r="J26" i="1"/>
  <c r="M26" i="1" s="1"/>
  <c r="G26" i="1"/>
  <c r="AE25" i="1"/>
  <c r="V25" i="1"/>
  <c r="W25" i="1" s="1"/>
  <c r="U25" i="1"/>
  <c r="P25" i="1"/>
  <c r="Q25" i="1" s="1"/>
  <c r="O25" i="1"/>
  <c r="L25" i="1"/>
  <c r="J25" i="1"/>
  <c r="M25" i="1" s="1"/>
  <c r="G25" i="1"/>
  <c r="AE24" i="1"/>
  <c r="V24" i="1"/>
  <c r="W24" i="1" s="1"/>
  <c r="U24" i="1"/>
  <c r="P24" i="1"/>
  <c r="Q24" i="1" s="1"/>
  <c r="O24" i="1"/>
  <c r="L24" i="1"/>
  <c r="J24" i="1"/>
  <c r="M24" i="1" s="1"/>
  <c r="G24" i="1"/>
  <c r="AE23" i="1"/>
  <c r="V23" i="1"/>
  <c r="W23" i="1" s="1"/>
  <c r="U23" i="1"/>
  <c r="P23" i="1"/>
  <c r="Q23" i="1" s="1"/>
  <c r="O23" i="1"/>
  <c r="L23" i="1"/>
  <c r="J23" i="1"/>
  <c r="M23" i="1" s="1"/>
  <c r="G23" i="1"/>
  <c r="AE22" i="1"/>
  <c r="V22" i="1"/>
  <c r="W22" i="1" s="1"/>
  <c r="U22" i="1"/>
  <c r="P22" i="1"/>
  <c r="Q22" i="1" s="1"/>
  <c r="O22" i="1"/>
  <c r="L22" i="1"/>
  <c r="J22" i="1"/>
  <c r="M22" i="1" s="1"/>
  <c r="G22" i="1"/>
  <c r="AE21" i="1"/>
  <c r="V21" i="1"/>
  <c r="W21" i="1" s="1"/>
  <c r="U21" i="1"/>
  <c r="S21" i="1"/>
  <c r="P21" i="1"/>
  <c r="Q21" i="1" s="1"/>
  <c r="O21" i="1"/>
  <c r="R21" i="1" s="1"/>
  <c r="L21" i="1"/>
  <c r="J21" i="1"/>
  <c r="M21" i="1" s="1"/>
  <c r="G21" i="1"/>
  <c r="AE20" i="1"/>
  <c r="V20" i="1"/>
  <c r="W20" i="1" s="1"/>
  <c r="U20" i="1"/>
  <c r="S20" i="1"/>
  <c r="P20" i="1"/>
  <c r="Q20" i="1" s="1"/>
  <c r="O20" i="1"/>
  <c r="R20" i="1" s="1"/>
  <c r="L20" i="1"/>
  <c r="J20" i="1"/>
  <c r="M20" i="1" s="1"/>
  <c r="G20" i="1"/>
  <c r="AE19" i="1"/>
  <c r="V19" i="1"/>
  <c r="W19" i="1" s="1"/>
  <c r="U19" i="1"/>
  <c r="P19" i="1"/>
  <c r="Q19" i="1" s="1"/>
  <c r="O19" i="1"/>
  <c r="L19" i="1"/>
  <c r="J19" i="1"/>
  <c r="M19" i="1" s="1"/>
  <c r="G19" i="1"/>
  <c r="AE18" i="1"/>
  <c r="V18" i="1"/>
  <c r="W18" i="1" s="1"/>
  <c r="U18" i="1"/>
  <c r="P18" i="1"/>
  <c r="Q18" i="1" s="1"/>
  <c r="O18" i="1"/>
  <c r="L18" i="1"/>
  <c r="J18" i="1"/>
  <c r="M18" i="1" s="1"/>
  <c r="G18" i="1"/>
  <c r="AE17" i="1"/>
  <c r="V17" i="1"/>
  <c r="W17" i="1" s="1"/>
  <c r="U17" i="1"/>
  <c r="P17" i="1"/>
  <c r="Q17" i="1" s="1"/>
  <c r="O17" i="1"/>
  <c r="L17" i="1"/>
  <c r="J17" i="1"/>
  <c r="M17" i="1" s="1"/>
  <c r="G17" i="1"/>
  <c r="AE16" i="1"/>
  <c r="V16" i="1"/>
  <c r="W16" i="1" s="1"/>
  <c r="U16" i="1"/>
  <c r="P16" i="1"/>
  <c r="Q16" i="1" s="1"/>
  <c r="O16" i="1"/>
  <c r="L16" i="1"/>
  <c r="J16" i="1"/>
  <c r="M16" i="1" s="1"/>
  <c r="G16" i="1"/>
  <c r="AE15" i="1"/>
  <c r="V15" i="1"/>
  <c r="W15" i="1" s="1"/>
  <c r="U15" i="1"/>
  <c r="S15" i="1"/>
  <c r="P15" i="1"/>
  <c r="Q15" i="1" s="1"/>
  <c r="O15" i="1"/>
  <c r="R15" i="1" s="1"/>
  <c r="L15" i="1"/>
  <c r="J15" i="1"/>
  <c r="M15" i="1" s="1"/>
  <c r="G15" i="1"/>
  <c r="AE14" i="1"/>
  <c r="V14" i="1"/>
  <c r="W14" i="1" s="1"/>
  <c r="U14" i="1"/>
  <c r="P14" i="1"/>
  <c r="Q14" i="1" s="1"/>
  <c r="O14" i="1"/>
  <c r="L14" i="1"/>
  <c r="J14" i="1"/>
  <c r="M14" i="1" s="1"/>
  <c r="G14" i="1"/>
  <c r="AE13" i="1"/>
  <c r="V13" i="1"/>
  <c r="W13" i="1" s="1"/>
  <c r="U13" i="1"/>
  <c r="P13" i="1"/>
  <c r="Q13" i="1" s="1"/>
  <c r="O13" i="1"/>
  <c r="L13" i="1"/>
  <c r="J13" i="1"/>
  <c r="M13" i="1" s="1"/>
  <c r="G13" i="1"/>
  <c r="AE12" i="1"/>
  <c r="V12" i="1"/>
  <c r="W12" i="1" s="1"/>
  <c r="U12" i="1"/>
  <c r="P12" i="1"/>
  <c r="Q12" i="1" s="1"/>
  <c r="O12" i="1"/>
  <c r="L12" i="1"/>
  <c r="J12" i="1"/>
  <c r="M12" i="1" s="1"/>
  <c r="G12" i="1"/>
  <c r="AE11" i="1"/>
  <c r="V11" i="1"/>
  <c r="W11" i="1" s="1"/>
  <c r="U11" i="1"/>
  <c r="P11" i="1"/>
  <c r="Q11" i="1" s="1"/>
  <c r="O11" i="1"/>
  <c r="L11" i="1"/>
  <c r="J11" i="1"/>
  <c r="M11" i="1" s="1"/>
  <c r="G11" i="1"/>
  <c r="AE10" i="1"/>
  <c r="V10" i="1"/>
  <c r="W10" i="1" s="1"/>
  <c r="U10" i="1"/>
  <c r="P10" i="1"/>
  <c r="Q10" i="1" s="1"/>
  <c r="O10" i="1"/>
  <c r="L10" i="1"/>
  <c r="J10" i="1"/>
  <c r="M10" i="1" s="1"/>
  <c r="G10" i="1"/>
  <c r="AE9" i="1"/>
  <c r="V9" i="1"/>
  <c r="W9" i="1" s="1"/>
  <c r="U9" i="1"/>
  <c r="P9" i="1"/>
  <c r="Q9" i="1" s="1"/>
  <c r="O9" i="1"/>
  <c r="L9" i="1"/>
  <c r="J9" i="1"/>
  <c r="M9" i="1" s="1"/>
  <c r="G9" i="1"/>
  <c r="AE8" i="1"/>
  <c r="V8" i="1"/>
  <c r="W8" i="1" s="1"/>
  <c r="U8" i="1"/>
  <c r="P8" i="1"/>
  <c r="Q8" i="1" s="1"/>
  <c r="O8" i="1"/>
  <c r="L8" i="1"/>
  <c r="J8" i="1"/>
  <c r="M8" i="1" s="1"/>
  <c r="G8" i="1"/>
  <c r="AE7" i="1"/>
  <c r="V7" i="1"/>
  <c r="W7" i="1" s="1"/>
  <c r="U7" i="1"/>
  <c r="P7" i="1"/>
  <c r="Q7" i="1" s="1"/>
  <c r="O7" i="1"/>
  <c r="L7" i="1"/>
  <c r="J7" i="1"/>
  <c r="M7" i="1" s="1"/>
  <c r="G7" i="1"/>
  <c r="AE6" i="1"/>
  <c r="V6" i="1"/>
  <c r="W6" i="1" s="1"/>
  <c r="U6" i="1"/>
  <c r="P6" i="1"/>
  <c r="Q6" i="1" s="1"/>
  <c r="O6" i="1"/>
  <c r="L6" i="1"/>
  <c r="J6" i="1"/>
  <c r="M6" i="1" s="1"/>
  <c r="G6" i="1"/>
  <c r="AE5" i="1"/>
  <c r="V5" i="1"/>
  <c r="W5" i="1" s="1"/>
  <c r="U5" i="1"/>
  <c r="P5" i="1"/>
  <c r="Q5" i="1" s="1"/>
  <c r="O5" i="1"/>
  <c r="L5" i="1"/>
  <c r="J5" i="1"/>
  <c r="M5" i="1" s="1"/>
  <c r="G5" i="1"/>
  <c r="AE4" i="1"/>
  <c r="Y4" i="1"/>
  <c r="V4" i="1"/>
  <c r="W4" i="1" s="1"/>
  <c r="U4" i="1"/>
  <c r="X4" i="1" s="1"/>
  <c r="S4" i="1"/>
  <c r="P4" i="1"/>
  <c r="Q4" i="1" s="1"/>
  <c r="O4" i="1"/>
  <c r="R4" i="1" s="1"/>
  <c r="L4" i="1"/>
  <c r="J4" i="1"/>
  <c r="M4" i="1" s="1"/>
  <c r="G4" i="1"/>
  <c r="AE3" i="1"/>
  <c r="V3" i="1"/>
  <c r="W3" i="1" s="1"/>
  <c r="U3" i="1"/>
  <c r="P3" i="1"/>
  <c r="Q3" i="1" s="1"/>
  <c r="O3" i="1"/>
  <c r="L3" i="1"/>
  <c r="J3" i="1"/>
  <c r="M3" i="1" s="1"/>
  <c r="G3" i="1"/>
  <c r="T1" i="1"/>
  <c r="N1" i="1"/>
  <c r="K1" i="1"/>
  <c r="F1" i="1"/>
  <c r="R1766" i="1" l="1"/>
  <c r="S1766" i="1"/>
  <c r="R1765" i="1"/>
  <c r="S1765" i="1"/>
  <c r="R1764" i="1"/>
  <c r="S1764" i="1"/>
  <c r="R1763" i="1"/>
  <c r="S1763" i="1"/>
  <c r="R1762" i="1"/>
  <c r="S1762" i="1"/>
  <c r="R1761" i="1"/>
  <c r="S1761" i="1"/>
  <c r="R1760" i="1"/>
  <c r="S1760" i="1"/>
  <c r="R1759" i="1"/>
  <c r="S1759" i="1" s="1"/>
  <c r="R1758" i="1"/>
  <c r="S1758" i="1" s="1"/>
  <c r="R1757" i="1"/>
  <c r="S1757" i="1" s="1"/>
  <c r="R1756" i="1"/>
  <c r="S1756" i="1" s="1"/>
  <c r="R1755" i="1"/>
  <c r="S1755" i="1"/>
  <c r="R1754" i="1"/>
  <c r="S1754" i="1" s="1"/>
  <c r="R1753" i="1"/>
  <c r="S1753" i="1"/>
  <c r="R1752" i="1"/>
  <c r="S1752" i="1" s="1"/>
  <c r="R1751" i="1"/>
  <c r="S1751" i="1"/>
  <c r="R1750" i="1"/>
  <c r="S1750" i="1" s="1"/>
  <c r="R1749" i="1"/>
  <c r="S1749" i="1"/>
  <c r="R1748" i="1"/>
  <c r="S1748" i="1"/>
  <c r="R1747" i="1"/>
  <c r="S1747" i="1" s="1"/>
  <c r="R1746" i="1"/>
  <c r="S1746" i="1" s="1"/>
  <c r="R1745" i="1"/>
  <c r="S1745" i="1"/>
  <c r="R1744" i="1"/>
  <c r="S1744" i="1" s="1"/>
  <c r="S1743" i="1"/>
  <c r="R1743" i="1"/>
  <c r="R1742" i="1"/>
  <c r="S1742" i="1" s="1"/>
  <c r="R1741" i="1"/>
  <c r="S1741" i="1" s="1"/>
  <c r="R1740" i="1"/>
  <c r="S1740" i="1" s="1"/>
  <c r="R1739" i="1"/>
  <c r="S1739" i="1"/>
  <c r="R1738" i="1"/>
  <c r="S1738" i="1"/>
  <c r="S1737" i="1"/>
  <c r="R1737" i="1"/>
  <c r="R1736" i="1"/>
  <c r="S1736" i="1"/>
  <c r="R1735" i="1"/>
  <c r="S1735" i="1" s="1"/>
  <c r="R1734" i="1"/>
  <c r="S1734" i="1"/>
  <c r="R1733" i="1"/>
  <c r="S1733" i="1" s="1"/>
  <c r="S1732" i="1"/>
  <c r="R1732" i="1"/>
  <c r="R1731" i="1"/>
  <c r="S1731" i="1"/>
  <c r="S1730" i="1"/>
  <c r="R1730" i="1"/>
  <c r="R1729" i="1"/>
  <c r="S1729" i="1" s="1"/>
  <c r="S1728" i="1"/>
  <c r="R1728" i="1"/>
  <c r="R1727" i="1"/>
  <c r="S1727" i="1"/>
  <c r="R1726" i="1"/>
  <c r="S1726" i="1" s="1"/>
  <c r="R1725" i="1"/>
  <c r="S1725" i="1" s="1"/>
  <c r="R1724" i="1"/>
  <c r="S1724" i="1"/>
  <c r="R1723" i="1"/>
  <c r="S1723" i="1" s="1"/>
  <c r="R1722" i="1"/>
  <c r="S1722" i="1" s="1"/>
  <c r="R1721" i="1"/>
  <c r="S1721" i="1" s="1"/>
  <c r="S1720" i="1"/>
  <c r="R1720" i="1"/>
  <c r="R1719" i="1"/>
  <c r="S1719" i="1"/>
  <c r="R1718" i="1"/>
  <c r="S1718" i="1" s="1"/>
  <c r="X1717" i="1"/>
  <c r="Y1717" i="1" s="1"/>
  <c r="S1717" i="1"/>
  <c r="R1717" i="1"/>
  <c r="R1716" i="1"/>
  <c r="S1716" i="1" s="1"/>
  <c r="R1715" i="1"/>
  <c r="S1715" i="1" s="1"/>
  <c r="R1714" i="1"/>
  <c r="S1714" i="1"/>
  <c r="X1713" i="1"/>
  <c r="Y1713" i="1" s="1"/>
  <c r="R1713" i="1"/>
  <c r="S1713" i="1"/>
  <c r="R1712" i="1"/>
  <c r="S1712" i="1" s="1"/>
  <c r="R1711" i="1"/>
  <c r="S1711" i="1"/>
  <c r="R1710" i="1"/>
  <c r="S1710" i="1"/>
  <c r="R1709" i="1"/>
  <c r="S1709" i="1" s="1"/>
  <c r="R1708" i="1"/>
  <c r="S1708" i="1"/>
  <c r="R1707" i="1"/>
  <c r="S1707" i="1" s="1"/>
  <c r="R1706" i="1"/>
  <c r="S1706" i="1"/>
  <c r="R1705" i="1"/>
  <c r="S1705" i="1"/>
  <c r="R1704" i="1"/>
  <c r="S1704" i="1"/>
  <c r="R1703" i="1"/>
  <c r="S1703" i="1" s="1"/>
  <c r="R1701" i="1"/>
  <c r="S1701" i="1" s="1"/>
  <c r="R1700" i="1"/>
  <c r="S1700" i="1" s="1"/>
  <c r="R1699" i="1"/>
  <c r="S1699" i="1" s="1"/>
  <c r="R1698" i="1"/>
  <c r="S1698" i="1" s="1"/>
  <c r="R1697" i="1"/>
  <c r="S1697" i="1"/>
  <c r="R1696" i="1"/>
  <c r="S1696" i="1"/>
  <c r="R1695" i="1"/>
  <c r="S1695" i="1"/>
  <c r="R1694" i="1"/>
  <c r="S1694" i="1" s="1"/>
  <c r="R1693" i="1"/>
  <c r="S1693" i="1"/>
  <c r="R1692" i="1"/>
  <c r="S1692" i="1"/>
  <c r="S1691" i="1"/>
  <c r="R1691" i="1"/>
  <c r="X1689" i="1"/>
  <c r="Y1689" i="1" s="1"/>
  <c r="S1689" i="1"/>
  <c r="R1689" i="1"/>
  <c r="X1688" i="1"/>
  <c r="Y1688" i="1" s="1"/>
  <c r="Y1686" i="1"/>
  <c r="X1686" i="1"/>
  <c r="R1685" i="1"/>
  <c r="S1685" i="1"/>
  <c r="R1684" i="1"/>
  <c r="S1684" i="1" s="1"/>
  <c r="R1682" i="1"/>
  <c r="S1682" i="1"/>
  <c r="X1679" i="1"/>
  <c r="Y1679" i="1"/>
  <c r="R1678" i="1"/>
  <c r="S1678" i="1"/>
  <c r="R1677" i="1"/>
  <c r="S1677" i="1" s="1"/>
  <c r="R1676" i="1"/>
  <c r="S1676" i="1" s="1"/>
  <c r="R1673" i="1"/>
  <c r="S1673" i="1"/>
  <c r="R1672" i="1"/>
  <c r="S1672" i="1"/>
  <c r="R1671" i="1"/>
  <c r="S1671" i="1"/>
  <c r="R1670" i="1"/>
  <c r="S1670" i="1" s="1"/>
  <c r="R1669" i="1"/>
  <c r="S1669" i="1"/>
  <c r="R1668" i="1"/>
  <c r="S1668" i="1" s="1"/>
  <c r="R1666" i="1"/>
  <c r="S1666" i="1" s="1"/>
  <c r="R1665" i="1"/>
  <c r="S1665" i="1" s="1"/>
  <c r="R1664" i="1"/>
  <c r="S1664" i="1" s="1"/>
  <c r="X1662" i="1"/>
  <c r="Y1662" i="1" s="1"/>
  <c r="R1661" i="1"/>
  <c r="S1661" i="1"/>
  <c r="R1660" i="1"/>
  <c r="S1660" i="1" s="1"/>
  <c r="R1659" i="1"/>
  <c r="S1659" i="1" s="1"/>
  <c r="R1658" i="1"/>
  <c r="S1658" i="1" s="1"/>
  <c r="R1657" i="1"/>
  <c r="S1657" i="1" s="1"/>
  <c r="R1656" i="1"/>
  <c r="S1656" i="1" s="1"/>
  <c r="R1655" i="1"/>
  <c r="S1655" i="1" s="1"/>
  <c r="R1654" i="1"/>
  <c r="S1654" i="1" s="1"/>
  <c r="R1653" i="1"/>
  <c r="S1653" i="1"/>
  <c r="R1652" i="1"/>
  <c r="S1652" i="1" s="1"/>
  <c r="X1651" i="1"/>
  <c r="Y1651" i="1"/>
  <c r="R1651" i="1"/>
  <c r="S1651" i="1"/>
  <c r="R1650" i="1"/>
  <c r="S1650" i="1"/>
  <c r="R1649" i="1"/>
  <c r="S1649" i="1"/>
  <c r="R1648" i="1"/>
  <c r="S1648" i="1"/>
  <c r="R1647" i="1"/>
  <c r="S1647" i="1" s="1"/>
  <c r="R1646" i="1"/>
  <c r="S1646" i="1"/>
  <c r="S1645" i="1"/>
  <c r="R1645" i="1"/>
  <c r="R1644" i="1"/>
  <c r="S1644" i="1" s="1"/>
  <c r="R1642" i="1"/>
  <c r="S1642" i="1" s="1"/>
  <c r="R1641" i="1"/>
  <c r="S1641" i="1" s="1"/>
  <c r="R1640" i="1"/>
  <c r="S1640" i="1" s="1"/>
  <c r="S1639" i="1"/>
  <c r="R1639" i="1"/>
  <c r="R1637" i="1"/>
  <c r="S1637" i="1" s="1"/>
  <c r="R1633" i="1"/>
  <c r="S1633" i="1"/>
  <c r="R1632" i="1"/>
  <c r="S1632" i="1" s="1"/>
  <c r="R1631" i="1"/>
  <c r="S1631" i="1"/>
  <c r="R1630" i="1"/>
  <c r="S1630" i="1" s="1"/>
  <c r="R1629" i="1"/>
  <c r="S1629" i="1"/>
  <c r="R1627" i="1"/>
  <c r="S1627" i="1" s="1"/>
  <c r="X1626" i="1"/>
  <c r="Y1626" i="1" s="1"/>
  <c r="R1625" i="1"/>
  <c r="S1625" i="1"/>
  <c r="R1624" i="1"/>
  <c r="S1624" i="1"/>
  <c r="X1623" i="1"/>
  <c r="Y1623" i="1" s="1"/>
  <c r="R1622" i="1"/>
  <c r="S1622" i="1" s="1"/>
  <c r="R1621" i="1"/>
  <c r="S1621" i="1"/>
  <c r="X1620" i="1"/>
  <c r="Y1620" i="1"/>
  <c r="R1619" i="1"/>
  <c r="S1619" i="1" s="1"/>
  <c r="R1617" i="1"/>
  <c r="S1617" i="1" s="1"/>
  <c r="S1616" i="1"/>
  <c r="R1616" i="1"/>
  <c r="R1615" i="1"/>
  <c r="S1615" i="1" s="1"/>
  <c r="R1611" i="1"/>
  <c r="S1611" i="1" s="1"/>
  <c r="X1610" i="1"/>
  <c r="Y1610" i="1" s="1"/>
  <c r="R1608" i="1"/>
  <c r="S1608" i="1" s="1"/>
  <c r="R1607" i="1"/>
  <c r="S1607" i="1" s="1"/>
  <c r="R1604" i="1"/>
  <c r="S1604" i="1" s="1"/>
  <c r="X1601" i="1"/>
  <c r="Y1601" i="1" s="1"/>
  <c r="S1601" i="1"/>
  <c r="R1601" i="1"/>
  <c r="R1600" i="1"/>
  <c r="S1600" i="1"/>
  <c r="R1598" i="1"/>
  <c r="S1598" i="1" s="1"/>
  <c r="R1595" i="1"/>
  <c r="S1595" i="1" s="1"/>
  <c r="R1593" i="1"/>
  <c r="S1593" i="1" s="1"/>
  <c r="R1592" i="1"/>
  <c r="S1592" i="1" s="1"/>
  <c r="S1591" i="1"/>
  <c r="R1591" i="1"/>
  <c r="R1590" i="1"/>
  <c r="S1590" i="1"/>
  <c r="R1584" i="1"/>
  <c r="S1584" i="1" s="1"/>
  <c r="R1583" i="1"/>
  <c r="S1583" i="1" s="1"/>
  <c r="R1582" i="1"/>
  <c r="S1582" i="1" s="1"/>
  <c r="R1581" i="1"/>
  <c r="S1581" i="1" s="1"/>
  <c r="X1580" i="1"/>
  <c r="Y1580" i="1" s="1"/>
  <c r="S1580" i="1"/>
  <c r="R1580" i="1"/>
  <c r="R1579" i="1"/>
  <c r="S1579" i="1" s="1"/>
  <c r="R1578" i="1"/>
  <c r="S1578" i="1"/>
  <c r="R1576" i="1"/>
  <c r="S1576" i="1" s="1"/>
  <c r="X1575" i="1"/>
  <c r="Y1575" i="1" s="1"/>
  <c r="S1574" i="1"/>
  <c r="R1574" i="1"/>
  <c r="R1573" i="1"/>
  <c r="S1573" i="1"/>
  <c r="R1572" i="1"/>
  <c r="S1572" i="1"/>
  <c r="R1571" i="1"/>
  <c r="S1571" i="1" s="1"/>
  <c r="R1570" i="1"/>
  <c r="S1570" i="1" s="1"/>
  <c r="X1569" i="1"/>
  <c r="Y1569" i="1" s="1"/>
  <c r="X1568" i="1"/>
  <c r="Y1568" i="1" s="1"/>
  <c r="R1568" i="1"/>
  <c r="S1568" i="1" s="1"/>
  <c r="R1567" i="1"/>
  <c r="S1567" i="1" s="1"/>
  <c r="R1566" i="1"/>
  <c r="S1566" i="1" s="1"/>
  <c r="S1565" i="1"/>
  <c r="R1565" i="1"/>
  <c r="S1563" i="1"/>
  <c r="R1563" i="1"/>
  <c r="R1562" i="1"/>
  <c r="S1562" i="1"/>
  <c r="R1554" i="1"/>
  <c r="S1554" i="1" s="1"/>
  <c r="R1553" i="1"/>
  <c r="S1553" i="1" s="1"/>
  <c r="R1548" i="1"/>
  <c r="S1548" i="1" s="1"/>
  <c r="R1547" i="1"/>
  <c r="S1547" i="1" s="1"/>
  <c r="R1546" i="1"/>
  <c r="S1546" i="1"/>
  <c r="S1543" i="1"/>
  <c r="R1543" i="1"/>
  <c r="R1542" i="1"/>
  <c r="S1542" i="1"/>
  <c r="R1540" i="1"/>
  <c r="S1540" i="1" s="1"/>
  <c r="R1539" i="1"/>
  <c r="S1539" i="1"/>
  <c r="R1538" i="1"/>
  <c r="S1538" i="1"/>
  <c r="R1536" i="1"/>
  <c r="S1536" i="1" s="1"/>
  <c r="R1535" i="1"/>
  <c r="S1535" i="1" s="1"/>
  <c r="R1531" i="1"/>
  <c r="S1531" i="1" s="1"/>
  <c r="R1530" i="1"/>
  <c r="S1530" i="1" s="1"/>
  <c r="R1529" i="1"/>
  <c r="S1529" i="1"/>
  <c r="R1528" i="1"/>
  <c r="S1528" i="1" s="1"/>
  <c r="R1527" i="1"/>
  <c r="S1527" i="1"/>
  <c r="R1525" i="1"/>
  <c r="S1525" i="1" s="1"/>
  <c r="R1522" i="1"/>
  <c r="S1522" i="1"/>
  <c r="R1521" i="1"/>
  <c r="S1521" i="1"/>
  <c r="R1520" i="1"/>
  <c r="S1520" i="1" s="1"/>
  <c r="R1519" i="1"/>
  <c r="S1519" i="1" s="1"/>
  <c r="R1518" i="1"/>
  <c r="S1518" i="1" s="1"/>
  <c r="R1516" i="1"/>
  <c r="S1516" i="1"/>
  <c r="R1515" i="1"/>
  <c r="S1515" i="1"/>
  <c r="R1514" i="1"/>
  <c r="S1514" i="1"/>
  <c r="R1511" i="1"/>
  <c r="S1511" i="1" s="1"/>
  <c r="R1510" i="1"/>
  <c r="S1510" i="1"/>
  <c r="R1509" i="1"/>
  <c r="S1509" i="1"/>
  <c r="R1508" i="1"/>
  <c r="S1508" i="1"/>
  <c r="R1506" i="1"/>
  <c r="S1506" i="1" s="1"/>
  <c r="R1504" i="1"/>
  <c r="S1504" i="1" s="1"/>
  <c r="R1501" i="1"/>
  <c r="S1501" i="1" s="1"/>
  <c r="R1498" i="1"/>
  <c r="S1498" i="1" s="1"/>
  <c r="R1497" i="1"/>
  <c r="S1497" i="1"/>
  <c r="R1494" i="1"/>
  <c r="S1494" i="1"/>
  <c r="R1493" i="1"/>
  <c r="S1493" i="1"/>
  <c r="R1491" i="1"/>
  <c r="S1491" i="1" s="1"/>
  <c r="S1490" i="1"/>
  <c r="R1490" i="1"/>
  <c r="R1489" i="1"/>
  <c r="S1489" i="1"/>
  <c r="R1488" i="1"/>
  <c r="S1488" i="1" s="1"/>
  <c r="R1484" i="1"/>
  <c r="S1484" i="1"/>
  <c r="R1483" i="1"/>
  <c r="S1483" i="1" s="1"/>
  <c r="R1482" i="1"/>
  <c r="S1482" i="1" s="1"/>
  <c r="R1480" i="1"/>
  <c r="S1480" i="1"/>
  <c r="R1479" i="1"/>
  <c r="S1479" i="1" s="1"/>
  <c r="R1477" i="1"/>
  <c r="S1477" i="1" s="1"/>
  <c r="R1475" i="1"/>
  <c r="S1475" i="1" s="1"/>
  <c r="R1471" i="1"/>
  <c r="S1471" i="1" s="1"/>
  <c r="R1470" i="1"/>
  <c r="S1470" i="1"/>
  <c r="R1469" i="1"/>
  <c r="S1469" i="1" s="1"/>
  <c r="R1468" i="1"/>
  <c r="S1468" i="1"/>
  <c r="S1467" i="1"/>
  <c r="R1467" i="1"/>
  <c r="R1466" i="1"/>
  <c r="S1466" i="1"/>
  <c r="R1465" i="1"/>
  <c r="S1465" i="1" s="1"/>
  <c r="R1464" i="1"/>
  <c r="S1464" i="1" s="1"/>
  <c r="R1462" i="1"/>
  <c r="S1462" i="1" s="1"/>
  <c r="R1461" i="1"/>
  <c r="S1461" i="1" s="1"/>
  <c r="R1460" i="1"/>
  <c r="S1460" i="1" s="1"/>
  <c r="R1454" i="1"/>
  <c r="S1454" i="1"/>
  <c r="R1453" i="1"/>
  <c r="S1453" i="1" s="1"/>
  <c r="R1451" i="1"/>
  <c r="S1451" i="1"/>
  <c r="R1450" i="1"/>
  <c r="S1450" i="1" s="1"/>
  <c r="R1449" i="1"/>
  <c r="S1449" i="1" s="1"/>
  <c r="R1448" i="1"/>
  <c r="S1448" i="1"/>
  <c r="R1447" i="1"/>
  <c r="S1447" i="1" s="1"/>
  <c r="R1446" i="1"/>
  <c r="S1446" i="1" s="1"/>
  <c r="R1442" i="1"/>
  <c r="S1442" i="1" s="1"/>
  <c r="R1441" i="1"/>
  <c r="S1441" i="1" s="1"/>
  <c r="R1439" i="1"/>
  <c r="S1439" i="1" s="1"/>
  <c r="R1438" i="1"/>
  <c r="S1438" i="1" s="1"/>
  <c r="R1437" i="1"/>
  <c r="S1437" i="1"/>
  <c r="R1436" i="1"/>
  <c r="S1436" i="1" s="1"/>
  <c r="R1435" i="1"/>
  <c r="S1435" i="1"/>
  <c r="R1434" i="1"/>
  <c r="S1434" i="1"/>
  <c r="R1433" i="1"/>
  <c r="S1433" i="1" s="1"/>
  <c r="R1430" i="1"/>
  <c r="S1430" i="1" s="1"/>
  <c r="R1429" i="1"/>
  <c r="S1429" i="1" s="1"/>
  <c r="R1428" i="1"/>
  <c r="S1428" i="1"/>
  <c r="R1427" i="1"/>
  <c r="S1427" i="1"/>
  <c r="R1425" i="1"/>
  <c r="S1425" i="1" s="1"/>
  <c r="R1423" i="1"/>
  <c r="S1423" i="1"/>
  <c r="R1422" i="1"/>
  <c r="S1422" i="1" s="1"/>
  <c r="S1420" i="1"/>
  <c r="R1420" i="1"/>
  <c r="R1419" i="1"/>
  <c r="S1419" i="1"/>
  <c r="R1418" i="1"/>
  <c r="S1418" i="1" s="1"/>
  <c r="R1417" i="1"/>
  <c r="S1417" i="1" s="1"/>
  <c r="R1416" i="1"/>
  <c r="S1416" i="1" s="1"/>
  <c r="R1413" i="1"/>
  <c r="S1413" i="1"/>
  <c r="R1411" i="1"/>
  <c r="S1411" i="1"/>
  <c r="R1410" i="1"/>
  <c r="S1410" i="1"/>
  <c r="R1409" i="1"/>
  <c r="S1409" i="1" s="1"/>
  <c r="R1408" i="1"/>
  <c r="S1408" i="1" s="1"/>
  <c r="R1407" i="1"/>
  <c r="S1407" i="1" s="1"/>
  <c r="R1405" i="1"/>
  <c r="S1405" i="1"/>
  <c r="R1404" i="1"/>
  <c r="S1404" i="1" s="1"/>
  <c r="R1403" i="1"/>
  <c r="S1403" i="1"/>
  <c r="R1402" i="1"/>
  <c r="S1402" i="1" s="1"/>
  <c r="R1401" i="1"/>
  <c r="S1401" i="1" s="1"/>
  <c r="R1400" i="1"/>
  <c r="S1400" i="1"/>
  <c r="R1399" i="1"/>
  <c r="S1399" i="1" s="1"/>
  <c r="R1398" i="1"/>
  <c r="S1398" i="1"/>
  <c r="R1397" i="1"/>
  <c r="S1397" i="1" s="1"/>
  <c r="S1396" i="1"/>
  <c r="R1396" i="1"/>
  <c r="R1395" i="1"/>
  <c r="S1395" i="1"/>
  <c r="R1393" i="1"/>
  <c r="S1393" i="1"/>
  <c r="R1391" i="1"/>
  <c r="S1391" i="1"/>
  <c r="R1390" i="1"/>
  <c r="S1390" i="1" s="1"/>
  <c r="R1389" i="1"/>
  <c r="S1389" i="1"/>
  <c r="R1387" i="1"/>
  <c r="S1387" i="1"/>
  <c r="R1386" i="1"/>
  <c r="S1386" i="1"/>
  <c r="R1385" i="1"/>
  <c r="S1385" i="1" s="1"/>
  <c r="R1384" i="1"/>
  <c r="S1384" i="1" s="1"/>
  <c r="R1383" i="1"/>
  <c r="S1383" i="1"/>
  <c r="R1382" i="1"/>
  <c r="S1382" i="1" s="1"/>
  <c r="S1381" i="1"/>
  <c r="R1381" i="1"/>
  <c r="R1380" i="1"/>
  <c r="S1380" i="1" s="1"/>
  <c r="X1379" i="1"/>
  <c r="Y1379" i="1" s="1"/>
  <c r="R1379" i="1"/>
  <c r="S1379" i="1" s="1"/>
  <c r="X1378" i="1"/>
  <c r="Y1378" i="1"/>
  <c r="X1377" i="1"/>
  <c r="Y1377" i="1"/>
  <c r="S1377" i="1"/>
  <c r="R1377" i="1"/>
  <c r="Y1376" i="1"/>
  <c r="X1376" i="1"/>
  <c r="Y1375" i="1"/>
  <c r="X1375" i="1"/>
  <c r="R1375" i="1"/>
  <c r="S1375" i="1" s="1"/>
  <c r="X1374" i="1"/>
  <c r="Y1374" i="1" s="1"/>
  <c r="R1374" i="1"/>
  <c r="S1374" i="1"/>
  <c r="X1373" i="1"/>
  <c r="Y1373" i="1"/>
  <c r="R1373" i="1"/>
  <c r="S1373" i="1" s="1"/>
  <c r="X1372" i="1"/>
  <c r="Y1372" i="1" s="1"/>
  <c r="R1372" i="1"/>
  <c r="S1372" i="1" s="1"/>
  <c r="X1371" i="1"/>
  <c r="Y1371" i="1" s="1"/>
  <c r="R1371" i="1"/>
  <c r="S1371" i="1"/>
  <c r="X1370" i="1"/>
  <c r="Y1370" i="1" s="1"/>
  <c r="R1370" i="1"/>
  <c r="S1370" i="1" s="1"/>
  <c r="X1369" i="1"/>
  <c r="Y1369" i="1" s="1"/>
  <c r="R1369" i="1"/>
  <c r="S1369" i="1"/>
  <c r="X1368" i="1"/>
  <c r="Y1368" i="1"/>
  <c r="R1368" i="1"/>
  <c r="S1368" i="1" s="1"/>
  <c r="X1367" i="1"/>
  <c r="Y1367" i="1" s="1"/>
  <c r="R1367" i="1"/>
  <c r="S1367" i="1"/>
  <c r="X1366" i="1"/>
  <c r="Y1366" i="1" s="1"/>
  <c r="R1366" i="1"/>
  <c r="S1366" i="1"/>
  <c r="X1365" i="1"/>
  <c r="Y1365" i="1"/>
  <c r="X1364" i="1"/>
  <c r="Y1364" i="1" s="1"/>
  <c r="R1364" i="1"/>
  <c r="S1364" i="1" s="1"/>
  <c r="Y1363" i="1"/>
  <c r="X1363" i="1"/>
  <c r="R1363" i="1"/>
  <c r="S1363" i="1" s="1"/>
  <c r="X1362" i="1"/>
  <c r="Y1362" i="1" s="1"/>
  <c r="S1362" i="1"/>
  <c r="R1362" i="1"/>
  <c r="X1361" i="1"/>
  <c r="Y1361" i="1" s="1"/>
  <c r="S1361" i="1"/>
  <c r="R1361" i="1"/>
  <c r="X1360" i="1"/>
  <c r="Y1360" i="1" s="1"/>
  <c r="R1360" i="1"/>
  <c r="S1360" i="1"/>
  <c r="X1359" i="1"/>
  <c r="Y1359" i="1" s="1"/>
  <c r="R1359" i="1"/>
  <c r="S1359" i="1" s="1"/>
  <c r="X1358" i="1"/>
  <c r="Y1358" i="1"/>
  <c r="R1358" i="1"/>
  <c r="S1358" i="1" s="1"/>
  <c r="Y1357" i="1"/>
  <c r="X1357" i="1"/>
  <c r="R1357" i="1"/>
  <c r="S1357" i="1"/>
  <c r="X1356" i="1"/>
  <c r="Y1356" i="1"/>
  <c r="R1356" i="1"/>
  <c r="S1356" i="1"/>
  <c r="X1355" i="1"/>
  <c r="Y1355" i="1"/>
  <c r="R1355" i="1"/>
  <c r="S1355" i="1" s="1"/>
  <c r="X1354" i="1"/>
  <c r="Y1354" i="1" s="1"/>
  <c r="R1354" i="1"/>
  <c r="S1354" i="1"/>
  <c r="X1353" i="1"/>
  <c r="Y1353" i="1"/>
  <c r="R1353" i="1"/>
  <c r="S1353" i="1" s="1"/>
  <c r="X1352" i="1"/>
  <c r="Y1352" i="1" s="1"/>
  <c r="R1352" i="1"/>
  <c r="S1352" i="1" s="1"/>
  <c r="X1351" i="1"/>
  <c r="Y1351" i="1" s="1"/>
  <c r="R1351" i="1"/>
  <c r="S1351" i="1"/>
  <c r="Y1350" i="1"/>
  <c r="X1350" i="1"/>
  <c r="R1350" i="1"/>
  <c r="S1350" i="1" s="1"/>
  <c r="X1349" i="1"/>
  <c r="Y1349" i="1" s="1"/>
  <c r="S1349" i="1"/>
  <c r="R1349" i="1"/>
  <c r="Y1348" i="1"/>
  <c r="X1348" i="1"/>
  <c r="R1348" i="1"/>
  <c r="S1348" i="1" s="1"/>
  <c r="X1347" i="1"/>
  <c r="Y1347" i="1" s="1"/>
  <c r="R1347" i="1"/>
  <c r="S1347" i="1" s="1"/>
  <c r="X1346" i="1"/>
  <c r="Y1346" i="1"/>
  <c r="R1346" i="1"/>
  <c r="S1346" i="1"/>
  <c r="R1345" i="1"/>
  <c r="S1345" i="1"/>
  <c r="X1344" i="1"/>
  <c r="Y1344" i="1" s="1"/>
  <c r="X1343" i="1"/>
  <c r="Y1343" i="1"/>
  <c r="R1343" i="1"/>
  <c r="S1343" i="1"/>
  <c r="X1342" i="1"/>
  <c r="Y1342" i="1"/>
  <c r="S1342" i="1"/>
  <c r="R1342" i="1"/>
  <c r="X1341" i="1"/>
  <c r="Y1341" i="1" s="1"/>
  <c r="R1341" i="1"/>
  <c r="S1341" i="1"/>
  <c r="X1340" i="1"/>
  <c r="Y1340" i="1"/>
  <c r="X1339" i="1"/>
  <c r="Y1339" i="1" s="1"/>
  <c r="R1339" i="1"/>
  <c r="S1339" i="1"/>
  <c r="X1338" i="1"/>
  <c r="Y1338" i="1"/>
  <c r="R1338" i="1"/>
  <c r="S1338" i="1" s="1"/>
  <c r="X1337" i="1"/>
  <c r="Y1337" i="1"/>
  <c r="R1337" i="1"/>
  <c r="S1337" i="1"/>
  <c r="X1336" i="1"/>
  <c r="Y1336" i="1"/>
  <c r="R1336" i="1"/>
  <c r="S1336" i="1" s="1"/>
  <c r="X1335" i="1"/>
  <c r="Y1335" i="1"/>
  <c r="R1335" i="1"/>
  <c r="S1335" i="1"/>
  <c r="X1334" i="1"/>
  <c r="Y1334" i="1" s="1"/>
  <c r="R1334" i="1"/>
  <c r="S1334" i="1" s="1"/>
  <c r="Y1333" i="1"/>
  <c r="X1333" i="1"/>
  <c r="X1332" i="1"/>
  <c r="Y1332" i="1"/>
  <c r="R1332" i="1"/>
  <c r="S1332" i="1" s="1"/>
  <c r="X1331" i="1"/>
  <c r="Y1331" i="1"/>
  <c r="R1331" i="1"/>
  <c r="S1331" i="1" s="1"/>
  <c r="X1330" i="1"/>
  <c r="Y1330" i="1" s="1"/>
  <c r="X1329" i="1"/>
  <c r="Y1329" i="1"/>
  <c r="R1329" i="1"/>
  <c r="S1329" i="1"/>
  <c r="X1328" i="1"/>
  <c r="Y1328" i="1" s="1"/>
  <c r="R1328" i="1"/>
  <c r="S1328" i="1" s="1"/>
  <c r="X1326" i="1"/>
  <c r="Y1326" i="1" s="1"/>
  <c r="R1326" i="1"/>
  <c r="S1326" i="1" s="1"/>
  <c r="Y1325" i="1"/>
  <c r="X1325" i="1"/>
  <c r="R1325" i="1"/>
  <c r="S1325" i="1" s="1"/>
  <c r="X1324" i="1"/>
  <c r="Y1324" i="1" s="1"/>
  <c r="R1324" i="1"/>
  <c r="S1324" i="1" s="1"/>
  <c r="X1323" i="1"/>
  <c r="Y1323" i="1"/>
  <c r="R1323" i="1"/>
  <c r="S1323" i="1"/>
  <c r="X1322" i="1"/>
  <c r="Y1322" i="1"/>
  <c r="R1322" i="1"/>
  <c r="S1322" i="1" s="1"/>
  <c r="X1321" i="1"/>
  <c r="Y1321" i="1" s="1"/>
  <c r="R1321" i="1"/>
  <c r="S1321" i="1"/>
  <c r="X1320" i="1"/>
  <c r="Y1320" i="1" s="1"/>
  <c r="S1320" i="1"/>
  <c r="R1320" i="1"/>
  <c r="X1319" i="1"/>
  <c r="Y1319" i="1"/>
  <c r="R1319" i="1"/>
  <c r="S1319" i="1"/>
  <c r="X1318" i="1"/>
  <c r="Y1318" i="1" s="1"/>
  <c r="R1318" i="1"/>
  <c r="S1318" i="1"/>
  <c r="X1317" i="1"/>
  <c r="Y1317" i="1" s="1"/>
  <c r="R1317" i="1"/>
  <c r="S1317" i="1" s="1"/>
  <c r="X1316" i="1"/>
  <c r="Y1316" i="1" s="1"/>
  <c r="R1316" i="1"/>
  <c r="S1316" i="1"/>
  <c r="Y1315" i="1"/>
  <c r="X1315" i="1"/>
  <c r="S1315" i="1"/>
  <c r="R1315" i="1"/>
  <c r="X1314" i="1"/>
  <c r="Y1314" i="1" s="1"/>
  <c r="R1314" i="1"/>
  <c r="S1314" i="1" s="1"/>
  <c r="R1313" i="1"/>
  <c r="S1313" i="1" s="1"/>
  <c r="X1311" i="1"/>
  <c r="Y1311" i="1" s="1"/>
  <c r="X1310" i="1"/>
  <c r="Y1310" i="1" s="1"/>
  <c r="R1310" i="1"/>
  <c r="S1310" i="1"/>
  <c r="X1309" i="1"/>
  <c r="Y1309" i="1" s="1"/>
  <c r="R1309" i="1"/>
  <c r="S1309" i="1"/>
  <c r="X1308" i="1"/>
  <c r="Y1308" i="1"/>
  <c r="X1307" i="1"/>
  <c r="Y1307" i="1"/>
  <c r="R1307" i="1"/>
  <c r="S1307" i="1" s="1"/>
  <c r="X1306" i="1"/>
  <c r="Y1306" i="1" s="1"/>
  <c r="R1306" i="1"/>
  <c r="S1306" i="1"/>
  <c r="X1305" i="1"/>
  <c r="Y1305" i="1" s="1"/>
  <c r="R1305" i="1"/>
  <c r="S1305" i="1" s="1"/>
  <c r="X1304" i="1"/>
  <c r="Y1304" i="1"/>
  <c r="R1304" i="1"/>
  <c r="S1304" i="1"/>
  <c r="X1303" i="1"/>
  <c r="Y1303" i="1"/>
  <c r="Y1302" i="1"/>
  <c r="X1302" i="1"/>
  <c r="R1302" i="1"/>
  <c r="S1302" i="1" s="1"/>
  <c r="Y1301" i="1"/>
  <c r="X1301" i="1"/>
  <c r="R1301" i="1"/>
  <c r="S1301" i="1" s="1"/>
  <c r="X1300" i="1"/>
  <c r="Y1300" i="1"/>
  <c r="S1300" i="1"/>
  <c r="R1300" i="1"/>
  <c r="X1299" i="1"/>
  <c r="Y1299" i="1"/>
  <c r="R1299" i="1"/>
  <c r="S1299" i="1" s="1"/>
  <c r="X1298" i="1"/>
  <c r="Y1298" i="1"/>
  <c r="R1298" i="1"/>
  <c r="S1298" i="1"/>
  <c r="X1297" i="1"/>
  <c r="Y1297" i="1"/>
  <c r="R1297" i="1"/>
  <c r="S1297" i="1"/>
  <c r="X1296" i="1"/>
  <c r="Y1296" i="1"/>
  <c r="R1296" i="1"/>
  <c r="S1296" i="1" s="1"/>
  <c r="X1295" i="1"/>
  <c r="Y1295" i="1"/>
  <c r="R1295" i="1"/>
  <c r="S1295" i="1"/>
  <c r="X1294" i="1"/>
  <c r="Y1294" i="1"/>
  <c r="R1294" i="1"/>
  <c r="S1294" i="1" s="1"/>
  <c r="X1293" i="1"/>
  <c r="Y1293" i="1"/>
  <c r="X1292" i="1"/>
  <c r="Y1292" i="1" s="1"/>
  <c r="R1292" i="1"/>
  <c r="S1292" i="1" s="1"/>
  <c r="X1291" i="1"/>
  <c r="Y1291" i="1" s="1"/>
  <c r="X1290" i="1"/>
  <c r="Y1290" i="1" s="1"/>
  <c r="X1289" i="1"/>
  <c r="Y1289" i="1" s="1"/>
  <c r="R1288" i="1"/>
  <c r="S1288" i="1"/>
  <c r="X1287" i="1"/>
  <c r="Y1287" i="1" s="1"/>
  <c r="R1287" i="1"/>
  <c r="S1287" i="1" s="1"/>
  <c r="X1286" i="1"/>
  <c r="Y1286" i="1"/>
  <c r="R1286" i="1"/>
  <c r="S1286" i="1" s="1"/>
  <c r="X1285" i="1"/>
  <c r="Y1285" i="1"/>
  <c r="R1285" i="1"/>
  <c r="S1285" i="1"/>
  <c r="R1284" i="1"/>
  <c r="S1284" i="1"/>
  <c r="X1283" i="1"/>
  <c r="Y1283" i="1" s="1"/>
  <c r="R1283" i="1"/>
  <c r="S1283" i="1"/>
  <c r="X1282" i="1"/>
  <c r="Y1282" i="1" s="1"/>
  <c r="R1282" i="1"/>
  <c r="S1282" i="1" s="1"/>
  <c r="X1280" i="1"/>
  <c r="Y1280" i="1"/>
  <c r="R1280" i="1"/>
  <c r="S1280" i="1" s="1"/>
  <c r="X1279" i="1"/>
  <c r="Y1279" i="1"/>
  <c r="X1277" i="1"/>
  <c r="Y1277" i="1"/>
  <c r="R1277" i="1"/>
  <c r="S1277" i="1"/>
  <c r="X1276" i="1"/>
  <c r="Y1276" i="1"/>
  <c r="R1276" i="1"/>
  <c r="S1276" i="1"/>
  <c r="X1275" i="1"/>
  <c r="Y1275" i="1"/>
  <c r="R1275" i="1"/>
  <c r="S1275" i="1"/>
  <c r="X1274" i="1"/>
  <c r="Y1274" i="1"/>
  <c r="R1274" i="1"/>
  <c r="S1274" i="1"/>
  <c r="R1273" i="1"/>
  <c r="S1273" i="1"/>
  <c r="X1272" i="1"/>
  <c r="Y1272" i="1" s="1"/>
  <c r="R1272" i="1"/>
  <c r="S1272" i="1" s="1"/>
  <c r="X1271" i="1"/>
  <c r="Y1271" i="1" s="1"/>
  <c r="R1271" i="1"/>
  <c r="S1271" i="1" s="1"/>
  <c r="X1270" i="1"/>
  <c r="Y1270" i="1"/>
  <c r="R1270" i="1"/>
  <c r="S1270" i="1"/>
  <c r="X1268" i="1"/>
  <c r="Y1268" i="1"/>
  <c r="R1268" i="1"/>
  <c r="S1268" i="1" s="1"/>
  <c r="X1267" i="1"/>
  <c r="Y1267" i="1" s="1"/>
  <c r="R1267" i="1"/>
  <c r="S1267" i="1"/>
  <c r="Y1265" i="1"/>
  <c r="X1265" i="1"/>
  <c r="R1265" i="1"/>
  <c r="S1265" i="1" s="1"/>
  <c r="X1262" i="1"/>
  <c r="Y1262" i="1" s="1"/>
  <c r="R1262" i="1"/>
  <c r="S1262" i="1" s="1"/>
  <c r="X1261" i="1"/>
  <c r="Y1261" i="1" s="1"/>
  <c r="R1261" i="1"/>
  <c r="S1261" i="1" s="1"/>
  <c r="X1260" i="1"/>
  <c r="Y1260" i="1" s="1"/>
  <c r="R1260" i="1"/>
  <c r="S1260" i="1" s="1"/>
  <c r="Y1259" i="1"/>
  <c r="X1259" i="1"/>
  <c r="R1259" i="1"/>
  <c r="S1259" i="1" s="1"/>
  <c r="X1258" i="1"/>
  <c r="Y1258" i="1" s="1"/>
  <c r="R1258" i="1"/>
  <c r="S1258" i="1" s="1"/>
  <c r="X1257" i="1"/>
  <c r="Y1257" i="1" s="1"/>
  <c r="R1257" i="1"/>
  <c r="S1257" i="1" s="1"/>
  <c r="X1256" i="1"/>
  <c r="Y1256" i="1"/>
  <c r="R1256" i="1"/>
  <c r="S1256" i="1"/>
  <c r="X1255" i="1"/>
  <c r="Y1255" i="1" s="1"/>
  <c r="R1255" i="1"/>
  <c r="S1255" i="1" s="1"/>
  <c r="X1254" i="1"/>
  <c r="Y1254" i="1" s="1"/>
  <c r="R1254" i="1"/>
  <c r="S1254" i="1"/>
  <c r="X1253" i="1"/>
  <c r="Y1253" i="1" s="1"/>
  <c r="R1253" i="1"/>
  <c r="S1253" i="1" s="1"/>
  <c r="X1252" i="1"/>
  <c r="Y1252" i="1" s="1"/>
  <c r="R1252" i="1"/>
  <c r="S1252" i="1" s="1"/>
  <c r="X1251" i="1"/>
  <c r="Y1251" i="1" s="1"/>
  <c r="X1249" i="1"/>
  <c r="Y1249" i="1"/>
  <c r="R1249" i="1"/>
  <c r="S1249" i="1"/>
  <c r="X1248" i="1"/>
  <c r="Y1248" i="1"/>
  <c r="R1248" i="1"/>
  <c r="S1248" i="1" s="1"/>
  <c r="R1247" i="1"/>
  <c r="S1247" i="1"/>
  <c r="X1246" i="1"/>
  <c r="Y1246" i="1" s="1"/>
  <c r="R1246" i="1"/>
  <c r="S1246" i="1" s="1"/>
  <c r="X1244" i="1"/>
  <c r="Y1244" i="1"/>
  <c r="R1244" i="1"/>
  <c r="S1244" i="1" s="1"/>
  <c r="X1243" i="1"/>
  <c r="Y1243" i="1" s="1"/>
  <c r="R1243" i="1"/>
  <c r="S1243" i="1" s="1"/>
  <c r="X1242" i="1"/>
  <c r="Y1242" i="1"/>
  <c r="R1242" i="1"/>
  <c r="S1242" i="1"/>
  <c r="Y1241" i="1"/>
  <c r="X1241" i="1"/>
  <c r="R1241" i="1"/>
  <c r="S1241" i="1" s="1"/>
  <c r="R1240" i="1"/>
  <c r="S1240" i="1"/>
  <c r="X1239" i="1"/>
  <c r="Y1239" i="1" s="1"/>
  <c r="R1239" i="1"/>
  <c r="S1239" i="1" s="1"/>
  <c r="X1238" i="1"/>
  <c r="Y1238" i="1"/>
  <c r="R1238" i="1"/>
  <c r="S1238" i="1" s="1"/>
  <c r="Y1237" i="1"/>
  <c r="X1237" i="1"/>
  <c r="S1237" i="1"/>
  <c r="R1237" i="1"/>
  <c r="X1236" i="1"/>
  <c r="Y1236" i="1" s="1"/>
  <c r="X1235" i="1"/>
  <c r="Y1235" i="1" s="1"/>
  <c r="R1235" i="1"/>
  <c r="S1235" i="1" s="1"/>
  <c r="X1234" i="1"/>
  <c r="Y1234" i="1" s="1"/>
  <c r="R1234" i="1"/>
  <c r="S1234" i="1" s="1"/>
  <c r="X1233" i="1"/>
  <c r="Y1233" i="1"/>
  <c r="R1233" i="1"/>
  <c r="S1233" i="1"/>
  <c r="X1232" i="1"/>
  <c r="Y1232" i="1" s="1"/>
  <c r="R1232" i="1"/>
  <c r="S1232" i="1" s="1"/>
  <c r="X1231" i="1"/>
  <c r="Y1231" i="1"/>
  <c r="R1231" i="1"/>
  <c r="S1231" i="1" s="1"/>
  <c r="Y1230" i="1"/>
  <c r="X1230" i="1"/>
  <c r="R1230" i="1"/>
  <c r="S1230" i="1"/>
  <c r="X1229" i="1"/>
  <c r="Y1229" i="1" s="1"/>
  <c r="R1229" i="1"/>
  <c r="S1229" i="1"/>
  <c r="X1228" i="1"/>
  <c r="Y1228" i="1"/>
  <c r="R1228" i="1"/>
  <c r="S1228" i="1"/>
  <c r="R1226" i="1"/>
  <c r="S1226" i="1"/>
  <c r="X1225" i="1"/>
  <c r="Y1225" i="1" s="1"/>
  <c r="X1224" i="1"/>
  <c r="Y1224" i="1" s="1"/>
  <c r="R1224" i="1"/>
  <c r="S1224" i="1" s="1"/>
  <c r="X1223" i="1"/>
  <c r="Y1223" i="1" s="1"/>
  <c r="R1223" i="1"/>
  <c r="S1223" i="1"/>
  <c r="X1222" i="1"/>
  <c r="Y1222" i="1" s="1"/>
  <c r="X1221" i="1"/>
  <c r="Y1221" i="1" s="1"/>
  <c r="R1221" i="1"/>
  <c r="S1221" i="1" s="1"/>
  <c r="X1220" i="1"/>
  <c r="Y1220" i="1" s="1"/>
  <c r="X1219" i="1"/>
  <c r="Y1219" i="1"/>
  <c r="R1219" i="1"/>
  <c r="S1219" i="1" s="1"/>
  <c r="X1218" i="1"/>
  <c r="Y1218" i="1" s="1"/>
  <c r="R1218" i="1"/>
  <c r="S1218" i="1" s="1"/>
  <c r="X1217" i="1"/>
  <c r="Y1217" i="1" s="1"/>
  <c r="R1217" i="1"/>
  <c r="S1217" i="1"/>
  <c r="X1216" i="1"/>
  <c r="Y1216" i="1" s="1"/>
  <c r="X1215" i="1"/>
  <c r="Y1215" i="1"/>
  <c r="R1215" i="1"/>
  <c r="S1215" i="1" s="1"/>
  <c r="R1214" i="1"/>
  <c r="S1214" i="1" s="1"/>
  <c r="X1213" i="1"/>
  <c r="Y1213" i="1" s="1"/>
  <c r="R1213" i="1"/>
  <c r="S1213" i="1"/>
  <c r="R1212" i="1"/>
  <c r="S1212" i="1" s="1"/>
  <c r="X1211" i="1"/>
  <c r="Y1211" i="1" s="1"/>
  <c r="R1211" i="1"/>
  <c r="S1211" i="1" s="1"/>
  <c r="X1210" i="1"/>
  <c r="Y1210" i="1" s="1"/>
  <c r="R1210" i="1"/>
  <c r="S1210" i="1" s="1"/>
  <c r="X1209" i="1"/>
  <c r="Y1209" i="1" s="1"/>
  <c r="R1209" i="1"/>
  <c r="S1209" i="1"/>
  <c r="X1208" i="1"/>
  <c r="Y1208" i="1"/>
  <c r="R1208" i="1"/>
  <c r="S1208" i="1"/>
  <c r="X1207" i="1"/>
  <c r="Y1207" i="1" s="1"/>
  <c r="R1207" i="1"/>
  <c r="S1207" i="1" s="1"/>
  <c r="X1206" i="1"/>
  <c r="Y1206" i="1" s="1"/>
  <c r="S1206" i="1"/>
  <c r="R1206" i="1"/>
  <c r="X1205" i="1"/>
  <c r="Y1205" i="1" s="1"/>
  <c r="R1205" i="1"/>
  <c r="S1205" i="1" s="1"/>
  <c r="X1204" i="1"/>
  <c r="Y1204" i="1" s="1"/>
  <c r="X1203" i="1"/>
  <c r="Y1203" i="1"/>
  <c r="R1203" i="1"/>
  <c r="S1203" i="1"/>
  <c r="X1202" i="1"/>
  <c r="Y1202" i="1" s="1"/>
  <c r="R1202" i="1"/>
  <c r="S1202" i="1" s="1"/>
  <c r="X1201" i="1"/>
  <c r="Y1201" i="1" s="1"/>
  <c r="R1201" i="1"/>
  <c r="S1201" i="1"/>
  <c r="X1200" i="1"/>
  <c r="Y1200" i="1"/>
  <c r="R1200" i="1"/>
  <c r="S1200" i="1" s="1"/>
  <c r="X1199" i="1"/>
  <c r="Y1199" i="1" s="1"/>
  <c r="X1197" i="1"/>
  <c r="Y1197" i="1" s="1"/>
  <c r="R1197" i="1"/>
  <c r="S1197" i="1"/>
  <c r="X1196" i="1"/>
  <c r="Y1196" i="1"/>
  <c r="S1196" i="1"/>
  <c r="R1196" i="1"/>
  <c r="X1194" i="1"/>
  <c r="Y1194" i="1"/>
  <c r="R1194" i="1"/>
  <c r="S1194" i="1"/>
  <c r="X1193" i="1"/>
  <c r="Y1193" i="1"/>
  <c r="R1193" i="1"/>
  <c r="S1193" i="1"/>
  <c r="X1192" i="1"/>
  <c r="Y1192" i="1"/>
  <c r="R1192" i="1"/>
  <c r="S1192" i="1"/>
  <c r="R1191" i="1"/>
  <c r="S1191" i="1" s="1"/>
  <c r="X1190" i="1"/>
  <c r="Y1190" i="1"/>
  <c r="S1190" i="1"/>
  <c r="R1190" i="1"/>
  <c r="X1189" i="1"/>
  <c r="Y1189" i="1"/>
  <c r="R1189" i="1"/>
  <c r="S1189" i="1" s="1"/>
  <c r="X1188" i="1"/>
  <c r="Y1188" i="1"/>
  <c r="R1188" i="1"/>
  <c r="S1188" i="1"/>
  <c r="Y1187" i="1"/>
  <c r="X1187" i="1"/>
  <c r="R1187" i="1"/>
  <c r="S1187" i="1"/>
  <c r="X1186" i="1"/>
  <c r="Y1186" i="1"/>
  <c r="R1186" i="1"/>
  <c r="S1186" i="1" s="1"/>
  <c r="X1185" i="1"/>
  <c r="Y1185" i="1"/>
  <c r="R1185" i="1"/>
  <c r="S1185" i="1" s="1"/>
  <c r="Y1184" i="1"/>
  <c r="X1184" i="1"/>
  <c r="R1184" i="1"/>
  <c r="S1184" i="1" s="1"/>
  <c r="X1183" i="1"/>
  <c r="Y1183" i="1" s="1"/>
  <c r="R1183" i="1"/>
  <c r="S1183" i="1" s="1"/>
  <c r="X1182" i="1"/>
  <c r="Y1182" i="1"/>
  <c r="R1182" i="1"/>
  <c r="S1182" i="1" s="1"/>
  <c r="X1181" i="1"/>
  <c r="Y1181" i="1"/>
  <c r="R1181" i="1"/>
  <c r="S1181" i="1"/>
  <c r="X1180" i="1"/>
  <c r="Y1180" i="1" s="1"/>
  <c r="R1180" i="1"/>
  <c r="S1180" i="1" s="1"/>
  <c r="X1179" i="1"/>
  <c r="Y1179" i="1" s="1"/>
  <c r="X1178" i="1"/>
  <c r="Y1178" i="1"/>
  <c r="X1177" i="1"/>
  <c r="Y1177" i="1" s="1"/>
  <c r="R1177" i="1"/>
  <c r="S1177" i="1" s="1"/>
  <c r="X1176" i="1"/>
  <c r="Y1176" i="1" s="1"/>
  <c r="R1176" i="1"/>
  <c r="S1176" i="1" s="1"/>
  <c r="X1175" i="1"/>
  <c r="Y1175" i="1" s="1"/>
  <c r="R1175" i="1"/>
  <c r="S1175" i="1" s="1"/>
  <c r="X1174" i="1"/>
  <c r="Y1174" i="1"/>
  <c r="R1174" i="1"/>
  <c r="S1174" i="1" s="1"/>
  <c r="X1173" i="1"/>
  <c r="Y1173" i="1" s="1"/>
  <c r="R1173" i="1"/>
  <c r="S1173" i="1" s="1"/>
  <c r="X1172" i="1"/>
  <c r="Y1172" i="1" s="1"/>
  <c r="R1172" i="1"/>
  <c r="S1172" i="1" s="1"/>
  <c r="Y1171" i="1"/>
  <c r="X1171" i="1"/>
  <c r="R1171" i="1"/>
  <c r="S1171" i="1" s="1"/>
  <c r="X1170" i="1"/>
  <c r="Y1170" i="1"/>
  <c r="X1169" i="1"/>
  <c r="Y1169" i="1"/>
  <c r="R1169" i="1"/>
  <c r="S1169" i="1"/>
  <c r="X1168" i="1"/>
  <c r="Y1168" i="1" s="1"/>
  <c r="S1168" i="1"/>
  <c r="R1168" i="1"/>
  <c r="X1167" i="1"/>
  <c r="Y1167" i="1" s="1"/>
  <c r="R1167" i="1"/>
  <c r="S1167" i="1" s="1"/>
  <c r="X1166" i="1"/>
  <c r="Y1166" i="1"/>
  <c r="R1166" i="1"/>
  <c r="S1166" i="1"/>
  <c r="X1165" i="1"/>
  <c r="Y1165" i="1" s="1"/>
  <c r="R1165" i="1"/>
  <c r="S1165" i="1"/>
  <c r="X1164" i="1"/>
  <c r="Y1164" i="1"/>
  <c r="R1164" i="1"/>
  <c r="S1164" i="1" s="1"/>
  <c r="X1163" i="1"/>
  <c r="Y1163" i="1" s="1"/>
  <c r="R1163" i="1"/>
  <c r="S1163" i="1"/>
  <c r="X1162" i="1"/>
  <c r="Y1162" i="1"/>
  <c r="R1162" i="1"/>
  <c r="S1162" i="1"/>
  <c r="X1161" i="1"/>
  <c r="Y1161" i="1"/>
  <c r="R1161" i="1"/>
  <c r="S1161" i="1"/>
  <c r="X1160" i="1"/>
  <c r="Y1160" i="1" s="1"/>
  <c r="R1160" i="1"/>
  <c r="S1160" i="1" s="1"/>
  <c r="X1159" i="1"/>
  <c r="Y1159" i="1" s="1"/>
  <c r="R1158" i="1"/>
  <c r="S1158" i="1" s="1"/>
  <c r="X1157" i="1"/>
  <c r="Y1157" i="1" s="1"/>
  <c r="R1157" i="1"/>
  <c r="S1157" i="1" s="1"/>
  <c r="X1156" i="1"/>
  <c r="Y1156" i="1" s="1"/>
  <c r="R1156" i="1"/>
  <c r="S1156" i="1" s="1"/>
  <c r="X1155" i="1"/>
  <c r="Y1155" i="1" s="1"/>
  <c r="X1154" i="1"/>
  <c r="Y1154" i="1" s="1"/>
  <c r="R1154" i="1"/>
  <c r="S1154" i="1"/>
  <c r="X1153" i="1"/>
  <c r="Y1153" i="1" s="1"/>
  <c r="R1153" i="1"/>
  <c r="S1153" i="1" s="1"/>
  <c r="S1150" i="1"/>
  <c r="R1150" i="1"/>
  <c r="X1149" i="1"/>
  <c r="Y1149" i="1"/>
  <c r="R1149" i="1"/>
  <c r="S1149" i="1"/>
  <c r="X1148" i="1"/>
  <c r="Y1148" i="1"/>
  <c r="R1148" i="1"/>
  <c r="S1148" i="1"/>
  <c r="R1147" i="1"/>
  <c r="S1147" i="1" s="1"/>
  <c r="X1145" i="1"/>
  <c r="Y1145" i="1"/>
  <c r="R1145" i="1"/>
  <c r="S1145" i="1"/>
  <c r="X1144" i="1"/>
  <c r="Y1144" i="1" s="1"/>
  <c r="R1144" i="1"/>
  <c r="S1144" i="1"/>
  <c r="X1143" i="1"/>
  <c r="Y1143" i="1"/>
  <c r="R1143" i="1"/>
  <c r="S1143" i="1"/>
  <c r="X1142" i="1"/>
  <c r="Y1142" i="1"/>
  <c r="R1142" i="1"/>
  <c r="S1142" i="1" s="1"/>
  <c r="X1141" i="1"/>
  <c r="Y1141" i="1"/>
  <c r="Y1140" i="1"/>
  <c r="X1140" i="1"/>
  <c r="R1140" i="1"/>
  <c r="S1140" i="1" s="1"/>
  <c r="X1139" i="1"/>
  <c r="Y1139" i="1" s="1"/>
  <c r="S1139" i="1"/>
  <c r="R1139" i="1"/>
  <c r="X1138" i="1"/>
  <c r="Y1138" i="1" s="1"/>
  <c r="R1138" i="1"/>
  <c r="S1138" i="1" s="1"/>
  <c r="X1137" i="1"/>
  <c r="Y1137" i="1"/>
  <c r="R1137" i="1"/>
  <c r="S1137" i="1"/>
  <c r="X1136" i="1"/>
  <c r="Y1136" i="1" s="1"/>
  <c r="R1136" i="1"/>
  <c r="S1136" i="1" s="1"/>
  <c r="Y1135" i="1"/>
  <c r="X1135" i="1"/>
  <c r="R1135" i="1"/>
  <c r="S1135" i="1"/>
  <c r="X1134" i="1"/>
  <c r="Y1134" i="1"/>
  <c r="R1134" i="1"/>
  <c r="S1134" i="1" s="1"/>
  <c r="X1133" i="1"/>
  <c r="Y1133" i="1" s="1"/>
  <c r="R1133" i="1"/>
  <c r="S1133" i="1" s="1"/>
  <c r="X1132" i="1"/>
  <c r="Y1132" i="1" s="1"/>
  <c r="R1132" i="1"/>
  <c r="S1132" i="1" s="1"/>
  <c r="X1131" i="1"/>
  <c r="Y1131" i="1" s="1"/>
  <c r="R1131" i="1"/>
  <c r="S1131" i="1" s="1"/>
  <c r="X1130" i="1"/>
  <c r="Y1130" i="1" s="1"/>
  <c r="R1130" i="1"/>
  <c r="S1130" i="1" s="1"/>
  <c r="X1129" i="1"/>
  <c r="Y1129" i="1" s="1"/>
  <c r="R1128" i="1"/>
  <c r="S1128" i="1"/>
  <c r="X1127" i="1"/>
  <c r="Y1127" i="1" s="1"/>
  <c r="R1127" i="1"/>
  <c r="S1127" i="1" s="1"/>
  <c r="X1126" i="1"/>
  <c r="Y1126" i="1" s="1"/>
  <c r="R1126" i="1"/>
  <c r="S1126" i="1" s="1"/>
  <c r="X1125" i="1"/>
  <c r="Y1125" i="1"/>
  <c r="R1125" i="1"/>
  <c r="S1125" i="1" s="1"/>
  <c r="X1124" i="1"/>
  <c r="Y1124" i="1" s="1"/>
  <c r="R1124" i="1"/>
  <c r="S1124" i="1" s="1"/>
  <c r="X1123" i="1"/>
  <c r="Y1123" i="1" s="1"/>
  <c r="S1123" i="1"/>
  <c r="R1123" i="1"/>
  <c r="X1122" i="1"/>
  <c r="Y1122" i="1" s="1"/>
  <c r="R1122" i="1"/>
  <c r="S1122" i="1" s="1"/>
  <c r="X1121" i="1"/>
  <c r="Y1121" i="1" s="1"/>
  <c r="R1121" i="1"/>
  <c r="S1121" i="1" s="1"/>
  <c r="X1120" i="1"/>
  <c r="Y1120" i="1" s="1"/>
  <c r="R1120" i="1"/>
  <c r="S1120" i="1" s="1"/>
  <c r="X1119" i="1"/>
  <c r="Y1119" i="1" s="1"/>
  <c r="R1119" i="1"/>
  <c r="S1119" i="1" s="1"/>
  <c r="Y1118" i="1"/>
  <c r="X1118" i="1"/>
  <c r="S1118" i="1"/>
  <c r="R1118" i="1"/>
  <c r="X1117" i="1"/>
  <c r="Y1117" i="1" s="1"/>
  <c r="R1117" i="1"/>
  <c r="S1117" i="1" s="1"/>
  <c r="X1116" i="1"/>
  <c r="Y1116" i="1" s="1"/>
  <c r="S1116" i="1"/>
  <c r="R1116" i="1"/>
  <c r="Y1115" i="1"/>
  <c r="X1115" i="1"/>
  <c r="R1115" i="1"/>
  <c r="S1115" i="1"/>
  <c r="X1114" i="1"/>
  <c r="Y1114" i="1" s="1"/>
  <c r="S1114" i="1"/>
  <c r="R1114" i="1"/>
  <c r="X1113" i="1"/>
  <c r="Y1113" i="1" s="1"/>
  <c r="R1113" i="1"/>
  <c r="S1113" i="1" s="1"/>
  <c r="X1111" i="1"/>
  <c r="Y1111" i="1"/>
  <c r="R1111" i="1"/>
  <c r="S1111" i="1" s="1"/>
  <c r="X1110" i="1"/>
  <c r="Y1110" i="1" s="1"/>
  <c r="X1108" i="1"/>
  <c r="Y1108" i="1" s="1"/>
  <c r="R1108" i="1"/>
  <c r="S1108" i="1" s="1"/>
  <c r="X1107" i="1"/>
  <c r="Y1107" i="1" s="1"/>
  <c r="R1107" i="1"/>
  <c r="S1107" i="1" s="1"/>
  <c r="X1106" i="1"/>
  <c r="Y1106" i="1" s="1"/>
  <c r="R1106" i="1"/>
  <c r="S1106" i="1"/>
  <c r="X1105" i="1"/>
  <c r="Y1105" i="1"/>
  <c r="R1105" i="1"/>
  <c r="S1105" i="1" s="1"/>
  <c r="X1104" i="1"/>
  <c r="Y1104" i="1"/>
  <c r="R1104" i="1"/>
  <c r="S1104" i="1"/>
  <c r="X1103" i="1"/>
  <c r="Y1103" i="1" s="1"/>
  <c r="R1103" i="1"/>
  <c r="S1103" i="1" s="1"/>
  <c r="X1102" i="1"/>
  <c r="Y1102" i="1" s="1"/>
  <c r="R1102" i="1"/>
  <c r="S1102" i="1" s="1"/>
  <c r="Y1101" i="1"/>
  <c r="X1101" i="1"/>
  <c r="R1101" i="1"/>
  <c r="S1101" i="1" s="1"/>
  <c r="X1100" i="1"/>
  <c r="Y1100" i="1"/>
  <c r="X1099" i="1"/>
  <c r="Y1099" i="1" s="1"/>
  <c r="S1099" i="1"/>
  <c r="R1099" i="1"/>
  <c r="X1098" i="1"/>
  <c r="Y1098" i="1" s="1"/>
  <c r="R1098" i="1"/>
  <c r="S1098" i="1"/>
  <c r="X1097" i="1"/>
  <c r="Y1097" i="1" s="1"/>
  <c r="R1097" i="1"/>
  <c r="S1097" i="1" s="1"/>
  <c r="X1096" i="1"/>
  <c r="Y1096" i="1" s="1"/>
  <c r="R1096" i="1"/>
  <c r="S1096" i="1" s="1"/>
  <c r="X1095" i="1"/>
  <c r="Y1095" i="1" s="1"/>
  <c r="R1095" i="1"/>
  <c r="S1095" i="1" s="1"/>
  <c r="X1094" i="1"/>
  <c r="Y1094" i="1"/>
  <c r="R1094" i="1"/>
  <c r="S1094" i="1"/>
  <c r="X1093" i="1"/>
  <c r="Y1093" i="1"/>
  <c r="R1093" i="1"/>
  <c r="S1093" i="1" s="1"/>
  <c r="X1092" i="1"/>
  <c r="Y1092" i="1"/>
  <c r="R1092" i="1"/>
  <c r="S1092" i="1" s="1"/>
  <c r="X1091" i="1"/>
  <c r="Y1091" i="1" s="1"/>
  <c r="X1090" i="1"/>
  <c r="Y1090" i="1"/>
  <c r="R1090" i="1"/>
  <c r="S1090" i="1"/>
  <c r="X1089" i="1"/>
  <c r="Y1089" i="1"/>
  <c r="R1089" i="1"/>
  <c r="S1089" i="1" s="1"/>
  <c r="X1088" i="1"/>
  <c r="Y1088" i="1" s="1"/>
  <c r="R1088" i="1"/>
  <c r="S1088" i="1" s="1"/>
  <c r="Y1087" i="1"/>
  <c r="X1087" i="1"/>
  <c r="R1087" i="1"/>
  <c r="S1087" i="1"/>
  <c r="X1086" i="1"/>
  <c r="Y1086" i="1" s="1"/>
  <c r="S1086" i="1"/>
  <c r="R1086" i="1"/>
  <c r="X1085" i="1"/>
  <c r="Y1085" i="1" s="1"/>
  <c r="R1085" i="1"/>
  <c r="S1085" i="1" s="1"/>
  <c r="X1084" i="1"/>
  <c r="Y1084" i="1"/>
  <c r="R1084" i="1"/>
  <c r="S1084" i="1" s="1"/>
  <c r="X1083" i="1"/>
  <c r="Y1083" i="1" s="1"/>
  <c r="R1083" i="1"/>
  <c r="S1083" i="1"/>
  <c r="X1082" i="1"/>
  <c r="Y1082" i="1" s="1"/>
  <c r="R1082" i="1"/>
  <c r="S1082" i="1"/>
  <c r="X1081" i="1"/>
  <c r="Y1081" i="1" s="1"/>
  <c r="R1081" i="1"/>
  <c r="S1081" i="1" s="1"/>
  <c r="X1080" i="1"/>
  <c r="Y1080" i="1" s="1"/>
  <c r="R1080" i="1"/>
  <c r="S1080" i="1" s="1"/>
  <c r="X1079" i="1"/>
  <c r="Y1079" i="1"/>
  <c r="X1078" i="1"/>
  <c r="Y1078" i="1" s="1"/>
  <c r="R1078" i="1"/>
  <c r="S1078" i="1" s="1"/>
  <c r="X1077" i="1"/>
  <c r="Y1077" i="1"/>
  <c r="R1077" i="1"/>
  <c r="S1077" i="1" s="1"/>
  <c r="X1076" i="1"/>
  <c r="Y1076" i="1" s="1"/>
  <c r="R1076" i="1"/>
  <c r="S1076" i="1" s="1"/>
  <c r="X1075" i="1"/>
  <c r="Y1075" i="1" s="1"/>
  <c r="R1075" i="1"/>
  <c r="S1075" i="1"/>
  <c r="X1074" i="1"/>
  <c r="Y1074" i="1"/>
  <c r="R1074" i="1"/>
  <c r="S1074" i="1" s="1"/>
  <c r="X1073" i="1"/>
  <c r="Y1073" i="1"/>
  <c r="R1073" i="1"/>
  <c r="S1073" i="1"/>
  <c r="X1072" i="1"/>
  <c r="Y1072" i="1" s="1"/>
  <c r="R1072" i="1"/>
  <c r="S1072" i="1"/>
  <c r="X1071" i="1"/>
  <c r="Y1071" i="1" s="1"/>
  <c r="X1070" i="1"/>
  <c r="Y1070" i="1" s="1"/>
  <c r="R1070" i="1"/>
  <c r="S1070" i="1" s="1"/>
  <c r="X1069" i="1"/>
  <c r="Y1069" i="1" s="1"/>
  <c r="R1069" i="1"/>
  <c r="S1069" i="1" s="1"/>
  <c r="Y1068" i="1"/>
  <c r="X1068" i="1"/>
  <c r="R1068" i="1"/>
  <c r="S1068" i="1" s="1"/>
  <c r="X1067" i="1"/>
  <c r="Y1067" i="1" s="1"/>
  <c r="R1067" i="1"/>
  <c r="S1067" i="1" s="1"/>
  <c r="R1066" i="1"/>
  <c r="S1066" i="1" s="1"/>
  <c r="X1065" i="1"/>
  <c r="Y1065" i="1" s="1"/>
  <c r="S1065" i="1"/>
  <c r="R1065" i="1"/>
  <c r="X1064" i="1"/>
  <c r="Y1064" i="1" s="1"/>
  <c r="X1063" i="1"/>
  <c r="Y1063" i="1" s="1"/>
  <c r="R1063" i="1"/>
  <c r="S1063" i="1" s="1"/>
  <c r="X1062" i="1"/>
  <c r="Y1062" i="1" s="1"/>
  <c r="R1062" i="1"/>
  <c r="S1062" i="1" s="1"/>
  <c r="X1061" i="1"/>
  <c r="Y1061" i="1" s="1"/>
  <c r="R1061" i="1"/>
  <c r="S1061" i="1" s="1"/>
  <c r="X1060" i="1"/>
  <c r="Y1060" i="1" s="1"/>
  <c r="R1060" i="1"/>
  <c r="S1060" i="1" s="1"/>
  <c r="Y1059" i="1"/>
  <c r="X1059" i="1"/>
  <c r="R1059" i="1"/>
  <c r="S1059" i="1" s="1"/>
  <c r="X1058" i="1"/>
  <c r="Y1058" i="1" s="1"/>
  <c r="R1058" i="1"/>
  <c r="S1058" i="1" s="1"/>
  <c r="X1057" i="1"/>
  <c r="Y1057" i="1" s="1"/>
  <c r="R1057" i="1"/>
  <c r="S1057" i="1" s="1"/>
  <c r="X1056" i="1"/>
  <c r="Y1056" i="1" s="1"/>
  <c r="R1056" i="1"/>
  <c r="S1056" i="1"/>
  <c r="X1055" i="1"/>
  <c r="Y1055" i="1" s="1"/>
  <c r="R1055" i="1"/>
  <c r="S1055" i="1" s="1"/>
  <c r="X1054" i="1"/>
  <c r="Y1054" i="1" s="1"/>
  <c r="R1054" i="1"/>
  <c r="S1054" i="1" s="1"/>
  <c r="X1053" i="1"/>
  <c r="Y1053" i="1" s="1"/>
  <c r="R1053" i="1"/>
  <c r="S1053" i="1" s="1"/>
  <c r="X1052" i="1"/>
  <c r="Y1052" i="1" s="1"/>
  <c r="R1052" i="1"/>
  <c r="S1052" i="1"/>
  <c r="X1051" i="1"/>
  <c r="Y1051" i="1" s="1"/>
  <c r="R1051" i="1"/>
  <c r="S1051" i="1" s="1"/>
  <c r="Y1050" i="1"/>
  <c r="X1050" i="1"/>
  <c r="R1050" i="1"/>
  <c r="S1050" i="1" s="1"/>
  <c r="X1049" i="1"/>
  <c r="Y1049" i="1" s="1"/>
  <c r="R1049" i="1"/>
  <c r="S1049" i="1" s="1"/>
  <c r="X1048" i="1"/>
  <c r="Y1048" i="1" s="1"/>
  <c r="R1048" i="1"/>
  <c r="S1048" i="1" s="1"/>
  <c r="X1047" i="1"/>
  <c r="Y1047" i="1" s="1"/>
  <c r="R1047" i="1"/>
  <c r="S1047" i="1" s="1"/>
  <c r="X1046" i="1"/>
  <c r="Y1046" i="1" s="1"/>
  <c r="R1045" i="1"/>
  <c r="S1045" i="1" s="1"/>
  <c r="X1044" i="1"/>
  <c r="Y1044" i="1"/>
  <c r="R1044" i="1"/>
  <c r="S1044" i="1" s="1"/>
  <c r="X1043" i="1"/>
  <c r="Y1043" i="1" s="1"/>
  <c r="R1043" i="1"/>
  <c r="S1043" i="1" s="1"/>
  <c r="X1042" i="1"/>
  <c r="Y1042" i="1" s="1"/>
  <c r="R1042" i="1"/>
  <c r="S1042" i="1" s="1"/>
  <c r="Y1041" i="1"/>
  <c r="X1041" i="1"/>
  <c r="R1041" i="1"/>
  <c r="S1041" i="1" s="1"/>
  <c r="X1040" i="1"/>
  <c r="Y1040" i="1" s="1"/>
  <c r="R1040" i="1"/>
  <c r="S1040" i="1" s="1"/>
  <c r="X1039" i="1"/>
  <c r="Y1039" i="1" s="1"/>
  <c r="Y1038" i="1"/>
  <c r="X1038" i="1"/>
  <c r="R1038" i="1"/>
  <c r="S1038" i="1" s="1"/>
  <c r="X1037" i="1"/>
  <c r="Y1037" i="1" s="1"/>
  <c r="S1037" i="1"/>
  <c r="R1037" i="1"/>
  <c r="X1036" i="1"/>
  <c r="Y1036" i="1"/>
  <c r="R1036" i="1"/>
  <c r="S1036" i="1" s="1"/>
  <c r="X1035" i="1"/>
  <c r="Y1035" i="1" s="1"/>
  <c r="R1035" i="1"/>
  <c r="S1035" i="1" s="1"/>
  <c r="X1034" i="1"/>
  <c r="Y1034" i="1" s="1"/>
  <c r="R1034" i="1"/>
  <c r="S1034" i="1" s="1"/>
  <c r="X1033" i="1"/>
  <c r="Y1033" i="1" s="1"/>
  <c r="X1032" i="1"/>
  <c r="Y1032" i="1"/>
  <c r="R1032" i="1"/>
  <c r="S1032" i="1" s="1"/>
  <c r="X1031" i="1"/>
  <c r="Y1031" i="1" s="1"/>
  <c r="R1030" i="1"/>
  <c r="S1030" i="1" s="1"/>
  <c r="X1029" i="1"/>
  <c r="Y1029" i="1" s="1"/>
  <c r="R1029" i="1"/>
  <c r="S1029" i="1" s="1"/>
  <c r="X1028" i="1"/>
  <c r="Y1028" i="1" s="1"/>
  <c r="R1028" i="1"/>
  <c r="S1028" i="1"/>
  <c r="X1027" i="1"/>
  <c r="Y1027" i="1" s="1"/>
  <c r="S1026" i="1"/>
  <c r="R1026" i="1"/>
  <c r="X1025" i="1"/>
  <c r="Y1025" i="1" s="1"/>
  <c r="S1025" i="1"/>
  <c r="R1025" i="1"/>
  <c r="X1024" i="1"/>
  <c r="Y1024" i="1" s="1"/>
  <c r="R1024" i="1"/>
  <c r="S1024" i="1" s="1"/>
  <c r="X1023" i="1"/>
  <c r="Y1023" i="1" s="1"/>
  <c r="R1023" i="1"/>
  <c r="S1023" i="1" s="1"/>
  <c r="X1022" i="1"/>
  <c r="Y1022" i="1" s="1"/>
  <c r="R1022" i="1"/>
  <c r="S1022" i="1" s="1"/>
  <c r="Y1021" i="1"/>
  <c r="X1021" i="1"/>
  <c r="R1021" i="1"/>
  <c r="S1021" i="1" s="1"/>
  <c r="Y1020" i="1"/>
  <c r="X1020" i="1"/>
  <c r="R1020" i="1"/>
  <c r="S1020" i="1"/>
  <c r="X1019" i="1"/>
  <c r="Y1019" i="1" s="1"/>
  <c r="R1019" i="1"/>
  <c r="S1019" i="1" s="1"/>
  <c r="X1018" i="1"/>
  <c r="Y1018" i="1" s="1"/>
  <c r="R1018" i="1"/>
  <c r="S1018" i="1" s="1"/>
  <c r="X1017" i="1"/>
  <c r="Y1017" i="1" s="1"/>
  <c r="X1016" i="1"/>
  <c r="Y1016" i="1" s="1"/>
  <c r="R1016" i="1"/>
  <c r="S1016" i="1" s="1"/>
  <c r="X1015" i="1"/>
  <c r="Y1015" i="1" s="1"/>
  <c r="R1015" i="1"/>
  <c r="S1015" i="1" s="1"/>
  <c r="X1014" i="1"/>
  <c r="Y1014" i="1" s="1"/>
  <c r="R1014" i="1"/>
  <c r="S1014" i="1" s="1"/>
  <c r="Y1013" i="1"/>
  <c r="X1013" i="1"/>
  <c r="R1013" i="1"/>
  <c r="S1013" i="1" s="1"/>
  <c r="Y1012" i="1"/>
  <c r="X1012" i="1"/>
  <c r="R1012" i="1"/>
  <c r="S1012" i="1"/>
  <c r="X1011" i="1"/>
  <c r="Y1011" i="1" s="1"/>
  <c r="R1011" i="1"/>
  <c r="S1011" i="1" s="1"/>
  <c r="X1010" i="1"/>
  <c r="Y1010" i="1" s="1"/>
  <c r="R1010" i="1"/>
  <c r="S1010" i="1" s="1"/>
  <c r="X1009" i="1"/>
  <c r="Y1009" i="1" s="1"/>
  <c r="R1009" i="1"/>
  <c r="S1009" i="1" s="1"/>
  <c r="X1008" i="1"/>
  <c r="Y1008" i="1"/>
  <c r="R1008" i="1"/>
  <c r="S1008" i="1" s="1"/>
  <c r="Y1007" i="1"/>
  <c r="X1007" i="1"/>
  <c r="R1007" i="1"/>
  <c r="S1007" i="1" s="1"/>
  <c r="X1006" i="1"/>
  <c r="Y1006" i="1" s="1"/>
  <c r="R1006" i="1"/>
  <c r="S1006" i="1" s="1"/>
  <c r="X1004" i="1"/>
  <c r="Y1004" i="1" s="1"/>
  <c r="R1004" i="1"/>
  <c r="S1004" i="1" s="1"/>
  <c r="Y1003" i="1"/>
  <c r="X1003" i="1"/>
  <c r="S1003" i="1"/>
  <c r="R1003" i="1"/>
  <c r="X1002" i="1"/>
  <c r="Y1002" i="1" s="1"/>
  <c r="R1002" i="1"/>
  <c r="S1002" i="1" s="1"/>
  <c r="X1001" i="1"/>
  <c r="Y1001" i="1" s="1"/>
  <c r="R1001" i="1"/>
  <c r="S1001" i="1" s="1"/>
  <c r="X1000" i="1"/>
  <c r="Y1000" i="1" s="1"/>
  <c r="R1000" i="1"/>
  <c r="S1000" i="1" s="1"/>
  <c r="X999" i="1"/>
  <c r="Y999" i="1" s="1"/>
  <c r="R999" i="1"/>
  <c r="S999" i="1" s="1"/>
  <c r="X998" i="1"/>
  <c r="Y998" i="1" s="1"/>
  <c r="R998" i="1"/>
  <c r="S998" i="1" s="1"/>
  <c r="X997" i="1"/>
  <c r="Y997" i="1" s="1"/>
  <c r="R997" i="1"/>
  <c r="S997" i="1" s="1"/>
  <c r="X996" i="1"/>
  <c r="Y996" i="1"/>
  <c r="R996" i="1"/>
  <c r="S996" i="1" s="1"/>
  <c r="Y995" i="1"/>
  <c r="X995" i="1"/>
  <c r="R995" i="1"/>
  <c r="S995" i="1" s="1"/>
  <c r="X994" i="1"/>
  <c r="Y994" i="1" s="1"/>
  <c r="X993" i="1"/>
  <c r="Y993" i="1" s="1"/>
  <c r="R993" i="1"/>
  <c r="S993" i="1" s="1"/>
  <c r="X992" i="1"/>
  <c r="Y992" i="1"/>
  <c r="S992" i="1"/>
  <c r="R992" i="1"/>
  <c r="Y991" i="1"/>
  <c r="X991" i="1"/>
  <c r="R991" i="1"/>
  <c r="S991" i="1" s="1"/>
  <c r="X990" i="1"/>
  <c r="Y990" i="1" s="1"/>
  <c r="R990" i="1"/>
  <c r="S990" i="1" s="1"/>
  <c r="X989" i="1"/>
  <c r="Y989" i="1" s="1"/>
  <c r="R989" i="1"/>
  <c r="S989" i="1" s="1"/>
  <c r="X988" i="1"/>
  <c r="Y988" i="1"/>
  <c r="R988" i="1"/>
  <c r="S988" i="1" s="1"/>
  <c r="X987" i="1"/>
  <c r="Y987" i="1" s="1"/>
  <c r="R987" i="1"/>
  <c r="S987" i="1" s="1"/>
  <c r="R986" i="1"/>
  <c r="S986" i="1" s="1"/>
  <c r="X985" i="1"/>
  <c r="Y985" i="1" s="1"/>
  <c r="R985" i="1"/>
  <c r="S985" i="1" s="1"/>
  <c r="X984" i="1"/>
  <c r="Y984" i="1"/>
  <c r="X983" i="1"/>
  <c r="Y983" i="1" s="1"/>
  <c r="R983" i="1"/>
  <c r="S983" i="1" s="1"/>
  <c r="X982" i="1"/>
  <c r="Y982" i="1" s="1"/>
  <c r="R982" i="1"/>
  <c r="S982" i="1" s="1"/>
  <c r="X981" i="1"/>
  <c r="Y981" i="1" s="1"/>
  <c r="R981" i="1"/>
  <c r="S981" i="1" s="1"/>
  <c r="X980" i="1"/>
  <c r="Y980" i="1"/>
  <c r="R980" i="1"/>
  <c r="S980" i="1" s="1"/>
  <c r="X979" i="1"/>
  <c r="Y979" i="1" s="1"/>
  <c r="R979" i="1"/>
  <c r="S979" i="1" s="1"/>
  <c r="X978" i="1"/>
  <c r="Y978" i="1" s="1"/>
  <c r="R978" i="1"/>
  <c r="S978" i="1" s="1"/>
  <c r="X977" i="1"/>
  <c r="Y977" i="1" s="1"/>
  <c r="R977" i="1"/>
  <c r="S977" i="1"/>
  <c r="X976" i="1"/>
  <c r="Y976" i="1" s="1"/>
  <c r="Y975" i="1"/>
  <c r="X975" i="1"/>
  <c r="R975" i="1"/>
  <c r="S975" i="1" s="1"/>
  <c r="Y974" i="1"/>
  <c r="X974" i="1"/>
  <c r="X973" i="1"/>
  <c r="Y973" i="1" s="1"/>
  <c r="X972" i="1"/>
  <c r="Y972" i="1" s="1"/>
  <c r="R972" i="1"/>
  <c r="S972" i="1" s="1"/>
  <c r="X971" i="1"/>
  <c r="Y971" i="1" s="1"/>
  <c r="R971" i="1"/>
  <c r="S971" i="1" s="1"/>
  <c r="X970" i="1"/>
  <c r="Y970" i="1" s="1"/>
  <c r="R970" i="1"/>
  <c r="S970" i="1" s="1"/>
  <c r="X969" i="1"/>
  <c r="Y969" i="1" s="1"/>
  <c r="R969" i="1"/>
  <c r="S969" i="1" s="1"/>
  <c r="X968" i="1"/>
  <c r="Y968" i="1" s="1"/>
  <c r="R968" i="1"/>
  <c r="S968" i="1" s="1"/>
  <c r="X966" i="1"/>
  <c r="Y966" i="1" s="1"/>
  <c r="X965" i="1"/>
  <c r="Y965" i="1" s="1"/>
  <c r="S965" i="1"/>
  <c r="R965" i="1"/>
  <c r="X964" i="1"/>
  <c r="Y964" i="1"/>
  <c r="R964" i="1"/>
  <c r="S964" i="1" s="1"/>
  <c r="X963" i="1"/>
  <c r="Y963" i="1" s="1"/>
  <c r="S963" i="1"/>
  <c r="R963" i="1"/>
  <c r="X962" i="1"/>
  <c r="Y962" i="1" s="1"/>
  <c r="S962" i="1"/>
  <c r="R962" i="1"/>
  <c r="Y961" i="1"/>
  <c r="X961" i="1"/>
  <c r="X960" i="1"/>
  <c r="Y960" i="1"/>
  <c r="Y959" i="1"/>
  <c r="X959" i="1"/>
  <c r="S959" i="1"/>
  <c r="R959" i="1"/>
  <c r="X958" i="1"/>
  <c r="Y958" i="1" s="1"/>
  <c r="R958" i="1"/>
  <c r="S958" i="1" s="1"/>
  <c r="X957" i="1"/>
  <c r="Y957" i="1" s="1"/>
  <c r="X956" i="1"/>
  <c r="Y956" i="1" s="1"/>
  <c r="X955" i="1"/>
  <c r="Y955" i="1" s="1"/>
  <c r="R955" i="1"/>
  <c r="S955" i="1" s="1"/>
  <c r="X954" i="1"/>
  <c r="Y954" i="1" s="1"/>
  <c r="R954" i="1"/>
  <c r="S954" i="1" s="1"/>
  <c r="X953" i="1"/>
  <c r="Y953" i="1" s="1"/>
  <c r="R953" i="1"/>
  <c r="S953" i="1" s="1"/>
  <c r="X952" i="1"/>
  <c r="Y952" i="1"/>
  <c r="R952" i="1"/>
  <c r="S952" i="1" s="1"/>
  <c r="X951" i="1"/>
  <c r="Y951" i="1" s="1"/>
  <c r="R951" i="1"/>
  <c r="S951" i="1" s="1"/>
  <c r="X950" i="1"/>
  <c r="Y950" i="1" s="1"/>
  <c r="R950" i="1"/>
  <c r="S950" i="1" s="1"/>
  <c r="X949" i="1"/>
  <c r="Y949" i="1" s="1"/>
  <c r="R949" i="1"/>
  <c r="S949" i="1" s="1"/>
  <c r="X948" i="1"/>
  <c r="Y948" i="1"/>
  <c r="R948" i="1"/>
  <c r="S948" i="1" s="1"/>
  <c r="X947" i="1"/>
  <c r="Y947" i="1" s="1"/>
  <c r="R947" i="1"/>
  <c r="S947" i="1" s="1"/>
  <c r="X946" i="1"/>
  <c r="Y946" i="1" s="1"/>
  <c r="R946" i="1"/>
  <c r="S946" i="1" s="1"/>
  <c r="X945" i="1"/>
  <c r="Y945" i="1" s="1"/>
  <c r="R945" i="1"/>
  <c r="S945" i="1"/>
  <c r="X944" i="1"/>
  <c r="Y944" i="1" s="1"/>
  <c r="R944" i="1"/>
  <c r="S944" i="1" s="1"/>
  <c r="X943" i="1"/>
  <c r="Y943" i="1" s="1"/>
  <c r="R943" i="1"/>
  <c r="S943" i="1" s="1"/>
  <c r="X942" i="1"/>
  <c r="Y942" i="1" s="1"/>
  <c r="R942" i="1"/>
  <c r="S942" i="1" s="1"/>
  <c r="X941" i="1"/>
  <c r="Y941" i="1" s="1"/>
  <c r="R941" i="1"/>
  <c r="S941" i="1" s="1"/>
  <c r="X940" i="1"/>
  <c r="Y940" i="1" s="1"/>
  <c r="R940" i="1"/>
  <c r="S940" i="1" s="1"/>
  <c r="X939" i="1"/>
  <c r="Y939" i="1" s="1"/>
  <c r="R939" i="1"/>
  <c r="S939" i="1" s="1"/>
  <c r="X938" i="1"/>
  <c r="Y938" i="1" s="1"/>
  <c r="R938" i="1"/>
  <c r="S938" i="1" s="1"/>
  <c r="X937" i="1"/>
  <c r="Y937" i="1" s="1"/>
  <c r="X936" i="1"/>
  <c r="Y936" i="1" s="1"/>
  <c r="R936" i="1"/>
  <c r="S936" i="1" s="1"/>
  <c r="X935" i="1"/>
  <c r="Y935" i="1" s="1"/>
  <c r="X934" i="1"/>
  <c r="Y934" i="1" s="1"/>
  <c r="R934" i="1"/>
  <c r="S934" i="1" s="1"/>
  <c r="X933" i="1"/>
  <c r="Y933" i="1" s="1"/>
  <c r="R933" i="1"/>
  <c r="S933" i="1" s="1"/>
  <c r="X932" i="1"/>
  <c r="Y932" i="1" s="1"/>
  <c r="R932" i="1"/>
  <c r="S932" i="1" s="1"/>
  <c r="X931" i="1"/>
  <c r="Y931" i="1" s="1"/>
  <c r="R931" i="1"/>
  <c r="S931" i="1" s="1"/>
  <c r="X930" i="1"/>
  <c r="Y930" i="1" s="1"/>
  <c r="X929" i="1"/>
  <c r="Y929" i="1" s="1"/>
  <c r="R929" i="1"/>
  <c r="S929" i="1"/>
  <c r="X928" i="1"/>
  <c r="Y928" i="1" s="1"/>
  <c r="R928" i="1"/>
  <c r="S928" i="1" s="1"/>
  <c r="X927" i="1"/>
  <c r="Y927" i="1" s="1"/>
  <c r="R927" i="1"/>
  <c r="S927" i="1" s="1"/>
  <c r="X926" i="1"/>
  <c r="Y926" i="1" s="1"/>
  <c r="R926" i="1"/>
  <c r="S926" i="1" s="1"/>
  <c r="X925" i="1"/>
  <c r="Y925" i="1" s="1"/>
  <c r="R925" i="1"/>
  <c r="S925" i="1" s="1"/>
  <c r="X924" i="1"/>
  <c r="Y924" i="1" s="1"/>
  <c r="R924" i="1"/>
  <c r="S924" i="1" s="1"/>
  <c r="X923" i="1"/>
  <c r="Y923" i="1" s="1"/>
  <c r="R923" i="1"/>
  <c r="S923" i="1" s="1"/>
  <c r="X922" i="1"/>
  <c r="Y922" i="1" s="1"/>
  <c r="R922" i="1"/>
  <c r="S922" i="1" s="1"/>
  <c r="X921" i="1"/>
  <c r="Y921" i="1" s="1"/>
  <c r="R921" i="1"/>
  <c r="S921" i="1"/>
  <c r="X920" i="1"/>
  <c r="Y920" i="1" s="1"/>
  <c r="R920" i="1"/>
  <c r="S920" i="1" s="1"/>
  <c r="X919" i="1"/>
  <c r="Y919" i="1" s="1"/>
  <c r="R919" i="1"/>
  <c r="S919" i="1" s="1"/>
  <c r="X918" i="1"/>
  <c r="Y918" i="1" s="1"/>
  <c r="R918" i="1"/>
  <c r="S918" i="1" s="1"/>
  <c r="X917" i="1"/>
  <c r="Y917" i="1" s="1"/>
  <c r="R917" i="1"/>
  <c r="S917" i="1"/>
  <c r="X916" i="1"/>
  <c r="Y916" i="1" s="1"/>
  <c r="R916" i="1"/>
  <c r="S916" i="1" s="1"/>
  <c r="X915" i="1"/>
  <c r="Y915" i="1" s="1"/>
  <c r="X914" i="1"/>
  <c r="Y914" i="1" s="1"/>
  <c r="R914" i="1"/>
  <c r="S914" i="1" s="1"/>
  <c r="X913" i="1"/>
  <c r="Y913" i="1"/>
  <c r="R913" i="1"/>
  <c r="S913" i="1" s="1"/>
  <c r="X912" i="1"/>
  <c r="Y912" i="1" s="1"/>
  <c r="R912" i="1"/>
  <c r="S912" i="1" s="1"/>
  <c r="X911" i="1"/>
  <c r="Y911" i="1" s="1"/>
  <c r="R911" i="1"/>
  <c r="S911" i="1" s="1"/>
  <c r="X910" i="1"/>
  <c r="Y910" i="1" s="1"/>
  <c r="R910" i="1"/>
  <c r="S910" i="1" s="1"/>
  <c r="X909" i="1"/>
  <c r="Y909" i="1" s="1"/>
  <c r="R909" i="1"/>
  <c r="S909" i="1" s="1"/>
  <c r="X908" i="1"/>
  <c r="Y908" i="1" s="1"/>
  <c r="R908" i="1"/>
  <c r="S908" i="1" s="1"/>
  <c r="X907" i="1"/>
  <c r="Y907" i="1" s="1"/>
  <c r="R907" i="1"/>
  <c r="S907" i="1" s="1"/>
  <c r="X906" i="1"/>
  <c r="Y906" i="1" s="1"/>
  <c r="R906" i="1"/>
  <c r="S906" i="1" s="1"/>
  <c r="X905" i="1"/>
  <c r="Y905" i="1"/>
  <c r="R905" i="1"/>
  <c r="S905" i="1" s="1"/>
  <c r="X904" i="1"/>
  <c r="Y904" i="1" s="1"/>
  <c r="R904" i="1"/>
  <c r="S904" i="1" s="1"/>
  <c r="X903" i="1"/>
  <c r="Y903" i="1" s="1"/>
  <c r="R903" i="1"/>
  <c r="S903" i="1" s="1"/>
  <c r="X902" i="1"/>
  <c r="Y902" i="1" s="1"/>
  <c r="R902" i="1"/>
  <c r="S902" i="1" s="1"/>
  <c r="X901" i="1"/>
  <c r="Y901" i="1"/>
  <c r="R901" i="1"/>
  <c r="S901" i="1" s="1"/>
  <c r="X900" i="1"/>
  <c r="Y900" i="1" s="1"/>
  <c r="R900" i="1"/>
  <c r="S900" i="1" s="1"/>
  <c r="X899" i="1"/>
  <c r="Y899" i="1" s="1"/>
  <c r="R899" i="1"/>
  <c r="S899" i="1" s="1"/>
  <c r="X898" i="1"/>
  <c r="Y898" i="1" s="1"/>
  <c r="R898" i="1"/>
  <c r="S898" i="1"/>
  <c r="X897" i="1"/>
  <c r="Y897" i="1" s="1"/>
  <c r="R897" i="1"/>
  <c r="S897" i="1" s="1"/>
  <c r="X896" i="1"/>
  <c r="Y896" i="1" s="1"/>
  <c r="R896" i="1"/>
  <c r="S896" i="1" s="1"/>
  <c r="X895" i="1"/>
  <c r="Y895" i="1" s="1"/>
  <c r="R895" i="1"/>
  <c r="S895" i="1" s="1"/>
  <c r="X894" i="1"/>
  <c r="Y894" i="1" s="1"/>
  <c r="R894" i="1"/>
  <c r="S894" i="1"/>
  <c r="X893" i="1"/>
  <c r="Y893" i="1" s="1"/>
  <c r="R893" i="1"/>
  <c r="S893" i="1" s="1"/>
  <c r="R891" i="1"/>
  <c r="S891" i="1" s="1"/>
  <c r="X890" i="1"/>
  <c r="Y890" i="1" s="1"/>
  <c r="R890" i="1"/>
  <c r="S890" i="1"/>
  <c r="X889" i="1"/>
  <c r="Y889" i="1" s="1"/>
  <c r="R889" i="1"/>
  <c r="S889" i="1" s="1"/>
  <c r="X888" i="1"/>
  <c r="Y888" i="1" s="1"/>
  <c r="R888" i="1"/>
  <c r="S888" i="1" s="1"/>
  <c r="X887" i="1"/>
  <c r="Y887" i="1" s="1"/>
  <c r="R887" i="1"/>
  <c r="S887" i="1" s="1"/>
  <c r="X886" i="1"/>
  <c r="Y886" i="1" s="1"/>
  <c r="R886" i="1"/>
  <c r="S886" i="1"/>
  <c r="X885" i="1"/>
  <c r="Y885" i="1" s="1"/>
  <c r="R885" i="1"/>
  <c r="S885" i="1" s="1"/>
  <c r="X884" i="1"/>
  <c r="Y884" i="1" s="1"/>
  <c r="R884" i="1"/>
  <c r="S884" i="1" s="1"/>
  <c r="X883" i="1"/>
  <c r="Y883" i="1" s="1"/>
  <c r="R883" i="1"/>
  <c r="S883" i="1" s="1"/>
  <c r="X880" i="1"/>
  <c r="Y880" i="1" s="1"/>
  <c r="R880" i="1"/>
  <c r="S880" i="1" s="1"/>
  <c r="X879" i="1"/>
  <c r="Y879" i="1" s="1"/>
  <c r="X878" i="1"/>
  <c r="Y878" i="1" s="1"/>
  <c r="R878" i="1"/>
  <c r="S878" i="1" s="1"/>
  <c r="X877" i="1"/>
  <c r="Y877" i="1" s="1"/>
  <c r="R877" i="1"/>
  <c r="S877" i="1" s="1"/>
  <c r="X876" i="1"/>
  <c r="Y876" i="1" s="1"/>
  <c r="X875" i="1"/>
  <c r="Y875" i="1" s="1"/>
  <c r="R875" i="1"/>
  <c r="S875" i="1" s="1"/>
  <c r="X874" i="1"/>
  <c r="Y874" i="1" s="1"/>
  <c r="X873" i="1"/>
  <c r="Y873" i="1"/>
  <c r="R873" i="1"/>
  <c r="S873" i="1" s="1"/>
  <c r="X872" i="1"/>
  <c r="Y872" i="1" s="1"/>
  <c r="R872" i="1"/>
  <c r="S872" i="1" s="1"/>
  <c r="X871" i="1"/>
  <c r="Y871" i="1" s="1"/>
  <c r="R871" i="1"/>
  <c r="S871" i="1" s="1"/>
  <c r="X869" i="1"/>
  <c r="Y869" i="1" s="1"/>
  <c r="R869" i="1"/>
  <c r="S869" i="1"/>
  <c r="X868" i="1"/>
  <c r="Y868" i="1" s="1"/>
  <c r="R868" i="1"/>
  <c r="S868" i="1" s="1"/>
  <c r="X867" i="1"/>
  <c r="Y867" i="1" s="1"/>
  <c r="R867" i="1"/>
  <c r="S867" i="1" s="1"/>
  <c r="X866" i="1"/>
  <c r="Y866" i="1" s="1"/>
  <c r="R866" i="1"/>
  <c r="S866" i="1" s="1"/>
  <c r="X865" i="1"/>
  <c r="Y865" i="1" s="1"/>
  <c r="R865" i="1"/>
  <c r="S865" i="1"/>
  <c r="X864" i="1"/>
  <c r="Y864" i="1" s="1"/>
  <c r="R864" i="1"/>
  <c r="S864" i="1" s="1"/>
  <c r="X863" i="1"/>
  <c r="Y863" i="1" s="1"/>
  <c r="R863" i="1"/>
  <c r="S863" i="1" s="1"/>
  <c r="X862" i="1"/>
  <c r="Y862" i="1" s="1"/>
  <c r="R862" i="1"/>
  <c r="S862" i="1" s="1"/>
  <c r="X861" i="1"/>
  <c r="Y861" i="1" s="1"/>
  <c r="R861" i="1"/>
  <c r="S861" i="1"/>
  <c r="X860" i="1"/>
  <c r="Y860" i="1" s="1"/>
  <c r="R860" i="1"/>
  <c r="S860" i="1" s="1"/>
  <c r="X859" i="1"/>
  <c r="Y859" i="1" s="1"/>
  <c r="R859" i="1"/>
  <c r="S859" i="1" s="1"/>
  <c r="X858" i="1"/>
  <c r="Y858" i="1" s="1"/>
  <c r="R858" i="1"/>
  <c r="S858" i="1" s="1"/>
  <c r="X857" i="1"/>
  <c r="Y857" i="1" s="1"/>
  <c r="R857" i="1"/>
  <c r="S857" i="1" s="1"/>
  <c r="X856" i="1"/>
  <c r="Y856" i="1" s="1"/>
  <c r="R856" i="1"/>
  <c r="S856" i="1" s="1"/>
  <c r="X855" i="1"/>
  <c r="Y855" i="1" s="1"/>
  <c r="R855" i="1"/>
  <c r="S855" i="1" s="1"/>
  <c r="R853" i="1"/>
  <c r="S853" i="1"/>
  <c r="X852" i="1"/>
  <c r="Y852" i="1"/>
  <c r="R852" i="1"/>
  <c r="S852" i="1"/>
  <c r="X851" i="1"/>
  <c r="Y851" i="1" s="1"/>
  <c r="R851" i="1"/>
  <c r="S851" i="1" s="1"/>
  <c r="X850" i="1"/>
  <c r="Y850" i="1" s="1"/>
  <c r="R850" i="1"/>
  <c r="S850" i="1" s="1"/>
  <c r="X849" i="1"/>
  <c r="Y849" i="1" s="1"/>
  <c r="X848" i="1"/>
  <c r="Y848" i="1"/>
  <c r="R848" i="1"/>
  <c r="S848" i="1"/>
  <c r="X847" i="1"/>
  <c r="Y847" i="1" s="1"/>
  <c r="R847" i="1"/>
  <c r="S847" i="1" s="1"/>
  <c r="X846" i="1"/>
  <c r="Y846" i="1" s="1"/>
  <c r="R846" i="1"/>
  <c r="S846" i="1"/>
  <c r="X845" i="1"/>
  <c r="Y845" i="1"/>
  <c r="R845" i="1"/>
  <c r="S845" i="1" s="1"/>
  <c r="R844" i="1"/>
  <c r="S844" i="1" s="1"/>
  <c r="X843" i="1"/>
  <c r="Y843" i="1" s="1"/>
  <c r="R843" i="1"/>
  <c r="S843" i="1" s="1"/>
  <c r="X842" i="1"/>
  <c r="Y842" i="1" s="1"/>
  <c r="R842" i="1"/>
  <c r="S842" i="1"/>
  <c r="X841" i="1"/>
  <c r="Y841" i="1" s="1"/>
  <c r="R841" i="1"/>
  <c r="S841" i="1" s="1"/>
  <c r="R840" i="1"/>
  <c r="S840" i="1"/>
  <c r="X839" i="1"/>
  <c r="Y839" i="1" s="1"/>
  <c r="R839" i="1"/>
  <c r="S839" i="1"/>
  <c r="R838" i="1"/>
  <c r="S838" i="1" s="1"/>
  <c r="X836" i="1"/>
  <c r="Y836" i="1" s="1"/>
  <c r="R836" i="1"/>
  <c r="S836" i="1"/>
  <c r="X835" i="1"/>
  <c r="Y835" i="1" s="1"/>
  <c r="R835" i="1"/>
  <c r="S835" i="1" s="1"/>
  <c r="X834" i="1"/>
  <c r="Y834" i="1"/>
  <c r="R834" i="1"/>
  <c r="S834" i="1"/>
  <c r="X833" i="1"/>
  <c r="Y833" i="1" s="1"/>
  <c r="R833" i="1"/>
  <c r="S833" i="1"/>
  <c r="X832" i="1"/>
  <c r="Y832" i="1" s="1"/>
  <c r="R832" i="1"/>
  <c r="S832" i="1" s="1"/>
  <c r="X831" i="1"/>
  <c r="Y831" i="1" s="1"/>
  <c r="R831" i="1"/>
  <c r="S831" i="1" s="1"/>
  <c r="X830" i="1"/>
  <c r="Y830" i="1" s="1"/>
  <c r="R830" i="1"/>
  <c r="S830" i="1" s="1"/>
  <c r="X829" i="1"/>
  <c r="Y829" i="1" s="1"/>
  <c r="R829" i="1"/>
  <c r="S829" i="1"/>
  <c r="X828" i="1"/>
  <c r="Y828" i="1" s="1"/>
  <c r="R828" i="1"/>
  <c r="S828" i="1" s="1"/>
  <c r="X827" i="1"/>
  <c r="Y827" i="1" s="1"/>
  <c r="R827" i="1"/>
  <c r="S827" i="1" s="1"/>
  <c r="X826" i="1"/>
  <c r="Y826" i="1" s="1"/>
  <c r="R826" i="1"/>
  <c r="S826" i="1"/>
  <c r="X825" i="1"/>
  <c r="Y825" i="1" s="1"/>
  <c r="X824" i="1"/>
  <c r="Y824" i="1" s="1"/>
  <c r="X823" i="1"/>
  <c r="Y823" i="1" s="1"/>
  <c r="R823" i="1"/>
  <c r="S823" i="1" s="1"/>
  <c r="X822" i="1"/>
  <c r="Y822" i="1" s="1"/>
  <c r="R822" i="1"/>
  <c r="S822" i="1" s="1"/>
  <c r="X821" i="1"/>
  <c r="Y821" i="1" s="1"/>
  <c r="R821" i="1"/>
  <c r="S821" i="1" s="1"/>
  <c r="R820" i="1"/>
  <c r="S820" i="1" s="1"/>
  <c r="X819" i="1"/>
  <c r="Y819" i="1" s="1"/>
  <c r="R819" i="1"/>
  <c r="S819" i="1" s="1"/>
  <c r="X818" i="1"/>
  <c r="Y818" i="1" s="1"/>
  <c r="R818" i="1"/>
  <c r="S818" i="1" s="1"/>
  <c r="X817" i="1"/>
  <c r="Y817" i="1"/>
  <c r="R817" i="1"/>
  <c r="S817" i="1" s="1"/>
  <c r="X816" i="1"/>
  <c r="Y816" i="1" s="1"/>
  <c r="R816" i="1"/>
  <c r="S816" i="1" s="1"/>
  <c r="X815" i="1"/>
  <c r="Y815" i="1" s="1"/>
  <c r="R815" i="1"/>
  <c r="S815" i="1" s="1"/>
  <c r="X814" i="1"/>
  <c r="Y814" i="1" s="1"/>
  <c r="R814" i="1"/>
  <c r="S814" i="1" s="1"/>
  <c r="X813" i="1"/>
  <c r="Y813" i="1"/>
  <c r="R813" i="1"/>
  <c r="S813" i="1"/>
  <c r="X812" i="1"/>
  <c r="Y812" i="1" s="1"/>
  <c r="R811" i="1"/>
  <c r="S811" i="1" s="1"/>
  <c r="X810" i="1"/>
  <c r="Y810" i="1" s="1"/>
  <c r="X809" i="1"/>
  <c r="Y809" i="1" s="1"/>
  <c r="X807" i="1"/>
  <c r="Y807" i="1" s="1"/>
  <c r="X806" i="1"/>
  <c r="Y806" i="1" s="1"/>
  <c r="R806" i="1"/>
  <c r="S806" i="1" s="1"/>
  <c r="X805" i="1"/>
  <c r="Y805" i="1"/>
  <c r="R805" i="1"/>
  <c r="S805" i="1" s="1"/>
  <c r="X804" i="1"/>
  <c r="Y804" i="1" s="1"/>
  <c r="R804" i="1"/>
  <c r="S804" i="1" s="1"/>
  <c r="R803" i="1"/>
  <c r="S803" i="1" s="1"/>
  <c r="X802" i="1"/>
  <c r="Y802" i="1"/>
  <c r="R802" i="1"/>
  <c r="S802" i="1"/>
  <c r="X801" i="1"/>
  <c r="Y801" i="1"/>
  <c r="X800" i="1"/>
  <c r="Y800" i="1" s="1"/>
  <c r="X799" i="1"/>
  <c r="Y799" i="1" s="1"/>
  <c r="R799" i="1"/>
  <c r="S799" i="1"/>
  <c r="X798" i="1"/>
  <c r="Y798" i="1"/>
  <c r="R798" i="1"/>
  <c r="S798" i="1"/>
  <c r="X797" i="1"/>
  <c r="Y797" i="1"/>
  <c r="R797" i="1"/>
  <c r="S797" i="1" s="1"/>
  <c r="X796" i="1"/>
  <c r="Y796" i="1" s="1"/>
  <c r="R796" i="1"/>
  <c r="S796" i="1" s="1"/>
  <c r="X795" i="1"/>
  <c r="Y795" i="1"/>
  <c r="R795" i="1"/>
  <c r="S795" i="1" s="1"/>
  <c r="X794" i="1"/>
  <c r="Y794" i="1" s="1"/>
  <c r="R794" i="1"/>
  <c r="S794" i="1" s="1"/>
  <c r="X793" i="1"/>
  <c r="Y793" i="1"/>
  <c r="X792" i="1"/>
  <c r="Y792" i="1"/>
  <c r="R792" i="1"/>
  <c r="S792" i="1"/>
  <c r="X791" i="1"/>
  <c r="Y791" i="1" s="1"/>
  <c r="R791" i="1"/>
  <c r="S791" i="1" s="1"/>
  <c r="X790" i="1"/>
  <c r="Y790" i="1" s="1"/>
  <c r="R790" i="1"/>
  <c r="S790" i="1" s="1"/>
  <c r="R789" i="1"/>
  <c r="S789" i="1" s="1"/>
  <c r="R788" i="1"/>
  <c r="S788" i="1"/>
  <c r="X787" i="1"/>
  <c r="Y787" i="1" s="1"/>
  <c r="R787" i="1"/>
  <c r="S787" i="1" s="1"/>
  <c r="X786" i="1"/>
  <c r="Y786" i="1"/>
  <c r="R786" i="1"/>
  <c r="S786" i="1"/>
  <c r="X785" i="1"/>
  <c r="Y785" i="1"/>
  <c r="R785" i="1"/>
  <c r="S785" i="1" s="1"/>
  <c r="X784" i="1"/>
  <c r="Y784" i="1" s="1"/>
  <c r="R784" i="1"/>
  <c r="S784" i="1" s="1"/>
  <c r="X783" i="1"/>
  <c r="Y783" i="1"/>
  <c r="R783" i="1"/>
  <c r="S783" i="1"/>
  <c r="X782" i="1"/>
  <c r="Y782" i="1" s="1"/>
  <c r="R782" i="1"/>
  <c r="S782" i="1" s="1"/>
  <c r="X781" i="1"/>
  <c r="Y781" i="1"/>
  <c r="R781" i="1"/>
  <c r="S781" i="1" s="1"/>
  <c r="X780" i="1"/>
  <c r="Y780" i="1"/>
  <c r="R780" i="1"/>
  <c r="S780" i="1" s="1"/>
  <c r="X779" i="1"/>
  <c r="Y779" i="1" s="1"/>
  <c r="X778" i="1"/>
  <c r="Y778" i="1" s="1"/>
  <c r="R778" i="1"/>
  <c r="S778" i="1" s="1"/>
  <c r="X777" i="1"/>
  <c r="Y777" i="1" s="1"/>
  <c r="R777" i="1"/>
  <c r="S777" i="1" s="1"/>
  <c r="X776" i="1"/>
  <c r="Y776" i="1" s="1"/>
  <c r="R776" i="1"/>
  <c r="S776" i="1"/>
  <c r="X775" i="1"/>
  <c r="Y775" i="1"/>
  <c r="R775" i="1"/>
  <c r="S775" i="1" s="1"/>
  <c r="X774" i="1"/>
  <c r="Y774" i="1"/>
  <c r="R774" i="1"/>
  <c r="S774" i="1"/>
  <c r="X773" i="1"/>
  <c r="Y773" i="1" s="1"/>
  <c r="R773" i="1"/>
  <c r="S773" i="1" s="1"/>
  <c r="X772" i="1"/>
  <c r="Y772" i="1"/>
  <c r="R772" i="1"/>
  <c r="S772" i="1" s="1"/>
  <c r="X771" i="1"/>
  <c r="Y771" i="1" s="1"/>
  <c r="R771" i="1"/>
  <c r="S771" i="1" s="1"/>
  <c r="X770" i="1"/>
  <c r="Y770" i="1" s="1"/>
  <c r="R770" i="1"/>
  <c r="S770" i="1" s="1"/>
  <c r="X769" i="1"/>
  <c r="Y769" i="1"/>
  <c r="R769" i="1"/>
  <c r="S769" i="1" s="1"/>
  <c r="R768" i="1"/>
  <c r="S768" i="1"/>
  <c r="X767" i="1"/>
  <c r="Y767" i="1"/>
  <c r="R767" i="1"/>
  <c r="S767" i="1"/>
  <c r="R766" i="1"/>
  <c r="S766" i="1"/>
  <c r="X765" i="1"/>
  <c r="Y765" i="1" s="1"/>
  <c r="R765" i="1"/>
  <c r="S765" i="1"/>
  <c r="X764" i="1"/>
  <c r="Y764" i="1"/>
  <c r="R764" i="1"/>
  <c r="S764" i="1"/>
  <c r="X763" i="1"/>
  <c r="Y763" i="1" s="1"/>
  <c r="R763" i="1"/>
  <c r="S763" i="1" s="1"/>
  <c r="X762" i="1"/>
  <c r="Y762" i="1" s="1"/>
  <c r="R762" i="1"/>
  <c r="S762" i="1" s="1"/>
  <c r="X761" i="1"/>
  <c r="Y761" i="1" s="1"/>
  <c r="R761" i="1"/>
  <c r="S761" i="1"/>
  <c r="X760" i="1"/>
  <c r="Y760" i="1" s="1"/>
  <c r="R760" i="1"/>
  <c r="S760" i="1"/>
  <c r="X759" i="1"/>
  <c r="Y759" i="1"/>
  <c r="R759" i="1"/>
  <c r="S759" i="1" s="1"/>
  <c r="X758" i="1"/>
  <c r="Y758" i="1"/>
  <c r="R758" i="1"/>
  <c r="S758" i="1"/>
  <c r="X757" i="1"/>
  <c r="Y757" i="1" s="1"/>
  <c r="R757" i="1"/>
  <c r="S757" i="1" s="1"/>
  <c r="X756" i="1"/>
  <c r="Y756" i="1" s="1"/>
  <c r="R756" i="1"/>
  <c r="S756" i="1" s="1"/>
  <c r="X755" i="1"/>
  <c r="Y755" i="1" s="1"/>
  <c r="R755" i="1"/>
  <c r="S755" i="1"/>
  <c r="R754" i="1"/>
  <c r="S754" i="1"/>
  <c r="X753" i="1"/>
  <c r="Y753" i="1"/>
  <c r="R753" i="1"/>
  <c r="S753" i="1" s="1"/>
  <c r="X752" i="1"/>
  <c r="Y752" i="1"/>
  <c r="R752" i="1"/>
  <c r="S752" i="1" s="1"/>
  <c r="X751" i="1"/>
  <c r="Y751" i="1"/>
  <c r="R751" i="1"/>
  <c r="S751" i="1" s="1"/>
  <c r="X750" i="1"/>
  <c r="Y750" i="1" s="1"/>
  <c r="R750" i="1"/>
  <c r="S750" i="1" s="1"/>
  <c r="X749" i="1"/>
  <c r="Y749" i="1"/>
  <c r="R749" i="1"/>
  <c r="S749" i="1" s="1"/>
  <c r="X748" i="1"/>
  <c r="Y748" i="1" s="1"/>
  <c r="R748" i="1"/>
  <c r="S748" i="1" s="1"/>
  <c r="X747" i="1"/>
  <c r="Y747" i="1" s="1"/>
  <c r="R747" i="1"/>
  <c r="S747" i="1" s="1"/>
  <c r="X746" i="1"/>
  <c r="Y746" i="1"/>
  <c r="R746" i="1"/>
  <c r="S746" i="1" s="1"/>
  <c r="X745" i="1"/>
  <c r="Y745" i="1"/>
  <c r="R745" i="1"/>
  <c r="S745" i="1" s="1"/>
  <c r="X744" i="1"/>
  <c r="Y744" i="1"/>
  <c r="R744" i="1"/>
  <c r="S744" i="1" s="1"/>
  <c r="X743" i="1"/>
  <c r="Y743" i="1"/>
  <c r="R743" i="1"/>
  <c r="S743" i="1"/>
  <c r="X742" i="1"/>
  <c r="Y742" i="1" s="1"/>
  <c r="R742" i="1"/>
  <c r="S742" i="1" s="1"/>
  <c r="X741" i="1"/>
  <c r="Y741" i="1" s="1"/>
  <c r="R741" i="1"/>
  <c r="S741" i="1" s="1"/>
  <c r="X740" i="1"/>
  <c r="Y740" i="1"/>
  <c r="R740" i="1"/>
  <c r="S740" i="1"/>
  <c r="X739" i="1"/>
  <c r="Y739" i="1" s="1"/>
  <c r="R739" i="1"/>
  <c r="S739" i="1" s="1"/>
  <c r="X738" i="1"/>
  <c r="Y738" i="1" s="1"/>
  <c r="R738" i="1"/>
  <c r="S738" i="1" s="1"/>
  <c r="X737" i="1"/>
  <c r="Y737" i="1" s="1"/>
  <c r="R737" i="1"/>
  <c r="S737" i="1" s="1"/>
  <c r="X736" i="1"/>
  <c r="Y736" i="1"/>
  <c r="R736" i="1"/>
  <c r="S736" i="1"/>
  <c r="X735" i="1"/>
  <c r="Y735" i="1" s="1"/>
  <c r="R735" i="1"/>
  <c r="S735" i="1" s="1"/>
  <c r="X734" i="1"/>
  <c r="Y734" i="1" s="1"/>
  <c r="X733" i="1"/>
  <c r="Y733" i="1" s="1"/>
  <c r="R733" i="1"/>
  <c r="S733" i="1" s="1"/>
  <c r="X732" i="1"/>
  <c r="Y732" i="1" s="1"/>
  <c r="R732" i="1"/>
  <c r="S732" i="1" s="1"/>
  <c r="X731" i="1"/>
  <c r="Y731" i="1" s="1"/>
  <c r="R731" i="1"/>
  <c r="S731" i="1" s="1"/>
  <c r="X730" i="1"/>
  <c r="Y730" i="1" s="1"/>
  <c r="R730" i="1"/>
  <c r="S730" i="1" s="1"/>
  <c r="X729" i="1"/>
  <c r="Y729" i="1" s="1"/>
  <c r="R729" i="1"/>
  <c r="S729" i="1" s="1"/>
  <c r="X728" i="1"/>
  <c r="Y728" i="1" s="1"/>
  <c r="R728" i="1"/>
  <c r="S728" i="1" s="1"/>
  <c r="X727" i="1"/>
  <c r="Y727" i="1" s="1"/>
  <c r="R727" i="1"/>
  <c r="S727" i="1"/>
  <c r="X726" i="1"/>
  <c r="Y726" i="1" s="1"/>
  <c r="R726" i="1"/>
  <c r="S726" i="1" s="1"/>
  <c r="X725" i="1"/>
  <c r="Y725" i="1" s="1"/>
  <c r="R725" i="1"/>
  <c r="S725" i="1" s="1"/>
  <c r="X724" i="1"/>
  <c r="Y724" i="1" s="1"/>
  <c r="R724" i="1"/>
  <c r="S724" i="1" s="1"/>
  <c r="X723" i="1"/>
  <c r="Y723" i="1" s="1"/>
  <c r="R723" i="1"/>
  <c r="S723" i="1" s="1"/>
  <c r="X722" i="1"/>
  <c r="Y722" i="1" s="1"/>
  <c r="R722" i="1"/>
  <c r="S722" i="1" s="1"/>
  <c r="X721" i="1"/>
  <c r="Y721" i="1"/>
  <c r="R721" i="1"/>
  <c r="S721" i="1" s="1"/>
  <c r="X720" i="1"/>
  <c r="Y720" i="1" s="1"/>
  <c r="R720" i="1"/>
  <c r="S720" i="1" s="1"/>
  <c r="X719" i="1"/>
  <c r="Y719" i="1"/>
  <c r="R719" i="1"/>
  <c r="S719" i="1" s="1"/>
  <c r="X718" i="1"/>
  <c r="Y718" i="1" s="1"/>
  <c r="R718" i="1"/>
  <c r="S718" i="1" s="1"/>
  <c r="X717" i="1"/>
  <c r="Y717" i="1"/>
  <c r="R717" i="1"/>
  <c r="S717" i="1" s="1"/>
  <c r="X716" i="1"/>
  <c r="Y716" i="1" s="1"/>
  <c r="X715" i="1"/>
  <c r="Y715" i="1" s="1"/>
  <c r="R715" i="1"/>
  <c r="S715" i="1" s="1"/>
  <c r="X714" i="1"/>
  <c r="Y714" i="1"/>
  <c r="R714" i="1"/>
  <c r="S714" i="1" s="1"/>
  <c r="R713" i="1"/>
  <c r="S713" i="1" s="1"/>
  <c r="X712" i="1"/>
  <c r="Y712" i="1" s="1"/>
  <c r="R712" i="1"/>
  <c r="S712" i="1" s="1"/>
  <c r="X711" i="1"/>
  <c r="Y711" i="1" s="1"/>
  <c r="R711" i="1"/>
  <c r="S711" i="1" s="1"/>
  <c r="X710" i="1"/>
  <c r="Y710" i="1" s="1"/>
  <c r="R710" i="1"/>
  <c r="S710" i="1" s="1"/>
  <c r="X709" i="1"/>
  <c r="Y709" i="1" s="1"/>
  <c r="R709" i="1"/>
  <c r="S709" i="1" s="1"/>
  <c r="X708" i="1"/>
  <c r="Y708" i="1" s="1"/>
  <c r="R708" i="1"/>
  <c r="S708" i="1" s="1"/>
  <c r="X707" i="1"/>
  <c r="Y707" i="1" s="1"/>
  <c r="R707" i="1"/>
  <c r="S707" i="1" s="1"/>
  <c r="X706" i="1"/>
  <c r="Y706" i="1"/>
  <c r="R706" i="1"/>
  <c r="S706" i="1" s="1"/>
  <c r="X705" i="1"/>
  <c r="Y705" i="1" s="1"/>
  <c r="R705" i="1"/>
  <c r="S705" i="1" s="1"/>
  <c r="X704" i="1"/>
  <c r="Y704" i="1" s="1"/>
  <c r="R704" i="1"/>
  <c r="S704" i="1" s="1"/>
  <c r="X703" i="1"/>
  <c r="Y703" i="1" s="1"/>
  <c r="R703" i="1"/>
  <c r="S703" i="1"/>
  <c r="X702" i="1"/>
  <c r="Y702" i="1" s="1"/>
  <c r="R702" i="1"/>
  <c r="S702" i="1" s="1"/>
  <c r="X701" i="1"/>
  <c r="Y701" i="1" s="1"/>
  <c r="R701" i="1"/>
  <c r="S701" i="1" s="1"/>
  <c r="X700" i="1"/>
  <c r="Y700" i="1" s="1"/>
  <c r="R700" i="1"/>
  <c r="S700" i="1" s="1"/>
  <c r="X699" i="1"/>
  <c r="Y699" i="1" s="1"/>
  <c r="R699" i="1"/>
  <c r="S699" i="1" s="1"/>
  <c r="X698" i="1"/>
  <c r="Y698" i="1" s="1"/>
  <c r="R698" i="1"/>
  <c r="S698" i="1" s="1"/>
  <c r="X697" i="1"/>
  <c r="Y697" i="1" s="1"/>
  <c r="R697" i="1"/>
  <c r="S697" i="1" s="1"/>
  <c r="X696" i="1"/>
  <c r="Y696" i="1" s="1"/>
  <c r="R696" i="1"/>
  <c r="S696" i="1" s="1"/>
  <c r="X695" i="1"/>
  <c r="Y695" i="1" s="1"/>
  <c r="R695" i="1"/>
  <c r="S695" i="1" s="1"/>
  <c r="X694" i="1"/>
  <c r="Y694" i="1" s="1"/>
  <c r="R694" i="1"/>
  <c r="S694" i="1" s="1"/>
  <c r="X693" i="1"/>
  <c r="Y693" i="1" s="1"/>
  <c r="R693" i="1"/>
  <c r="S693" i="1" s="1"/>
  <c r="X692" i="1"/>
  <c r="Y692" i="1"/>
  <c r="R692" i="1"/>
  <c r="S692" i="1" s="1"/>
  <c r="X691" i="1"/>
  <c r="Y691" i="1" s="1"/>
  <c r="R691" i="1"/>
  <c r="S691" i="1" s="1"/>
  <c r="X690" i="1"/>
  <c r="Y690" i="1" s="1"/>
  <c r="R690" i="1"/>
  <c r="S690" i="1" s="1"/>
  <c r="X689" i="1"/>
  <c r="Y689" i="1" s="1"/>
  <c r="R689" i="1"/>
  <c r="S689" i="1" s="1"/>
  <c r="X688" i="1"/>
  <c r="Y688" i="1" s="1"/>
  <c r="R688" i="1"/>
  <c r="S688" i="1" s="1"/>
  <c r="X687" i="1"/>
  <c r="Y687" i="1" s="1"/>
  <c r="R687" i="1"/>
  <c r="S687" i="1" s="1"/>
  <c r="X686" i="1"/>
  <c r="Y686" i="1" s="1"/>
  <c r="R686" i="1"/>
  <c r="S686" i="1" s="1"/>
  <c r="X685" i="1"/>
  <c r="Y685" i="1" s="1"/>
  <c r="R685" i="1"/>
  <c r="S685" i="1" s="1"/>
  <c r="X684" i="1"/>
  <c r="Y684" i="1" s="1"/>
  <c r="R684" i="1"/>
  <c r="S684" i="1" s="1"/>
  <c r="X683" i="1"/>
  <c r="Y683" i="1" s="1"/>
  <c r="R683" i="1"/>
  <c r="S683" i="1" s="1"/>
  <c r="X682" i="1"/>
  <c r="Y682" i="1" s="1"/>
  <c r="R682" i="1"/>
  <c r="S682" i="1" s="1"/>
  <c r="X681" i="1"/>
  <c r="Y681" i="1" s="1"/>
  <c r="R681" i="1"/>
  <c r="S681" i="1"/>
  <c r="X680" i="1"/>
  <c r="Y680" i="1" s="1"/>
  <c r="R680" i="1"/>
  <c r="S680" i="1" s="1"/>
  <c r="X679" i="1"/>
  <c r="Y679" i="1" s="1"/>
  <c r="R679" i="1"/>
  <c r="S679" i="1" s="1"/>
  <c r="R678" i="1"/>
  <c r="S678" i="1" s="1"/>
  <c r="X677" i="1"/>
  <c r="Y677" i="1" s="1"/>
  <c r="X676" i="1"/>
  <c r="Y676" i="1" s="1"/>
  <c r="R676" i="1"/>
  <c r="S676" i="1" s="1"/>
  <c r="X675" i="1"/>
  <c r="Y675" i="1" s="1"/>
  <c r="R675" i="1"/>
  <c r="S675" i="1"/>
  <c r="X674" i="1"/>
  <c r="Y674" i="1" s="1"/>
  <c r="R674" i="1"/>
  <c r="S674" i="1" s="1"/>
  <c r="X673" i="1"/>
  <c r="Y673" i="1" s="1"/>
  <c r="R673" i="1"/>
  <c r="S673" i="1" s="1"/>
  <c r="X671" i="1"/>
  <c r="Y671" i="1" s="1"/>
  <c r="R671" i="1"/>
  <c r="S671" i="1" s="1"/>
  <c r="R670" i="1"/>
  <c r="S670" i="1" s="1"/>
  <c r="X669" i="1"/>
  <c r="Y669" i="1" s="1"/>
  <c r="R669" i="1"/>
  <c r="S669" i="1" s="1"/>
  <c r="X668" i="1"/>
  <c r="Y668" i="1"/>
  <c r="R668" i="1"/>
  <c r="S668" i="1" s="1"/>
  <c r="X667" i="1"/>
  <c r="Y667" i="1" s="1"/>
  <c r="R667" i="1"/>
  <c r="S667" i="1" s="1"/>
  <c r="X666" i="1"/>
  <c r="Y666" i="1" s="1"/>
  <c r="R666" i="1"/>
  <c r="S666" i="1" s="1"/>
  <c r="X665" i="1"/>
  <c r="Y665" i="1" s="1"/>
  <c r="R665" i="1"/>
  <c r="S665" i="1"/>
  <c r="X664" i="1"/>
  <c r="Y664" i="1" s="1"/>
  <c r="R664" i="1"/>
  <c r="S664" i="1" s="1"/>
  <c r="X663" i="1"/>
  <c r="Y663" i="1" s="1"/>
  <c r="R663" i="1"/>
  <c r="S663" i="1"/>
  <c r="X662" i="1"/>
  <c r="Y662" i="1" s="1"/>
  <c r="R662" i="1"/>
  <c r="S662" i="1" s="1"/>
  <c r="X661" i="1"/>
  <c r="Y661" i="1" s="1"/>
  <c r="R661" i="1"/>
  <c r="S661" i="1"/>
  <c r="X660" i="1"/>
  <c r="Y660" i="1" s="1"/>
  <c r="R660" i="1"/>
  <c r="S660" i="1"/>
  <c r="X659" i="1"/>
  <c r="Y659" i="1" s="1"/>
  <c r="R659" i="1"/>
  <c r="S659" i="1" s="1"/>
  <c r="X658" i="1"/>
  <c r="Y658" i="1" s="1"/>
  <c r="R658" i="1"/>
  <c r="S658" i="1" s="1"/>
  <c r="X657" i="1"/>
  <c r="Y657" i="1" s="1"/>
  <c r="R657" i="1"/>
  <c r="S657" i="1"/>
  <c r="X656" i="1"/>
  <c r="Y656" i="1" s="1"/>
  <c r="R656" i="1"/>
  <c r="S656" i="1" s="1"/>
  <c r="X655" i="1"/>
  <c r="Y655" i="1" s="1"/>
  <c r="R655" i="1"/>
  <c r="S655" i="1"/>
  <c r="X654" i="1"/>
  <c r="Y654" i="1" s="1"/>
  <c r="R654" i="1"/>
  <c r="S654" i="1"/>
  <c r="X653" i="1"/>
  <c r="Y653" i="1"/>
  <c r="R653" i="1"/>
  <c r="S653" i="1" s="1"/>
  <c r="X652" i="1"/>
  <c r="Y652" i="1"/>
  <c r="R652" i="1"/>
  <c r="S652" i="1"/>
  <c r="X651" i="1"/>
  <c r="Y651" i="1" s="1"/>
  <c r="R651" i="1"/>
  <c r="S651" i="1"/>
  <c r="X650" i="1"/>
  <c r="Y650" i="1"/>
  <c r="R650" i="1"/>
  <c r="S650" i="1" s="1"/>
  <c r="X649" i="1"/>
  <c r="Y649" i="1" s="1"/>
  <c r="R649" i="1"/>
  <c r="S649" i="1" s="1"/>
  <c r="X648" i="1"/>
  <c r="Y648" i="1" s="1"/>
  <c r="R648" i="1"/>
  <c r="S648" i="1" s="1"/>
  <c r="X647" i="1"/>
  <c r="Y647" i="1" s="1"/>
  <c r="X646" i="1"/>
  <c r="Y646" i="1"/>
  <c r="R646" i="1"/>
  <c r="S646" i="1" s="1"/>
  <c r="X645" i="1"/>
  <c r="Y645" i="1" s="1"/>
  <c r="X644" i="1"/>
  <c r="Y644" i="1" s="1"/>
  <c r="R644" i="1"/>
  <c r="S644" i="1" s="1"/>
  <c r="X643" i="1"/>
  <c r="Y643" i="1" s="1"/>
  <c r="R643" i="1"/>
  <c r="S643" i="1" s="1"/>
  <c r="R642" i="1"/>
  <c r="S642" i="1" s="1"/>
  <c r="X641" i="1"/>
  <c r="Y641" i="1" s="1"/>
  <c r="R641" i="1"/>
  <c r="S641" i="1"/>
  <c r="X640" i="1"/>
  <c r="Y640" i="1" s="1"/>
  <c r="R640" i="1"/>
  <c r="S640" i="1" s="1"/>
  <c r="X639" i="1"/>
  <c r="Y639" i="1" s="1"/>
  <c r="R639" i="1"/>
  <c r="S639" i="1" s="1"/>
  <c r="X638" i="1"/>
  <c r="Y638" i="1" s="1"/>
  <c r="R638" i="1"/>
  <c r="S638" i="1" s="1"/>
  <c r="X637" i="1"/>
  <c r="Y637" i="1"/>
  <c r="R637" i="1"/>
  <c r="S637" i="1"/>
  <c r="X636" i="1"/>
  <c r="Y636" i="1" s="1"/>
  <c r="X635" i="1"/>
  <c r="Y635" i="1" s="1"/>
  <c r="X634" i="1"/>
  <c r="Y634" i="1" s="1"/>
  <c r="R634" i="1"/>
  <c r="S634" i="1" s="1"/>
  <c r="X633" i="1"/>
  <c r="Y633" i="1"/>
  <c r="R633" i="1"/>
  <c r="S633" i="1" s="1"/>
  <c r="R632" i="1"/>
  <c r="S632" i="1" s="1"/>
  <c r="X631" i="1"/>
  <c r="Y631" i="1"/>
  <c r="R631" i="1"/>
  <c r="S631" i="1" s="1"/>
  <c r="X630" i="1"/>
  <c r="Y630" i="1"/>
  <c r="X629" i="1"/>
  <c r="Y629" i="1"/>
  <c r="R629" i="1"/>
  <c r="S629" i="1" s="1"/>
  <c r="X628" i="1"/>
  <c r="Y628" i="1" s="1"/>
  <c r="R628" i="1"/>
  <c r="S628" i="1" s="1"/>
  <c r="X627" i="1"/>
  <c r="Y627" i="1"/>
  <c r="R627" i="1"/>
  <c r="S627" i="1" s="1"/>
  <c r="X626" i="1"/>
  <c r="Y626" i="1" s="1"/>
  <c r="R626" i="1"/>
  <c r="S626" i="1" s="1"/>
  <c r="X625" i="1"/>
  <c r="Y625" i="1"/>
  <c r="R625" i="1"/>
  <c r="S625" i="1"/>
  <c r="X624" i="1"/>
  <c r="Y624" i="1" s="1"/>
  <c r="R624" i="1"/>
  <c r="S624" i="1" s="1"/>
  <c r="X623" i="1"/>
  <c r="Y623" i="1" s="1"/>
  <c r="R623" i="1"/>
  <c r="S623" i="1" s="1"/>
  <c r="X622" i="1"/>
  <c r="Y622" i="1" s="1"/>
  <c r="R622" i="1"/>
  <c r="S622" i="1" s="1"/>
  <c r="X621" i="1"/>
  <c r="Y621" i="1"/>
  <c r="R621" i="1"/>
  <c r="S621" i="1"/>
  <c r="X620" i="1"/>
  <c r="Y620" i="1" s="1"/>
  <c r="R620" i="1"/>
  <c r="S620" i="1"/>
  <c r="X619" i="1"/>
  <c r="Y619" i="1"/>
  <c r="R619" i="1"/>
  <c r="S619" i="1"/>
  <c r="X618" i="1"/>
  <c r="Y618" i="1" s="1"/>
  <c r="R618" i="1"/>
  <c r="S618" i="1" s="1"/>
  <c r="X617" i="1"/>
  <c r="Y617" i="1" s="1"/>
  <c r="R617" i="1"/>
  <c r="S617" i="1" s="1"/>
  <c r="X616" i="1"/>
  <c r="Y616" i="1"/>
  <c r="R616" i="1"/>
  <c r="S616" i="1" s="1"/>
  <c r="R615" i="1"/>
  <c r="S615" i="1"/>
  <c r="X614" i="1"/>
  <c r="Y614" i="1"/>
  <c r="R614" i="1"/>
  <c r="S614" i="1" s="1"/>
  <c r="X613" i="1"/>
  <c r="Y613" i="1" s="1"/>
  <c r="X612" i="1"/>
  <c r="Y612" i="1"/>
  <c r="R612" i="1"/>
  <c r="S612" i="1" s="1"/>
  <c r="X611" i="1"/>
  <c r="Y611" i="1"/>
  <c r="R611" i="1"/>
  <c r="S611" i="1" s="1"/>
  <c r="X609" i="1"/>
  <c r="Y609" i="1"/>
  <c r="R609" i="1"/>
  <c r="S609" i="1" s="1"/>
  <c r="X608" i="1"/>
  <c r="Y608" i="1" s="1"/>
  <c r="R608" i="1"/>
  <c r="S608" i="1" s="1"/>
  <c r="X607" i="1"/>
  <c r="Y607" i="1"/>
  <c r="R607" i="1"/>
  <c r="S607" i="1" s="1"/>
  <c r="R606" i="1"/>
  <c r="S606" i="1"/>
  <c r="X605" i="1"/>
  <c r="Y605" i="1" s="1"/>
  <c r="R605" i="1"/>
  <c r="S605" i="1"/>
  <c r="R604" i="1"/>
  <c r="S604" i="1" s="1"/>
  <c r="X603" i="1"/>
  <c r="Y603" i="1" s="1"/>
  <c r="R603" i="1"/>
  <c r="S603" i="1" s="1"/>
  <c r="X602" i="1"/>
  <c r="Y602" i="1" s="1"/>
  <c r="X601" i="1"/>
  <c r="Y601" i="1" s="1"/>
  <c r="R601" i="1"/>
  <c r="S601" i="1" s="1"/>
  <c r="X600" i="1"/>
  <c r="Y600" i="1" s="1"/>
  <c r="R600" i="1"/>
  <c r="S600" i="1" s="1"/>
  <c r="X599" i="1"/>
  <c r="Y599" i="1"/>
  <c r="R599" i="1"/>
  <c r="S599" i="1"/>
  <c r="X598" i="1"/>
  <c r="Y598" i="1" s="1"/>
  <c r="R598" i="1"/>
  <c r="S598" i="1"/>
  <c r="X597" i="1"/>
  <c r="Y597" i="1" s="1"/>
  <c r="R597" i="1"/>
  <c r="S597" i="1" s="1"/>
  <c r="X596" i="1"/>
  <c r="Y596" i="1" s="1"/>
  <c r="R596" i="1"/>
  <c r="S596" i="1" s="1"/>
  <c r="X595" i="1"/>
  <c r="Y595" i="1" s="1"/>
  <c r="R595" i="1"/>
  <c r="S595" i="1" s="1"/>
  <c r="X594" i="1"/>
  <c r="Y594" i="1" s="1"/>
  <c r="R594" i="1"/>
  <c r="S594" i="1" s="1"/>
  <c r="X593" i="1"/>
  <c r="Y593" i="1" s="1"/>
  <c r="R593" i="1"/>
  <c r="S593" i="1"/>
  <c r="X592" i="1"/>
  <c r="Y592" i="1"/>
  <c r="R592" i="1"/>
  <c r="S592" i="1"/>
  <c r="X591" i="1"/>
  <c r="Y591" i="1" s="1"/>
  <c r="X590" i="1"/>
  <c r="Y590" i="1" s="1"/>
  <c r="R590" i="1"/>
  <c r="S590" i="1" s="1"/>
  <c r="X589" i="1"/>
  <c r="Y589" i="1" s="1"/>
  <c r="R589" i="1"/>
  <c r="S589" i="1" s="1"/>
  <c r="X588" i="1"/>
  <c r="Y588" i="1" s="1"/>
  <c r="R588" i="1"/>
  <c r="S588" i="1"/>
  <c r="X587" i="1"/>
  <c r="Y587" i="1" s="1"/>
  <c r="R587" i="1"/>
  <c r="S587" i="1"/>
  <c r="X586" i="1"/>
  <c r="Y586" i="1"/>
  <c r="R586" i="1"/>
  <c r="S586" i="1"/>
  <c r="X585" i="1"/>
  <c r="Y585" i="1"/>
  <c r="R585" i="1"/>
  <c r="S585" i="1"/>
  <c r="X584" i="1"/>
  <c r="Y584" i="1" s="1"/>
  <c r="R584" i="1"/>
  <c r="S584" i="1"/>
  <c r="X583" i="1"/>
  <c r="Y583" i="1" s="1"/>
  <c r="R583" i="1"/>
  <c r="S583" i="1" s="1"/>
  <c r="X582" i="1"/>
  <c r="Y582" i="1" s="1"/>
  <c r="R582" i="1"/>
  <c r="S582" i="1"/>
  <c r="X581" i="1"/>
  <c r="Y581" i="1" s="1"/>
  <c r="R581" i="1"/>
  <c r="S581" i="1"/>
  <c r="X580" i="1"/>
  <c r="Y580" i="1"/>
  <c r="R580" i="1"/>
  <c r="S580" i="1"/>
  <c r="X579" i="1"/>
  <c r="Y579" i="1"/>
  <c r="R579" i="1"/>
  <c r="S579" i="1" s="1"/>
  <c r="X578" i="1"/>
  <c r="Y578" i="1"/>
  <c r="X577" i="1"/>
  <c r="Y577" i="1"/>
  <c r="R577" i="1"/>
  <c r="S577" i="1" s="1"/>
  <c r="X576" i="1"/>
  <c r="Y576" i="1"/>
  <c r="R576" i="1"/>
  <c r="S576" i="1" s="1"/>
  <c r="X575" i="1"/>
  <c r="Y575" i="1"/>
  <c r="R575" i="1"/>
  <c r="S575" i="1"/>
  <c r="X574" i="1"/>
  <c r="Y574" i="1" s="1"/>
  <c r="R574" i="1"/>
  <c r="S574" i="1" s="1"/>
  <c r="X573" i="1"/>
  <c r="Y573" i="1"/>
  <c r="R573" i="1"/>
  <c r="S573" i="1"/>
  <c r="X572" i="1"/>
  <c r="Y572" i="1" s="1"/>
  <c r="X571" i="1"/>
  <c r="Y571" i="1"/>
  <c r="R571" i="1"/>
  <c r="S571" i="1" s="1"/>
  <c r="X570" i="1"/>
  <c r="Y570" i="1" s="1"/>
  <c r="R570" i="1"/>
  <c r="S570" i="1"/>
  <c r="X569" i="1"/>
  <c r="Y569" i="1" s="1"/>
  <c r="R569" i="1"/>
  <c r="S569" i="1" s="1"/>
  <c r="X568" i="1"/>
  <c r="Y568" i="1"/>
  <c r="R568" i="1"/>
  <c r="S568" i="1"/>
  <c r="X567" i="1"/>
  <c r="Y567" i="1"/>
  <c r="R567" i="1"/>
  <c r="S567" i="1" s="1"/>
  <c r="X566" i="1"/>
  <c r="Y566" i="1"/>
  <c r="R566" i="1"/>
  <c r="S566" i="1" s="1"/>
  <c r="X565" i="1"/>
  <c r="Y565" i="1"/>
  <c r="R565" i="1"/>
  <c r="S565" i="1"/>
  <c r="X564" i="1"/>
  <c r="Y564" i="1" s="1"/>
  <c r="R564" i="1"/>
  <c r="S564" i="1" s="1"/>
  <c r="X563" i="1"/>
  <c r="Y563" i="1" s="1"/>
  <c r="R563" i="1"/>
  <c r="S563" i="1" s="1"/>
  <c r="X562" i="1"/>
  <c r="Y562" i="1" s="1"/>
  <c r="R562" i="1"/>
  <c r="S562" i="1"/>
  <c r="X561" i="1"/>
  <c r="Y561" i="1" s="1"/>
  <c r="X560" i="1"/>
  <c r="Y560" i="1" s="1"/>
  <c r="R560" i="1"/>
  <c r="S560" i="1"/>
  <c r="X559" i="1"/>
  <c r="Y559" i="1" s="1"/>
  <c r="R559" i="1"/>
  <c r="S559" i="1" s="1"/>
  <c r="R558" i="1"/>
  <c r="S558" i="1" s="1"/>
  <c r="X557" i="1"/>
  <c r="Y557" i="1"/>
  <c r="R557" i="1"/>
  <c r="S557" i="1" s="1"/>
  <c r="X556" i="1"/>
  <c r="Y556" i="1" s="1"/>
  <c r="R556" i="1"/>
  <c r="S556" i="1" s="1"/>
  <c r="X555" i="1"/>
  <c r="Y555" i="1" s="1"/>
  <c r="R555" i="1"/>
  <c r="S555" i="1"/>
  <c r="X554" i="1"/>
  <c r="Y554" i="1" s="1"/>
  <c r="R554" i="1"/>
  <c r="S554" i="1" s="1"/>
  <c r="X553" i="1"/>
  <c r="Y553" i="1" s="1"/>
  <c r="R553" i="1"/>
  <c r="S553" i="1" s="1"/>
  <c r="X552" i="1"/>
  <c r="Y552" i="1" s="1"/>
  <c r="R552" i="1"/>
  <c r="S552" i="1"/>
  <c r="X551" i="1"/>
  <c r="Y551" i="1"/>
  <c r="R551" i="1"/>
  <c r="S551" i="1" s="1"/>
  <c r="X550" i="1"/>
  <c r="Y550" i="1" s="1"/>
  <c r="R550" i="1"/>
  <c r="S550" i="1"/>
  <c r="X549" i="1"/>
  <c r="Y549" i="1"/>
  <c r="R549" i="1"/>
  <c r="S549" i="1" s="1"/>
  <c r="R548" i="1"/>
  <c r="S548" i="1" s="1"/>
  <c r="X547" i="1"/>
  <c r="Y547" i="1" s="1"/>
  <c r="X546" i="1"/>
  <c r="Y546" i="1" s="1"/>
  <c r="R546" i="1"/>
  <c r="S546" i="1" s="1"/>
  <c r="X545" i="1"/>
  <c r="Y545" i="1"/>
  <c r="R545" i="1"/>
  <c r="S545" i="1" s="1"/>
  <c r="X544" i="1"/>
  <c r="Y544" i="1" s="1"/>
  <c r="R544" i="1"/>
  <c r="S544" i="1"/>
  <c r="X543" i="1"/>
  <c r="Y543" i="1"/>
  <c r="R543" i="1"/>
  <c r="S543" i="1"/>
  <c r="X542" i="1"/>
  <c r="Y542" i="1" s="1"/>
  <c r="X541" i="1"/>
  <c r="Y541" i="1"/>
  <c r="R541" i="1"/>
  <c r="S541" i="1" s="1"/>
  <c r="X540" i="1"/>
  <c r="Y540" i="1"/>
  <c r="R540" i="1"/>
  <c r="S540" i="1" s="1"/>
  <c r="X539" i="1"/>
  <c r="Y539" i="1" s="1"/>
  <c r="R539" i="1"/>
  <c r="S539" i="1" s="1"/>
  <c r="X538" i="1"/>
  <c r="Y538" i="1" s="1"/>
  <c r="R538" i="1"/>
  <c r="S538" i="1" s="1"/>
  <c r="X537" i="1"/>
  <c r="Y537" i="1" s="1"/>
  <c r="R537" i="1"/>
  <c r="S537" i="1" s="1"/>
  <c r="X535" i="1"/>
  <c r="Y535" i="1" s="1"/>
  <c r="R535" i="1"/>
  <c r="S535" i="1"/>
  <c r="X534" i="1"/>
  <c r="Y534" i="1" s="1"/>
  <c r="R534" i="1"/>
  <c r="S534" i="1" s="1"/>
  <c r="X533" i="1"/>
  <c r="Y533" i="1" s="1"/>
  <c r="R533" i="1"/>
  <c r="S533" i="1"/>
  <c r="X532" i="1"/>
  <c r="Y532" i="1" s="1"/>
  <c r="R532" i="1"/>
  <c r="S532" i="1"/>
  <c r="X531" i="1"/>
  <c r="Y531" i="1" s="1"/>
  <c r="R531" i="1"/>
  <c r="S531" i="1" s="1"/>
  <c r="X530" i="1"/>
  <c r="Y530" i="1" s="1"/>
  <c r="R530" i="1"/>
  <c r="S530" i="1" s="1"/>
  <c r="X529" i="1"/>
  <c r="Y529" i="1"/>
  <c r="R529" i="1"/>
  <c r="S529" i="1"/>
  <c r="X528" i="1"/>
  <c r="Y528" i="1" s="1"/>
  <c r="R528" i="1"/>
  <c r="S528" i="1" s="1"/>
  <c r="X527" i="1"/>
  <c r="Y527" i="1" s="1"/>
  <c r="R527" i="1"/>
  <c r="S527" i="1"/>
  <c r="R526" i="1"/>
  <c r="S526" i="1" s="1"/>
  <c r="X525" i="1"/>
  <c r="Y525" i="1" s="1"/>
  <c r="R525" i="1"/>
  <c r="S525" i="1"/>
  <c r="X524" i="1"/>
  <c r="Y524" i="1"/>
  <c r="R524" i="1"/>
  <c r="S524" i="1" s="1"/>
  <c r="R523" i="1"/>
  <c r="S523" i="1"/>
  <c r="X522" i="1"/>
  <c r="Y522" i="1" s="1"/>
  <c r="R522" i="1"/>
  <c r="S522" i="1" s="1"/>
  <c r="X521" i="1"/>
  <c r="Y521" i="1" s="1"/>
  <c r="R521" i="1"/>
  <c r="S521" i="1"/>
  <c r="X520" i="1"/>
  <c r="Y520" i="1" s="1"/>
  <c r="R520" i="1"/>
  <c r="S520" i="1"/>
  <c r="X519" i="1"/>
  <c r="Y519" i="1" s="1"/>
  <c r="R519" i="1"/>
  <c r="S519" i="1"/>
  <c r="X518" i="1"/>
  <c r="Y518" i="1"/>
  <c r="R518" i="1"/>
  <c r="S518" i="1" s="1"/>
  <c r="X517" i="1"/>
  <c r="Y517" i="1" s="1"/>
  <c r="R517" i="1"/>
  <c r="S517" i="1"/>
  <c r="X516" i="1"/>
  <c r="Y516" i="1" s="1"/>
  <c r="R516" i="1"/>
  <c r="S516" i="1" s="1"/>
  <c r="X515" i="1"/>
  <c r="Y515" i="1" s="1"/>
  <c r="R515" i="1"/>
  <c r="S515" i="1" s="1"/>
  <c r="X514" i="1"/>
  <c r="Y514" i="1" s="1"/>
  <c r="R514" i="1"/>
  <c r="S514" i="1" s="1"/>
  <c r="X512" i="1"/>
  <c r="Y512" i="1" s="1"/>
  <c r="R512" i="1"/>
  <c r="S512" i="1" s="1"/>
  <c r="R511" i="1"/>
  <c r="S511" i="1"/>
  <c r="X510" i="1"/>
  <c r="Y510" i="1" s="1"/>
  <c r="R510" i="1"/>
  <c r="S510" i="1"/>
  <c r="X509" i="1"/>
  <c r="Y509" i="1" s="1"/>
  <c r="R509" i="1"/>
  <c r="S509" i="1"/>
  <c r="X507" i="1"/>
  <c r="Y507" i="1" s="1"/>
  <c r="R507" i="1"/>
  <c r="S507" i="1" s="1"/>
  <c r="X506" i="1"/>
  <c r="Y506" i="1" s="1"/>
  <c r="R506" i="1"/>
  <c r="S506" i="1" s="1"/>
  <c r="X505" i="1"/>
  <c r="Y505" i="1" s="1"/>
  <c r="R505" i="1"/>
  <c r="S505" i="1"/>
  <c r="X504" i="1"/>
  <c r="Y504" i="1"/>
  <c r="R504" i="1"/>
  <c r="S504" i="1" s="1"/>
  <c r="X503" i="1"/>
  <c r="Y503" i="1" s="1"/>
  <c r="R503" i="1"/>
  <c r="S503" i="1" s="1"/>
  <c r="X502" i="1"/>
  <c r="Y502" i="1"/>
  <c r="R502" i="1"/>
  <c r="S502" i="1" s="1"/>
  <c r="X501" i="1"/>
  <c r="Y501" i="1" s="1"/>
  <c r="R501" i="1"/>
  <c r="S501" i="1"/>
  <c r="X500" i="1"/>
  <c r="Y500" i="1" s="1"/>
  <c r="R500" i="1"/>
  <c r="S500" i="1" s="1"/>
  <c r="X499" i="1"/>
  <c r="Y499" i="1" s="1"/>
  <c r="R499" i="1"/>
  <c r="S499" i="1"/>
  <c r="X498" i="1"/>
  <c r="Y498" i="1" s="1"/>
  <c r="R498" i="1"/>
  <c r="S498" i="1" s="1"/>
  <c r="X497" i="1"/>
  <c r="Y497" i="1"/>
  <c r="R497" i="1"/>
  <c r="S497" i="1" s="1"/>
  <c r="X496" i="1"/>
  <c r="Y496" i="1"/>
  <c r="R496" i="1"/>
  <c r="S496" i="1"/>
  <c r="X495" i="1"/>
  <c r="Y495" i="1"/>
  <c r="R495" i="1"/>
  <c r="S495" i="1"/>
  <c r="X494" i="1"/>
  <c r="Y494" i="1"/>
  <c r="X493" i="1"/>
  <c r="Y493" i="1" s="1"/>
  <c r="R493" i="1"/>
  <c r="S493" i="1"/>
  <c r="X492" i="1"/>
  <c r="Y492" i="1"/>
  <c r="R492" i="1"/>
  <c r="S492" i="1" s="1"/>
  <c r="X491" i="1"/>
  <c r="Y491" i="1" s="1"/>
  <c r="R491" i="1"/>
  <c r="S491" i="1"/>
  <c r="R489" i="1"/>
  <c r="S489" i="1"/>
  <c r="X488" i="1"/>
  <c r="Y488" i="1"/>
  <c r="R488" i="1"/>
  <c r="S488" i="1"/>
  <c r="X487" i="1"/>
  <c r="Y487" i="1"/>
  <c r="R487" i="1"/>
  <c r="S487" i="1" s="1"/>
  <c r="X486" i="1"/>
  <c r="Y486" i="1" s="1"/>
  <c r="R486" i="1"/>
  <c r="S486" i="1"/>
  <c r="R485" i="1"/>
  <c r="S485" i="1" s="1"/>
  <c r="X484" i="1"/>
  <c r="Y484" i="1" s="1"/>
  <c r="R484" i="1"/>
  <c r="S484" i="1" s="1"/>
  <c r="X483" i="1"/>
  <c r="Y483" i="1" s="1"/>
  <c r="R483" i="1"/>
  <c r="S483" i="1"/>
  <c r="X482" i="1"/>
  <c r="Y482" i="1" s="1"/>
  <c r="R482" i="1"/>
  <c r="S482" i="1" s="1"/>
  <c r="X480" i="1"/>
  <c r="Y480" i="1"/>
  <c r="R480" i="1"/>
  <c r="S480" i="1"/>
  <c r="X479" i="1"/>
  <c r="Y479" i="1" s="1"/>
  <c r="R479" i="1"/>
  <c r="S479" i="1" s="1"/>
  <c r="X478" i="1"/>
  <c r="Y478" i="1"/>
  <c r="S478" i="1"/>
  <c r="R478" i="1"/>
  <c r="X477" i="1"/>
  <c r="Y477" i="1"/>
  <c r="R477" i="1"/>
  <c r="S477" i="1"/>
  <c r="X476" i="1"/>
  <c r="Y476" i="1"/>
  <c r="X475" i="1"/>
  <c r="Y475" i="1" s="1"/>
  <c r="R475" i="1"/>
  <c r="S475" i="1"/>
  <c r="X474" i="1"/>
  <c r="Y474" i="1" s="1"/>
  <c r="R474" i="1"/>
  <c r="S474" i="1"/>
  <c r="X473" i="1"/>
  <c r="Y473" i="1" s="1"/>
  <c r="R473" i="1"/>
  <c r="S473" i="1"/>
  <c r="X472" i="1"/>
  <c r="Y472" i="1" s="1"/>
  <c r="R472" i="1"/>
  <c r="S472" i="1" s="1"/>
  <c r="X471" i="1"/>
  <c r="Y471" i="1"/>
  <c r="R471" i="1"/>
  <c r="S471" i="1" s="1"/>
  <c r="X470" i="1"/>
  <c r="Y470" i="1" s="1"/>
  <c r="R470" i="1"/>
  <c r="S470" i="1"/>
  <c r="X469" i="1"/>
  <c r="Y469" i="1" s="1"/>
  <c r="R469" i="1"/>
  <c r="S469" i="1" s="1"/>
  <c r="X468" i="1"/>
  <c r="Y468" i="1" s="1"/>
  <c r="R468" i="1"/>
  <c r="S468" i="1"/>
  <c r="X467" i="1"/>
  <c r="Y467" i="1"/>
  <c r="R467" i="1"/>
  <c r="S467" i="1" s="1"/>
  <c r="X466" i="1"/>
  <c r="Y466" i="1" s="1"/>
  <c r="R466" i="1"/>
  <c r="S466" i="1"/>
  <c r="X465" i="1"/>
  <c r="Y465" i="1"/>
  <c r="R465" i="1"/>
  <c r="S465" i="1"/>
  <c r="X464" i="1"/>
  <c r="Y464" i="1"/>
  <c r="R464" i="1"/>
  <c r="S464" i="1"/>
  <c r="X463" i="1"/>
  <c r="Y463" i="1"/>
  <c r="X462" i="1"/>
  <c r="Y462" i="1"/>
  <c r="X461" i="1"/>
  <c r="Y461" i="1"/>
  <c r="R461" i="1"/>
  <c r="S461" i="1" s="1"/>
  <c r="X460" i="1"/>
  <c r="Y460" i="1" s="1"/>
  <c r="R460" i="1"/>
  <c r="S460" i="1" s="1"/>
  <c r="X459" i="1"/>
  <c r="Y459" i="1" s="1"/>
  <c r="R459" i="1"/>
  <c r="S459" i="1"/>
  <c r="X458" i="1"/>
  <c r="Y458" i="1"/>
  <c r="R458" i="1"/>
  <c r="S458" i="1"/>
  <c r="X457" i="1"/>
  <c r="Y457" i="1" s="1"/>
  <c r="R457" i="1"/>
  <c r="S457" i="1"/>
  <c r="X456" i="1"/>
  <c r="Y456" i="1"/>
  <c r="X455" i="1"/>
  <c r="Y455" i="1"/>
  <c r="R455" i="1"/>
  <c r="S455" i="1" s="1"/>
  <c r="X454" i="1"/>
  <c r="Y454" i="1"/>
  <c r="R454" i="1"/>
  <c r="S454" i="1" s="1"/>
  <c r="X453" i="1"/>
  <c r="Y453" i="1"/>
  <c r="R453" i="1"/>
  <c r="S453" i="1"/>
  <c r="X452" i="1"/>
  <c r="Y452" i="1" s="1"/>
  <c r="R452" i="1"/>
  <c r="S452" i="1"/>
  <c r="X451" i="1"/>
  <c r="Y451" i="1" s="1"/>
  <c r="R451" i="1"/>
  <c r="S451" i="1" s="1"/>
  <c r="X450" i="1"/>
  <c r="Y450" i="1" s="1"/>
  <c r="R450" i="1"/>
  <c r="S450" i="1" s="1"/>
  <c r="R449" i="1"/>
  <c r="S449" i="1" s="1"/>
  <c r="X448" i="1"/>
  <c r="Y448" i="1" s="1"/>
  <c r="R448" i="1"/>
  <c r="S448" i="1" s="1"/>
  <c r="X447" i="1"/>
  <c r="Y447" i="1" s="1"/>
  <c r="R447" i="1"/>
  <c r="S447" i="1"/>
  <c r="X446" i="1"/>
  <c r="Y446" i="1" s="1"/>
  <c r="R446" i="1"/>
  <c r="S446" i="1" s="1"/>
  <c r="X445" i="1"/>
  <c r="Y445" i="1" s="1"/>
  <c r="R445" i="1"/>
  <c r="S445" i="1" s="1"/>
  <c r="X444" i="1"/>
  <c r="Y444" i="1"/>
  <c r="R444" i="1"/>
  <c r="S444" i="1" s="1"/>
  <c r="X443" i="1"/>
  <c r="Y443" i="1" s="1"/>
  <c r="R443" i="1"/>
  <c r="S443" i="1"/>
  <c r="X441" i="1"/>
  <c r="Y441" i="1" s="1"/>
  <c r="S441" i="1"/>
  <c r="R441" i="1"/>
  <c r="X440" i="1"/>
  <c r="Y440" i="1"/>
  <c r="R440" i="1"/>
  <c r="S440" i="1"/>
  <c r="X439" i="1"/>
  <c r="Y439" i="1" s="1"/>
  <c r="R439" i="1"/>
  <c r="S439" i="1" s="1"/>
  <c r="X438" i="1"/>
  <c r="Y438" i="1" s="1"/>
  <c r="R438" i="1"/>
  <c r="S438" i="1"/>
  <c r="X437" i="1"/>
  <c r="Y437" i="1"/>
  <c r="R437" i="1"/>
  <c r="S437" i="1" s="1"/>
  <c r="X436" i="1"/>
  <c r="Y436" i="1" s="1"/>
  <c r="R436" i="1"/>
  <c r="S436" i="1" s="1"/>
  <c r="X435" i="1"/>
  <c r="Y435" i="1"/>
  <c r="R435" i="1"/>
  <c r="S435" i="1" s="1"/>
  <c r="X434" i="1"/>
  <c r="Y434" i="1" s="1"/>
  <c r="R434" i="1"/>
  <c r="S434" i="1" s="1"/>
  <c r="X433" i="1"/>
  <c r="Y433" i="1" s="1"/>
  <c r="R433" i="1"/>
  <c r="S433" i="1" s="1"/>
  <c r="X432" i="1"/>
  <c r="Y432" i="1" s="1"/>
  <c r="R432" i="1"/>
  <c r="S432" i="1" s="1"/>
  <c r="X431" i="1"/>
  <c r="Y431" i="1" s="1"/>
  <c r="R431" i="1"/>
  <c r="S431" i="1"/>
  <c r="X430" i="1"/>
  <c r="Y430" i="1"/>
  <c r="R430" i="1"/>
  <c r="S430" i="1" s="1"/>
  <c r="X429" i="1"/>
  <c r="Y429" i="1" s="1"/>
  <c r="R429" i="1"/>
  <c r="S429" i="1"/>
  <c r="X428" i="1"/>
  <c r="Y428" i="1" s="1"/>
  <c r="X427" i="1"/>
  <c r="Y427" i="1" s="1"/>
  <c r="R427" i="1"/>
  <c r="S427" i="1" s="1"/>
  <c r="X426" i="1"/>
  <c r="Y426" i="1" s="1"/>
  <c r="R426" i="1"/>
  <c r="S426" i="1" s="1"/>
  <c r="X425" i="1"/>
  <c r="Y425" i="1" s="1"/>
  <c r="R425" i="1"/>
  <c r="S425" i="1" s="1"/>
  <c r="X424" i="1"/>
  <c r="Y424" i="1" s="1"/>
  <c r="R424" i="1"/>
  <c r="S424" i="1" s="1"/>
  <c r="X423" i="1"/>
  <c r="Y423" i="1"/>
  <c r="S423" i="1"/>
  <c r="R423" i="1"/>
  <c r="X422" i="1"/>
  <c r="Y422" i="1" s="1"/>
  <c r="R422" i="1"/>
  <c r="S422" i="1" s="1"/>
  <c r="X421" i="1"/>
  <c r="Y421" i="1" s="1"/>
  <c r="R421" i="1"/>
  <c r="S421" i="1" s="1"/>
  <c r="X420" i="1"/>
  <c r="Y420" i="1" s="1"/>
  <c r="R420" i="1"/>
  <c r="S420" i="1" s="1"/>
  <c r="X419" i="1"/>
  <c r="Y419" i="1" s="1"/>
  <c r="R419" i="1"/>
  <c r="S419" i="1" s="1"/>
  <c r="X418" i="1"/>
  <c r="Y418" i="1" s="1"/>
  <c r="R418" i="1"/>
  <c r="S418" i="1" s="1"/>
  <c r="X417" i="1"/>
  <c r="Y417" i="1" s="1"/>
  <c r="R417" i="1"/>
  <c r="S417" i="1" s="1"/>
  <c r="X416" i="1"/>
  <c r="Y416" i="1" s="1"/>
  <c r="R416" i="1"/>
  <c r="S416" i="1" s="1"/>
  <c r="X415" i="1"/>
  <c r="Y415" i="1"/>
  <c r="R415" i="1"/>
  <c r="S415" i="1" s="1"/>
  <c r="Y414" i="1"/>
  <c r="X414" i="1"/>
  <c r="R414" i="1"/>
  <c r="S414" i="1" s="1"/>
  <c r="X413" i="1"/>
  <c r="Y413" i="1"/>
  <c r="R413" i="1"/>
  <c r="S413" i="1"/>
  <c r="X412" i="1"/>
  <c r="Y412" i="1" s="1"/>
  <c r="R412" i="1"/>
  <c r="S412" i="1" s="1"/>
  <c r="X411" i="1"/>
  <c r="Y411" i="1"/>
  <c r="R411" i="1"/>
  <c r="S411" i="1" s="1"/>
  <c r="R410" i="1"/>
  <c r="S410" i="1" s="1"/>
  <c r="X409" i="1"/>
  <c r="Y409" i="1" s="1"/>
  <c r="R409" i="1"/>
  <c r="S409" i="1" s="1"/>
  <c r="X408" i="1"/>
  <c r="Y408" i="1" s="1"/>
  <c r="R408" i="1"/>
  <c r="S408" i="1"/>
  <c r="X407" i="1"/>
  <c r="Y407" i="1"/>
  <c r="R407" i="1"/>
  <c r="S407" i="1"/>
  <c r="X406" i="1"/>
  <c r="Y406" i="1" s="1"/>
  <c r="R406" i="1"/>
  <c r="S406" i="1" s="1"/>
  <c r="X405" i="1"/>
  <c r="Y405" i="1"/>
  <c r="R405" i="1"/>
  <c r="S405" i="1"/>
  <c r="X404" i="1"/>
  <c r="Y404" i="1"/>
  <c r="R404" i="1"/>
  <c r="S404" i="1"/>
  <c r="X403" i="1"/>
  <c r="Y403" i="1"/>
  <c r="R403" i="1"/>
  <c r="S403" i="1" s="1"/>
  <c r="X402" i="1"/>
  <c r="Y402" i="1" s="1"/>
  <c r="R402" i="1"/>
  <c r="S402" i="1" s="1"/>
  <c r="X401" i="1"/>
  <c r="Y401" i="1"/>
  <c r="X400" i="1"/>
  <c r="Y400" i="1"/>
  <c r="R400" i="1"/>
  <c r="S400" i="1"/>
  <c r="X399" i="1"/>
  <c r="Y399" i="1" s="1"/>
  <c r="R399" i="1"/>
  <c r="S399" i="1"/>
  <c r="X398" i="1"/>
  <c r="Y398" i="1"/>
  <c r="R398" i="1"/>
  <c r="S398" i="1"/>
  <c r="X397" i="1"/>
  <c r="Y397" i="1" s="1"/>
  <c r="R397" i="1"/>
  <c r="S397" i="1" s="1"/>
  <c r="X396" i="1"/>
  <c r="Y396" i="1"/>
  <c r="X395" i="1"/>
  <c r="Y395" i="1"/>
  <c r="X394" i="1"/>
  <c r="Y394" i="1"/>
  <c r="R394" i="1"/>
  <c r="S394" i="1"/>
  <c r="X393" i="1"/>
  <c r="Y393" i="1"/>
  <c r="R393" i="1"/>
  <c r="S393" i="1"/>
  <c r="X392" i="1"/>
  <c r="Y392" i="1" s="1"/>
  <c r="S392" i="1"/>
  <c r="R392" i="1"/>
  <c r="X391" i="1"/>
  <c r="Y391" i="1" s="1"/>
  <c r="R391" i="1"/>
  <c r="S391" i="1"/>
  <c r="X390" i="1"/>
  <c r="Y390" i="1" s="1"/>
  <c r="R390" i="1"/>
  <c r="S390" i="1"/>
  <c r="X389" i="1"/>
  <c r="Y389" i="1"/>
  <c r="X388" i="1"/>
  <c r="Y388" i="1" s="1"/>
  <c r="R388" i="1"/>
  <c r="S388" i="1"/>
  <c r="X387" i="1"/>
  <c r="Y387" i="1"/>
  <c r="R387" i="1"/>
  <c r="S387" i="1"/>
  <c r="X386" i="1"/>
  <c r="Y386" i="1"/>
  <c r="R386" i="1"/>
  <c r="S386" i="1" s="1"/>
  <c r="X385" i="1"/>
  <c r="Y385" i="1"/>
  <c r="R385" i="1"/>
  <c r="S385" i="1"/>
  <c r="X384" i="1"/>
  <c r="Y384" i="1" s="1"/>
  <c r="X383" i="1"/>
  <c r="Y383" i="1" s="1"/>
  <c r="R383" i="1"/>
  <c r="S383" i="1" s="1"/>
  <c r="X380" i="1"/>
  <c r="Y380" i="1" s="1"/>
  <c r="R380" i="1"/>
  <c r="S380" i="1" s="1"/>
  <c r="X379" i="1"/>
  <c r="Y379" i="1"/>
  <c r="X378" i="1"/>
  <c r="Y378" i="1"/>
  <c r="R378" i="1"/>
  <c r="S378" i="1"/>
  <c r="X377" i="1"/>
  <c r="Y377" i="1"/>
  <c r="R377" i="1"/>
  <c r="S377" i="1" s="1"/>
  <c r="X376" i="1"/>
  <c r="Y376" i="1" s="1"/>
  <c r="R376" i="1"/>
  <c r="S376" i="1" s="1"/>
  <c r="X375" i="1"/>
  <c r="Y375" i="1" s="1"/>
  <c r="X374" i="1"/>
  <c r="Y374" i="1"/>
  <c r="R374" i="1"/>
  <c r="S374" i="1"/>
  <c r="X373" i="1"/>
  <c r="Y373" i="1"/>
  <c r="X371" i="1"/>
  <c r="Y371" i="1"/>
  <c r="X370" i="1"/>
  <c r="Y370" i="1" s="1"/>
  <c r="R370" i="1"/>
  <c r="S370" i="1"/>
  <c r="R369" i="1"/>
  <c r="S369" i="1" s="1"/>
  <c r="X368" i="1"/>
  <c r="Y368" i="1" s="1"/>
  <c r="R367" i="1"/>
  <c r="S367" i="1" s="1"/>
  <c r="X366" i="1"/>
  <c r="Y366" i="1"/>
  <c r="R366" i="1"/>
  <c r="S366" i="1" s="1"/>
  <c r="X365" i="1"/>
  <c r="Y365" i="1" s="1"/>
  <c r="R365" i="1"/>
  <c r="S365" i="1" s="1"/>
  <c r="X364" i="1"/>
  <c r="Y364" i="1" s="1"/>
  <c r="R364" i="1"/>
  <c r="S364" i="1" s="1"/>
  <c r="X363" i="1"/>
  <c r="Y363" i="1" s="1"/>
  <c r="R363" i="1"/>
  <c r="S363" i="1" s="1"/>
  <c r="R362" i="1"/>
  <c r="S362" i="1" s="1"/>
  <c r="X361" i="1"/>
  <c r="Y361" i="1" s="1"/>
  <c r="R361" i="1"/>
  <c r="S361" i="1" s="1"/>
  <c r="X360" i="1"/>
  <c r="Y360" i="1"/>
  <c r="R360" i="1"/>
  <c r="S360" i="1" s="1"/>
  <c r="X359" i="1"/>
  <c r="Y359" i="1"/>
  <c r="X358" i="1"/>
  <c r="Y358" i="1"/>
  <c r="R358" i="1"/>
  <c r="S358" i="1" s="1"/>
  <c r="R357" i="1"/>
  <c r="S357" i="1"/>
  <c r="X356" i="1"/>
  <c r="Y356" i="1"/>
  <c r="R356" i="1"/>
  <c r="S356" i="1"/>
  <c r="X355" i="1"/>
  <c r="Y355" i="1" s="1"/>
  <c r="X354" i="1"/>
  <c r="Y354" i="1" s="1"/>
  <c r="R354" i="1"/>
  <c r="S354" i="1"/>
  <c r="R353" i="1"/>
  <c r="S353" i="1" s="1"/>
  <c r="X352" i="1"/>
  <c r="Y352" i="1" s="1"/>
  <c r="R352" i="1"/>
  <c r="S352" i="1" s="1"/>
  <c r="X351" i="1"/>
  <c r="Y351" i="1" s="1"/>
  <c r="X350" i="1"/>
  <c r="Y350" i="1"/>
  <c r="R350" i="1"/>
  <c r="S350" i="1"/>
  <c r="X348" i="1"/>
  <c r="Y348" i="1"/>
  <c r="R348" i="1"/>
  <c r="S348" i="1"/>
  <c r="X347" i="1"/>
  <c r="Y347" i="1"/>
  <c r="R347" i="1"/>
  <c r="S347" i="1"/>
  <c r="X346" i="1"/>
  <c r="Y346" i="1" s="1"/>
  <c r="R346" i="1"/>
  <c r="S346" i="1"/>
  <c r="X345" i="1"/>
  <c r="Y345" i="1"/>
  <c r="R345" i="1"/>
  <c r="S345" i="1"/>
  <c r="X344" i="1"/>
  <c r="Y344" i="1"/>
  <c r="R344" i="1"/>
  <c r="S344" i="1" s="1"/>
  <c r="X343" i="1"/>
  <c r="Y343" i="1"/>
  <c r="R343" i="1"/>
  <c r="S343" i="1" s="1"/>
  <c r="X342" i="1"/>
  <c r="Y342" i="1" s="1"/>
  <c r="X341" i="1"/>
  <c r="Y341" i="1" s="1"/>
  <c r="R341" i="1"/>
  <c r="S341" i="1"/>
  <c r="X340" i="1"/>
  <c r="Y340" i="1" s="1"/>
  <c r="R340" i="1"/>
  <c r="S340" i="1" s="1"/>
  <c r="X339" i="1"/>
  <c r="Y339" i="1" s="1"/>
  <c r="R339" i="1"/>
  <c r="S339" i="1" s="1"/>
  <c r="X338" i="1"/>
  <c r="Y338" i="1" s="1"/>
  <c r="R338" i="1"/>
  <c r="S338" i="1"/>
  <c r="X337" i="1"/>
  <c r="Y337" i="1" s="1"/>
  <c r="R337" i="1"/>
  <c r="S337" i="1" s="1"/>
  <c r="X336" i="1"/>
  <c r="Y336" i="1" s="1"/>
  <c r="R336" i="1"/>
  <c r="S336" i="1" s="1"/>
  <c r="X335" i="1"/>
  <c r="Y335" i="1"/>
  <c r="R335" i="1"/>
  <c r="S335" i="1"/>
  <c r="X334" i="1"/>
  <c r="Y334" i="1" s="1"/>
  <c r="R334" i="1"/>
  <c r="S334" i="1"/>
  <c r="X333" i="1"/>
  <c r="Y333" i="1"/>
  <c r="R333" i="1"/>
  <c r="S333" i="1"/>
  <c r="X332" i="1"/>
  <c r="Y332" i="1"/>
  <c r="R332" i="1"/>
  <c r="S332" i="1"/>
  <c r="X331" i="1"/>
  <c r="Y331" i="1"/>
  <c r="R331" i="1"/>
  <c r="S331" i="1"/>
  <c r="X330" i="1"/>
  <c r="Y330" i="1"/>
  <c r="X329" i="1"/>
  <c r="Y329" i="1" s="1"/>
  <c r="R329" i="1"/>
  <c r="S329" i="1" s="1"/>
  <c r="X328" i="1"/>
  <c r="Y328" i="1" s="1"/>
  <c r="R328" i="1"/>
  <c r="S328" i="1"/>
  <c r="X327" i="1"/>
  <c r="Y327" i="1" s="1"/>
  <c r="X326" i="1"/>
  <c r="Y326" i="1" s="1"/>
  <c r="R326" i="1"/>
  <c r="S326" i="1" s="1"/>
  <c r="X325" i="1"/>
  <c r="Y325" i="1"/>
  <c r="R325" i="1"/>
  <c r="S325" i="1" s="1"/>
  <c r="R324" i="1"/>
  <c r="S324" i="1"/>
  <c r="X323" i="1"/>
  <c r="Y323" i="1" s="1"/>
  <c r="R323" i="1"/>
  <c r="S323" i="1" s="1"/>
  <c r="X322" i="1"/>
  <c r="Y322" i="1" s="1"/>
  <c r="R322" i="1"/>
  <c r="S322" i="1"/>
  <c r="X321" i="1"/>
  <c r="Y321" i="1" s="1"/>
  <c r="X320" i="1"/>
  <c r="Y320" i="1"/>
  <c r="R320" i="1"/>
  <c r="S320" i="1"/>
  <c r="X319" i="1"/>
  <c r="Y319" i="1"/>
  <c r="R319" i="1"/>
  <c r="S319" i="1"/>
  <c r="X318" i="1"/>
  <c r="Y318" i="1" s="1"/>
  <c r="R318" i="1"/>
  <c r="S318" i="1"/>
  <c r="X317" i="1"/>
  <c r="Y317" i="1"/>
  <c r="R317" i="1"/>
  <c r="S317" i="1" s="1"/>
  <c r="X316" i="1"/>
  <c r="Y316" i="1" s="1"/>
  <c r="R316" i="1"/>
  <c r="S316" i="1" s="1"/>
  <c r="X315" i="1"/>
  <c r="Y315" i="1" s="1"/>
  <c r="R315" i="1"/>
  <c r="S315" i="1" s="1"/>
  <c r="X313" i="1"/>
  <c r="Y313" i="1" s="1"/>
  <c r="R313" i="1"/>
  <c r="S313" i="1"/>
  <c r="X312" i="1"/>
  <c r="Y312" i="1"/>
  <c r="R312" i="1"/>
  <c r="S312" i="1" s="1"/>
  <c r="X311" i="1"/>
  <c r="Y311" i="1"/>
  <c r="X310" i="1"/>
  <c r="Y310" i="1"/>
  <c r="R310" i="1"/>
  <c r="S310" i="1"/>
  <c r="X309" i="1"/>
  <c r="Y309" i="1"/>
  <c r="R309" i="1"/>
  <c r="S309" i="1" s="1"/>
  <c r="X308" i="1"/>
  <c r="Y308" i="1" s="1"/>
  <c r="X307" i="1"/>
  <c r="Y307" i="1" s="1"/>
  <c r="R307" i="1"/>
  <c r="S307" i="1"/>
  <c r="X306" i="1"/>
  <c r="Y306" i="1" s="1"/>
  <c r="R306" i="1"/>
  <c r="S306" i="1" s="1"/>
  <c r="X305" i="1"/>
  <c r="Y305" i="1" s="1"/>
  <c r="X304" i="1"/>
  <c r="Y304" i="1" s="1"/>
  <c r="R304" i="1"/>
  <c r="S304" i="1" s="1"/>
  <c r="X303" i="1"/>
  <c r="Y303" i="1" s="1"/>
  <c r="R303" i="1"/>
  <c r="S303" i="1" s="1"/>
  <c r="X302" i="1"/>
  <c r="Y302" i="1"/>
  <c r="R302" i="1"/>
  <c r="S302" i="1"/>
  <c r="X301" i="1"/>
  <c r="Y301" i="1"/>
  <c r="R301" i="1"/>
  <c r="S301" i="1"/>
  <c r="X300" i="1"/>
  <c r="Y300" i="1"/>
  <c r="R300" i="1"/>
  <c r="S300" i="1"/>
  <c r="X299" i="1"/>
  <c r="Y299" i="1" s="1"/>
  <c r="R299" i="1"/>
  <c r="S299" i="1" s="1"/>
  <c r="X298" i="1"/>
  <c r="Y298" i="1" s="1"/>
  <c r="R298" i="1"/>
  <c r="S298" i="1"/>
  <c r="X297" i="1"/>
  <c r="Y297" i="1" s="1"/>
  <c r="X296" i="1"/>
  <c r="Y296" i="1" s="1"/>
  <c r="R296" i="1"/>
  <c r="S296" i="1" s="1"/>
  <c r="X295" i="1"/>
  <c r="Y295" i="1" s="1"/>
  <c r="R295" i="1"/>
  <c r="S295" i="1"/>
  <c r="X294" i="1"/>
  <c r="Y294" i="1" s="1"/>
  <c r="R294" i="1"/>
  <c r="S294" i="1"/>
  <c r="X293" i="1"/>
  <c r="Y293" i="1"/>
  <c r="R293" i="1"/>
  <c r="S293" i="1"/>
  <c r="X292" i="1"/>
  <c r="Y292" i="1"/>
  <c r="R292" i="1"/>
  <c r="S292" i="1"/>
  <c r="X291" i="1"/>
  <c r="Y291" i="1" s="1"/>
  <c r="R291" i="1"/>
  <c r="S291" i="1"/>
  <c r="X290" i="1"/>
  <c r="Y290" i="1" s="1"/>
  <c r="R290" i="1"/>
  <c r="S290" i="1"/>
  <c r="X289" i="1"/>
  <c r="Y289" i="1"/>
  <c r="R289" i="1"/>
  <c r="S289" i="1"/>
  <c r="X288" i="1"/>
  <c r="Y288" i="1"/>
  <c r="R288" i="1"/>
  <c r="S288" i="1" s="1"/>
  <c r="X287" i="1"/>
  <c r="Y287" i="1" s="1"/>
  <c r="R287" i="1"/>
  <c r="S287" i="1"/>
  <c r="X286" i="1"/>
  <c r="Y286" i="1"/>
  <c r="X285" i="1"/>
  <c r="Y285" i="1" s="1"/>
  <c r="R285" i="1"/>
  <c r="S285" i="1"/>
  <c r="X284" i="1"/>
  <c r="Y284" i="1" s="1"/>
  <c r="R284" i="1"/>
  <c r="S284" i="1" s="1"/>
  <c r="X283" i="1"/>
  <c r="Y283" i="1" s="1"/>
  <c r="X282" i="1"/>
  <c r="Y282" i="1" s="1"/>
  <c r="R282" i="1"/>
  <c r="S282" i="1" s="1"/>
  <c r="X281" i="1"/>
  <c r="Y281" i="1"/>
  <c r="R281" i="1"/>
  <c r="S281" i="1"/>
  <c r="X280" i="1"/>
  <c r="Y280" i="1"/>
  <c r="R280" i="1"/>
  <c r="S280" i="1"/>
  <c r="X279" i="1"/>
  <c r="Y279" i="1" s="1"/>
  <c r="R279" i="1"/>
  <c r="S279" i="1" s="1"/>
  <c r="X278" i="1"/>
  <c r="Y278" i="1" s="1"/>
  <c r="R278" i="1"/>
  <c r="S278" i="1" s="1"/>
  <c r="X277" i="1"/>
  <c r="Y277" i="1" s="1"/>
  <c r="R277" i="1"/>
  <c r="S277" i="1" s="1"/>
  <c r="X276" i="1"/>
  <c r="Y276" i="1" s="1"/>
  <c r="X275" i="1"/>
  <c r="Y275" i="1"/>
  <c r="R275" i="1"/>
  <c r="S275" i="1" s="1"/>
  <c r="X274" i="1"/>
  <c r="Y274" i="1" s="1"/>
  <c r="R274" i="1"/>
  <c r="S274" i="1" s="1"/>
  <c r="X273" i="1"/>
  <c r="Y273" i="1" s="1"/>
  <c r="X272" i="1"/>
  <c r="Y272" i="1" s="1"/>
  <c r="R272" i="1"/>
  <c r="S272" i="1"/>
  <c r="X271" i="1"/>
  <c r="Y271" i="1" s="1"/>
  <c r="R271" i="1"/>
  <c r="S271" i="1" s="1"/>
  <c r="X270" i="1"/>
  <c r="Y270" i="1" s="1"/>
  <c r="R270" i="1"/>
  <c r="S270" i="1" s="1"/>
  <c r="W269" i="1"/>
  <c r="V1" i="1"/>
  <c r="X269" i="1"/>
  <c r="Y269" i="1" s="1"/>
  <c r="Q269" i="1"/>
  <c r="P1" i="1"/>
  <c r="X268" i="1"/>
  <c r="Y268" i="1" s="1"/>
  <c r="X267" i="1"/>
  <c r="Y267" i="1"/>
  <c r="R267" i="1"/>
  <c r="S267" i="1" s="1"/>
  <c r="X266" i="1"/>
  <c r="Y266" i="1" s="1"/>
  <c r="R266" i="1"/>
  <c r="S266" i="1" s="1"/>
  <c r="X265" i="1"/>
  <c r="Y265" i="1" s="1"/>
  <c r="R265" i="1"/>
  <c r="S265" i="1" s="1"/>
  <c r="X264" i="1"/>
  <c r="Y264" i="1" s="1"/>
  <c r="R263" i="1"/>
  <c r="S263" i="1" s="1"/>
  <c r="X262" i="1"/>
  <c r="Y262" i="1"/>
  <c r="R262" i="1"/>
  <c r="S262" i="1" s="1"/>
  <c r="R261" i="1"/>
  <c r="S261" i="1" s="1"/>
  <c r="X260" i="1"/>
  <c r="Y260" i="1" s="1"/>
  <c r="R260" i="1"/>
  <c r="S260" i="1"/>
  <c r="X259" i="1"/>
  <c r="Y259" i="1" s="1"/>
  <c r="R259" i="1"/>
  <c r="S259" i="1" s="1"/>
  <c r="X258" i="1"/>
  <c r="Y258" i="1" s="1"/>
  <c r="R258" i="1"/>
  <c r="S258" i="1" s="1"/>
  <c r="X257" i="1"/>
  <c r="Y257" i="1"/>
  <c r="X256" i="1"/>
  <c r="Y256" i="1" s="1"/>
  <c r="R256" i="1"/>
  <c r="S256" i="1" s="1"/>
  <c r="X255" i="1"/>
  <c r="Y255" i="1"/>
  <c r="R255" i="1"/>
  <c r="S255" i="1" s="1"/>
  <c r="X253" i="1"/>
  <c r="Y253" i="1"/>
  <c r="R253" i="1"/>
  <c r="S253" i="1"/>
  <c r="X252" i="1"/>
  <c r="Y252" i="1"/>
  <c r="R252" i="1"/>
  <c r="S252" i="1"/>
  <c r="X251" i="1"/>
  <c r="Y251" i="1"/>
  <c r="R251" i="1"/>
  <c r="S251" i="1" s="1"/>
  <c r="X250" i="1"/>
  <c r="Y250" i="1" s="1"/>
  <c r="X249" i="1"/>
  <c r="Y249" i="1" s="1"/>
  <c r="R249" i="1"/>
  <c r="S249" i="1" s="1"/>
  <c r="X248" i="1"/>
  <c r="Y248" i="1" s="1"/>
  <c r="R248" i="1"/>
  <c r="S248" i="1" s="1"/>
  <c r="X247" i="1"/>
  <c r="Y247" i="1"/>
  <c r="R247" i="1"/>
  <c r="S247" i="1"/>
  <c r="X246" i="1"/>
  <c r="Y246" i="1" s="1"/>
  <c r="R246" i="1"/>
  <c r="S246" i="1" s="1"/>
  <c r="X245" i="1"/>
  <c r="Y245" i="1" s="1"/>
  <c r="X244" i="1"/>
  <c r="Y244" i="1" s="1"/>
  <c r="R244" i="1"/>
  <c r="S244" i="1" s="1"/>
  <c r="X243" i="1"/>
  <c r="Y243" i="1" s="1"/>
  <c r="R243" i="1"/>
  <c r="S243" i="1" s="1"/>
  <c r="X242" i="1"/>
  <c r="Y242" i="1" s="1"/>
  <c r="R242" i="1"/>
  <c r="S242" i="1" s="1"/>
  <c r="X239" i="1"/>
  <c r="Y239" i="1" s="1"/>
  <c r="R239" i="1"/>
  <c r="S239" i="1"/>
  <c r="X238" i="1"/>
  <c r="Y238" i="1"/>
  <c r="R238" i="1"/>
  <c r="S238" i="1"/>
  <c r="R237" i="1"/>
  <c r="S237" i="1"/>
  <c r="X236" i="1"/>
  <c r="Y236" i="1"/>
  <c r="R236" i="1"/>
  <c r="S236" i="1"/>
  <c r="R235" i="1"/>
  <c r="S235" i="1" s="1"/>
  <c r="X234" i="1"/>
  <c r="Y234" i="1" s="1"/>
  <c r="R234" i="1"/>
  <c r="S234" i="1"/>
  <c r="X233" i="1"/>
  <c r="Y233" i="1"/>
  <c r="X232" i="1"/>
  <c r="Y232" i="1"/>
  <c r="R232" i="1"/>
  <c r="S232" i="1"/>
  <c r="X231" i="1"/>
  <c r="Y231" i="1"/>
  <c r="R231" i="1"/>
  <c r="S231" i="1" s="1"/>
  <c r="X230" i="1"/>
  <c r="Y230" i="1"/>
  <c r="R230" i="1"/>
  <c r="S230" i="1"/>
  <c r="R229" i="1"/>
  <c r="S229" i="1"/>
  <c r="X228" i="1"/>
  <c r="Y228" i="1"/>
  <c r="R228" i="1"/>
  <c r="S228" i="1"/>
  <c r="X227" i="1"/>
  <c r="Y227" i="1"/>
  <c r="R227" i="1"/>
  <c r="S227" i="1" s="1"/>
  <c r="X226" i="1"/>
  <c r="Y226" i="1" s="1"/>
  <c r="R226" i="1"/>
  <c r="S226" i="1" s="1"/>
  <c r="X225" i="1"/>
  <c r="Y225" i="1"/>
  <c r="R225" i="1"/>
  <c r="S225" i="1"/>
  <c r="X224" i="1"/>
  <c r="Y224" i="1"/>
  <c r="R224" i="1"/>
  <c r="S224" i="1"/>
  <c r="X223" i="1"/>
  <c r="Y223" i="1"/>
  <c r="R223" i="1"/>
  <c r="S223" i="1" s="1"/>
  <c r="X222" i="1"/>
  <c r="Y222" i="1" s="1"/>
  <c r="R222" i="1"/>
  <c r="S222" i="1" s="1"/>
  <c r="X221" i="1"/>
  <c r="Y221" i="1" s="1"/>
  <c r="X220" i="1"/>
  <c r="Y220" i="1" s="1"/>
  <c r="R220" i="1"/>
  <c r="S220" i="1"/>
  <c r="X219" i="1"/>
  <c r="Y219" i="1"/>
  <c r="R219" i="1"/>
  <c r="S219" i="1" s="1"/>
  <c r="X218" i="1"/>
  <c r="Y218" i="1" s="1"/>
  <c r="R218" i="1"/>
  <c r="S218" i="1"/>
  <c r="X217" i="1"/>
  <c r="Y217" i="1"/>
  <c r="R217" i="1"/>
  <c r="S217" i="1"/>
  <c r="X216" i="1"/>
  <c r="Y216" i="1"/>
  <c r="R216" i="1"/>
  <c r="S216" i="1"/>
  <c r="X215" i="1"/>
  <c r="Y215" i="1" s="1"/>
  <c r="R215" i="1"/>
  <c r="S215" i="1" s="1"/>
  <c r="X214" i="1"/>
  <c r="Y214" i="1" s="1"/>
  <c r="R214" i="1"/>
  <c r="S214" i="1" s="1"/>
  <c r="X213" i="1"/>
  <c r="Y213" i="1" s="1"/>
  <c r="R213" i="1"/>
  <c r="S213" i="1"/>
  <c r="X212" i="1"/>
  <c r="Y212" i="1" s="1"/>
  <c r="R212" i="1"/>
  <c r="S212" i="1"/>
  <c r="X211" i="1"/>
  <c r="Y211" i="1" s="1"/>
  <c r="X210" i="1"/>
  <c r="Y210" i="1"/>
  <c r="R210" i="1"/>
  <c r="S210" i="1"/>
  <c r="X209" i="1"/>
  <c r="Y209" i="1"/>
  <c r="R209" i="1"/>
  <c r="S209" i="1" s="1"/>
  <c r="X208" i="1"/>
  <c r="Y208" i="1" s="1"/>
  <c r="R208" i="1"/>
  <c r="S208" i="1"/>
  <c r="X207" i="1"/>
  <c r="Y207" i="1"/>
  <c r="R207" i="1"/>
  <c r="S207" i="1"/>
  <c r="X206" i="1"/>
  <c r="Y206" i="1" s="1"/>
  <c r="R206" i="1"/>
  <c r="S206" i="1" s="1"/>
  <c r="X205" i="1"/>
  <c r="Y205" i="1" s="1"/>
  <c r="R205" i="1"/>
  <c r="S205" i="1" s="1"/>
  <c r="X204" i="1"/>
  <c r="Y204" i="1" s="1"/>
  <c r="R204" i="1"/>
  <c r="S204" i="1"/>
  <c r="X203" i="1"/>
  <c r="Y203" i="1" s="1"/>
  <c r="R203" i="1"/>
  <c r="S203" i="1" s="1"/>
  <c r="X202" i="1"/>
  <c r="Y202" i="1"/>
  <c r="R202" i="1"/>
  <c r="S202" i="1"/>
  <c r="X201" i="1"/>
  <c r="Y201" i="1"/>
  <c r="R201" i="1"/>
  <c r="S201" i="1" s="1"/>
  <c r="X200" i="1"/>
  <c r="Y200" i="1"/>
  <c r="R200" i="1"/>
  <c r="S200" i="1" s="1"/>
  <c r="X199" i="1"/>
  <c r="Y199" i="1"/>
  <c r="R199" i="1"/>
  <c r="S199" i="1" s="1"/>
  <c r="X198" i="1"/>
  <c r="Y198" i="1"/>
  <c r="X197" i="1"/>
  <c r="Y197" i="1"/>
  <c r="X196" i="1"/>
  <c r="Y196" i="1"/>
  <c r="R196" i="1"/>
  <c r="S196" i="1"/>
  <c r="X195" i="1"/>
  <c r="Y195" i="1"/>
  <c r="R195" i="1"/>
  <c r="S195" i="1"/>
  <c r="X194" i="1"/>
  <c r="Y194" i="1"/>
  <c r="R194" i="1"/>
  <c r="S194" i="1"/>
  <c r="X193" i="1"/>
  <c r="Y193" i="1"/>
  <c r="X192" i="1"/>
  <c r="Y192" i="1"/>
  <c r="R192" i="1"/>
  <c r="S192" i="1" s="1"/>
  <c r="X191" i="1"/>
  <c r="Y191" i="1"/>
  <c r="R191" i="1"/>
  <c r="S191" i="1" s="1"/>
  <c r="X190" i="1"/>
  <c r="Y190" i="1" s="1"/>
  <c r="R190" i="1"/>
  <c r="S190" i="1"/>
  <c r="X189" i="1"/>
  <c r="Y189" i="1"/>
  <c r="R189" i="1"/>
  <c r="S189" i="1"/>
  <c r="X188" i="1"/>
  <c r="Y188" i="1" s="1"/>
  <c r="X187" i="1"/>
  <c r="Y187" i="1"/>
  <c r="R187" i="1"/>
  <c r="S187" i="1"/>
  <c r="X186" i="1"/>
  <c r="Y186" i="1"/>
  <c r="R186" i="1"/>
  <c r="S186" i="1" s="1"/>
  <c r="X185" i="1"/>
  <c r="Y185" i="1" s="1"/>
  <c r="R185" i="1"/>
  <c r="S185" i="1" s="1"/>
  <c r="X184" i="1"/>
  <c r="Y184" i="1"/>
  <c r="R184" i="1"/>
  <c r="S184" i="1" s="1"/>
  <c r="X183" i="1"/>
  <c r="Y183" i="1" s="1"/>
  <c r="X182" i="1"/>
  <c r="Y182" i="1"/>
  <c r="R182" i="1"/>
  <c r="S182" i="1" s="1"/>
  <c r="X181" i="1"/>
  <c r="Y181" i="1"/>
  <c r="R181" i="1"/>
  <c r="S181" i="1" s="1"/>
  <c r="X180" i="1"/>
  <c r="Y180" i="1" s="1"/>
  <c r="R180" i="1"/>
  <c r="S180" i="1" s="1"/>
  <c r="X179" i="1"/>
  <c r="Y179" i="1" s="1"/>
  <c r="R179" i="1"/>
  <c r="S179" i="1"/>
  <c r="X178" i="1"/>
  <c r="Y178" i="1" s="1"/>
  <c r="X177" i="1"/>
  <c r="Y177" i="1"/>
  <c r="R177" i="1"/>
  <c r="S177" i="1"/>
  <c r="X176" i="1"/>
  <c r="Y176" i="1"/>
  <c r="R176" i="1"/>
  <c r="S176" i="1" s="1"/>
  <c r="X175" i="1"/>
  <c r="Y175" i="1" s="1"/>
  <c r="R175" i="1"/>
  <c r="S175" i="1"/>
  <c r="X174" i="1"/>
  <c r="Y174" i="1" s="1"/>
  <c r="R174" i="1"/>
  <c r="S174" i="1" s="1"/>
  <c r="X173" i="1"/>
  <c r="Y173" i="1"/>
  <c r="R173" i="1"/>
  <c r="S173" i="1"/>
  <c r="X172" i="1"/>
  <c r="Y172" i="1" s="1"/>
  <c r="R172" i="1"/>
  <c r="S172" i="1"/>
  <c r="X171" i="1"/>
  <c r="Y171" i="1" s="1"/>
  <c r="R171" i="1"/>
  <c r="S171" i="1" s="1"/>
  <c r="X170" i="1"/>
  <c r="Y170" i="1" s="1"/>
  <c r="R170" i="1"/>
  <c r="S170" i="1" s="1"/>
  <c r="X169" i="1"/>
  <c r="Y169" i="1" s="1"/>
  <c r="R169" i="1"/>
  <c r="S169" i="1" s="1"/>
  <c r="X168" i="1"/>
  <c r="Y168" i="1" s="1"/>
  <c r="R168" i="1"/>
  <c r="S168" i="1"/>
  <c r="X167" i="1"/>
  <c r="Y167" i="1"/>
  <c r="X166" i="1"/>
  <c r="Y166" i="1"/>
  <c r="R166" i="1"/>
  <c r="S166" i="1" s="1"/>
  <c r="X165" i="1"/>
  <c r="Y165" i="1"/>
  <c r="X164" i="1"/>
  <c r="Y164" i="1"/>
  <c r="R164" i="1"/>
  <c r="S164" i="1" s="1"/>
  <c r="X163" i="1"/>
  <c r="Y163" i="1"/>
  <c r="R163" i="1"/>
  <c r="S163" i="1"/>
  <c r="X162" i="1"/>
  <c r="Y162" i="1"/>
  <c r="R162" i="1"/>
  <c r="S162" i="1" s="1"/>
  <c r="X161" i="1"/>
  <c r="Y161" i="1"/>
  <c r="R161" i="1"/>
  <c r="S161" i="1" s="1"/>
  <c r="X160" i="1"/>
  <c r="Y160" i="1" s="1"/>
  <c r="R160" i="1"/>
  <c r="S160" i="1" s="1"/>
  <c r="X159" i="1"/>
  <c r="Y159" i="1" s="1"/>
  <c r="X158" i="1"/>
  <c r="Y158" i="1"/>
  <c r="R158" i="1"/>
  <c r="S158" i="1"/>
  <c r="X157" i="1"/>
  <c r="Y157" i="1" s="1"/>
  <c r="R157" i="1"/>
  <c r="S157" i="1" s="1"/>
  <c r="X156" i="1"/>
  <c r="Y156" i="1"/>
  <c r="R156" i="1"/>
  <c r="S156" i="1" s="1"/>
  <c r="X155" i="1"/>
  <c r="Y155" i="1" s="1"/>
  <c r="R155" i="1"/>
  <c r="S155" i="1"/>
  <c r="X154" i="1"/>
  <c r="Y154" i="1"/>
  <c r="R154" i="1"/>
  <c r="S154" i="1"/>
  <c r="R153" i="1"/>
  <c r="S153" i="1" s="1"/>
  <c r="X152" i="1"/>
  <c r="Y152" i="1"/>
  <c r="R152" i="1"/>
  <c r="S152" i="1" s="1"/>
  <c r="X151" i="1"/>
  <c r="Y151" i="1"/>
  <c r="R151" i="1"/>
  <c r="S151" i="1"/>
  <c r="X150" i="1"/>
  <c r="Y150" i="1" s="1"/>
  <c r="R150" i="1"/>
  <c r="S150" i="1" s="1"/>
  <c r="X149" i="1"/>
  <c r="Y149" i="1" s="1"/>
  <c r="R149" i="1"/>
  <c r="S149" i="1" s="1"/>
  <c r="X148" i="1"/>
  <c r="Y148" i="1" s="1"/>
  <c r="R148" i="1"/>
  <c r="S148" i="1"/>
  <c r="X147" i="1"/>
  <c r="Y147" i="1"/>
  <c r="R147" i="1"/>
  <c r="S147" i="1" s="1"/>
  <c r="X146" i="1"/>
  <c r="Y146" i="1"/>
  <c r="R146" i="1"/>
  <c r="S146" i="1"/>
  <c r="X145" i="1"/>
  <c r="Y145" i="1" s="1"/>
  <c r="X144" i="1"/>
  <c r="Y144" i="1"/>
  <c r="R144" i="1"/>
  <c r="S144" i="1" s="1"/>
  <c r="X141" i="1"/>
  <c r="Y141" i="1" s="1"/>
  <c r="R141" i="1"/>
  <c r="S141" i="1" s="1"/>
  <c r="X140" i="1"/>
  <c r="Y140" i="1"/>
  <c r="R140" i="1"/>
  <c r="S140" i="1"/>
  <c r="R139" i="1"/>
  <c r="S139" i="1" s="1"/>
  <c r="X138" i="1"/>
  <c r="Y138" i="1"/>
  <c r="R137" i="1"/>
  <c r="S137" i="1" s="1"/>
  <c r="X136" i="1"/>
  <c r="Y136" i="1"/>
  <c r="R136" i="1"/>
  <c r="S136" i="1" s="1"/>
  <c r="X135" i="1"/>
  <c r="Y135" i="1"/>
  <c r="R135" i="1"/>
  <c r="S135" i="1"/>
  <c r="X134" i="1"/>
  <c r="Y134" i="1" s="1"/>
  <c r="R134" i="1"/>
  <c r="S134" i="1"/>
  <c r="X133" i="1"/>
  <c r="Y133" i="1" s="1"/>
  <c r="R133" i="1"/>
  <c r="S133" i="1"/>
  <c r="X132" i="1"/>
  <c r="Y132" i="1"/>
  <c r="R132" i="1"/>
  <c r="S132" i="1" s="1"/>
  <c r="X131" i="1"/>
  <c r="Y131" i="1"/>
  <c r="R131" i="1"/>
  <c r="S131" i="1" s="1"/>
  <c r="X130" i="1"/>
  <c r="Y130" i="1" s="1"/>
  <c r="R130" i="1"/>
  <c r="S130" i="1" s="1"/>
  <c r="X129" i="1"/>
  <c r="Y129" i="1" s="1"/>
  <c r="R129" i="1"/>
  <c r="S129" i="1" s="1"/>
  <c r="X128" i="1"/>
  <c r="Y128" i="1"/>
  <c r="R128" i="1"/>
  <c r="S128" i="1" s="1"/>
  <c r="X127" i="1"/>
  <c r="Y127" i="1"/>
  <c r="R127" i="1"/>
  <c r="S127" i="1"/>
  <c r="X126" i="1"/>
  <c r="Y126" i="1"/>
  <c r="R126" i="1"/>
  <c r="S126" i="1"/>
  <c r="X125" i="1"/>
  <c r="Y125" i="1"/>
  <c r="R125" i="1"/>
  <c r="S125" i="1" s="1"/>
  <c r="X124" i="1"/>
  <c r="Y124" i="1"/>
  <c r="R124" i="1"/>
  <c r="S124" i="1" s="1"/>
  <c r="X123" i="1"/>
  <c r="Y123" i="1" s="1"/>
  <c r="R123" i="1"/>
  <c r="S123" i="1"/>
  <c r="X122" i="1"/>
  <c r="Y122" i="1"/>
  <c r="R122" i="1"/>
  <c r="S122" i="1"/>
  <c r="X121" i="1"/>
  <c r="Y121" i="1"/>
  <c r="R121" i="1"/>
  <c r="S121" i="1"/>
  <c r="X120" i="1"/>
  <c r="Y120" i="1"/>
  <c r="R120" i="1"/>
  <c r="S120" i="1"/>
  <c r="X119" i="1"/>
  <c r="Y119" i="1"/>
  <c r="R119" i="1"/>
  <c r="S119" i="1" s="1"/>
  <c r="X118" i="1"/>
  <c r="Y118" i="1" s="1"/>
  <c r="R118" i="1"/>
  <c r="S118" i="1" s="1"/>
  <c r="X117" i="1"/>
  <c r="Y117" i="1" s="1"/>
  <c r="R117" i="1"/>
  <c r="S117" i="1"/>
  <c r="X116" i="1"/>
  <c r="Y116" i="1"/>
  <c r="R116" i="1"/>
  <c r="S116" i="1" s="1"/>
  <c r="X115" i="1"/>
  <c r="Y115" i="1"/>
  <c r="R115" i="1"/>
  <c r="S115" i="1" s="1"/>
  <c r="X114" i="1"/>
  <c r="Y114" i="1" s="1"/>
  <c r="R114" i="1"/>
  <c r="S114" i="1" s="1"/>
  <c r="X113" i="1"/>
  <c r="Y113" i="1" s="1"/>
  <c r="R113" i="1"/>
  <c r="S113" i="1" s="1"/>
  <c r="X112" i="1"/>
  <c r="Y112" i="1" s="1"/>
  <c r="R112" i="1"/>
  <c r="S112" i="1"/>
  <c r="X111" i="1"/>
  <c r="Y111" i="1" s="1"/>
  <c r="X110" i="1"/>
  <c r="Y110" i="1" s="1"/>
  <c r="R110" i="1"/>
  <c r="S110" i="1" s="1"/>
  <c r="X109" i="1"/>
  <c r="Y109" i="1" s="1"/>
  <c r="R109" i="1"/>
  <c r="S109" i="1" s="1"/>
  <c r="X108" i="1"/>
  <c r="Y108" i="1"/>
  <c r="R108" i="1"/>
  <c r="S108" i="1"/>
  <c r="X107" i="1"/>
  <c r="Y107" i="1"/>
  <c r="R107" i="1"/>
  <c r="S107" i="1"/>
  <c r="X106" i="1"/>
  <c r="Y106" i="1" s="1"/>
  <c r="R106" i="1"/>
  <c r="S106" i="1" s="1"/>
  <c r="X105" i="1"/>
  <c r="Y105" i="1"/>
  <c r="R105" i="1"/>
  <c r="S105" i="1" s="1"/>
  <c r="X104" i="1"/>
  <c r="Y104" i="1" s="1"/>
  <c r="R104" i="1"/>
  <c r="S104" i="1" s="1"/>
  <c r="X103" i="1"/>
  <c r="Y103" i="1" s="1"/>
  <c r="R103" i="1"/>
  <c r="S103" i="1" s="1"/>
  <c r="X102" i="1"/>
  <c r="Y102" i="1" s="1"/>
  <c r="R102" i="1"/>
  <c r="S102" i="1" s="1"/>
  <c r="X101" i="1"/>
  <c r="Y101" i="1" s="1"/>
  <c r="R101" i="1"/>
  <c r="S101" i="1" s="1"/>
  <c r="X100" i="1"/>
  <c r="Y100" i="1" s="1"/>
  <c r="R100" i="1"/>
  <c r="S100" i="1" s="1"/>
  <c r="X99" i="1"/>
  <c r="Y99" i="1" s="1"/>
  <c r="R99" i="1"/>
  <c r="S99" i="1" s="1"/>
  <c r="X98" i="1"/>
  <c r="Y98" i="1" s="1"/>
  <c r="R98" i="1"/>
  <c r="S98" i="1" s="1"/>
  <c r="X97" i="1"/>
  <c r="Y97" i="1" s="1"/>
  <c r="R97" i="1"/>
  <c r="S97" i="1"/>
  <c r="X96" i="1"/>
  <c r="Y96" i="1"/>
  <c r="R96" i="1"/>
  <c r="S96" i="1" s="1"/>
  <c r="X95" i="1"/>
  <c r="Y95" i="1"/>
  <c r="X94" i="1"/>
  <c r="Y94" i="1" s="1"/>
  <c r="R94" i="1"/>
  <c r="S94" i="1"/>
  <c r="R93" i="1"/>
  <c r="S93" i="1"/>
  <c r="X92" i="1"/>
  <c r="Y92" i="1"/>
  <c r="R92" i="1"/>
  <c r="S92" i="1"/>
  <c r="X91" i="1"/>
  <c r="Y91" i="1" s="1"/>
  <c r="R91" i="1"/>
  <c r="S91" i="1"/>
  <c r="X90" i="1"/>
  <c r="Y90" i="1"/>
  <c r="R90" i="1"/>
  <c r="S90" i="1" s="1"/>
  <c r="X89" i="1"/>
  <c r="Y89" i="1"/>
  <c r="R89" i="1"/>
  <c r="S89" i="1"/>
  <c r="X88" i="1"/>
  <c r="Y88" i="1" s="1"/>
  <c r="R88" i="1"/>
  <c r="S88" i="1"/>
  <c r="X87" i="1"/>
  <c r="Y87" i="1"/>
  <c r="R87" i="1"/>
  <c r="S87" i="1"/>
  <c r="X86" i="1"/>
  <c r="Y86" i="1"/>
  <c r="R86" i="1"/>
  <c r="S86" i="1" s="1"/>
  <c r="X85" i="1"/>
  <c r="Y85" i="1" s="1"/>
  <c r="R85" i="1"/>
  <c r="S85" i="1" s="1"/>
  <c r="X84" i="1"/>
  <c r="Y84" i="1" s="1"/>
  <c r="R84" i="1"/>
  <c r="S84" i="1" s="1"/>
  <c r="X83" i="1"/>
  <c r="Y83" i="1" s="1"/>
  <c r="R83" i="1"/>
  <c r="S83" i="1" s="1"/>
  <c r="X82" i="1"/>
  <c r="Y82" i="1" s="1"/>
  <c r="R82" i="1"/>
  <c r="S82" i="1" s="1"/>
  <c r="X81" i="1"/>
  <c r="Y81" i="1" s="1"/>
  <c r="R81" i="1"/>
  <c r="S81" i="1" s="1"/>
  <c r="X80" i="1"/>
  <c r="Y80" i="1" s="1"/>
  <c r="R80" i="1"/>
  <c r="S80" i="1" s="1"/>
  <c r="X79" i="1"/>
  <c r="Y79" i="1" s="1"/>
  <c r="R79" i="1"/>
  <c r="S79" i="1" s="1"/>
  <c r="X78" i="1"/>
  <c r="Y78" i="1" s="1"/>
  <c r="R78" i="1"/>
  <c r="S78" i="1"/>
  <c r="X77" i="1"/>
  <c r="Y77" i="1" s="1"/>
  <c r="R77" i="1"/>
  <c r="S77" i="1" s="1"/>
  <c r="X76" i="1"/>
  <c r="Y76" i="1" s="1"/>
  <c r="R76" i="1"/>
  <c r="S76" i="1" s="1"/>
  <c r="X75" i="1"/>
  <c r="Y75" i="1"/>
  <c r="R75" i="1"/>
  <c r="S75" i="1" s="1"/>
  <c r="X74" i="1"/>
  <c r="Y74" i="1" s="1"/>
  <c r="R74" i="1"/>
  <c r="S74" i="1"/>
  <c r="X73" i="1"/>
  <c r="Y73" i="1" s="1"/>
  <c r="X72" i="1"/>
  <c r="Y72" i="1" s="1"/>
  <c r="R72" i="1"/>
  <c r="S72" i="1" s="1"/>
  <c r="X71" i="1"/>
  <c r="Y71" i="1" s="1"/>
  <c r="R71" i="1"/>
  <c r="S71" i="1" s="1"/>
  <c r="X70" i="1"/>
  <c r="Y70" i="1" s="1"/>
  <c r="R70" i="1"/>
  <c r="S70" i="1"/>
  <c r="X69" i="1"/>
  <c r="Y69" i="1" s="1"/>
  <c r="X68" i="1"/>
  <c r="Y68" i="1" s="1"/>
  <c r="R68" i="1"/>
  <c r="S68" i="1"/>
  <c r="X67" i="1"/>
  <c r="Y67" i="1" s="1"/>
  <c r="R67" i="1"/>
  <c r="S67" i="1"/>
  <c r="X66" i="1"/>
  <c r="Y66" i="1"/>
  <c r="R66" i="1"/>
  <c r="S66" i="1"/>
  <c r="X65" i="1"/>
  <c r="Y65" i="1" s="1"/>
  <c r="X64" i="1"/>
  <c r="Y64" i="1" s="1"/>
  <c r="R64" i="1"/>
  <c r="S64" i="1" s="1"/>
  <c r="X63" i="1"/>
  <c r="Y63" i="1"/>
  <c r="R63" i="1"/>
  <c r="S63" i="1"/>
  <c r="X62" i="1"/>
  <c r="Y62" i="1" s="1"/>
  <c r="R62" i="1"/>
  <c r="S62" i="1" s="1"/>
  <c r="X61" i="1"/>
  <c r="Y61" i="1"/>
  <c r="R61" i="1"/>
  <c r="S61" i="1" s="1"/>
  <c r="X60" i="1"/>
  <c r="Y60" i="1" s="1"/>
  <c r="R60" i="1"/>
  <c r="S60" i="1"/>
  <c r="X59" i="1"/>
  <c r="Y59" i="1" s="1"/>
  <c r="R59" i="1"/>
  <c r="S59" i="1" s="1"/>
  <c r="X58" i="1"/>
  <c r="Y58" i="1" s="1"/>
  <c r="R58" i="1"/>
  <c r="S58" i="1" s="1"/>
  <c r="X57" i="1"/>
  <c r="Y57" i="1"/>
  <c r="R57" i="1"/>
  <c r="S57" i="1"/>
  <c r="X56" i="1"/>
  <c r="Y56" i="1"/>
  <c r="R56" i="1"/>
  <c r="S56" i="1" s="1"/>
  <c r="X55" i="1"/>
  <c r="Y55" i="1"/>
  <c r="R55" i="1"/>
  <c r="S55" i="1" s="1"/>
  <c r="X54" i="1"/>
  <c r="Y54" i="1" s="1"/>
  <c r="R54" i="1"/>
  <c r="S54" i="1" s="1"/>
  <c r="X53" i="1"/>
  <c r="Y53" i="1" s="1"/>
  <c r="X52" i="1"/>
  <c r="Y52" i="1" s="1"/>
  <c r="X51" i="1"/>
  <c r="Y51" i="1" s="1"/>
  <c r="R51" i="1"/>
  <c r="S51" i="1" s="1"/>
  <c r="X50" i="1"/>
  <c r="Y50" i="1"/>
  <c r="R50" i="1"/>
  <c r="S50" i="1" s="1"/>
  <c r="X49" i="1"/>
  <c r="Y49" i="1" s="1"/>
  <c r="R49" i="1"/>
  <c r="S49" i="1"/>
  <c r="X48" i="1"/>
  <c r="Y48" i="1"/>
  <c r="R48" i="1"/>
  <c r="S48" i="1" s="1"/>
  <c r="X47" i="1"/>
  <c r="Y47" i="1" s="1"/>
  <c r="R47" i="1"/>
  <c r="S47" i="1" s="1"/>
  <c r="X45" i="1"/>
  <c r="Y45" i="1"/>
  <c r="R45" i="1"/>
  <c r="S45" i="1"/>
  <c r="X44" i="1"/>
  <c r="Y44" i="1" s="1"/>
  <c r="X43" i="1"/>
  <c r="Y43" i="1" s="1"/>
  <c r="R43" i="1"/>
  <c r="S43" i="1" s="1"/>
  <c r="X42" i="1"/>
  <c r="Y42" i="1" s="1"/>
  <c r="R42" i="1"/>
  <c r="S42" i="1" s="1"/>
  <c r="X41" i="1"/>
  <c r="Y41" i="1" s="1"/>
  <c r="X40" i="1"/>
  <c r="Y40" i="1"/>
  <c r="R40" i="1"/>
  <c r="S40" i="1"/>
  <c r="X39" i="1"/>
  <c r="Y39" i="1"/>
  <c r="R39" i="1"/>
  <c r="S39" i="1"/>
  <c r="X38" i="1"/>
  <c r="Y38" i="1" s="1"/>
  <c r="X37" i="1"/>
  <c r="Y37" i="1" s="1"/>
  <c r="R37" i="1"/>
  <c r="S37" i="1" s="1"/>
  <c r="X35" i="1"/>
  <c r="Y35" i="1" s="1"/>
  <c r="R35" i="1"/>
  <c r="S35" i="1" s="1"/>
  <c r="X34" i="1"/>
  <c r="Y34" i="1" s="1"/>
  <c r="X33" i="1"/>
  <c r="Y33" i="1"/>
  <c r="R33" i="1"/>
  <c r="S33" i="1" s="1"/>
  <c r="X32" i="1"/>
  <c r="Y32" i="1"/>
  <c r="R32" i="1"/>
  <c r="S32" i="1"/>
  <c r="X31" i="1"/>
  <c r="Y31" i="1" s="1"/>
  <c r="R31" i="1"/>
  <c r="S31" i="1"/>
  <c r="X30" i="1"/>
  <c r="Y30" i="1" s="1"/>
  <c r="R30" i="1"/>
  <c r="S30" i="1" s="1"/>
  <c r="X29" i="1"/>
  <c r="Y29" i="1"/>
  <c r="R29" i="1"/>
  <c r="S29" i="1"/>
  <c r="X28" i="1"/>
  <c r="Y28" i="1"/>
  <c r="R28" i="1"/>
  <c r="S28" i="1"/>
  <c r="X27" i="1"/>
  <c r="Y27" i="1"/>
  <c r="X25" i="1"/>
  <c r="Y25" i="1"/>
  <c r="R25" i="1"/>
  <c r="S25" i="1" s="1"/>
  <c r="X24" i="1"/>
  <c r="Y24" i="1" s="1"/>
  <c r="R24" i="1"/>
  <c r="S24" i="1"/>
  <c r="X23" i="1"/>
  <c r="Y23" i="1"/>
  <c r="R23" i="1"/>
  <c r="S23" i="1"/>
  <c r="X22" i="1"/>
  <c r="Y22" i="1"/>
  <c r="R22" i="1"/>
  <c r="S22" i="1"/>
  <c r="X21" i="1"/>
  <c r="Y21" i="1" s="1"/>
  <c r="X20" i="1"/>
  <c r="Y20" i="1"/>
  <c r="X19" i="1"/>
  <c r="Y19" i="1" s="1"/>
  <c r="R19" i="1"/>
  <c r="S19" i="1" s="1"/>
  <c r="X18" i="1"/>
  <c r="Y18" i="1" s="1"/>
  <c r="R18" i="1"/>
  <c r="S18" i="1" s="1"/>
  <c r="X17" i="1"/>
  <c r="Y17" i="1" s="1"/>
  <c r="R17" i="1"/>
  <c r="S17" i="1" s="1"/>
  <c r="X16" i="1"/>
  <c r="Y16" i="1"/>
  <c r="R16" i="1"/>
  <c r="S16" i="1" s="1"/>
  <c r="X15" i="1"/>
  <c r="Y15" i="1" s="1"/>
  <c r="X14" i="1"/>
  <c r="Y14" i="1"/>
  <c r="R14" i="1"/>
  <c r="S14" i="1"/>
  <c r="X13" i="1"/>
  <c r="Y13" i="1" s="1"/>
  <c r="R13" i="1"/>
  <c r="S13" i="1" s="1"/>
  <c r="X12" i="1"/>
  <c r="Y12" i="1"/>
  <c r="R12" i="1"/>
  <c r="S12" i="1"/>
  <c r="X11" i="1"/>
  <c r="Y11" i="1" s="1"/>
  <c r="R11" i="1"/>
  <c r="S11" i="1" s="1"/>
  <c r="X10" i="1"/>
  <c r="Y10" i="1"/>
  <c r="R10" i="1"/>
  <c r="S10" i="1"/>
  <c r="X9" i="1"/>
  <c r="Y9" i="1"/>
  <c r="R9" i="1"/>
  <c r="S9" i="1"/>
  <c r="X8" i="1"/>
  <c r="Y8" i="1"/>
  <c r="R8" i="1"/>
  <c r="S8" i="1"/>
  <c r="X7" i="1"/>
  <c r="Y7" i="1" s="1"/>
  <c r="R7" i="1"/>
  <c r="S7" i="1" s="1"/>
  <c r="X6" i="1"/>
  <c r="Y6" i="1" s="1"/>
  <c r="R6" i="1"/>
  <c r="S6" i="1" s="1"/>
  <c r="X5" i="1"/>
  <c r="Y5" i="1"/>
  <c r="R5" i="1"/>
  <c r="S5" i="1"/>
  <c r="X3" i="1"/>
  <c r="Y3" i="1"/>
  <c r="R3" i="1"/>
  <c r="S3" i="1" s="1"/>
</calcChain>
</file>

<file path=xl/sharedStrings.xml><?xml version="1.0" encoding="utf-8"?>
<sst xmlns="http://schemas.openxmlformats.org/spreadsheetml/2006/main" count="10323" uniqueCount="3586">
  <si>
    <t>REGION</t>
  </si>
  <si>
    <t>AREA</t>
  </si>
  <si>
    <t>CODE</t>
  </si>
  <si>
    <t>SAP</t>
  </si>
  <si>
    <t>DEALERS NAME</t>
  </si>
  <si>
    <t>DOA</t>
  </si>
  <si>
    <t>Targeted Dealer</t>
  </si>
  <si>
    <t>EXCLUSIVE DEALER</t>
  </si>
  <si>
    <t>June'26 Tgt</t>
  </si>
  <si>
    <t>Prorata Tgt</t>
  </si>
  <si>
    <t>Shortfall</t>
  </si>
  <si>
    <t>Prorata Achv %</t>
  </si>
  <si>
    <t>June'26 SALE</t>
  </si>
  <si>
    <t>May'26 DEALER</t>
  </si>
  <si>
    <t>VARIENCE</t>
  </si>
  <si>
    <t>GROWTH %</t>
  </si>
  <si>
    <t>June-26 Vs May-26</t>
  </si>
  <si>
    <t>June-25 SALE</t>
  </si>
  <si>
    <t>May-25 Dealer</t>
  </si>
  <si>
    <t>LYSM VARIENCE</t>
  </si>
  <si>
    <t>LYSM GROWTH %</t>
  </si>
  <si>
    <t>ZERO</t>
  </si>
  <si>
    <t>SD</t>
  </si>
  <si>
    <t>6 months avg sales</t>
  </si>
  <si>
    <t>NE 1</t>
  </si>
  <si>
    <t>NAGAON</t>
  </si>
  <si>
    <t>B014</t>
  </si>
  <si>
    <t>BANIK HARDWARE</t>
  </si>
  <si>
    <t>HOJAI</t>
  </si>
  <si>
    <t>S019</t>
  </si>
  <si>
    <t>SANDHYA HARDWARE STORES</t>
  </si>
  <si>
    <t>S078</t>
  </si>
  <si>
    <t>SREE BHANDER (SP FIRM)</t>
  </si>
  <si>
    <t>S012</t>
  </si>
  <si>
    <t>SAIKIA ENTERPRISE</t>
  </si>
  <si>
    <t>S113</t>
  </si>
  <si>
    <t>S.N.HARDWARE (NAGAON)</t>
  </si>
  <si>
    <t>R096</t>
  </si>
  <si>
    <t>RAFIK HARDWARE</t>
  </si>
  <si>
    <t>M238</t>
  </si>
  <si>
    <t>MAA HARDWARE (NAGAON)</t>
  </si>
  <si>
    <t>A162</t>
  </si>
  <si>
    <t>ALAM AGRO INDUSTRY</t>
  </si>
  <si>
    <t>NEM008</t>
  </si>
  <si>
    <t>MAA MANASA HARDWARE (HOJAI)</t>
  </si>
  <si>
    <t>NEM025</t>
  </si>
  <si>
    <t>MAHABIR HARDWARE (DOOM DOOMIA)</t>
  </si>
  <si>
    <t>NEA028</t>
  </si>
  <si>
    <t>A. HAQUE HARDWARE</t>
  </si>
  <si>
    <t>NES132</t>
  </si>
  <si>
    <t>SHARMA HARDWARE (NAGAON)</t>
  </si>
  <si>
    <t>NEM116</t>
  </si>
  <si>
    <t>MD NAJIM UDDIN (KAMPUR)</t>
  </si>
  <si>
    <t>NEH035</t>
  </si>
  <si>
    <t>HARIOM HARDWARE (DHING)</t>
  </si>
  <si>
    <t>NES190</t>
  </si>
  <si>
    <t>S K TRADING CO. (LUMDING)</t>
  </si>
  <si>
    <t>NEO009</t>
  </si>
  <si>
    <t>OJA HARDWARE (KOLONGPAR)</t>
  </si>
  <si>
    <t>KARBIANGLONG</t>
  </si>
  <si>
    <t>NEH047</t>
  </si>
  <si>
    <t>HANUMAN BHANDAR (BOKOLIA)</t>
  </si>
  <si>
    <t>NES262</t>
  </si>
  <si>
    <t>SANDHYA HARDWARE (JAMUNAMUKH)</t>
  </si>
  <si>
    <t>NEM194</t>
  </si>
  <si>
    <t>MUSTAKIM HARDWARE</t>
  </si>
  <si>
    <t>NEA209</t>
  </si>
  <si>
    <t>AYUSH HARDWARE</t>
  </si>
  <si>
    <t>NER151</t>
  </si>
  <si>
    <t>RAJIA HARDWARE</t>
  </si>
  <si>
    <t>NEM230</t>
  </si>
  <si>
    <t>MI HARDWARE &amp; CEMENT</t>
  </si>
  <si>
    <t>NEM242</t>
  </si>
  <si>
    <t>MAA TRADERS (BOKAJAN)</t>
  </si>
  <si>
    <t>NES383</t>
  </si>
  <si>
    <t>SHIV SAI SUPPLIER</t>
  </si>
  <si>
    <t>NEB201</t>
  </si>
  <si>
    <t>BALAJI HARDWARE (DIPHU)</t>
  </si>
  <si>
    <t>NEK137</t>
  </si>
  <si>
    <t>KRISHNA KUMAR GHOSH AND SONS</t>
  </si>
  <si>
    <t>NEJ109</t>
  </si>
  <si>
    <t>J. SIDDIKA HARDWARE</t>
  </si>
  <si>
    <t>NES454</t>
  </si>
  <si>
    <t>SHIV SANKAR HARDWARE</t>
  </si>
  <si>
    <t>NEM280</t>
  </si>
  <si>
    <t>MAA BHAWANI HARDWARE (NGN)</t>
  </si>
  <si>
    <t>NES485</t>
  </si>
  <si>
    <t>SAIKIA HARDWARE-NGN</t>
  </si>
  <si>
    <t>NEK151</t>
  </si>
  <si>
    <t>KALPANA HARDWARE-NGN</t>
  </si>
  <si>
    <t>NEP214</t>
  </si>
  <si>
    <t>PINKI HARDWARE - NGN</t>
  </si>
  <si>
    <t>NEA343</t>
  </si>
  <si>
    <t>A.K. HARDWARE</t>
  </si>
  <si>
    <t>NER243</t>
  </si>
  <si>
    <t>RAJESH HARDWARE SHOP-HOJAI</t>
  </si>
  <si>
    <t>NEN191</t>
  </si>
  <si>
    <t>NIDEESHWARAM HARDWARE</t>
  </si>
  <si>
    <t>NEN194</t>
  </si>
  <si>
    <t>N.J. HARDWARE</t>
  </si>
  <si>
    <t>NEM349</t>
  </si>
  <si>
    <t>MOROMI ENTERPRISE</t>
  </si>
  <si>
    <t>NEM353</t>
  </si>
  <si>
    <t>M.H. ENTERPRISE</t>
  </si>
  <si>
    <t>NEB305</t>
  </si>
  <si>
    <t>BABU HARDWARE</t>
  </si>
  <si>
    <t>NEM358</t>
  </si>
  <si>
    <t>MAZUMDER HARDWARE</t>
  </si>
  <si>
    <t>NEA371</t>
  </si>
  <si>
    <t>ASHOK KEJARIWAL</t>
  </si>
  <si>
    <t>NEA376</t>
  </si>
  <si>
    <t>ALIM ENTERPRISE</t>
  </si>
  <si>
    <t>NEM381</t>
  </si>
  <si>
    <t>MAA LAXMI HARDWARE</t>
  </si>
  <si>
    <t>NES664</t>
  </si>
  <si>
    <t>SWASTIK HARDWARE STORE</t>
  </si>
  <si>
    <t>NED225</t>
  </si>
  <si>
    <t>DEV HARDWARES</t>
  </si>
  <si>
    <t>NED226</t>
  </si>
  <si>
    <t>DEVI TRADERS</t>
  </si>
  <si>
    <t>NEP265</t>
  </si>
  <si>
    <t>PRINCE HARDWARE</t>
  </si>
  <si>
    <t>NEJ170</t>
  </si>
  <si>
    <t>J.D. HARDWARE</t>
  </si>
  <si>
    <t>NEC128</t>
  </si>
  <si>
    <t>CHOUDHURY HARDWARE</t>
  </si>
  <si>
    <t>NEK207</t>
  </si>
  <si>
    <t>K.D. HARDWARE</t>
  </si>
  <si>
    <t>NEH150</t>
  </si>
  <si>
    <t>HILLS HARDWARE &amp; GLASS</t>
  </si>
  <si>
    <t>NEA430</t>
  </si>
  <si>
    <t>ANISUR ZAMAN</t>
  </si>
  <si>
    <t>NEG155</t>
  </si>
  <si>
    <t>G.S. HARDWARE</t>
  </si>
  <si>
    <t>NEB363</t>
  </si>
  <si>
    <t>BAJRANG HARDWARE</t>
  </si>
  <si>
    <t>NEM428</t>
  </si>
  <si>
    <t>MMR HARDWARE STORE</t>
  </si>
  <si>
    <t>NEN30</t>
  </si>
  <si>
    <t>NEW SUMAN ENTERPRISE</t>
  </si>
  <si>
    <t>NEB365</t>
  </si>
  <si>
    <t>BALAJI HARDWER AND KRISHI BHANDAR</t>
  </si>
  <si>
    <t>NES729</t>
  </si>
  <si>
    <t>SABNUR HARDWARE</t>
  </si>
  <si>
    <t>NEJ189</t>
  </si>
  <si>
    <t>JALAL HARDWARE</t>
  </si>
  <si>
    <t>NEF028</t>
  </si>
  <si>
    <t>FARUQUE HARDWARE</t>
  </si>
  <si>
    <t>NEM449</t>
  </si>
  <si>
    <t>MAA BELA HARDWARE STORE</t>
  </si>
  <si>
    <t>N C Hills</t>
  </si>
  <si>
    <t>J082</t>
  </si>
  <si>
    <t>JAYRAM BHANDER</t>
  </si>
  <si>
    <t>NEA027</t>
  </si>
  <si>
    <t>ANNAPURNA TRADE SYNDICATE</t>
  </si>
  <si>
    <t>NED036</t>
  </si>
  <si>
    <t>DEY &amp; SONS</t>
  </si>
  <si>
    <t>NER186</t>
  </si>
  <si>
    <t>RENU BEGUM STORE</t>
  </si>
  <si>
    <t>NES422</t>
  </si>
  <si>
    <t>SMTI KISETEULE ZEME</t>
  </si>
  <si>
    <t>NEK142</t>
  </si>
  <si>
    <t>KARANI ENTERPRISE (NGN)</t>
  </si>
  <si>
    <t>NEM316</t>
  </si>
  <si>
    <t>MAA HARDWARE - NCH</t>
  </si>
  <si>
    <t>NER240</t>
  </si>
  <si>
    <t>RAMKRISHNA HARDWARE-DIMA HASAO</t>
  </si>
  <si>
    <t>NEO035</t>
  </si>
  <si>
    <t>OMIOO HARDWARE</t>
  </si>
  <si>
    <t>N C HILLS</t>
  </si>
  <si>
    <t>NER323</t>
  </si>
  <si>
    <t>RANUP BODO</t>
  </si>
  <si>
    <t>NES744</t>
  </si>
  <si>
    <t>SUBHASH MALAKAR</t>
  </si>
  <si>
    <t>TEZPUR</t>
  </si>
  <si>
    <t>S036</t>
  </si>
  <si>
    <t>SHANKAR HARDWARE</t>
  </si>
  <si>
    <t>BISWANATH</t>
  </si>
  <si>
    <t>J015</t>
  </si>
  <si>
    <t>JAISWAL ENTERPRISES (TEZPUR)</t>
  </si>
  <si>
    <t>G029</t>
  </si>
  <si>
    <t>GOSWAMI HARDWARE</t>
  </si>
  <si>
    <t>L029</t>
  </si>
  <si>
    <t>LAXMI NARAYAN OM PRAKASH</t>
  </si>
  <si>
    <t>J045</t>
  </si>
  <si>
    <t>JOSHI ENTERPRISE</t>
  </si>
  <si>
    <t>S245</t>
  </si>
  <si>
    <t>SHREE GANESH HARDWARE (TEZPUR)</t>
  </si>
  <si>
    <t>N066</t>
  </si>
  <si>
    <t xml:space="preserve">NATHU HARDWARE </t>
  </si>
  <si>
    <t>A144</t>
  </si>
  <si>
    <t>ASSAM STORES (TEZPUR)</t>
  </si>
  <si>
    <t>K132</t>
  </si>
  <si>
    <t>KALITA ENTERPRISE (TEZPUR)</t>
  </si>
  <si>
    <t>G095</t>
  </si>
  <si>
    <t>GANAPATI HARDWARE (TEZPUR)</t>
  </si>
  <si>
    <t>P166</t>
  </si>
  <si>
    <t>PURBANCHAL HARDWARE (TEZPUR)</t>
  </si>
  <si>
    <t>D164</t>
  </si>
  <si>
    <t>DAS &amp; SON'S</t>
  </si>
  <si>
    <t>NET036</t>
  </si>
  <si>
    <t>TURANGA HARDWARE</t>
  </si>
  <si>
    <t>NEN068</t>
  </si>
  <si>
    <t>NEW J P HARDWARE (TEZPUR)</t>
  </si>
  <si>
    <t>NEK065</t>
  </si>
  <si>
    <t>KAMAKHYA HARDWARE (TEZPUR)</t>
  </si>
  <si>
    <t>NEC069</t>
  </si>
  <si>
    <t>CHUNU HARDWARE</t>
  </si>
  <si>
    <t>NEM207</t>
  </si>
  <si>
    <t>MAHESH HARDWARE (BHALUKPONG)</t>
  </si>
  <si>
    <t>NEJ082</t>
  </si>
  <si>
    <t>J P HARDWARE (BNC)</t>
  </si>
  <si>
    <t>NEL058</t>
  </si>
  <si>
    <t>L K ENTERPRISE (TEZ)</t>
  </si>
  <si>
    <t>NED155</t>
  </si>
  <si>
    <t>DEEPIKA ENTERPRISE</t>
  </si>
  <si>
    <t>NEK141</t>
  </si>
  <si>
    <t>K S HARDWARE (HAWAJAN)</t>
  </si>
  <si>
    <t>NEM274</t>
  </si>
  <si>
    <t>MAA KAMAKHYA HARDWARE (TEZPUR)</t>
  </si>
  <si>
    <t>NEM303</t>
  </si>
  <si>
    <t>MISHRA HARDWARE - TEZ</t>
  </si>
  <si>
    <t>NEB259</t>
  </si>
  <si>
    <t>BIJOY STORE - TEZ</t>
  </si>
  <si>
    <t>NEM327</t>
  </si>
  <si>
    <t>MARUTI ASSOCIATES</t>
  </si>
  <si>
    <t>NEP222</t>
  </si>
  <si>
    <t>PRIYAMBANI STORES</t>
  </si>
  <si>
    <t>NEB277</t>
  </si>
  <si>
    <t>B.D. HARDWARE-TEZPUR</t>
  </si>
  <si>
    <t>NER247</t>
  </si>
  <si>
    <t>R.K. ENTERPRISES</t>
  </si>
  <si>
    <t>NED218</t>
  </si>
  <si>
    <t>D.R. ENTERPRISE</t>
  </si>
  <si>
    <t>NES656</t>
  </si>
  <si>
    <t>SHIVAM HARDWARE</t>
  </si>
  <si>
    <t>NEY014</t>
  </si>
  <si>
    <t>YASH HARDWARE</t>
  </si>
  <si>
    <t>NEP269</t>
  </si>
  <si>
    <t>PURNIMA STORE</t>
  </si>
  <si>
    <t>NEJ171</t>
  </si>
  <si>
    <t>JUNAKY HARDWARE</t>
  </si>
  <si>
    <t>NEN218</t>
  </si>
  <si>
    <t>N C STORE</t>
  </si>
  <si>
    <t>NES675</t>
  </si>
  <si>
    <t>SHANKAR  HARDWARE</t>
  </si>
  <si>
    <t>NES679</t>
  </si>
  <si>
    <t>SUNIL HARDWARE</t>
  </si>
  <si>
    <t>NES703</t>
  </si>
  <si>
    <t>SHYAM HARDWARE STORES</t>
  </si>
  <si>
    <t>NEA432</t>
  </si>
  <si>
    <t>A STAR STORE</t>
  </si>
  <si>
    <t>NED238</t>
  </si>
  <si>
    <t>DOLEY ENTERPRISE</t>
  </si>
  <si>
    <t>NEK216</t>
  </si>
  <si>
    <t>KAMAL HARDWARE</t>
  </si>
  <si>
    <t>NEM419</t>
  </si>
  <si>
    <t>MAA CHARU HARDWARE</t>
  </si>
  <si>
    <t>NEM425</t>
  </si>
  <si>
    <t>MAHESHWARI ENTERPRISES</t>
  </si>
  <si>
    <t>NES727</t>
  </si>
  <si>
    <t>SHANTI SUPPLY</t>
  </si>
  <si>
    <t>NES731</t>
  </si>
  <si>
    <t>SOMAYA HARDWARE</t>
  </si>
  <si>
    <t>LAKHIMPUR</t>
  </si>
  <si>
    <t>S082</t>
  </si>
  <si>
    <t>SRI JAGDAMBA HARDWARE STORES</t>
  </si>
  <si>
    <t>R033</t>
  </si>
  <si>
    <t>ROY HARDWARE STORE (LALUK)</t>
  </si>
  <si>
    <t>DHEMAJI</t>
  </si>
  <si>
    <t>A045</t>
  </si>
  <si>
    <t>ASSAM TRADERS (DHEMAJI)</t>
  </si>
  <si>
    <t>A095</t>
  </si>
  <si>
    <t>AGARWALLA STORES</t>
  </si>
  <si>
    <t>M129</t>
  </si>
  <si>
    <t>MANISH TRADING CO.</t>
  </si>
  <si>
    <t>M185</t>
  </si>
  <si>
    <t>MAHALAXMI HARDWARE (DHEMAJI)</t>
  </si>
  <si>
    <t>S293</t>
  </si>
  <si>
    <t>SUBHAM HARDWARE</t>
  </si>
  <si>
    <t>B147</t>
  </si>
  <si>
    <t>BAPI HARDWARE</t>
  </si>
  <si>
    <t>B170</t>
  </si>
  <si>
    <t>B.M.HARDWARE &amp; MACHINERY STORE</t>
  </si>
  <si>
    <t>NER018</t>
  </si>
  <si>
    <t>RAJ VIKASH STEEL CENTRE</t>
  </si>
  <si>
    <t>NEH022</t>
  </si>
  <si>
    <t>HARDWARE HOUSE (SILAPATHAR)</t>
  </si>
  <si>
    <t>NEJ042</t>
  </si>
  <si>
    <t>J B STORES  (DHAKUAKHANA)</t>
  </si>
  <si>
    <t>NES187</t>
  </si>
  <si>
    <t>SHIV BHANDAR (NLP)</t>
  </si>
  <si>
    <t>NES188</t>
  </si>
  <si>
    <t>SENCHOWA HARDWARE</t>
  </si>
  <si>
    <t>NES210</t>
  </si>
  <si>
    <t>SUNITA ENTERPRISE</t>
  </si>
  <si>
    <t>NEA161</t>
  </si>
  <si>
    <t>AJAY KUMAR AGARWALLA</t>
  </si>
  <si>
    <t>NEK077</t>
  </si>
  <si>
    <t>KRISHNA ENTERPRISE</t>
  </si>
  <si>
    <t>NES228</t>
  </si>
  <si>
    <t>SHARMA H.W. STORES</t>
  </si>
  <si>
    <t>NES291</t>
  </si>
  <si>
    <t>SHREE GANESH STEEL</t>
  </si>
  <si>
    <t>NER152</t>
  </si>
  <si>
    <t>R R HARDWARE</t>
  </si>
  <si>
    <t>NER153</t>
  </si>
  <si>
    <t>RAJKHOWA HARDWARE (NLP)</t>
  </si>
  <si>
    <t>NES357</t>
  </si>
  <si>
    <t>SHIKHA HARDWARE</t>
  </si>
  <si>
    <t>NEB192</t>
  </si>
  <si>
    <t>BALAJI ENTERPRISE (NLP)</t>
  </si>
  <si>
    <t>NES373</t>
  </si>
  <si>
    <t>SAURABH HARDWARE</t>
  </si>
  <si>
    <t>NEU030</t>
  </si>
  <si>
    <t>USMAN HARDWARE &amp; ELECTRICAL</t>
  </si>
  <si>
    <t>NEA282</t>
  </si>
  <si>
    <t>A.B. ENTERPRISE (NLP)</t>
  </si>
  <si>
    <t>NES457</t>
  </si>
  <si>
    <t>SAIKIA HARDWARE (NLP)</t>
  </si>
  <si>
    <t>NEK149</t>
  </si>
  <si>
    <t>K K TRADERS - NLP</t>
  </si>
  <si>
    <t>NEC099</t>
  </si>
  <si>
    <t>CHUTIA HARDWARE STORE</t>
  </si>
  <si>
    <t>NEB256</t>
  </si>
  <si>
    <t>BHATTA HARDWARE - NLP</t>
  </si>
  <si>
    <t>NER226</t>
  </si>
  <si>
    <t>R.K.HARDWARE STORE - NLP</t>
  </si>
  <si>
    <t>NEI034</t>
  </si>
  <si>
    <t>ISLAM HARDWARE STORE - NLP</t>
  </si>
  <si>
    <t>NEN180</t>
  </si>
  <si>
    <t>NEW BHAWANI HARDWARE - NLP</t>
  </si>
  <si>
    <t>NEP218</t>
  </si>
  <si>
    <t>P.D. ENTERPRISE - NLP</t>
  </si>
  <si>
    <t>NET164</t>
  </si>
  <si>
    <t>TIRUPATI ENTERPRISE - NLP</t>
  </si>
  <si>
    <t>NEH112</t>
  </si>
  <si>
    <t>HAZARIKA HARDWARE</t>
  </si>
  <si>
    <t>NEB280</t>
  </si>
  <si>
    <t>BAJRANG HARDWARE STORE-NLP</t>
  </si>
  <si>
    <t>NED214</t>
  </si>
  <si>
    <t>DHRITI ENTERPRISE</t>
  </si>
  <si>
    <t>NEC115</t>
  </si>
  <si>
    <t>CHANGMAI HARDWARE</t>
  </si>
  <si>
    <t>NEA379</t>
  </si>
  <si>
    <t>AYUSH TILES &amp; BATHWARE</t>
  </si>
  <si>
    <t>NEN214</t>
  </si>
  <si>
    <t>NIKU HARDWARE</t>
  </si>
  <si>
    <t>NEB330</t>
  </si>
  <si>
    <t>BORAH HARDWARE</t>
  </si>
  <si>
    <t>NER293</t>
  </si>
  <si>
    <t>RAVI STORE</t>
  </si>
  <si>
    <t>NER301</t>
  </si>
  <si>
    <t>R.N. ENTERPRISE</t>
  </si>
  <si>
    <t>NES732</t>
  </si>
  <si>
    <t>SHIVAA ENTERPRISES</t>
  </si>
  <si>
    <t>NEB373</t>
  </si>
  <si>
    <t>BHARAT ENTERPRISE</t>
  </si>
  <si>
    <t>AP- Banderdewa</t>
  </si>
  <si>
    <t>NET043</t>
  </si>
  <si>
    <t>TADO ENTERPRISE (AP NORTH)</t>
  </si>
  <si>
    <t>NEA098</t>
  </si>
  <si>
    <t>AMAR TRADING CO. (NIRJULI)</t>
  </si>
  <si>
    <t>NEM172</t>
  </si>
  <si>
    <t>MEGHA TRADE CENTRE</t>
  </si>
  <si>
    <t>NEK133</t>
  </si>
  <si>
    <t>KIPA STEEL</t>
  </si>
  <si>
    <t>NET144</t>
  </si>
  <si>
    <t>TANA ENTERPRISES</t>
  </si>
  <si>
    <t>NEO026</t>
  </si>
  <si>
    <t>ONN AGENCY</t>
  </si>
  <si>
    <t>NEO027</t>
  </si>
  <si>
    <t>OM ENTERPRISES - APN</t>
  </si>
  <si>
    <t>NET156</t>
  </si>
  <si>
    <t>TARA MARBLES - APN</t>
  </si>
  <si>
    <t>NEG140</t>
  </si>
  <si>
    <t>GANGLE DALE ENTERPRISE</t>
  </si>
  <si>
    <t>NEA367</t>
  </si>
  <si>
    <t>ANIA ENTERPRISES</t>
  </si>
  <si>
    <t>NET175</t>
  </si>
  <si>
    <t>TANYA HARDWARE</t>
  </si>
  <si>
    <t>NEU046</t>
  </si>
  <si>
    <t>U A TRADERS</t>
  </si>
  <si>
    <t>NEJ163</t>
  </si>
  <si>
    <t>JADE MARKETING</t>
  </si>
  <si>
    <t>NER285</t>
  </si>
  <si>
    <t>R K ENTERPRISES</t>
  </si>
  <si>
    <t>NEA409</t>
  </si>
  <si>
    <t>ARUNACHAL TRADERS</t>
  </si>
  <si>
    <t>NEA415</t>
  </si>
  <si>
    <t>A.J. ENTERPRISES</t>
  </si>
  <si>
    <t>NEN226</t>
  </si>
  <si>
    <t>N.A. ENTERPRISE</t>
  </si>
  <si>
    <t>NEI047</t>
  </si>
  <si>
    <t>ICICLE ENTERPRISES</t>
  </si>
  <si>
    <t>NEL131</t>
  </si>
  <si>
    <t>L.R.R ENTERPRISE</t>
  </si>
  <si>
    <t>NES742</t>
  </si>
  <si>
    <t>SANGO ENTERPIRSES</t>
  </si>
  <si>
    <t>AP- Lekhabali</t>
  </si>
  <si>
    <t>NEM017</t>
  </si>
  <si>
    <t>MARPI WIRE PRODUCT</t>
  </si>
  <si>
    <t>NEA011</t>
  </si>
  <si>
    <t>NED092</t>
  </si>
  <si>
    <t>D.L. BROS ENTERPRISES (AP)</t>
  </si>
  <si>
    <t>NET088</t>
  </si>
  <si>
    <t>TAGA ENTERPRISES</t>
  </si>
  <si>
    <t>NEM187</t>
  </si>
  <si>
    <t>MEMO HARDWARE AGENCY</t>
  </si>
  <si>
    <t>NEY008</t>
  </si>
  <si>
    <t>YAYING ENTERPRISES (AP)</t>
  </si>
  <si>
    <t>NEM248</t>
  </si>
  <si>
    <t>MRT STORE</t>
  </si>
  <si>
    <t>NEK140</t>
  </si>
  <si>
    <t>KSP ENTERPRISES</t>
  </si>
  <si>
    <t>NEC109</t>
  </si>
  <si>
    <t>COSMOS PHOENIX</t>
  </si>
  <si>
    <t>NEN190</t>
  </si>
  <si>
    <t>NUNG ENTERPRISE</t>
  </si>
  <si>
    <t>NEU044</t>
  </si>
  <si>
    <t>U.K.H. ENTERPRISE</t>
  </si>
  <si>
    <t>NEM347</t>
  </si>
  <si>
    <t>M P ENTERPRISE</t>
  </si>
  <si>
    <t>NEN205</t>
  </si>
  <si>
    <t>N.N.N ENTERPRISES</t>
  </si>
  <si>
    <t>NEN216</t>
  </si>
  <si>
    <t>NAMAMI ENTERPRISES</t>
  </si>
  <si>
    <t>NEZ021</t>
  </si>
  <si>
    <t>ZIRDO ENTERPRISE</t>
  </si>
  <si>
    <t>NEL111</t>
  </si>
  <si>
    <t>LEGONG AGENCY</t>
  </si>
  <si>
    <t>NEK197</t>
  </si>
  <si>
    <t>K.K.ENTERPRISE</t>
  </si>
  <si>
    <t>NES676</t>
  </si>
  <si>
    <t>SHANTI ENTERPRISE</t>
  </si>
  <si>
    <t>NEG164</t>
  </si>
  <si>
    <t>GUMIN ENTERPRISES</t>
  </si>
  <si>
    <t>NEJ177</t>
  </si>
  <si>
    <t>JONNAM INFRASTRUCTURE</t>
  </si>
  <si>
    <t>NEB342</t>
  </si>
  <si>
    <t>B.S. ENTERPRISE</t>
  </si>
  <si>
    <t>NEM417</t>
  </si>
  <si>
    <t>M.B.TRADING CO.</t>
  </si>
  <si>
    <t>NEM424</t>
  </si>
  <si>
    <t>M M ENTERPRISES</t>
  </si>
  <si>
    <t>NEM441</t>
  </si>
  <si>
    <t>M/S DARANG</t>
  </si>
  <si>
    <t>NEB372</t>
  </si>
  <si>
    <t>BHARAT INFRASTRUCTURE</t>
  </si>
  <si>
    <t>JORHAT</t>
  </si>
  <si>
    <t>S172</t>
  </si>
  <si>
    <t>S.S. ENTERPRISE (SIBSAGAR)</t>
  </si>
  <si>
    <t>K063</t>
  </si>
  <si>
    <t>KAMAKHYA HARDWARE STORES</t>
  </si>
  <si>
    <t>J046</t>
  </si>
  <si>
    <t>J.P.HARDWARE &amp; ELECTRICALS</t>
  </si>
  <si>
    <t>M134</t>
  </si>
  <si>
    <t>M.M.HARDWARE STORE</t>
  </si>
  <si>
    <t>S210</t>
  </si>
  <si>
    <t>SINGH TRADE &amp; COMMERCE</t>
  </si>
  <si>
    <t>S555</t>
  </si>
  <si>
    <t>S.K.HARDWARE (JORHAT)</t>
  </si>
  <si>
    <t>NEB020</t>
  </si>
  <si>
    <t>BORAH BROTHERS</t>
  </si>
  <si>
    <t>NEB042</t>
  </si>
  <si>
    <t>BEGRAJ MURLIDHAR</t>
  </si>
  <si>
    <t>NER066</t>
  </si>
  <si>
    <t>RUKMANI ENTERPRISE (JORHAT)</t>
  </si>
  <si>
    <t>NEP064</t>
  </si>
  <si>
    <t>P.K ENTERPRISE (AMGURI)</t>
  </si>
  <si>
    <t>NEB054</t>
  </si>
  <si>
    <t>B D ENTERPRISE (AMGURI)</t>
  </si>
  <si>
    <t>NEN046</t>
  </si>
  <si>
    <t>NEW ASSAM HARDWARE (TEOK)</t>
  </si>
  <si>
    <t>NES166</t>
  </si>
  <si>
    <t>SHEW HARDWARE (JORHAT)</t>
  </si>
  <si>
    <t>NEH051</t>
  </si>
  <si>
    <t>HANCHARA HARDWARE STORE</t>
  </si>
  <si>
    <t>NED126</t>
  </si>
  <si>
    <t>DEEPJYOTI STORE</t>
  </si>
  <si>
    <t>NES406</t>
  </si>
  <si>
    <t>SHIV SHAKTI HARDWARE (JOR)</t>
  </si>
  <si>
    <t>NEJ097</t>
  </si>
  <si>
    <t>JANMONI HARDWARE AND SUPPLIERS</t>
  </si>
  <si>
    <t>NEJ108</t>
  </si>
  <si>
    <t>JAGDISH PRASAD GOPIKISHAN</t>
  </si>
  <si>
    <t>NEH094</t>
  </si>
  <si>
    <t>HANUMAN ENTERPRISE (JHT)</t>
  </si>
  <si>
    <t>NEL086</t>
  </si>
  <si>
    <t>LAXMI ENTERPRISE - JHT</t>
  </si>
  <si>
    <t>NED212</t>
  </si>
  <si>
    <t>DUTTA HARDWARE</t>
  </si>
  <si>
    <t>NEN201</t>
  </si>
  <si>
    <t>N B SUPPLIERS</t>
  </si>
  <si>
    <t>NER266</t>
  </si>
  <si>
    <t>RAMCHANDRA JAYPRAKASH</t>
  </si>
  <si>
    <t>NEM371</t>
  </si>
  <si>
    <t>MAAHABOLI ENTERPRISE</t>
  </si>
  <si>
    <t>NEB324</t>
  </si>
  <si>
    <t>BORUAH &amp; SONS ENTERPRISE</t>
  </si>
  <si>
    <t>NES652</t>
  </si>
  <si>
    <t>S.B.TIMBER</t>
  </si>
  <si>
    <t>NEJ188</t>
  </si>
  <si>
    <t>J.R. HOSES</t>
  </si>
  <si>
    <t>GOLAGHAT</t>
  </si>
  <si>
    <t>H012</t>
  </si>
  <si>
    <t>HIRALAL AGARWALA</t>
  </si>
  <si>
    <t>G035</t>
  </si>
  <si>
    <t>GARODIA HARDWARE STORES</t>
  </si>
  <si>
    <t>S186</t>
  </si>
  <si>
    <t>SHANTI TRADE</t>
  </si>
  <si>
    <t>G097</t>
  </si>
  <si>
    <t>GANAPATI HARDWARE (GOLAGHAT)</t>
  </si>
  <si>
    <t>NEG015</t>
  </si>
  <si>
    <t>GANAPATI TRADE &amp; ELECTRICALS</t>
  </si>
  <si>
    <t>NEH020</t>
  </si>
  <si>
    <t>HARI OM ENTERPRISE (GOLAGHAT)</t>
  </si>
  <si>
    <t>NEG063</t>
  </si>
  <si>
    <t>G L ENTERPRISE</t>
  </si>
  <si>
    <t>NEL057</t>
  </si>
  <si>
    <t>LAXMI STORES (GOL)</t>
  </si>
  <si>
    <t>NEB210</t>
  </si>
  <si>
    <t>BHAWANI STORE</t>
  </si>
  <si>
    <t>NEG119</t>
  </si>
  <si>
    <t>GOLAGHAT HARDWARE</t>
  </si>
  <si>
    <t>NED164</t>
  </si>
  <si>
    <t>DHANANJOY SINGH</t>
  </si>
  <si>
    <t>NES478</t>
  </si>
  <si>
    <t>SURAVI ENTERPRISE</t>
  </si>
  <si>
    <t>NEM308</t>
  </si>
  <si>
    <t>MAHABIR HARDWARE - GLGT</t>
  </si>
  <si>
    <t>NES534</t>
  </si>
  <si>
    <t>SINDHU AGRIWARE</t>
  </si>
  <si>
    <t>NEJ130</t>
  </si>
  <si>
    <t>JALLAN ENTERPRISE - GOL</t>
  </si>
  <si>
    <t>Sibsagar</t>
  </si>
  <si>
    <t>S060</t>
  </si>
  <si>
    <t>SHYAM ENTERPRISE</t>
  </si>
  <si>
    <t>J012</t>
  </si>
  <si>
    <t>JAGATI ENTERPRISE</t>
  </si>
  <si>
    <t>S185</t>
  </si>
  <si>
    <t>SHYAM STEEL</t>
  </si>
  <si>
    <t>S457</t>
  </si>
  <si>
    <t>SILASAKHU HARDWARE &amp; ELECTRICALS</t>
  </si>
  <si>
    <t>NEP077</t>
  </si>
  <si>
    <t>PRADIP STORE (RAJMAI)</t>
  </si>
  <si>
    <t>NEP082</t>
  </si>
  <si>
    <t>PURBANCHAL HARDWARE (DEMOW)</t>
  </si>
  <si>
    <t>NEA268</t>
  </si>
  <si>
    <t>A S HARDWARE STORE</t>
  </si>
  <si>
    <t>NEM271</t>
  </si>
  <si>
    <t>MARUTI HARDWARE (SIB)</t>
  </si>
  <si>
    <t>NEM335</t>
  </si>
  <si>
    <t>MAA HARDWARE-SIVASAGAR</t>
  </si>
  <si>
    <t>NEG147</t>
  </si>
  <si>
    <t>GONESH HARDWARE STORES</t>
  </si>
  <si>
    <t>NEJ143</t>
  </si>
  <si>
    <t>JAGDAMBA ENTERPRISE</t>
  </si>
  <si>
    <t>NEB284</t>
  </si>
  <si>
    <t>BARUWATI HARDWARE</t>
  </si>
  <si>
    <t>NEN193</t>
  </si>
  <si>
    <t>NEW TARUN HARDWARE STORE</t>
  </si>
  <si>
    <t>NEM382</t>
  </si>
  <si>
    <t>MOINA STORES</t>
  </si>
  <si>
    <t>NES659</t>
  </si>
  <si>
    <t>SUSHANTA CHANGMAI</t>
  </si>
  <si>
    <t>NES660</t>
  </si>
  <si>
    <t>SHYAM CONSTRUCTION &amp; SUPPLIERS</t>
  </si>
  <si>
    <t>NEA425</t>
  </si>
  <si>
    <t>A B HARDWARE STORE</t>
  </si>
  <si>
    <t>DIBRUGARH</t>
  </si>
  <si>
    <t>B012</t>
  </si>
  <si>
    <t>BALDEODAS GHANSHYAM DAS</t>
  </si>
  <si>
    <t>C011</t>
  </si>
  <si>
    <t>CEMENT CENTRE (MORAN)</t>
  </si>
  <si>
    <t>E002</t>
  </si>
  <si>
    <t>EASTERN TRADING</t>
  </si>
  <si>
    <t>A048</t>
  </si>
  <si>
    <t>ATMARAM AGARWAL</t>
  </si>
  <si>
    <t>L035</t>
  </si>
  <si>
    <t>LAXMI HARDWARE STORES (DIBRUGARH)</t>
  </si>
  <si>
    <t>P079</t>
  </si>
  <si>
    <t>PAWAN ENTERPRISE</t>
  </si>
  <si>
    <t>S179</t>
  </si>
  <si>
    <t>SATI TRADING CO</t>
  </si>
  <si>
    <t>B145</t>
  </si>
  <si>
    <t>BAJRANGBALI STORES</t>
  </si>
  <si>
    <t>A146</t>
  </si>
  <si>
    <t>ANUSUIYA CYCLE &amp; HARDWARE STORE</t>
  </si>
  <si>
    <t>P138</t>
  </si>
  <si>
    <t>P.K. HARDWARE STORE</t>
  </si>
  <si>
    <t>M263</t>
  </si>
  <si>
    <t>M.B.STEEL</t>
  </si>
  <si>
    <t>NEC017</t>
  </si>
  <si>
    <t>CHABUA HARDWARE</t>
  </si>
  <si>
    <t>NEB024</t>
  </si>
  <si>
    <t>BRAHMAPUTRA SALES CORPORATION</t>
  </si>
  <si>
    <t>NEK048</t>
  </si>
  <si>
    <t>KANTA HARDWARE (CHOWKIDINGHEE)</t>
  </si>
  <si>
    <t>NEK053</t>
  </si>
  <si>
    <t>KEJRIWAL BROTHERS (DIBRUGARH)</t>
  </si>
  <si>
    <t>NEP132</t>
  </si>
  <si>
    <t>PURBANCHAL UDYOG (DIB)</t>
  </si>
  <si>
    <t>NEB168</t>
  </si>
  <si>
    <t>BHARAT ISPAT</t>
  </si>
  <si>
    <t>NEP172</t>
  </si>
  <si>
    <t>PURNA HARDWARE STORES</t>
  </si>
  <si>
    <t>NER171</t>
  </si>
  <si>
    <t>R D STORE</t>
  </si>
  <si>
    <t>NED146</t>
  </si>
  <si>
    <t>DHELIA &amp; SONS</t>
  </si>
  <si>
    <t>NER198</t>
  </si>
  <si>
    <t>RAJ LAXMI AJENCIES</t>
  </si>
  <si>
    <t>NEJ113</t>
  </si>
  <si>
    <t>J.J. HARDWARE STORE</t>
  </si>
  <si>
    <t>NEJ114</t>
  </si>
  <si>
    <t>J.P.TRADING - DBR</t>
  </si>
  <si>
    <t>NEC103</t>
  </si>
  <si>
    <t>CHENIREEMA TRADERS - DBR</t>
  </si>
  <si>
    <t>NEK159</t>
  </si>
  <si>
    <t>K.L.&amp; SONS</t>
  </si>
  <si>
    <t>NES613</t>
  </si>
  <si>
    <t>SHREE GANESH TRADERS</t>
  </si>
  <si>
    <t>NES648</t>
  </si>
  <si>
    <t>Shree Hari Hardware</t>
  </si>
  <si>
    <t>NEN215</t>
  </si>
  <si>
    <t>NANDINI ENTERPRISES</t>
  </si>
  <si>
    <t>NEB331</t>
  </si>
  <si>
    <t>BHAITI HARDWARE &amp; FABRICATION</t>
  </si>
  <si>
    <t>NEA416</t>
  </si>
  <si>
    <t>AMKEY TIMBERS</t>
  </si>
  <si>
    <t>NES693</t>
  </si>
  <si>
    <t>SMA ENTERPRISES</t>
  </si>
  <si>
    <t>NEL119</t>
  </si>
  <si>
    <t>LUKHURAKHAN HARDWARE &amp; FABRICATION</t>
  </si>
  <si>
    <t>NEN29</t>
  </si>
  <si>
    <t>N.W. ENTERPRISE</t>
  </si>
  <si>
    <t>NEM435</t>
  </si>
  <si>
    <t>M.B. ENTERPRISE</t>
  </si>
  <si>
    <t>NES730</t>
  </si>
  <si>
    <t>SHYAMANTAMONI HARDWARE STORES</t>
  </si>
  <si>
    <t>NEK218</t>
  </si>
  <si>
    <t>KRISHNA HARDWARE</t>
  </si>
  <si>
    <t>NEB371</t>
  </si>
  <si>
    <t>BRAHMAPUTRA HARDWARE</t>
  </si>
  <si>
    <t>AP- Tinsukia Side</t>
  </si>
  <si>
    <t>S281</t>
  </si>
  <si>
    <t>SAMCHO HARDWARE TRADE AGENCY</t>
  </si>
  <si>
    <t>D098</t>
  </si>
  <si>
    <t>DIBANG ENTERPRISES</t>
  </si>
  <si>
    <t>NEW012</t>
  </si>
  <si>
    <t>WLB ENTERPRISES</t>
  </si>
  <si>
    <t>NES710</t>
  </si>
  <si>
    <t>SAWANG TRADERS</t>
  </si>
  <si>
    <t>NEJ187</t>
  </si>
  <si>
    <t>J.K ENTERPRISES</t>
  </si>
  <si>
    <t>TINSUKIA</t>
  </si>
  <si>
    <t>D011</t>
  </si>
  <si>
    <t>DENNY BENNY ASSOCIATES</t>
  </si>
  <si>
    <t>D012</t>
  </si>
  <si>
    <t>DHANDARIA TRADING CO.</t>
  </si>
  <si>
    <t>R039</t>
  </si>
  <si>
    <t>RAJESH TRADE &amp; AGENCY</t>
  </si>
  <si>
    <t>D072</t>
  </si>
  <si>
    <t>NER096</t>
  </si>
  <si>
    <t>R V HARDWARE AND STORE</t>
  </si>
  <si>
    <t>NEB114</t>
  </si>
  <si>
    <t>BIREN KUMAR</t>
  </si>
  <si>
    <t>NEM171</t>
  </si>
  <si>
    <t>MAMTA HARDWARE STORES</t>
  </si>
  <si>
    <t>NES412</t>
  </si>
  <si>
    <t>SAI HARDWARE</t>
  </si>
  <si>
    <t>NES441</t>
  </si>
  <si>
    <t>SHREE SHYAM HARDWARE</t>
  </si>
  <si>
    <t>NER195</t>
  </si>
  <si>
    <t>RAJESH TRADERS (TSK)</t>
  </si>
  <si>
    <t>NEB262</t>
  </si>
  <si>
    <t>BHAJANLAL SHARMA &amp; CO - TSK</t>
  </si>
  <si>
    <t>NEA338</t>
  </si>
  <si>
    <t>APURBA KR GOGOI HARDWARE</t>
  </si>
  <si>
    <t>NEA341</t>
  </si>
  <si>
    <t>ASHOK STEELS &amp; COMPANY</t>
  </si>
  <si>
    <t>NES580</t>
  </si>
  <si>
    <t>SHYAM PLY HOUSE</t>
  </si>
  <si>
    <t>NEB283</t>
  </si>
  <si>
    <t>BHAGWATI TRADER</t>
  </si>
  <si>
    <t>NEJ144</t>
  </si>
  <si>
    <t>JMD ENTERPRISE</t>
  </si>
  <si>
    <t>NEH139</t>
  </si>
  <si>
    <t>HIYA HARDWARE</t>
  </si>
  <si>
    <t>NES662</t>
  </si>
  <si>
    <t>SREE GONESH CEMENT AND HARDWARE</t>
  </si>
  <si>
    <t>NED244</t>
  </si>
  <si>
    <t>DIVYAM ENTERPRISE</t>
  </si>
  <si>
    <t>NES739</t>
  </si>
  <si>
    <t>SIRISH HARDWARE</t>
  </si>
  <si>
    <t>NEA463</t>
  </si>
  <si>
    <t>AKSHAYA STEEL AND HARDWARE STORES</t>
  </si>
  <si>
    <t>SHILLONG</t>
  </si>
  <si>
    <t>T029</t>
  </si>
  <si>
    <t>TWINLILIS LYNGKHOI</t>
  </si>
  <si>
    <t>S196</t>
  </si>
  <si>
    <t>SAINI HARDWARE</t>
  </si>
  <si>
    <t>S203</t>
  </si>
  <si>
    <t>SHRI KHRAWBOR LYNGKHOI</t>
  </si>
  <si>
    <t>S248</t>
  </si>
  <si>
    <t>SHRI DROSTAR LYNGDOH</t>
  </si>
  <si>
    <t>P115</t>
  </si>
  <si>
    <t>P.PHAWA</t>
  </si>
  <si>
    <t>S274</t>
  </si>
  <si>
    <t>SRI RAM TRADING</t>
  </si>
  <si>
    <t>G064</t>
  </si>
  <si>
    <t>G.S.RANI</t>
  </si>
  <si>
    <t>NEB103</t>
  </si>
  <si>
    <t>BASAIAWMOIT ENTERPRISE (SHILLONG)</t>
  </si>
  <si>
    <t>NES203</t>
  </si>
  <si>
    <t>SAMYO HARDWARE (SHILLONG)</t>
  </si>
  <si>
    <t>NES318</t>
  </si>
  <si>
    <t>SURENDRA IRON &amp; STEEL</t>
  </si>
  <si>
    <t>NES395</t>
  </si>
  <si>
    <t>SPINGSHON MAWLIEH</t>
  </si>
  <si>
    <t>NEK145</t>
  </si>
  <si>
    <t>KYRSHAN GYNDIANG</t>
  </si>
  <si>
    <t>NEK161</t>
  </si>
  <si>
    <t>KHARBULI ENTERPRISE</t>
  </si>
  <si>
    <t>NEF013</t>
  </si>
  <si>
    <t>F.H.L. ENTERPRISE</t>
  </si>
  <si>
    <t>NEP228</t>
  </si>
  <si>
    <t>POLO HILLS MACHINERY &amp; HARDWARE</t>
  </si>
  <si>
    <t>NEG148</t>
  </si>
  <si>
    <t>G.L. ENTERPRISE</t>
  </si>
  <si>
    <t>NEG149</t>
  </si>
  <si>
    <t>G D HARDWARES</t>
  </si>
  <si>
    <t>NES614</t>
  </si>
  <si>
    <t>SHUBHAM ENTERPRISES</t>
  </si>
  <si>
    <t>NEL114</t>
  </si>
  <si>
    <t>L. PYNGROPE HARDWARE</t>
  </si>
  <si>
    <t>NEB333</t>
  </si>
  <si>
    <t>BAJRANG HOME STUDIO</t>
  </si>
  <si>
    <t>NES736</t>
  </si>
  <si>
    <t>SNOWDROP HARDWARE</t>
  </si>
  <si>
    <t>JAINTIA HILLS</t>
  </si>
  <si>
    <t>M132</t>
  </si>
  <si>
    <t>MAMTA HARDWARE</t>
  </si>
  <si>
    <t>NEL034</t>
  </si>
  <si>
    <t>LYNGDOH HARDWARE (JOWAI)</t>
  </si>
  <si>
    <t>NEE040</t>
  </si>
  <si>
    <t>EJD HARDWARE</t>
  </si>
  <si>
    <t>NEL099</t>
  </si>
  <si>
    <t>LYNGDOH SALES CORPORATION</t>
  </si>
  <si>
    <t>NER295</t>
  </si>
  <si>
    <t>RS ENTERPRISE</t>
  </si>
  <si>
    <t>MANIPUR</t>
  </si>
  <si>
    <t>S432</t>
  </si>
  <si>
    <t>SHANTIPUR HARDWARE STORE</t>
  </si>
  <si>
    <t>D131</t>
  </si>
  <si>
    <t>DY BEREN ANAL ENTERPRISES</t>
  </si>
  <si>
    <t>NET012</t>
  </si>
  <si>
    <t>THANGAL ENTERPRISES</t>
  </si>
  <si>
    <t>NEA143</t>
  </si>
  <si>
    <t>AMAR STEEL</t>
  </si>
  <si>
    <t>NEL039</t>
  </si>
  <si>
    <t>L &amp; L STEEL AND HOUSE AGENCY</t>
  </si>
  <si>
    <t>NES299</t>
  </si>
  <si>
    <t>SUPER ENTERPRISES</t>
  </si>
  <si>
    <t>NED121</t>
  </si>
  <si>
    <t>D-STEEL AND CEMENT STORE</t>
  </si>
  <si>
    <t>NEN112</t>
  </si>
  <si>
    <t>N/S HARDWARE &amp; STEEL</t>
  </si>
  <si>
    <t>NES388</t>
  </si>
  <si>
    <t>SHIBANI ENTERPRISES</t>
  </si>
  <si>
    <t>NEE043</t>
  </si>
  <si>
    <t>ECHA TOMBA ENTERPRISES</t>
  </si>
  <si>
    <t>NEN150</t>
  </si>
  <si>
    <t>NEERAJ TRADERS (MNP)</t>
  </si>
  <si>
    <t>NEK146</t>
  </si>
  <si>
    <t>KN &amp; SON''S VARIETY STORE</t>
  </si>
  <si>
    <t>NEG132</t>
  </si>
  <si>
    <t>GLOBAL ENTERPRISES - MNP</t>
  </si>
  <si>
    <t>NEN174</t>
  </si>
  <si>
    <t>N.P. HARDWARE - MNP</t>
  </si>
  <si>
    <t>NEJ146</t>
  </si>
  <si>
    <t>JACOBS' STAR ENTERPRISES</t>
  </si>
  <si>
    <t>NEK184</t>
  </si>
  <si>
    <t>KHURAI STEEL</t>
  </si>
  <si>
    <t>NEB301</t>
  </si>
  <si>
    <t>BROTHERS HARDWARE</t>
  </si>
  <si>
    <t>NEJ151</t>
  </si>
  <si>
    <t>JULIE ENTERPRISES</t>
  </si>
  <si>
    <t>NEB321</t>
  </si>
  <si>
    <t>BABUMACHA CEMENT &amp; STEEL</t>
  </si>
  <si>
    <t>NEK206</t>
  </si>
  <si>
    <t>K.K.ENTERPRISES</t>
  </si>
  <si>
    <t>NEU049</t>
  </si>
  <si>
    <t>UPANBI CONTZ PRIVATE LIMITED</t>
  </si>
  <si>
    <t>NEL124</t>
  </si>
  <si>
    <t>L.L HARDWARE STORE</t>
  </si>
  <si>
    <t>NER317</t>
  </si>
  <si>
    <t>RK TRADERS</t>
  </si>
  <si>
    <t>NEK223</t>
  </si>
  <si>
    <t>KOLKATA IRON AND STEEL</t>
  </si>
  <si>
    <t>NAGALAND</t>
  </si>
  <si>
    <t>T077</t>
  </si>
  <si>
    <t>T.N.CITIZEN STORE</t>
  </si>
  <si>
    <t>C119</t>
  </si>
  <si>
    <t>CORDIAL STORE</t>
  </si>
  <si>
    <t>NEK002</t>
  </si>
  <si>
    <t>KOLKATA IRON STORE</t>
  </si>
  <si>
    <t>NEV002</t>
  </si>
  <si>
    <t>VAUDE VILLE HARDWARE</t>
  </si>
  <si>
    <t>NEG010</t>
  </si>
  <si>
    <t>GLOBAL CERAMIC PRIVATE LIMITED</t>
  </si>
  <si>
    <t>NES139</t>
  </si>
  <si>
    <t>SWURO ENTERPRISES (NLD)</t>
  </si>
  <si>
    <t>NES310</t>
  </si>
  <si>
    <t>S S STORE</t>
  </si>
  <si>
    <t>NEM240</t>
  </si>
  <si>
    <t>MOON HARDWARE &amp; STEEL FABRICATION</t>
  </si>
  <si>
    <t>NEJ091</t>
  </si>
  <si>
    <t>JAYESH ENTERPRISE</t>
  </si>
  <si>
    <t>NEJ096</t>
  </si>
  <si>
    <t>JAMIR TRADERS (NLD)</t>
  </si>
  <si>
    <t>NEB219</t>
  </si>
  <si>
    <t>BROTHERS HARDWARE (KOHIMA)</t>
  </si>
  <si>
    <t>NES461</t>
  </si>
  <si>
    <t>S K TRADING (NLD)</t>
  </si>
  <si>
    <t>NES531</t>
  </si>
  <si>
    <t>SHREE SASHI STORE - NLD</t>
  </si>
  <si>
    <t>NEK163</t>
  </si>
  <si>
    <t>K.B. TRADING</t>
  </si>
  <si>
    <t>NER230</t>
  </si>
  <si>
    <t>R.B. STORE - NLD</t>
  </si>
  <si>
    <t>NEA362</t>
  </si>
  <si>
    <t>A ACHUMI HARDWARE &amp; PAINTS</t>
  </si>
  <si>
    <t>NEM374</t>
  </si>
  <si>
    <t>MEZ &amp; CO HARDWARE</t>
  </si>
  <si>
    <t>NEH141</t>
  </si>
  <si>
    <t>HALLELUJAH ENTERPRISE</t>
  </si>
  <si>
    <t>NET185</t>
  </si>
  <si>
    <t>THE ONE</t>
  </si>
  <si>
    <t>NEB344</t>
  </si>
  <si>
    <t>B D TRADERS</t>
  </si>
  <si>
    <t>NEZ025</t>
  </si>
  <si>
    <t>Z ENTERPRISES</t>
  </si>
  <si>
    <t>NEN31</t>
  </si>
  <si>
    <t>NY ENTERPRISES</t>
  </si>
  <si>
    <t>NEK220</t>
  </si>
  <si>
    <t>KYONG ENTERPRISES</t>
  </si>
  <si>
    <t>NE 2</t>
  </si>
  <si>
    <t>GUWAHATI RURAL</t>
  </si>
  <si>
    <t>A010</t>
  </si>
  <si>
    <t>ADHIKARY ENTERPRISE</t>
  </si>
  <si>
    <t>NEA450</t>
  </si>
  <si>
    <t>ASOMI ENTERPRISE</t>
  </si>
  <si>
    <t>A200</t>
  </si>
  <si>
    <t>ASSAM HARDWARE (GHY)</t>
  </si>
  <si>
    <t>NEB094</t>
  </si>
  <si>
    <t>B.D. ENTERPRISE (GHY)</t>
  </si>
  <si>
    <t>B054</t>
  </si>
  <si>
    <t>BAISHYA TRADERS</t>
  </si>
  <si>
    <t>NEB322</t>
  </si>
  <si>
    <t>BARUAH HARDWARE</t>
  </si>
  <si>
    <t>NEB350</t>
  </si>
  <si>
    <t>NEB143</t>
  </si>
  <si>
    <t>BIBIDHA HARDWARE</t>
  </si>
  <si>
    <t>NEC003</t>
  </si>
  <si>
    <t>CHITRA ENTERPRISE</t>
  </si>
  <si>
    <t>NEC124</t>
  </si>
  <si>
    <t>CHOUDHURY &amp; PATWARY TRADERS</t>
  </si>
  <si>
    <t>NED196</t>
  </si>
  <si>
    <t>DEKA AND SONS HARDWARE</t>
  </si>
  <si>
    <t>NED230</t>
  </si>
  <si>
    <t>DEV ENTERPRISE</t>
  </si>
  <si>
    <t>NEI044</t>
  </si>
  <si>
    <t>ISLAM TRADERS</t>
  </si>
  <si>
    <t>NEJ183</t>
  </si>
  <si>
    <t>J.H.ENTERPRISE</t>
  </si>
  <si>
    <t>J033</t>
  </si>
  <si>
    <t>JINTI HARDWARE</t>
  </si>
  <si>
    <t>NEL054</t>
  </si>
  <si>
    <t>LILA HARDWARE</t>
  </si>
  <si>
    <t>NEM407</t>
  </si>
  <si>
    <t>MAA ENTERPRISE</t>
  </si>
  <si>
    <t>M220</t>
  </si>
  <si>
    <t>MAA ENTERPRISE (GUWAHATI)</t>
  </si>
  <si>
    <t>NEM343</t>
  </si>
  <si>
    <t>MAA ENTERPRISE-GHY</t>
  </si>
  <si>
    <t>NEM430</t>
  </si>
  <si>
    <t>MAHANTA AND CO. HARDWARE</t>
  </si>
  <si>
    <t>NEM392</t>
  </si>
  <si>
    <t>MAYUKH ENTERPRISE</t>
  </si>
  <si>
    <t>N019</t>
  </si>
  <si>
    <t>NIRMAL HARDWARE</t>
  </si>
  <si>
    <t>NEP252</t>
  </si>
  <si>
    <t>P.S. HARDWARE</t>
  </si>
  <si>
    <t>NEP100</t>
  </si>
  <si>
    <t>PARIJAT STEEL (GHY)</t>
  </si>
  <si>
    <t>NEP279</t>
  </si>
  <si>
    <t>POPULAR ENTERPRISE</t>
  </si>
  <si>
    <t>P134</t>
  </si>
  <si>
    <t>PRAGATI ENTERPRISE</t>
  </si>
  <si>
    <t>NER184</t>
  </si>
  <si>
    <t>RABEN KALITA ENTERPRISE</t>
  </si>
  <si>
    <t>NER095</t>
  </si>
  <si>
    <t>RAHUL TRADERS (GHY)</t>
  </si>
  <si>
    <t>NER084</t>
  </si>
  <si>
    <t>RAJIV TRADERS (GHY)</t>
  </si>
  <si>
    <t>NER263</t>
  </si>
  <si>
    <t>RUPJYOTI ENTERPRISE</t>
  </si>
  <si>
    <t>S351</t>
  </si>
  <si>
    <t>S.B.ENTERPRISE (CHHAYGAON)</t>
  </si>
  <si>
    <t>S434</t>
  </si>
  <si>
    <t>S.I.R ENTERPRISE</t>
  </si>
  <si>
    <t>S014</t>
  </si>
  <si>
    <t>SALEN ENTERPRISE</t>
  </si>
  <si>
    <t>NES025</t>
  </si>
  <si>
    <t>SARMA HARDWARE(GUWAHATI)</t>
  </si>
  <si>
    <t>DARANG</t>
  </si>
  <si>
    <t>M024</t>
  </si>
  <si>
    <t>MAHABIR PRASAD MAHENDRA KUMAR</t>
  </si>
  <si>
    <t>M029</t>
  </si>
  <si>
    <t>MAHENDRA KUMAR SURANA</t>
  </si>
  <si>
    <t>B006</t>
  </si>
  <si>
    <t>BABA HARDWARE (DARRANG)</t>
  </si>
  <si>
    <t>D026</t>
  </si>
  <si>
    <t>DURGA TRADING (DARRANG)</t>
  </si>
  <si>
    <t>M428</t>
  </si>
  <si>
    <t>MAHESH HARDWARE</t>
  </si>
  <si>
    <t>NES003</t>
  </si>
  <si>
    <t>SHANKAR BHANDAR (DARANG)</t>
  </si>
  <si>
    <t>NED009</t>
  </si>
  <si>
    <t>DUTTA STORE</t>
  </si>
  <si>
    <t>NES090</t>
  </si>
  <si>
    <t>S.B. HARDWARE</t>
  </si>
  <si>
    <t>NEP046</t>
  </si>
  <si>
    <t>PRADIP SAHA</t>
  </si>
  <si>
    <t>NEK062</t>
  </si>
  <si>
    <t>K B HARDWARE (DARRANG)</t>
  </si>
  <si>
    <t>NEG056</t>
  </si>
  <si>
    <t>GANGA HARDWARE (DARRANG)</t>
  </si>
  <si>
    <t>NER113</t>
  </si>
  <si>
    <t>RAJ HARDWARE (DARRANG)</t>
  </si>
  <si>
    <t>NEA175</t>
  </si>
  <si>
    <t>AFSHANA HARDWARE</t>
  </si>
  <si>
    <t>NEB163</t>
  </si>
  <si>
    <t>BHARAT CEMENT SUPPLIER</t>
  </si>
  <si>
    <t>NES304</t>
  </si>
  <si>
    <t>SARMA STORE</t>
  </si>
  <si>
    <t>NEB164</t>
  </si>
  <si>
    <t>B BORO ENTERPRISE</t>
  </si>
  <si>
    <t>NEJ117</t>
  </si>
  <si>
    <t>JAI SHREE RAM HARDWARE</t>
  </si>
  <si>
    <t>NEM301</t>
  </si>
  <si>
    <t>MAHALAXMI ENTERPRISE - DRG</t>
  </si>
  <si>
    <t>NEB264</t>
  </si>
  <si>
    <t>BIMAL HARDWARE - DRG</t>
  </si>
  <si>
    <t>NEA329</t>
  </si>
  <si>
    <t>ALPANA INDUSTRY AND HARDWARE SHOP</t>
  </si>
  <si>
    <t>NEP233</t>
  </si>
  <si>
    <t>PARBIN ENTERPRISE</t>
  </si>
  <si>
    <t>NES595</t>
  </si>
  <si>
    <t>S S ENTERPRISE-DARRANG</t>
  </si>
  <si>
    <t>NEB328</t>
  </si>
  <si>
    <t>BISWAKARMA HARDWARE</t>
  </si>
  <si>
    <t>NEB295</t>
  </si>
  <si>
    <t>B.M. HARDWARE</t>
  </si>
  <si>
    <t>NEB300</t>
  </si>
  <si>
    <t>BISHNU HARDWARE</t>
  </si>
  <si>
    <t>NEM366</t>
  </si>
  <si>
    <t>MAA KAMAKHYA METAL</t>
  </si>
  <si>
    <t>NEM372</t>
  </si>
  <si>
    <t>MAA HARDWARE</t>
  </si>
  <si>
    <t>NES669</t>
  </si>
  <si>
    <t>S S HARDWARE</t>
  </si>
  <si>
    <t>NEP280</t>
  </si>
  <si>
    <t>NET188</t>
  </si>
  <si>
    <t>TANGLA STEEL HOUSE</t>
  </si>
  <si>
    <t>NEM414</t>
  </si>
  <si>
    <t>MAHESH STORE</t>
  </si>
  <si>
    <t>NEA433</t>
  </si>
  <si>
    <t>AFSANA HARDWARE</t>
  </si>
  <si>
    <t>NEA434</t>
  </si>
  <si>
    <t>ASHA HARDWARE</t>
  </si>
  <si>
    <t>NEP284</t>
  </si>
  <si>
    <t>PARISMITA ENTERPRISE</t>
  </si>
  <si>
    <t>NEA448</t>
  </si>
  <si>
    <t>ABDIN HARDWARE</t>
  </si>
  <si>
    <t>NEM432</t>
  </si>
  <si>
    <t>NES728</t>
  </si>
  <si>
    <t>SRI NARAYAN CHANDRA SAHA &amp; SONS</t>
  </si>
  <si>
    <t>NEA456</t>
  </si>
  <si>
    <t>AFSANA HARDWARE (SILBORI)</t>
  </si>
  <si>
    <t>NEA459</t>
  </si>
  <si>
    <t>AMIN TRADERS</t>
  </si>
  <si>
    <t>NER329</t>
  </si>
  <si>
    <t>ROY HARDWARE</t>
  </si>
  <si>
    <t>GUWAHATI URBAN</t>
  </si>
  <si>
    <t>S075</t>
  </si>
  <si>
    <t>SONAPUR CEMENT CENTRE</t>
  </si>
  <si>
    <t>T001</t>
  </si>
  <si>
    <t>T.D.TIMBER SHOP</t>
  </si>
  <si>
    <t>S118</t>
  </si>
  <si>
    <t>SHREE GAJRAJ BUILDERS</t>
  </si>
  <si>
    <t>K046</t>
  </si>
  <si>
    <t>KALITA SUPPLY AGENCY</t>
  </si>
  <si>
    <t>S151</t>
  </si>
  <si>
    <t>SHIV ENTERPRISE</t>
  </si>
  <si>
    <t>S169</t>
  </si>
  <si>
    <t>SANNI STEEL</t>
  </si>
  <si>
    <t>P097</t>
  </si>
  <si>
    <t>P.S.ENTERPRISE (GUWAHATI)</t>
  </si>
  <si>
    <t>E018</t>
  </si>
  <si>
    <t>ENGINEERING ENTERPRISES</t>
  </si>
  <si>
    <t>B103</t>
  </si>
  <si>
    <t>BISWAS ENTERPRISE (GUWAHATI)</t>
  </si>
  <si>
    <t>S264</t>
  </si>
  <si>
    <t>SHARMA BUILDERS</t>
  </si>
  <si>
    <t>K109</t>
  </si>
  <si>
    <t>KALITA ENTERPRISE (LOKHRA)</t>
  </si>
  <si>
    <t>NED022</t>
  </si>
  <si>
    <t>DUDJAN STORE</t>
  </si>
  <si>
    <t>NEB026</t>
  </si>
  <si>
    <t>BHOLA TRADERS</t>
  </si>
  <si>
    <t>NED071</t>
  </si>
  <si>
    <t>D.B. ENTERPRISE (GHY)</t>
  </si>
  <si>
    <t>NER102</t>
  </si>
  <si>
    <t>RUPNAGAR HARDWARE (GHY)</t>
  </si>
  <si>
    <t>NED098</t>
  </si>
  <si>
    <t>DAS BROTHERS</t>
  </si>
  <si>
    <t>NEM189</t>
  </si>
  <si>
    <t>MAA KAMAKHYA ENTERPRISE (GHY)</t>
  </si>
  <si>
    <t>NES296</t>
  </si>
  <si>
    <t>SHREE GANESH ENTERPRISE (GHY)</t>
  </si>
  <si>
    <t>NEG085</t>
  </si>
  <si>
    <t>GUWAHATI SUPPLY AGENCY</t>
  </si>
  <si>
    <t>NEK123</t>
  </si>
  <si>
    <t>KAMRUP STEEL (GHY)</t>
  </si>
  <si>
    <t>NEC082</t>
  </si>
  <si>
    <t>CEMENT HOUSE (GHY)</t>
  </si>
  <si>
    <t>NEK130</t>
  </si>
  <si>
    <t>KABEER SALES AND CONSTRUCTION</t>
  </si>
  <si>
    <t>NEK157</t>
  </si>
  <si>
    <t>K.S ENTERPRISES - GHY</t>
  </si>
  <si>
    <t>NEB263</t>
  </si>
  <si>
    <t>BRAJENDRA STEEL - GHY</t>
  </si>
  <si>
    <t>NEK176</t>
  </si>
  <si>
    <t>KALITA ENTERPRISE</t>
  </si>
  <si>
    <t>NEK177</t>
  </si>
  <si>
    <t>KAMRUP ENTERPRISE</t>
  </si>
  <si>
    <t>NEP249</t>
  </si>
  <si>
    <t>PODDAR STEEL TRADING</t>
  </si>
  <si>
    <t>NEG161</t>
  </si>
  <si>
    <t>G.B. TRADE CENTRE</t>
  </si>
  <si>
    <t>NET184</t>
  </si>
  <si>
    <t>TIRUPATI STEELS</t>
  </si>
  <si>
    <t>NES686</t>
  </si>
  <si>
    <t>SREEMOYEE HARDWARE</t>
  </si>
  <si>
    <t>NER309</t>
  </si>
  <si>
    <t>RUDRA STEEL &amp; CONSTRUCTION COMPANY</t>
  </si>
  <si>
    <t>NEH157</t>
  </si>
  <si>
    <t>HARSH ENTERPRISE</t>
  </si>
  <si>
    <t>NEV063</t>
  </si>
  <si>
    <t>VAISHNAVI IRON &amp; STEELS</t>
  </si>
  <si>
    <t>NEM444</t>
  </si>
  <si>
    <t>MAZUMDER BROTHERS</t>
  </si>
  <si>
    <t>MORIGAON</t>
  </si>
  <si>
    <t>J016</t>
  </si>
  <si>
    <t>JAISWAL HARDWARE</t>
  </si>
  <si>
    <t>D093</t>
  </si>
  <si>
    <t>DIPANKAR TRADE AGENCY</t>
  </si>
  <si>
    <t>N091</t>
  </si>
  <si>
    <t>NEW AMIN HARDWARE(MORIGAON)</t>
  </si>
  <si>
    <t>U022</t>
  </si>
  <si>
    <t>UMERAJ HARDWARE</t>
  </si>
  <si>
    <t>NEB065</t>
  </si>
  <si>
    <t>BIKU ENTERPRISE (KAPILI)</t>
  </si>
  <si>
    <t>NEB077</t>
  </si>
  <si>
    <t>BADSHAH ENTERPRISE (MORIGAON)</t>
  </si>
  <si>
    <t>NES298</t>
  </si>
  <si>
    <t>SIBANATH HARDWARE (MOR)</t>
  </si>
  <si>
    <t>NEN192</t>
  </si>
  <si>
    <t>NATIONAL ENTERPRISE</t>
  </si>
  <si>
    <t>NES625</t>
  </si>
  <si>
    <t>SHARADA STEEL</t>
  </si>
  <si>
    <t>NEL107</t>
  </si>
  <si>
    <t>LAKHIMI HARDWARE</t>
  </si>
  <si>
    <t>NEJ154</t>
  </si>
  <si>
    <t>JAIN HARDWARE AND SUPPLIER</t>
  </si>
  <si>
    <t>NEH134</t>
  </si>
  <si>
    <t>H.B. TRADERS</t>
  </si>
  <si>
    <t>NED240</t>
  </si>
  <si>
    <t>DURGA STORE</t>
  </si>
  <si>
    <t>NES738</t>
  </si>
  <si>
    <t>SWASTY &amp; CO.</t>
  </si>
  <si>
    <t>NEA461</t>
  </si>
  <si>
    <t>AMAN HARDWARE STORE</t>
  </si>
  <si>
    <t>NEG182</t>
  </si>
  <si>
    <t>GERUA ENTERPRISE</t>
  </si>
  <si>
    <t>Lower Assam- 1 (Bongaigaon)</t>
  </si>
  <si>
    <t>A012</t>
  </si>
  <si>
    <t>ADVANCE ENTERPRISE</t>
  </si>
  <si>
    <t>Lower Assam- 3</t>
  </si>
  <si>
    <t>P008</t>
  </si>
  <si>
    <t>P.K.ENTERPRISE(LOWER ASSAM)</t>
  </si>
  <si>
    <t>P037</t>
  </si>
  <si>
    <t>PRASAD TRADERS (LA)</t>
  </si>
  <si>
    <t>P081</t>
  </si>
  <si>
    <t>PRATIK HARDWARE</t>
  </si>
  <si>
    <t>R068</t>
  </si>
  <si>
    <t>RAHUL HARDWARE</t>
  </si>
  <si>
    <t>T045</t>
  </si>
  <si>
    <t>TIRUPATI TRADERS (LOWER ASSAM)</t>
  </si>
  <si>
    <t>G052</t>
  </si>
  <si>
    <t>GOLAKGANJ HARDWARE STORES</t>
  </si>
  <si>
    <t>B122</t>
  </si>
  <si>
    <t>BASU HARDWARE</t>
  </si>
  <si>
    <t>B125</t>
  </si>
  <si>
    <t>BHAI BHAI ENTERPRISE (BONGAIGAON)</t>
  </si>
  <si>
    <t>S291</t>
  </si>
  <si>
    <t>S.M.ENTERPRISE (LA)</t>
  </si>
  <si>
    <t>C090</t>
  </si>
  <si>
    <t>CHIRANG HARDWARE</t>
  </si>
  <si>
    <t>H048</t>
  </si>
  <si>
    <t>HUSSAIN HARDWARE STORES</t>
  </si>
  <si>
    <t>B149</t>
  </si>
  <si>
    <t>BIKASH ENTERPRISE</t>
  </si>
  <si>
    <t>S353</t>
  </si>
  <si>
    <t>SREE KRISHNA TRADE AGENCY</t>
  </si>
  <si>
    <t>G078</t>
  </si>
  <si>
    <t>GREENLAND HARDWARE STORES</t>
  </si>
  <si>
    <t>N099</t>
  </si>
  <si>
    <t>NIMESH ENTERPRISE</t>
  </si>
  <si>
    <t>G087</t>
  </si>
  <si>
    <t>GANESH HARDWARE</t>
  </si>
  <si>
    <t>F014</t>
  </si>
  <si>
    <t>FARDEEN ENTERPRISES</t>
  </si>
  <si>
    <t>K171</t>
  </si>
  <si>
    <t>KAMAL HARDWARE STORES</t>
  </si>
  <si>
    <t>NEP005</t>
  </si>
  <si>
    <t>PRASAD HARDWARE</t>
  </si>
  <si>
    <t>NEM043</t>
  </si>
  <si>
    <t>MOLLAH ENTERPRISE</t>
  </si>
  <si>
    <t>NEB022</t>
  </si>
  <si>
    <t>BABLU ENTERPRISE (SIMLITALA)</t>
  </si>
  <si>
    <t>NEL008</t>
  </si>
  <si>
    <t>LUCKY ENTERPRISE</t>
  </si>
  <si>
    <t>NEH016</t>
  </si>
  <si>
    <t>HAIDER HARDWARE</t>
  </si>
  <si>
    <t>NEG024</t>
  </si>
  <si>
    <t>GOODWILL HARDWARE</t>
  </si>
  <si>
    <t>NEM055</t>
  </si>
  <si>
    <t>MIRA HARDWARE</t>
  </si>
  <si>
    <t>NEM095</t>
  </si>
  <si>
    <t>M.B. ENTERPRISE (KOKRAJHAR)</t>
  </si>
  <si>
    <t>NEM096</t>
  </si>
  <si>
    <t>MOZNU HARDWARE SHOP (LA)</t>
  </si>
  <si>
    <t>NEZ005</t>
  </si>
  <si>
    <t>ZEESHAN HARDWARE (LA)</t>
  </si>
  <si>
    <t>NEA118</t>
  </si>
  <si>
    <t>ARIHANT ENTERPRISE (MANKACHAR)</t>
  </si>
  <si>
    <t>NEG052</t>
  </si>
  <si>
    <t>GAURIPUR ENTERPRISE (LOWER ASSAM)</t>
  </si>
  <si>
    <t>NEM140</t>
  </si>
  <si>
    <t>MAHENDRA MARBLE HARDWARE</t>
  </si>
  <si>
    <t>NES244</t>
  </si>
  <si>
    <t>SUJIT HARDWARE</t>
  </si>
  <si>
    <t>NEK084</t>
  </si>
  <si>
    <t>KHAN HARDWARE (LA)</t>
  </si>
  <si>
    <t>NER134</t>
  </si>
  <si>
    <t>ROHAN TRADERS</t>
  </si>
  <si>
    <t>NES285</t>
  </si>
  <si>
    <t>SUBH KARAN SINGHI (LA)</t>
  </si>
  <si>
    <t>NEA198</t>
  </si>
  <si>
    <t>ARIHANT AGENCIES</t>
  </si>
  <si>
    <t>NEA223</t>
  </si>
  <si>
    <t>AMIR HAMZA</t>
  </si>
  <si>
    <t>NEM236</t>
  </si>
  <si>
    <t>MUHAFIZ ENTERPRISE</t>
  </si>
  <si>
    <t>NEK128</t>
  </si>
  <si>
    <t>K M AGENCY</t>
  </si>
  <si>
    <t>NEB209</t>
  </si>
  <si>
    <t>BEAUTY ENTERPRISE</t>
  </si>
  <si>
    <t>NES390</t>
  </si>
  <si>
    <t>SHIVAM HARWDARE (LA)</t>
  </si>
  <si>
    <t>NEK135</t>
  </si>
  <si>
    <t>KRISHNA HARDWARE (LA)</t>
  </si>
  <si>
    <t>NEM253</t>
  </si>
  <si>
    <t>MAYA HARDWARE STORES (LA)</t>
  </si>
  <si>
    <t>NEG113</t>
  </si>
  <si>
    <t>GARGI ENTERPRISE (LA)</t>
  </si>
  <si>
    <t>NEB223</t>
  </si>
  <si>
    <t>BRAHMAPUTRA HARDWARE (LAKHIPUR)</t>
  </si>
  <si>
    <t>NEM288</t>
  </si>
  <si>
    <t>MANORAMA HARDWARE STORE - LA</t>
  </si>
  <si>
    <t>NEM293</t>
  </si>
  <si>
    <t>MAA HARDWARE - LA</t>
  </si>
  <si>
    <t>NEM311</t>
  </si>
  <si>
    <t>MAA KALI ENTERPRISE</t>
  </si>
  <si>
    <t>NEN176</t>
  </si>
  <si>
    <t>NORTH EAST HARDWARE - LA</t>
  </si>
  <si>
    <t>NEA345</t>
  </si>
  <si>
    <t>A.H. HARDWARE SHOP</t>
  </si>
  <si>
    <t>NER248</t>
  </si>
  <si>
    <t>Rohul Hardware</t>
  </si>
  <si>
    <t>NER250</t>
  </si>
  <si>
    <t>ROYAL ENTERPRISE</t>
  </si>
  <si>
    <t>NET169</t>
  </si>
  <si>
    <t>TAJ ENTERPRISE</t>
  </si>
  <si>
    <t>NER271</t>
  </si>
  <si>
    <t>RUHI ENTERPRISE</t>
  </si>
  <si>
    <t>NER272</t>
  </si>
  <si>
    <t>RAHMAT ENTERPRISE</t>
  </si>
  <si>
    <t>NEB316</t>
  </si>
  <si>
    <t>NEM367</t>
  </si>
  <si>
    <t>MUNNA ENTERPRISE</t>
  </si>
  <si>
    <t>NEA389</t>
  </si>
  <si>
    <t>ANJALI HARDWARE</t>
  </si>
  <si>
    <t>NES640</t>
  </si>
  <si>
    <t>SARADA TRADING</t>
  </si>
  <si>
    <t>NER279</t>
  </si>
  <si>
    <t>RAJBIR HARDWARE STORE</t>
  </si>
  <si>
    <t>NEL109</t>
  </si>
  <si>
    <t>LAKHIPUR SEED HOUSE</t>
  </si>
  <si>
    <t>NEH143</t>
  </si>
  <si>
    <t>HARDWARE CITY</t>
  </si>
  <si>
    <t>NEA406</t>
  </si>
  <si>
    <t>ASSAM MARBLES</t>
  </si>
  <si>
    <t>NEM393</t>
  </si>
  <si>
    <t>MUKTA HARDWARE</t>
  </si>
  <si>
    <t>NEB337</t>
  </si>
  <si>
    <t>DEBNATH HARDWARE STORE</t>
  </si>
  <si>
    <t>SPB400</t>
  </si>
  <si>
    <t>M.R. STEEL HOUSE</t>
  </si>
  <si>
    <t>NEE059</t>
  </si>
  <si>
    <t>EJAJUL HARDWARE SHOP</t>
  </si>
  <si>
    <t>NEB345</t>
  </si>
  <si>
    <t>BHAGWATI HARDWARE</t>
  </si>
  <si>
    <t>NEA426</t>
  </si>
  <si>
    <t>ASIF ENTERPRISE</t>
  </si>
  <si>
    <t>NEA438</t>
  </si>
  <si>
    <t>A.K.ENTERPRISE</t>
  </si>
  <si>
    <t>NEM420</t>
  </si>
  <si>
    <t>MON KAMONA HARDWARE</t>
  </si>
  <si>
    <t>NEM421</t>
  </si>
  <si>
    <t>MASUMA JANNATUL AKTAR</t>
  </si>
  <si>
    <t>NEP285</t>
  </si>
  <si>
    <t>PRIYA HARDWARE</t>
  </si>
  <si>
    <t>NES722</t>
  </si>
  <si>
    <t>SHAHIN AMEEN</t>
  </si>
  <si>
    <t>NEZ026</t>
  </si>
  <si>
    <t>ZAMAN STORES</t>
  </si>
  <si>
    <t>NEM440</t>
  </si>
  <si>
    <t>MASUM HARDWARE</t>
  </si>
  <si>
    <t>NEO043</t>
  </si>
  <si>
    <t>OM HARDWARE</t>
  </si>
  <si>
    <t>NEM448</t>
  </si>
  <si>
    <t>MAA MANASHA ENTERPRISE</t>
  </si>
  <si>
    <t>Lower Assam- 2 (Barpeta)</t>
  </si>
  <si>
    <t>A028</t>
  </si>
  <si>
    <t>ANIL HARDWARE</t>
  </si>
  <si>
    <t>B011</t>
  </si>
  <si>
    <t>BALAJI HARDWARE (NALBARI)</t>
  </si>
  <si>
    <t>S094</t>
  </si>
  <si>
    <t>SUNDAR HARDWARE</t>
  </si>
  <si>
    <t>A007</t>
  </si>
  <si>
    <t>AAI LAXMI ENTERPRISE</t>
  </si>
  <si>
    <t>H016</t>
  </si>
  <si>
    <t>HOQUE HARDWARE (BARPETA)</t>
  </si>
  <si>
    <t>C050</t>
  </si>
  <si>
    <t>CHAIFUDDIN AHMED</t>
  </si>
  <si>
    <t>A071</t>
  </si>
  <si>
    <t>AASBAB</t>
  </si>
  <si>
    <t>P080</t>
  </si>
  <si>
    <t>PICK ME</t>
  </si>
  <si>
    <t>S234</t>
  </si>
  <si>
    <t>S.A. ENTERPRISE</t>
  </si>
  <si>
    <t>S301</t>
  </si>
  <si>
    <t>S.A.AGENCY</t>
  </si>
  <si>
    <t>A131</t>
  </si>
  <si>
    <t>AMIN HARDWARE &amp; ENTERPRISE</t>
  </si>
  <si>
    <t>R120</t>
  </si>
  <si>
    <t>RUKSHANA HARDWARE</t>
  </si>
  <si>
    <t>B152</t>
  </si>
  <si>
    <t>BAKALI HARDWARE</t>
  </si>
  <si>
    <t>B180</t>
  </si>
  <si>
    <t>B.D.ENTERPRISE(LA)</t>
  </si>
  <si>
    <t>R192</t>
  </si>
  <si>
    <t>R.K.ENTERPRISE (NALBARI)</t>
  </si>
  <si>
    <t>NED081</t>
  </si>
  <si>
    <t>DEKA ENTERPRISE (AMAYAPUR)</t>
  </si>
  <si>
    <t>NER107</t>
  </si>
  <si>
    <t>RUNA ENTERPRISE</t>
  </si>
  <si>
    <t>NEP116</t>
  </si>
  <si>
    <t>P B HARDWARE</t>
  </si>
  <si>
    <t>NEM208</t>
  </si>
  <si>
    <t>M K  ENTERPRISE (LA)</t>
  </si>
  <si>
    <t>NEJ089</t>
  </si>
  <si>
    <t>JOYGURU ENTERPRISE (LA)</t>
  </si>
  <si>
    <t>NEN127</t>
  </si>
  <si>
    <t>N PATOWARY HARDWARE</t>
  </si>
  <si>
    <t>NEP187</t>
  </si>
  <si>
    <t>POHAR TRADERS (MAZDIA)</t>
  </si>
  <si>
    <t>NEK152</t>
  </si>
  <si>
    <t>K.V. ENTERPRISE</t>
  </si>
  <si>
    <t>NEM328</t>
  </si>
  <si>
    <t>MAA ENTERPRISE - LA</t>
  </si>
  <si>
    <t>NEA339</t>
  </si>
  <si>
    <t>A M B ENTERPRISE</t>
  </si>
  <si>
    <t>NED203</t>
  </si>
  <si>
    <t>DAS ENTERPRISE-BAKSA</t>
  </si>
  <si>
    <t>NEN206</t>
  </si>
  <si>
    <t>NATH HARDWARE</t>
  </si>
  <si>
    <t>NEM364</t>
  </si>
  <si>
    <t>NEZ020</t>
  </si>
  <si>
    <t>ZIYAAN ENTERPRISE</t>
  </si>
  <si>
    <t>NEC123</t>
  </si>
  <si>
    <t>CHOUDHURY BROTHERS</t>
  </si>
  <si>
    <t>NEJ162</t>
  </si>
  <si>
    <t>JOHN HARDWARE</t>
  </si>
  <si>
    <t>NEK203</t>
  </si>
  <si>
    <t>KUHI &amp; NEHA ENTERPRISE</t>
  </si>
  <si>
    <t>NEJ182</t>
  </si>
  <si>
    <t>JAMIR HARDWARE</t>
  </si>
  <si>
    <t>NEM411</t>
  </si>
  <si>
    <t>MATRI HARDWARE</t>
  </si>
  <si>
    <t>NEJ184</t>
  </si>
  <si>
    <t>J.S. HARDWARE</t>
  </si>
  <si>
    <t>NER326</t>
  </si>
  <si>
    <t>R.H.ENTERPRISE</t>
  </si>
  <si>
    <t>AGARTALA</t>
  </si>
  <si>
    <t>M017</t>
  </si>
  <si>
    <t>MAAKALI ENTERPRISE (AGARTALA)</t>
  </si>
  <si>
    <t>G015</t>
  </si>
  <si>
    <t>GOPINATH SAHA</t>
  </si>
  <si>
    <t>J057</t>
  </si>
  <si>
    <t>JOYRAM TRADERS (AGARTALA)</t>
  </si>
  <si>
    <t>R117</t>
  </si>
  <si>
    <t>RAMTHAKUR TRADING CO.</t>
  </si>
  <si>
    <t>B138</t>
  </si>
  <si>
    <t>BANKA BEHARI PAUL</t>
  </si>
  <si>
    <t>M249</t>
  </si>
  <si>
    <t>MAHANAM CONSTRUCTION</t>
  </si>
  <si>
    <t>A163</t>
  </si>
  <si>
    <t>AJOY BHATTACHARJEE</t>
  </si>
  <si>
    <t>A164</t>
  </si>
  <si>
    <t>ANJAN DEBNATH</t>
  </si>
  <si>
    <t>M298</t>
  </si>
  <si>
    <t>M341</t>
  </si>
  <si>
    <t>MAZUMDER ENTERPRISE</t>
  </si>
  <si>
    <t>NEM012</t>
  </si>
  <si>
    <t>MANJU ENTERPRISE</t>
  </si>
  <si>
    <t>NEJ016</t>
  </si>
  <si>
    <t>JOY GURU ENTERPRISE</t>
  </si>
  <si>
    <t>NEM058</t>
  </si>
  <si>
    <t>MODAK IRON AGENCY</t>
  </si>
  <si>
    <t>NEL015</t>
  </si>
  <si>
    <t>LAXMAN SAHA (AGARTALA)</t>
  </si>
  <si>
    <t>NEM064</t>
  </si>
  <si>
    <t>MADAN GOPAL TRADERS (AGARTALA)</t>
  </si>
  <si>
    <t>NEM065</t>
  </si>
  <si>
    <t>MODAK TRADERS (AGARTALA)</t>
  </si>
  <si>
    <t>NED054</t>
  </si>
  <si>
    <t>DAS IRON AGENCY (AGARTALA)</t>
  </si>
  <si>
    <t>NER085</t>
  </si>
  <si>
    <t>RAMKRISHNA TRADERS (JIRANIA)</t>
  </si>
  <si>
    <t>NES185</t>
  </si>
  <si>
    <t>SRISTI CEMENT HOUSE (SADAR)</t>
  </si>
  <si>
    <t>NED082</t>
  </si>
  <si>
    <t>DATTA HOME APPLIANCE</t>
  </si>
  <si>
    <t>NER126</t>
  </si>
  <si>
    <t>ROY ENTERPRISE (DHALESWAR)</t>
  </si>
  <si>
    <t>NEB132</t>
  </si>
  <si>
    <t>BASUNDHARA ENTERPRISE</t>
  </si>
  <si>
    <t>NER150</t>
  </si>
  <si>
    <t>RADHIKA ENTERPRISE</t>
  </si>
  <si>
    <t>NEM233</t>
  </si>
  <si>
    <t>MRINAL KANTI SAHA</t>
  </si>
  <si>
    <t>NEB190</t>
  </si>
  <si>
    <t>BABA LOKENATH CEMENT HOUSE</t>
  </si>
  <si>
    <t>NES364</t>
  </si>
  <si>
    <t>SR BUILDERS</t>
  </si>
  <si>
    <t>NER167</t>
  </si>
  <si>
    <t>RANGAMOYEE</t>
  </si>
  <si>
    <t>NEN130</t>
  </si>
  <si>
    <t>NEW CHANDIMATA TRADERS</t>
  </si>
  <si>
    <t>NED148</t>
  </si>
  <si>
    <t>DHARAMRAJI STORES</t>
  </si>
  <si>
    <t>NEB226</t>
  </si>
  <si>
    <t>BIPLAB CHAKRABORTY</t>
  </si>
  <si>
    <t>NEM263</t>
  </si>
  <si>
    <t>MITRA ENTERPRISE</t>
  </si>
  <si>
    <t>NEM265</t>
  </si>
  <si>
    <t>MAA MEHARESWARI CARRING CENTRE</t>
  </si>
  <si>
    <t>NEJ106</t>
  </si>
  <si>
    <t>JOY DURGA CARRING CENTRE (AGR)</t>
  </si>
  <si>
    <t>NES487</t>
  </si>
  <si>
    <t>SHIV SANKAR SANITARY &amp; HARDWARE STORES - AGT</t>
  </si>
  <si>
    <t>NEM294</t>
  </si>
  <si>
    <t>MAA TRIPURASWARI CONSTRUCTION</t>
  </si>
  <si>
    <t>NEP211</t>
  </si>
  <si>
    <t>PAUL ENTERPRISE - AGT</t>
  </si>
  <si>
    <t>NED188</t>
  </si>
  <si>
    <t>DIPTANU DAS - AGT</t>
  </si>
  <si>
    <t>NEP213</t>
  </si>
  <si>
    <t>PARTHA DAS - AGT</t>
  </si>
  <si>
    <t>NED191</t>
  </si>
  <si>
    <t>DEBNATH CEMENT HOUSE AND IRON STORES</t>
  </si>
  <si>
    <t>NED206</t>
  </si>
  <si>
    <t>DINGRA ENTERPRISE</t>
  </si>
  <si>
    <t>NEB288</t>
  </si>
  <si>
    <t>BANIK ENTERPRISE</t>
  </si>
  <si>
    <t>NEP242</t>
  </si>
  <si>
    <t>NEP248</t>
  </si>
  <si>
    <t>PRIYA CARRING CENTRE</t>
  </si>
  <si>
    <t>NEM404</t>
  </si>
  <si>
    <t>MAA KAMAKHYA ENTERPRISE</t>
  </si>
  <si>
    <t>NEH156</t>
  </si>
  <si>
    <t>HARA GOURI IRON STORES</t>
  </si>
  <si>
    <t>NEP287</t>
  </si>
  <si>
    <t>P.K.IRON STORES</t>
  </si>
  <si>
    <t>UDAIPUR</t>
  </si>
  <si>
    <t>A030</t>
  </si>
  <si>
    <t>ARUN CHANDRA SAHA</t>
  </si>
  <si>
    <t>P035</t>
  </si>
  <si>
    <t>PRADIP KUMAR SAHA</t>
  </si>
  <si>
    <t>J024</t>
  </si>
  <si>
    <t>JOYRAM HARDWARE</t>
  </si>
  <si>
    <t>R108</t>
  </si>
  <si>
    <t>RAMKRISHNA IRON</t>
  </si>
  <si>
    <t>A165</t>
  </si>
  <si>
    <t>ANANDA TRADERS</t>
  </si>
  <si>
    <t>R144</t>
  </si>
  <si>
    <t>RADHESHYAM IRON</t>
  </si>
  <si>
    <t>T072</t>
  </si>
  <si>
    <t>TANISHA ENTERPRISE</t>
  </si>
  <si>
    <t>K136</t>
  </si>
  <si>
    <t>KALI MATA HARDWARE STORES (UDAIPUR)</t>
  </si>
  <si>
    <t>K137</t>
  </si>
  <si>
    <t>KAIBALYANATH HARDWARE</t>
  </si>
  <si>
    <t>P174</t>
  </si>
  <si>
    <t>PAUL HARDWARES (UDAIPUR)</t>
  </si>
  <si>
    <t>NEN005</t>
  </si>
  <si>
    <t>NIBEDITA DEPARTMENTAL SHOP</t>
  </si>
  <si>
    <t>NEN043</t>
  </si>
  <si>
    <t>NAYAN CARRYING CENTRE (UDAIPUR)</t>
  </si>
  <si>
    <t>NET070</t>
  </si>
  <si>
    <t>TRIPURA SUNDARI IRON BHANDAR</t>
  </si>
  <si>
    <t>NES335</t>
  </si>
  <si>
    <t>SAHA TRADERS</t>
  </si>
  <si>
    <t>NEM216</t>
  </si>
  <si>
    <t>MAA KALI STORES</t>
  </si>
  <si>
    <t>NEG098</t>
  </si>
  <si>
    <t>GHOSH TRADERS (UDP)</t>
  </si>
  <si>
    <t>NEM225</t>
  </si>
  <si>
    <t>MAHADEB BHANDER</t>
  </si>
  <si>
    <t>NEG106</t>
  </si>
  <si>
    <t>GRACY ENTERPRISE</t>
  </si>
  <si>
    <t>NEB216</t>
  </si>
  <si>
    <t>BHOWMIK HARDWARE (UDP)</t>
  </si>
  <si>
    <t>NEJ104</t>
  </si>
  <si>
    <t>JOY SHIB SANKAR HARDWARE</t>
  </si>
  <si>
    <t>NER197</t>
  </si>
  <si>
    <t>RAMTHAKUR IRON</t>
  </si>
  <si>
    <t>NEO024</t>
  </si>
  <si>
    <t>OMKER ROY</t>
  </si>
  <si>
    <t>NEP194</t>
  </si>
  <si>
    <t>PODDER HARDWARE (UDP)</t>
  </si>
  <si>
    <t>NEP203</t>
  </si>
  <si>
    <t>PODDER CONSTRUCTION</t>
  </si>
  <si>
    <t>NEA312</t>
  </si>
  <si>
    <t>ARPITA HARDWARE &amp; VARIETIES</t>
  </si>
  <si>
    <t>NER237</t>
  </si>
  <si>
    <t>RAM KAMAL BHANDER</t>
  </si>
  <si>
    <t>NEJ167</t>
  </si>
  <si>
    <t>JOYRAM VARIETIES</t>
  </si>
  <si>
    <t>NET181</t>
  </si>
  <si>
    <t>TRIZA SANITATION</t>
  </si>
  <si>
    <t>NEJ169</t>
  </si>
  <si>
    <t>JOY RAM GLASS EMPORIUM</t>
  </si>
  <si>
    <t>NEN219</t>
  </si>
  <si>
    <t>NANDALAL ENTERPRISE</t>
  </si>
  <si>
    <t>NES714</t>
  </si>
  <si>
    <t>SADHAN ENTERPRISE</t>
  </si>
  <si>
    <t>NEP290</t>
  </si>
  <si>
    <t>PAUL HARDWARE</t>
  </si>
  <si>
    <t>NEA457</t>
  </si>
  <si>
    <t>ATLAS BUILDERS AND ARCHITECT</t>
  </si>
  <si>
    <t>DHARMANAGAR</t>
  </si>
  <si>
    <t>A022</t>
  </si>
  <si>
    <t>AMIYO STORE</t>
  </si>
  <si>
    <t>K014</t>
  </si>
  <si>
    <t>KALPANA STORE</t>
  </si>
  <si>
    <t>R014</t>
  </si>
  <si>
    <t>RAMKRISHNA ENTERPRISE(PANISAGAR)</t>
  </si>
  <si>
    <t>A077</t>
  </si>
  <si>
    <t>ARUN PAUL &amp; BROTHERS</t>
  </si>
  <si>
    <t>S277</t>
  </si>
  <si>
    <t>SANJIB KUMAR PAUL</t>
  </si>
  <si>
    <t>M200</t>
  </si>
  <si>
    <t>M/S MOHIT PAUL</t>
  </si>
  <si>
    <t>U015</t>
  </si>
  <si>
    <t>URMILA HARDWARE</t>
  </si>
  <si>
    <t>D091</t>
  </si>
  <si>
    <t>DAS STORES</t>
  </si>
  <si>
    <t>H053</t>
  </si>
  <si>
    <t>HARI MOHAN TRADERS</t>
  </si>
  <si>
    <t>P152</t>
  </si>
  <si>
    <t>PRANATI HARDWARE</t>
  </si>
  <si>
    <t>NED004</t>
  </si>
  <si>
    <t>DAS GUPTA ENTERPRISE</t>
  </si>
  <si>
    <t>NEG009</t>
  </si>
  <si>
    <t>GOURANGA TRADERS</t>
  </si>
  <si>
    <t>NEA045</t>
  </si>
  <si>
    <t>A.N. TRADERS</t>
  </si>
  <si>
    <t>NER060</t>
  </si>
  <si>
    <t>RAMKRISHNA ENTERPRISE (DHALAI)</t>
  </si>
  <si>
    <t>NEM070</t>
  </si>
  <si>
    <t>MONOSA STORES (DMR)</t>
  </si>
  <si>
    <t>NEA147</t>
  </si>
  <si>
    <t>ANJALI CEMENT AND HARDWARES</t>
  </si>
  <si>
    <t>NEB120</t>
  </si>
  <si>
    <t>BISHESH &amp; BARSHAN</t>
  </si>
  <si>
    <t>NEJ071</t>
  </si>
  <si>
    <t>JOYKALI HARDWARE (DMR)</t>
  </si>
  <si>
    <t>NER155</t>
  </si>
  <si>
    <t>RUMANA HARDWARES</t>
  </si>
  <si>
    <t>NEC076</t>
  </si>
  <si>
    <t>CHOWDHARY HARDWARE (DMR)</t>
  </si>
  <si>
    <t>NET137</t>
  </si>
  <si>
    <t>TRIPURESWARI BHANDER</t>
  </si>
  <si>
    <t>NEL082</t>
  </si>
  <si>
    <t>LAKSHMI NARAYAN HARDWARE</t>
  </si>
  <si>
    <t>NEB240</t>
  </si>
  <si>
    <t>BISWAKARMA HARDWARE (DMR)</t>
  </si>
  <si>
    <t>NEL090</t>
  </si>
  <si>
    <t>LITAN DEBNATH - DMR</t>
  </si>
  <si>
    <t>NES484</t>
  </si>
  <si>
    <t>SAROI ENGG &amp; FEBRICATION</t>
  </si>
  <si>
    <t>NES513</t>
  </si>
  <si>
    <t>SARALA ENTERPRISE</t>
  </si>
  <si>
    <t>NES568</t>
  </si>
  <si>
    <t>SANTOSHI TRADERS</t>
  </si>
  <si>
    <t>NEJ141</t>
  </si>
  <si>
    <t>JOY KALI HARDWARE'S</t>
  </si>
  <si>
    <t>NES598</t>
  </si>
  <si>
    <t>SWASTISHREE</t>
  </si>
  <si>
    <t>NEA358</t>
  </si>
  <si>
    <t>APURBA TRADERS</t>
  </si>
  <si>
    <t>NES611</t>
  </si>
  <si>
    <t>STEEL HOUSE</t>
  </si>
  <si>
    <t>NES612</t>
  </si>
  <si>
    <t>SRI UTTAM KUMAR ROY</t>
  </si>
  <si>
    <t>NEG166</t>
  </si>
  <si>
    <t>GURUDEV VARIETIES</t>
  </si>
  <si>
    <t>NER297</t>
  </si>
  <si>
    <t>REKHA HARDWARE</t>
  </si>
  <si>
    <t>NEK221</t>
  </si>
  <si>
    <t>KSHIRODA HARDWARE</t>
  </si>
  <si>
    <t>CACHAR</t>
  </si>
  <si>
    <t>G017</t>
  </si>
  <si>
    <t>GOURANGA BHANDAR</t>
  </si>
  <si>
    <t>K031</t>
  </si>
  <si>
    <t>KHAN HARDWARE</t>
  </si>
  <si>
    <t>B021</t>
  </si>
  <si>
    <t>BENGAL CONCRETE INDUSTRIES</t>
  </si>
  <si>
    <t>S038</t>
  </si>
  <si>
    <t>SHANKAR ROY</t>
  </si>
  <si>
    <t>A006</t>
  </si>
  <si>
    <t>A.K. TRADERS</t>
  </si>
  <si>
    <t>A033</t>
  </si>
  <si>
    <t>ASHOK ENTERPRISE</t>
  </si>
  <si>
    <t>R070</t>
  </si>
  <si>
    <t>R.P.TRADERS</t>
  </si>
  <si>
    <t>M143</t>
  </si>
  <si>
    <t>MALAKAR HARDWARE</t>
  </si>
  <si>
    <t>R093</t>
  </si>
  <si>
    <t>R.M. TRADERS (SILCHAR)</t>
  </si>
  <si>
    <t>NEL006</t>
  </si>
  <si>
    <t>LOKNATH ENTERPRIME</t>
  </si>
  <si>
    <t>NEA034</t>
  </si>
  <si>
    <t>AMSONS</t>
  </si>
  <si>
    <t>NEJ050</t>
  </si>
  <si>
    <t>J. HARDWARE (SILCHAR)</t>
  </si>
  <si>
    <t>NES211</t>
  </si>
  <si>
    <t>SANJITA HARDWARE</t>
  </si>
  <si>
    <t>NEH052</t>
  </si>
  <si>
    <t>HERAMANI HARDWARE</t>
  </si>
  <si>
    <t>NEM186</t>
  </si>
  <si>
    <t>M M HARDWARE</t>
  </si>
  <si>
    <t>NEP137</t>
  </si>
  <si>
    <t>PAUL HARDWARES (CACHAR)</t>
  </si>
  <si>
    <t>NEK098</t>
  </si>
  <si>
    <t>KRISHNA TRADERS</t>
  </si>
  <si>
    <t>NET110</t>
  </si>
  <si>
    <t>TAPAN KUMAR RAY (SILCHAR)</t>
  </si>
  <si>
    <t>NEA220</t>
  </si>
  <si>
    <t>ALLIED TRADERS</t>
  </si>
  <si>
    <t>NEG099</t>
  </si>
  <si>
    <t>GITA TRADERS</t>
  </si>
  <si>
    <t>NES363</t>
  </si>
  <si>
    <t>SUNITI TRADERS (SIL)</t>
  </si>
  <si>
    <t>NEJ092</t>
  </si>
  <si>
    <t>J K TRADERS (RONGPUR)</t>
  </si>
  <si>
    <t>NEJ094</t>
  </si>
  <si>
    <t>JANANI HARDWARE SHOP</t>
  </si>
  <si>
    <t>NEP197</t>
  </si>
  <si>
    <t>PURBASHA ENTERPRISE</t>
  </si>
  <si>
    <t>NES466</t>
  </si>
  <si>
    <t>SHANTA TRADERS</t>
  </si>
  <si>
    <t>NES476</t>
  </si>
  <si>
    <t>SREEMA TRADERS - SILCHAR</t>
  </si>
  <si>
    <t>NED179</t>
  </si>
  <si>
    <t>DEB HARDWARE - SIL</t>
  </si>
  <si>
    <t>NEF014</t>
  </si>
  <si>
    <t>FAIZUL HOQUE BARBHUIYA</t>
  </si>
  <si>
    <t>NEO030</t>
  </si>
  <si>
    <t>OM TRADING</t>
  </si>
  <si>
    <t>NES617</t>
  </si>
  <si>
    <t>SUBRATA SINHA</t>
  </si>
  <si>
    <t>NER264</t>
  </si>
  <si>
    <t>RAHIMIAH STEEL</t>
  </si>
  <si>
    <t>NEP245</t>
  </si>
  <si>
    <t>P C STEEL</t>
  </si>
  <si>
    <t>NET174</t>
  </si>
  <si>
    <t>TALUKDAR BROTHER INTER LOCKING &amp; TI</t>
  </si>
  <si>
    <t>NEB319</t>
  </si>
  <si>
    <t>BARBHUIYA TRADERS</t>
  </si>
  <si>
    <t>NEA398</t>
  </si>
  <si>
    <t>A.I.ENTERPRISE</t>
  </si>
  <si>
    <t>NEA418</t>
  </si>
  <si>
    <t>AMITA TRADERS</t>
  </si>
  <si>
    <t>NEA423</t>
  </si>
  <si>
    <t>A.I. TRADERS</t>
  </si>
  <si>
    <t>NEA424</t>
  </si>
  <si>
    <t>ASHUTOSH BHANDER</t>
  </si>
  <si>
    <t>NES696</t>
  </si>
  <si>
    <t>SUNIRMAL DAS</t>
  </si>
  <si>
    <t>NEA439</t>
  </si>
  <si>
    <t>AMIR HUSSAIN LASKAR</t>
  </si>
  <si>
    <t>NES711</t>
  </si>
  <si>
    <t>SAYAN STEEL</t>
  </si>
  <si>
    <t>NEC139</t>
  </si>
  <si>
    <t>CHOUDHURY TRADERS</t>
  </si>
  <si>
    <t>NEH155</t>
  </si>
  <si>
    <t>H.P. TRADERS</t>
  </si>
  <si>
    <t>NEP293</t>
  </si>
  <si>
    <t>PRATIMA STORE</t>
  </si>
  <si>
    <t>HAILAKANDI</t>
  </si>
  <si>
    <t>S029</t>
  </si>
  <si>
    <t>SARDA TRADE CORPORATION</t>
  </si>
  <si>
    <t>C005</t>
  </si>
  <si>
    <t>CACHAR STEEL COMPANY</t>
  </si>
  <si>
    <t>K066</t>
  </si>
  <si>
    <t>KUNJA TRADING</t>
  </si>
  <si>
    <t>H041</t>
  </si>
  <si>
    <t>HIRAMON PAUL</t>
  </si>
  <si>
    <t>NEG079</t>
  </si>
  <si>
    <t>GYANENDRA PAUL HARDWARE</t>
  </si>
  <si>
    <t>NEJ131</t>
  </si>
  <si>
    <t>J.A. LASKAR TRADERS</t>
  </si>
  <si>
    <t>NES620</t>
  </si>
  <si>
    <t>SRI SANJOY PAUL</t>
  </si>
  <si>
    <t>NEA431</t>
  </si>
  <si>
    <t>A M HARDWARE</t>
  </si>
  <si>
    <t>NEN211</t>
  </si>
  <si>
    <t>NEW LASKAR TRADER'S</t>
  </si>
  <si>
    <t>KARIMGANJ</t>
  </si>
  <si>
    <t>P034</t>
  </si>
  <si>
    <t>PRADIP H/W STORES</t>
  </si>
  <si>
    <t>J002</t>
  </si>
  <si>
    <t>J K &amp; SONS</t>
  </si>
  <si>
    <t>M085</t>
  </si>
  <si>
    <t>M.S.TRADING</t>
  </si>
  <si>
    <t>J031</t>
  </si>
  <si>
    <t>JOYTARA STORES</t>
  </si>
  <si>
    <t>F005</t>
  </si>
  <si>
    <t>F.R.ENTERPRISE</t>
  </si>
  <si>
    <t>T032</t>
  </si>
  <si>
    <t>TARANGAMOYEE TRADERS</t>
  </si>
  <si>
    <t>NER103</t>
  </si>
  <si>
    <t>R K TRADING (SILCHAR)</t>
  </si>
  <si>
    <t>NEO021</t>
  </si>
  <si>
    <t>OM TRADERS (SIL)</t>
  </si>
  <si>
    <t>NEM310</t>
  </si>
  <si>
    <t>MAA KARNI STEEL</t>
  </si>
  <si>
    <t>NES528</t>
  </si>
  <si>
    <t>S.B. ENTERPRISE - SIL</t>
  </si>
  <si>
    <t>NEK183</t>
  </si>
  <si>
    <t>K.A.TRADERS</t>
  </si>
  <si>
    <t>NET183</t>
  </si>
  <si>
    <t>T.A. HARDWARE SHOP</t>
  </si>
  <si>
    <t>NEP270</t>
  </si>
  <si>
    <t>PUSHPA TRADERS</t>
  </si>
  <si>
    <t>NEG167</t>
  </si>
  <si>
    <t>G.M. TRADING</t>
  </si>
  <si>
    <t>NED237</t>
  </si>
  <si>
    <t>DEB TRADERS</t>
  </si>
  <si>
    <t>NEB368</t>
  </si>
  <si>
    <t>BISHWANATH TRADERS</t>
  </si>
  <si>
    <t>NEA452</t>
  </si>
  <si>
    <t>AJAY TRADERS</t>
  </si>
  <si>
    <t>NEN39</t>
  </si>
  <si>
    <t>MIZORAM</t>
  </si>
  <si>
    <t>R002</t>
  </si>
  <si>
    <t>R.D.D.HARDWARE</t>
  </si>
  <si>
    <t>J047</t>
  </si>
  <si>
    <t>JAMES ENTERPRISE</t>
  </si>
  <si>
    <t>L060</t>
  </si>
  <si>
    <t>LALREM BUSINESS ENTERPRISE</t>
  </si>
  <si>
    <t>K151</t>
  </si>
  <si>
    <t xml:space="preserve">KIM KIM HARDWARE </t>
  </si>
  <si>
    <t>NER074</t>
  </si>
  <si>
    <t>R P STORE (AIZWAL)</t>
  </si>
  <si>
    <t>NEM100</t>
  </si>
  <si>
    <t>M &amp; M STORE (AIZWAL)</t>
  </si>
  <si>
    <t>NEM133</t>
  </si>
  <si>
    <t>M S ENTERPRISE</t>
  </si>
  <si>
    <t>NEA150</t>
  </si>
  <si>
    <t>ATEA CEMENT DAWR (AIZ)</t>
  </si>
  <si>
    <t>NEB115</t>
  </si>
  <si>
    <t>BEE JO STORE (AIZ)</t>
  </si>
  <si>
    <t>NEC057</t>
  </si>
  <si>
    <t>CEMENT DAWR</t>
  </si>
  <si>
    <t>NEZ010</t>
  </si>
  <si>
    <t>ZUALTEA BUSINESS CENTRE</t>
  </si>
  <si>
    <t>NES439</t>
  </si>
  <si>
    <t>SHEKINA ENTERPRISE</t>
  </si>
  <si>
    <t>NEN147</t>
  </si>
  <si>
    <t>N NADAW STORE</t>
  </si>
  <si>
    <t>NEE044</t>
  </si>
  <si>
    <t>EL-BE ENTERPRISE</t>
  </si>
  <si>
    <t>NEA284</t>
  </si>
  <si>
    <t>AMY TRADING (MIZ)</t>
  </si>
  <si>
    <t>NEG123</t>
  </si>
  <si>
    <t>GYANADA STORE</t>
  </si>
  <si>
    <t>NEZ014</t>
  </si>
  <si>
    <t>ZAHUATA CEMENT AGENCY</t>
  </si>
  <si>
    <t>NEZ015</t>
  </si>
  <si>
    <t>ZR ENTERPRISE</t>
  </si>
  <si>
    <t>NES607</t>
  </si>
  <si>
    <t>SOUTHERN BREEZE</t>
  </si>
  <si>
    <t>NEG152</t>
  </si>
  <si>
    <t>GABRIEL ENTERPRISE</t>
  </si>
  <si>
    <t>NER273</t>
  </si>
  <si>
    <t>R&amp;C ENTERPRISE</t>
  </si>
  <si>
    <t>NEC126</t>
  </si>
  <si>
    <t>C.L.ENTERPRISES</t>
  </si>
  <si>
    <t>NES678</t>
  </si>
  <si>
    <t>S.M.ENTERPRISE</t>
  </si>
  <si>
    <t>NEC130</t>
  </si>
  <si>
    <t>CEMENT SUPPLY AGENCY</t>
  </si>
  <si>
    <t>NEC136</t>
  </si>
  <si>
    <t>CHHANGTE HARDWARE</t>
  </si>
  <si>
    <t>NES709</t>
  </si>
  <si>
    <t>SHRI ELECTRICALS &amp; HARDWARES</t>
  </si>
  <si>
    <t>NEA442</t>
  </si>
  <si>
    <t>AIE CONSTRUCTION</t>
  </si>
  <si>
    <t>NER274</t>
  </si>
  <si>
    <t>RORO POLYMERS</t>
  </si>
  <si>
    <t>NEZ024</t>
  </si>
  <si>
    <t>ZAMZO ENGINEERING, CONSTRUCTION AND</t>
  </si>
  <si>
    <t>NES726</t>
  </si>
  <si>
    <t>SAILOLIANA ENTERPRISE</t>
  </si>
  <si>
    <t>NEM439</t>
  </si>
  <si>
    <t>MIDLAND BUSINESS ENTERPRISE</t>
  </si>
  <si>
    <t>NEN35</t>
  </si>
  <si>
    <t>N.I.HARDWARE</t>
  </si>
  <si>
    <t>NEW015</t>
  </si>
  <si>
    <t>WOODLAND CONSTRUCTION</t>
  </si>
  <si>
    <t>TURA HILLS</t>
  </si>
  <si>
    <t>A020</t>
  </si>
  <si>
    <t>AMIT ENTERPRISES</t>
  </si>
  <si>
    <t>M160</t>
  </si>
  <si>
    <t>MONORANJAN DAS</t>
  </si>
  <si>
    <t>S356</t>
  </si>
  <si>
    <t>SWASTIM HARDWARE</t>
  </si>
  <si>
    <t>NEB002</t>
  </si>
  <si>
    <t>BILLINDRO SANGMA</t>
  </si>
  <si>
    <t>NES202</t>
  </si>
  <si>
    <t>SHIRA HARDWARE STORE (TURA)</t>
  </si>
  <si>
    <t>NEN086</t>
  </si>
  <si>
    <t>N S TRADE AGENCY</t>
  </si>
  <si>
    <t>NEC072</t>
  </si>
  <si>
    <t>CHITTARANJAN HARDWARE</t>
  </si>
  <si>
    <t>NES315</t>
  </si>
  <si>
    <t>S D SHIRA</t>
  </si>
  <si>
    <t>NEB195</t>
  </si>
  <si>
    <t>BANIA HARDWARE</t>
  </si>
  <si>
    <t>NER183</t>
  </si>
  <si>
    <t>R K HARDWARE (TURA)</t>
  </si>
  <si>
    <t>NEA294</t>
  </si>
  <si>
    <t>A.B.C. ENTERPRISE - TURA</t>
  </si>
  <si>
    <t>NEP206</t>
  </si>
  <si>
    <t>PAWAN KUMAR SAHU - TURA</t>
  </si>
  <si>
    <t>NEJ124</t>
  </si>
  <si>
    <t>J A SANGMA</t>
  </si>
  <si>
    <t>NES590</t>
  </si>
  <si>
    <t>STEELS HOUSE</t>
  </si>
  <si>
    <t>NEA403</t>
  </si>
  <si>
    <t>AJAY R MARAK</t>
  </si>
  <si>
    <t>NES680</t>
  </si>
  <si>
    <t>SEMINGTON MARAK</t>
  </si>
  <si>
    <t>NET195</t>
  </si>
  <si>
    <t>TIGER STEEL AND HARDWARE</t>
  </si>
  <si>
    <t>NEG179</t>
  </si>
  <si>
    <t>GIRRAJ TRADE AGENCY</t>
  </si>
  <si>
    <t>TURA PLAIN</t>
  </si>
  <si>
    <t>S283</t>
  </si>
  <si>
    <t>S.K.HARDWARE STORES (TURA)</t>
  </si>
  <si>
    <t>S348</t>
  </si>
  <si>
    <t>SAMAD HARDWARE</t>
  </si>
  <si>
    <t>T068</t>
  </si>
  <si>
    <t>T.D.PANGCHAK ENTERPRISE</t>
  </si>
  <si>
    <t>NED020</t>
  </si>
  <si>
    <t>DEY HARDWARE</t>
  </si>
  <si>
    <t>NEL033</t>
  </si>
  <si>
    <t>LUCKY HARDWARE STORE</t>
  </si>
  <si>
    <t>NEI014</t>
  </si>
  <si>
    <t>ISLAM HARDWARE (PHULBARI)</t>
  </si>
  <si>
    <t>NES407</t>
  </si>
  <si>
    <t>S A ENTERPRISE (HALLIDAYGANJ)</t>
  </si>
  <si>
    <t>NEN155</t>
  </si>
  <si>
    <t>NABA KUMAR SAHA</t>
  </si>
  <si>
    <t>NER259</t>
  </si>
  <si>
    <t>RIJINA BEGUM</t>
  </si>
  <si>
    <t>NEM365</t>
  </si>
  <si>
    <t>M.B. HARDWARE</t>
  </si>
  <si>
    <t>NEJ160</t>
  </si>
  <si>
    <t>JOYA ENTERPRISE</t>
  </si>
  <si>
    <t>NES670</t>
  </si>
  <si>
    <t>SIPRA TRADERS</t>
  </si>
  <si>
    <t>NER306</t>
  </si>
  <si>
    <t>RANI ENTERPRISES</t>
  </si>
  <si>
    <t>NEM429</t>
  </si>
  <si>
    <t>MAA KAMAKHYA HARDWARE</t>
  </si>
  <si>
    <t>NEM433</t>
  </si>
  <si>
    <t>NB 1</t>
  </si>
  <si>
    <t>Cooch Behar</t>
  </si>
  <si>
    <t>D025</t>
  </si>
  <si>
    <t>DULAL CH. SAHA</t>
  </si>
  <si>
    <t>P111</t>
  </si>
  <si>
    <t>PABAN AGARWALA</t>
  </si>
  <si>
    <t>M212</t>
  </si>
  <si>
    <t>MAA KALI HARDWARE</t>
  </si>
  <si>
    <t>G074</t>
  </si>
  <si>
    <t>GOPINATH ENTERPRISE</t>
  </si>
  <si>
    <t>N098</t>
  </si>
  <si>
    <t>NISHIGANJ BUILDERS</t>
  </si>
  <si>
    <t>B190</t>
  </si>
  <si>
    <t>BHAI BHAI HARDWARE (COOCHBIHAR)</t>
  </si>
  <si>
    <t>L079</t>
  </si>
  <si>
    <t>LUCKY HARDWARE</t>
  </si>
  <si>
    <t>L085</t>
  </si>
  <si>
    <t>LOKENATH HARDWARE (DINHATA)</t>
  </si>
  <si>
    <t>S561</t>
  </si>
  <si>
    <t>SABITA DAM</t>
  </si>
  <si>
    <t>D162</t>
  </si>
  <si>
    <t>DEBABRATA SAHA</t>
  </si>
  <si>
    <t>WBM098</t>
  </si>
  <si>
    <t>M/s PAUL HARDWARE STORES</t>
  </si>
  <si>
    <t>WBN046</t>
  </si>
  <si>
    <t>NIRMAN UDYOG</t>
  </si>
  <si>
    <t>WBD049</t>
  </si>
  <si>
    <t xml:space="preserve">DEY AGENCY </t>
  </si>
  <si>
    <t>WBD067</t>
  </si>
  <si>
    <t>DHAR AGENCY</t>
  </si>
  <si>
    <t>WBB111</t>
  </si>
  <si>
    <t>BENGAL HARDWARE STORES</t>
  </si>
  <si>
    <t>WBK057</t>
  </si>
  <si>
    <t>KISHORE STEEL CENTRE</t>
  </si>
  <si>
    <t>WBM241</t>
  </si>
  <si>
    <t>MAA MANASHA HARDWARE</t>
  </si>
  <si>
    <t>WBR107</t>
  </si>
  <si>
    <t>WBD074</t>
  </si>
  <si>
    <t>DEY ENTERPRISE (GHUGHUMARI)</t>
  </si>
  <si>
    <t>WBS279</t>
  </si>
  <si>
    <t>SAHA CONSTRUCTION</t>
  </si>
  <si>
    <t>WBN096</t>
  </si>
  <si>
    <t>NUR ISLAM ENTERPRISE</t>
  </si>
  <si>
    <t>WBS297</t>
  </si>
  <si>
    <t>SHREE KRISHNA HARDWARE - NAYARHAT</t>
  </si>
  <si>
    <t>WBC027</t>
  </si>
  <si>
    <t>CHILAKHANA HARDWARE STORES</t>
  </si>
  <si>
    <t>WBB137</t>
  </si>
  <si>
    <t>BASANTI HARDWARE</t>
  </si>
  <si>
    <t>WBR129</t>
  </si>
  <si>
    <t>R.K. STEEL - COOCHBIHAR</t>
  </si>
  <si>
    <t>WBJ062</t>
  </si>
  <si>
    <t>JUWEL ENTERPRISE</t>
  </si>
  <si>
    <t>WBD090</t>
  </si>
  <si>
    <t>DEY ENTERPRISE - BABURHAT</t>
  </si>
  <si>
    <t>WBB150</t>
  </si>
  <si>
    <t>BISWAS HARDWARE STORES</t>
  </si>
  <si>
    <t>WBO006</t>
  </si>
  <si>
    <t>OM SRI GANESH TRADING CO</t>
  </si>
  <si>
    <t>WBN108</t>
  </si>
  <si>
    <t>NIKHIL KUMAR CHOWDHURY</t>
  </si>
  <si>
    <t>WBJ076</t>
  </si>
  <si>
    <t>JYOTSNA HARDWARE</t>
  </si>
  <si>
    <t>WBG099</t>
  </si>
  <si>
    <t>GOURAB SAHA</t>
  </si>
  <si>
    <t>ALIPURDUAR</t>
  </si>
  <si>
    <t>S141</t>
  </si>
  <si>
    <t>SAHA &amp; CO.</t>
  </si>
  <si>
    <t>R132</t>
  </si>
  <si>
    <t>RADHA HARDWARE</t>
  </si>
  <si>
    <t>WBH019</t>
  </si>
  <si>
    <t>HARI OM TRADERS (JALPAIGURI)</t>
  </si>
  <si>
    <t>WBP050</t>
  </si>
  <si>
    <t>PUNAM TRADING</t>
  </si>
  <si>
    <t>WBG075</t>
  </si>
  <si>
    <t>GARG ENTERPRISES</t>
  </si>
  <si>
    <t>WBS267</t>
  </si>
  <si>
    <t>SADHANA ENTERPRISE (MATHURABAGAN)</t>
  </si>
  <si>
    <t>WBM272</t>
  </si>
  <si>
    <t>MAA BHABANI HARDWARE</t>
  </si>
  <si>
    <t>WBR128</t>
  </si>
  <si>
    <t>R P ENTERPRISE</t>
  </si>
  <si>
    <t>WBD085</t>
  </si>
  <si>
    <t>DALIM KUMAR DAS</t>
  </si>
  <si>
    <t>WBM273</t>
  </si>
  <si>
    <t>MAHESWARI CEMENT AGENCY - ALIPURDUAR</t>
  </si>
  <si>
    <t>WBP088</t>
  </si>
  <si>
    <t>PALIT ENTERPRISE</t>
  </si>
  <si>
    <t>WBR152</t>
  </si>
  <si>
    <t>RAMKRISHNA HARDWARE - BIRPARA</t>
  </si>
  <si>
    <t>WBS342</t>
  </si>
  <si>
    <t>SUJIT KUMAR SAHA</t>
  </si>
  <si>
    <t>WBA163</t>
  </si>
  <si>
    <t>ANKIT HARDWARE</t>
  </si>
  <si>
    <t>WBB160</t>
  </si>
  <si>
    <t>BAJRANGBALI HARDWARE</t>
  </si>
  <si>
    <t>JALPAIGURI</t>
  </si>
  <si>
    <t>P106</t>
  </si>
  <si>
    <t>PROMILA BUILDERS</t>
  </si>
  <si>
    <t>C085</t>
  </si>
  <si>
    <t>CHHOGMAL OMPRAKASH</t>
  </si>
  <si>
    <t>T057</t>
  </si>
  <si>
    <t>TIRUPATI IRON STORES</t>
  </si>
  <si>
    <t>R114</t>
  </si>
  <si>
    <t>ROY ENTERPRISE (SILIGURI)</t>
  </si>
  <si>
    <t>S321</t>
  </si>
  <si>
    <t>SUBRATA SAHA</t>
  </si>
  <si>
    <t>S349</t>
  </si>
  <si>
    <t>SASWAT</t>
  </si>
  <si>
    <t>L073</t>
  </si>
  <si>
    <t>LOUHA BHANDAR</t>
  </si>
  <si>
    <t>S478</t>
  </si>
  <si>
    <t>SUNITI ENTERPRISE</t>
  </si>
  <si>
    <t>WBM053</t>
  </si>
  <si>
    <t>MAL CEMENT STORES</t>
  </si>
  <si>
    <t>WBN030</t>
  </si>
  <si>
    <t>NATIONAL TRADING CO</t>
  </si>
  <si>
    <t>WBL019</t>
  </si>
  <si>
    <t>LAXMI AGENCY</t>
  </si>
  <si>
    <t>WBR057</t>
  </si>
  <si>
    <t>RUPAM ENTERPRISE (JALPAIGURI)</t>
  </si>
  <si>
    <t>WBJ036</t>
  </si>
  <si>
    <t>JALPAIGURI ISPAT</t>
  </si>
  <si>
    <t>WBM204</t>
  </si>
  <si>
    <t>MAHESH MAHESWARI</t>
  </si>
  <si>
    <t>WBR096</t>
  </si>
  <si>
    <t>ROY CYCLE STORES</t>
  </si>
  <si>
    <t>WBP075</t>
  </si>
  <si>
    <t>PAUL CONSTRUCTION (KHARIA)</t>
  </si>
  <si>
    <t>WBA107</t>
  </si>
  <si>
    <t>ALI HARDWARE (GADONG)</t>
  </si>
  <si>
    <t>WBB119</t>
  </si>
  <si>
    <t>BHOWMIK BROTHERS</t>
  </si>
  <si>
    <t>WBD076</t>
  </si>
  <si>
    <t>DIPANKAR ENTERPRISE</t>
  </si>
  <si>
    <t>WBS278</t>
  </si>
  <si>
    <t>SRI SHAKAMBHARI BUILDER</t>
  </si>
  <si>
    <t>WBG079</t>
  </si>
  <si>
    <t>GANESHLAL PAWAN KUMAR</t>
  </si>
  <si>
    <t>WBR120</t>
  </si>
  <si>
    <t>RISHI ENTERPRISE</t>
  </si>
  <si>
    <t>WBD080</t>
  </si>
  <si>
    <t>DHIRAJ AGARWAL</t>
  </si>
  <si>
    <t>WBP081</t>
  </si>
  <si>
    <t>PAUL HARDWARE - SALBARI</t>
  </si>
  <si>
    <t>WBB143</t>
  </si>
  <si>
    <t>BAJRANG TRADING CO</t>
  </si>
  <si>
    <t>WBG090</t>
  </si>
  <si>
    <t>GYANNAYAK STEEL</t>
  </si>
  <si>
    <t>WBP087</t>
  </si>
  <si>
    <t>PRATIBHA HARDWARE</t>
  </si>
  <si>
    <t>WBS335</t>
  </si>
  <si>
    <t>SREE BALAJI HARDWARE STORES</t>
  </si>
  <si>
    <t>WBS330</t>
  </si>
  <si>
    <t>WBM301</t>
  </si>
  <si>
    <t>M M TRADERS</t>
  </si>
  <si>
    <t>WBA155</t>
  </si>
  <si>
    <t>AMULYA PAUL</t>
  </si>
  <si>
    <t>WBB153</t>
  </si>
  <si>
    <t>BAPI MAJUMDER</t>
  </si>
  <si>
    <t>WBS340</t>
  </si>
  <si>
    <t>SUMITRA ENTERPRISE - JALPAIGURI</t>
  </si>
  <si>
    <t>WBG097</t>
  </si>
  <si>
    <t>GHOSH ENTERPRISE - DHUPGURI</t>
  </si>
  <si>
    <t>WBT074</t>
  </si>
  <si>
    <t>THAKUR TRADERS</t>
  </si>
  <si>
    <t>WBR154</t>
  </si>
  <si>
    <t>R.K.STEEL (NEW)</t>
  </si>
  <si>
    <t>SIKKIM</t>
  </si>
  <si>
    <t>SKR002</t>
  </si>
  <si>
    <t>RAJU ENTERPRISES - RANIPOOL</t>
  </si>
  <si>
    <t>SKT001</t>
  </si>
  <si>
    <t>THAKUR AND SONS</t>
  </si>
  <si>
    <t>WBJ018</t>
  </si>
  <si>
    <t>JAISWAL TRADERS</t>
  </si>
  <si>
    <t>WBM097</t>
  </si>
  <si>
    <t>M/S GITA DEVI PRASAD</t>
  </si>
  <si>
    <t>WBP028</t>
  </si>
  <si>
    <t>PANKAJ AGARWAL (SIKKIM)</t>
  </si>
  <si>
    <t>WBB052</t>
  </si>
  <si>
    <t>BANWARILAL OMKARMULL</t>
  </si>
  <si>
    <t>WBD038</t>
  </si>
  <si>
    <t>D P TRADERS</t>
  </si>
  <si>
    <t>WBS246</t>
  </si>
  <si>
    <t>SARITA TRADING</t>
  </si>
  <si>
    <t>SKR003</t>
  </si>
  <si>
    <t>RAMA ENTERPRISES - YANGANG</t>
  </si>
  <si>
    <t>SKG002</t>
  </si>
  <si>
    <t>GLOBAL INFRATECH</t>
  </si>
  <si>
    <t>SKA002</t>
  </si>
  <si>
    <t>ADEE ENTERPRISES</t>
  </si>
  <si>
    <t>NB 2</t>
  </si>
  <si>
    <t>UTTAR DINAJPUR</t>
  </si>
  <si>
    <t>WBM296</t>
  </si>
  <si>
    <t>MOKTADER ENTERPRISE</t>
  </si>
  <si>
    <t>D106</t>
  </si>
  <si>
    <t xml:space="preserve">DADA BHAI SUPPLIERS </t>
  </si>
  <si>
    <t>WBT020</t>
  </si>
  <si>
    <t>TAJ LOUHA BHANDAR</t>
  </si>
  <si>
    <t>WBB084</t>
  </si>
  <si>
    <t>BISHNU ENTERPRISE (U.DINAJPUR)</t>
  </si>
  <si>
    <t>WBA077</t>
  </si>
  <si>
    <t>ABDUL SOVAN</t>
  </si>
  <si>
    <t>WBK046</t>
  </si>
  <si>
    <t>KALIMI HARDWARE STORES</t>
  </si>
  <si>
    <t>WBR092</t>
  </si>
  <si>
    <t>RAKSHIT CYCLE &amp; HARDWARE</t>
  </si>
  <si>
    <t>WBM232</t>
  </si>
  <si>
    <t>MANDAL ENTERPRISE</t>
  </si>
  <si>
    <t>WBS229</t>
  </si>
  <si>
    <t>SHIV SHAKTI HARDWARE</t>
  </si>
  <si>
    <t>WBI015</t>
  </si>
  <si>
    <t>IMRAN HARDWARE</t>
  </si>
  <si>
    <t>WBD071</t>
  </si>
  <si>
    <t>DADA BHAI SUPPLY &amp; HARDWARE</t>
  </si>
  <si>
    <t>WBM251</t>
  </si>
  <si>
    <t>MAA DURGA ENTERPRISE (DHARAMPUR)</t>
  </si>
  <si>
    <t>WBM252</t>
  </si>
  <si>
    <t>MATADI BUILDERS</t>
  </si>
  <si>
    <t>WBS268</t>
  </si>
  <si>
    <t>SANTOSH ROY</t>
  </si>
  <si>
    <t>WBR124</t>
  </si>
  <si>
    <t>RANI SATI TRADING CO.</t>
  </si>
  <si>
    <t>WBS296</t>
  </si>
  <si>
    <t>SHIVA TRADING AND COMPANY</t>
  </si>
  <si>
    <t>WBG087</t>
  </si>
  <si>
    <t>G S BUILDERS</t>
  </si>
  <si>
    <t>WBR140</t>
  </si>
  <si>
    <t>ROSHAN HARDWARE</t>
  </si>
  <si>
    <t>WBS320</t>
  </si>
  <si>
    <t>SUBHAN ENTERPRISE</t>
  </si>
  <si>
    <t>WBS322</t>
  </si>
  <si>
    <t>S R BUILDERS</t>
  </si>
  <si>
    <t>WBA147</t>
  </si>
  <si>
    <t>ABDUL KARIM ENTERPRISE</t>
  </si>
  <si>
    <t>WBM303</t>
  </si>
  <si>
    <t>MILAN CHANDRA SARKAR</t>
  </si>
  <si>
    <t>WBM306</t>
  </si>
  <si>
    <t>MANDAL HARDWARE - PANJIPARA</t>
  </si>
  <si>
    <t>WBM310</t>
  </si>
  <si>
    <t>MAHATO FERTILIZER AND SEEDS</t>
  </si>
  <si>
    <t>WBM311</t>
  </si>
  <si>
    <t>MAA BUILDERS</t>
  </si>
  <si>
    <t>WBB156</t>
  </si>
  <si>
    <t>BIJOY RAHA</t>
  </si>
  <si>
    <t>WBA158</t>
  </si>
  <si>
    <t>ALAM HARDWARE</t>
  </si>
  <si>
    <t>WBS344</t>
  </si>
  <si>
    <t>S.J.TRADERS</t>
  </si>
  <si>
    <t>WBR153</t>
  </si>
  <si>
    <t>RAJASTHAN MARBELS AND HARDWARE</t>
  </si>
  <si>
    <t>WBA160</t>
  </si>
  <si>
    <t>ABDUL CONSTRUCTION</t>
  </si>
  <si>
    <t>WBM316</t>
  </si>
  <si>
    <t>MD FIROJ ALI</t>
  </si>
  <si>
    <t>WBM317</t>
  </si>
  <si>
    <t>MD ASHIF ALI</t>
  </si>
  <si>
    <t>WBR156</t>
  </si>
  <si>
    <t>REZA HARDWARE</t>
  </si>
  <si>
    <t>DAKSHIN DINAJPUR</t>
  </si>
  <si>
    <t>WBG093</t>
  </si>
  <si>
    <t>GUPTA TRADERS - DAKSHIN DINAJPUR</t>
  </si>
  <si>
    <t>WBL005</t>
  </si>
  <si>
    <t>Laxmi Narayan Enterprise</t>
  </si>
  <si>
    <t>WBP026</t>
  </si>
  <si>
    <t>PAL BUILDERS (D DINAJPUR)</t>
  </si>
  <si>
    <t>WBN051</t>
  </si>
  <si>
    <t>NEW BURIMA HARDWARE</t>
  </si>
  <si>
    <t>WBL026</t>
  </si>
  <si>
    <t>LOKNATH BUILDERS (D. DINAJPUR)</t>
  </si>
  <si>
    <t>WBS196</t>
  </si>
  <si>
    <t>SABITRI LAHA</t>
  </si>
  <si>
    <t>WBM220</t>
  </si>
  <si>
    <t>MAHALAXMI HARDWARES (D.DINAJPUR)</t>
  </si>
  <si>
    <t>WBM221</t>
  </si>
  <si>
    <t>MAA KALI BUILDERS</t>
  </si>
  <si>
    <t>WBM250</t>
  </si>
  <si>
    <t>MAA ENTERPRISE (DEHABOND)</t>
  </si>
  <si>
    <t>WBA154</t>
  </si>
  <si>
    <t>AHAMED HARDWARE</t>
  </si>
  <si>
    <t>WBM313</t>
  </si>
  <si>
    <t>MANJU HARDWARE</t>
  </si>
  <si>
    <t>MALDA</t>
  </si>
  <si>
    <t>WBR148</t>
  </si>
  <si>
    <t>RAJ ENTERPRISE - CHANCHAL</t>
  </si>
  <si>
    <t>S370</t>
  </si>
  <si>
    <t>SULTAN ENTERPRISE</t>
  </si>
  <si>
    <t>WBR005</t>
  </si>
  <si>
    <t>ROY SUPPLIERS</t>
  </si>
  <si>
    <t>WBA035</t>
  </si>
  <si>
    <t>ADIL HARDWARE</t>
  </si>
  <si>
    <t>WBT056</t>
  </si>
  <si>
    <t>TRIRATNA HARDWARE</t>
  </si>
  <si>
    <t>WBM235</t>
  </si>
  <si>
    <t>MURARI MOHAN RETAIL</t>
  </si>
  <si>
    <t>WBM247</t>
  </si>
  <si>
    <t>MD SAHAJAHAN</t>
  </si>
  <si>
    <t>WBA110</t>
  </si>
  <si>
    <t>ANSARI ENTERPRISE</t>
  </si>
  <si>
    <t>WBK066</t>
  </si>
  <si>
    <t>KARIM ENTERPRISE</t>
  </si>
  <si>
    <t>WBM282</t>
  </si>
  <si>
    <t>MD EMRAN ALI KHAN</t>
  </si>
  <si>
    <t>WBH048</t>
  </si>
  <si>
    <t>HADIQUL ISLAM</t>
  </si>
  <si>
    <t>WBG089</t>
  </si>
  <si>
    <t>GITANJALI ENTERPRISE</t>
  </si>
  <si>
    <t>WBP091</t>
  </si>
  <si>
    <t>PROBIR HARDWARE</t>
  </si>
  <si>
    <t>DARJEELING HILLS</t>
  </si>
  <si>
    <t>M181</t>
  </si>
  <si>
    <t>MAA TARA TRADING (DARJEELING)</t>
  </si>
  <si>
    <t>A145</t>
  </si>
  <si>
    <t>ANKUR TRADERS</t>
  </si>
  <si>
    <t>S596</t>
  </si>
  <si>
    <t>SHERPA TRADING CO</t>
  </si>
  <si>
    <t>WBT036</t>
  </si>
  <si>
    <t>TIRUPATI BUILDERS (DRJG)</t>
  </si>
  <si>
    <t>WBA093</t>
  </si>
  <si>
    <t>AAYAN TRADING</t>
  </si>
  <si>
    <t>WBP072</t>
  </si>
  <si>
    <t>PRIYANKA CEMENT SALES AGENCY</t>
  </si>
  <si>
    <t>WBB123</t>
  </si>
  <si>
    <t>BAJRANG ENTERPRISES (SALUGARA)</t>
  </si>
  <si>
    <t>WBS272</t>
  </si>
  <si>
    <t>SRI HANUMAN ENTERPRISES (DARJEELING)</t>
  </si>
  <si>
    <t>WBK067</t>
  </si>
  <si>
    <t>KESANG HARDWARE</t>
  </si>
  <si>
    <t>WBG096</t>
  </si>
  <si>
    <t>GANNAYAK BUILDERS</t>
  </si>
  <si>
    <t>DARJEELING PLAINS</t>
  </si>
  <si>
    <t>M241</t>
  </si>
  <si>
    <t>MANDAL &amp; SONS</t>
  </si>
  <si>
    <t>A184</t>
  </si>
  <si>
    <t>ANAND KUMAR JAJODIA</t>
  </si>
  <si>
    <t>S467</t>
  </si>
  <si>
    <t>SUDEB SHEAL</t>
  </si>
  <si>
    <t>WBK031</t>
  </si>
  <si>
    <t>KARUNA ENTERPRISE (DRJG)</t>
  </si>
  <si>
    <t>WBD057</t>
  </si>
  <si>
    <t>DURGADUTTA AGARWAL (DARJEELING)</t>
  </si>
  <si>
    <t>WBM226</t>
  </si>
  <si>
    <t>MOON STAR HARDWARE STORES</t>
  </si>
  <si>
    <t>WBS309</t>
  </si>
  <si>
    <t>SHREE SHYAM TRADERS</t>
  </si>
  <si>
    <t>WBJ070</t>
  </si>
  <si>
    <t>JITEN CONSTRUCTION</t>
  </si>
  <si>
    <t>WBA161</t>
  </si>
  <si>
    <t>ANJANI ENTERPRISES LIMITED</t>
  </si>
  <si>
    <t>BH</t>
  </si>
  <si>
    <t>KISHANGANJ</t>
  </si>
  <si>
    <t>A178</t>
  </si>
  <si>
    <t>ALAM TRADERS</t>
  </si>
  <si>
    <t>A190</t>
  </si>
  <si>
    <t>ANJUM TRADING</t>
  </si>
  <si>
    <t>R174</t>
  </si>
  <si>
    <t>ROSHNI TRADING</t>
  </si>
  <si>
    <t>R214</t>
  </si>
  <si>
    <t xml:space="preserve">RABBANI &amp; CO. </t>
  </si>
  <si>
    <t>M404</t>
  </si>
  <si>
    <t>MAHE TRADERS</t>
  </si>
  <si>
    <t>BHM001</t>
  </si>
  <si>
    <t>MAA SHARDA IRON STORE</t>
  </si>
  <si>
    <t>BHB007</t>
  </si>
  <si>
    <t>BABLU TRADERS</t>
  </si>
  <si>
    <t>BHS038</t>
  </si>
  <si>
    <t>SOBHA IRON &amp; STEEL</t>
  </si>
  <si>
    <t>BHM058</t>
  </si>
  <si>
    <t>M &amp; T ENTERPRISES (BELWA)</t>
  </si>
  <si>
    <t>BHS149</t>
  </si>
  <si>
    <t>SEEMA TRADERS</t>
  </si>
  <si>
    <t>BHK041</t>
  </si>
  <si>
    <t>KRISHNA ENTERPRISES (GOTHRA)</t>
  </si>
  <si>
    <t>BHM104</t>
  </si>
  <si>
    <t>MANNAT TRADERS</t>
  </si>
  <si>
    <t>BHS162</t>
  </si>
  <si>
    <t>SANDIP AGARWAL</t>
  </si>
  <si>
    <t>BHM106</t>
  </si>
  <si>
    <t>MANJAR TRADERS AND BUILDING MATERIAL</t>
  </si>
  <si>
    <t>BHS167</t>
  </si>
  <si>
    <t>SHREE TRADERS</t>
  </si>
  <si>
    <t>BHB062</t>
  </si>
  <si>
    <t>BHARAT STORE</t>
  </si>
  <si>
    <t>BHJ039</t>
  </si>
  <si>
    <t>JAI SHRI KRISHNA TRADERS</t>
  </si>
  <si>
    <t>BHK046</t>
  </si>
  <si>
    <t>KASBA STEEL CENTRE</t>
  </si>
  <si>
    <t>BHB067</t>
  </si>
  <si>
    <t>BARKAT ENTERPRISES</t>
  </si>
  <si>
    <t>BHS183</t>
  </si>
  <si>
    <t>SHYAM ENTERPRISES (THAKURGANJ)</t>
  </si>
  <si>
    <t>BHB068</t>
  </si>
  <si>
    <t>BAJRANG TRADERS (RANIGANJ)</t>
  </si>
  <si>
    <t>BHC017</t>
  </si>
  <si>
    <t>CHOTU TRADERS</t>
  </si>
  <si>
    <t>BHI007</t>
  </si>
  <si>
    <t>IRSHAD FLAYS BRICKS</t>
  </si>
  <si>
    <t>BHM128</t>
  </si>
  <si>
    <t>MAA SHANTI TRADERS</t>
  </si>
  <si>
    <t>BHJ046</t>
  </si>
  <si>
    <t>J K STEEL - KISHANGANJ</t>
  </si>
  <si>
    <t>BHR094</t>
  </si>
  <si>
    <t>ROYAL CEMENTS</t>
  </si>
  <si>
    <t>BHS242</t>
  </si>
  <si>
    <t>SINHA MARKETING</t>
  </si>
  <si>
    <t>BHA088</t>
  </si>
  <si>
    <t>ADIBA TRADERS</t>
  </si>
  <si>
    <t>BHM147</t>
  </si>
  <si>
    <t>MAHADEV TRADERS - PALASI</t>
  </si>
  <si>
    <t>BHA094</t>
  </si>
  <si>
    <t>A K ENTERPRISES</t>
  </si>
  <si>
    <t>BHA099</t>
  </si>
  <si>
    <t>AGM TRADERS</t>
  </si>
  <si>
    <t>BHS253</t>
  </si>
  <si>
    <t>SAH TRADERS - SIKTY</t>
  </si>
  <si>
    <t>BHR102</t>
  </si>
  <si>
    <t>RAJA HARDWARES AND SUPPLIERS</t>
  </si>
  <si>
    <t>BHA101</t>
  </si>
  <si>
    <t>AKBAR TRADERS</t>
  </si>
  <si>
    <t>SAHARSA</t>
  </si>
  <si>
    <t>BHA077</t>
  </si>
  <si>
    <t>ASHA TRADERS - BARIYAHI</t>
  </si>
  <si>
    <t>BHM133</t>
  </si>
  <si>
    <t>MAHADEV TRADERS - JALSIMAN</t>
  </si>
  <si>
    <t>BHJ055</t>
  </si>
  <si>
    <t>JAI MATA DI TRADERS - SAHARSA</t>
  </si>
  <si>
    <t>BHO009</t>
  </si>
  <si>
    <t>OM SHANTI TRADERS</t>
  </si>
  <si>
    <t>BHS249</t>
  </si>
  <si>
    <t>SUMAN ENTERPRISES - PANCHGACHIA</t>
  </si>
  <si>
    <t>BHM155</t>
  </si>
  <si>
    <t>MAA TARA ENTERPRISES - SONBARSA</t>
  </si>
  <si>
    <t>Supaul &amp; Madhepura</t>
  </si>
  <si>
    <t>BHS103</t>
  </si>
  <si>
    <t>SHIV SHAKTI TRADERS (KURHAN)</t>
  </si>
  <si>
    <t>BHM112</t>
  </si>
  <si>
    <t>MAA DURGA TRADERS</t>
  </si>
  <si>
    <t>BHA070</t>
  </si>
  <si>
    <t>ANKUR ENTERPRISES (MADHEPURA)</t>
  </si>
  <si>
    <t>BHN034</t>
  </si>
  <si>
    <t>NAHAR TRADERS</t>
  </si>
  <si>
    <t>BHM138</t>
  </si>
  <si>
    <t>MUKESH TRADERS - UDAKISHUNGANJ</t>
  </si>
  <si>
    <t>BHK055</t>
  </si>
  <si>
    <t>KASHBA TRADERS</t>
  </si>
  <si>
    <t>BHJ059</t>
  </si>
  <si>
    <t>JAGDAMBA TRADERS - KUMARKHAND</t>
  </si>
  <si>
    <t>BHG049</t>
  </si>
  <si>
    <t>GITA TRADERS - SUPAUL</t>
  </si>
  <si>
    <t>BHG050</t>
  </si>
  <si>
    <t>GANPATI TRADERS - BUDHMA</t>
  </si>
  <si>
    <t>BHAGALPUR</t>
  </si>
  <si>
    <t>BHP044</t>
  </si>
  <si>
    <t>PRINCE TRADERS - BARAHAT</t>
  </si>
  <si>
    <t>BHS232</t>
  </si>
  <si>
    <t>SAH ENTERPRISES</t>
  </si>
  <si>
    <t>BHL001</t>
  </si>
  <si>
    <t>LAXMI ENTERPRISES (BANKA)</t>
  </si>
  <si>
    <t>BHA016</t>
  </si>
  <si>
    <t>ADITYA ENTERPRISES (BIRNODH)</t>
  </si>
  <si>
    <t>BHA025</t>
  </si>
  <si>
    <t>ANAND TRADERS (BHAGALPUR)</t>
  </si>
  <si>
    <t>BHT003</t>
  </si>
  <si>
    <t>TULSYAN CEMENT &amp; FERTILIZERS</t>
  </si>
  <si>
    <t>BHM041</t>
  </si>
  <si>
    <t>MAA LAXMI TRADERS (JICHHO)</t>
  </si>
  <si>
    <t>BHM051</t>
  </si>
  <si>
    <t>MAA SHARDA TRADER (SULTANGANJ)</t>
  </si>
  <si>
    <t>BHY005</t>
  </si>
  <si>
    <t>YUVNANDAN ENTERPRISES (RAJOUN)</t>
  </si>
  <si>
    <t>BHM090</t>
  </si>
  <si>
    <t>MAA SHARDA CEMENT AGENCY</t>
  </si>
  <si>
    <t>BHV024</t>
  </si>
  <si>
    <t>VANDANA BUILDING SOLUTION</t>
  </si>
  <si>
    <t>BHJ060</t>
  </si>
  <si>
    <t>JAY MAA TRADERS</t>
  </si>
  <si>
    <t>BHS255</t>
  </si>
  <si>
    <t>SUMAN KRISHI KENDRA AND CEMENT AGEN</t>
  </si>
  <si>
    <t>BHJ061</t>
  </si>
  <si>
    <t>JAISWAL HARDWARE - BELHAR</t>
  </si>
  <si>
    <t>BEGUSARAI</t>
  </si>
  <si>
    <t>BHS219</t>
  </si>
  <si>
    <t>SHIVAM TRADING</t>
  </si>
  <si>
    <t>M317</t>
  </si>
  <si>
    <t>MOURYA IRON TRADERS</t>
  </si>
  <si>
    <t>C120</t>
  </si>
  <si>
    <t>CHAURASIA TRADING (SOBHANI)</t>
  </si>
  <si>
    <t>M411</t>
  </si>
  <si>
    <t>MITHI TRADING CO.</t>
  </si>
  <si>
    <t>K193</t>
  </si>
  <si>
    <t>KESHARI TRADING</t>
  </si>
  <si>
    <t>BHM054</t>
  </si>
  <si>
    <t>MAHAVEER TRADERS (KHODAWANPUR)</t>
  </si>
  <si>
    <t>BHT010</t>
  </si>
  <si>
    <t>TUK TUK ENTERPRISES</t>
  </si>
  <si>
    <t>BHK045</t>
  </si>
  <si>
    <t>KANHAIYA ENTERPRISES (TEGHRA)</t>
  </si>
  <si>
    <t>BHN036</t>
  </si>
  <si>
    <t>NEW BOLBAM</t>
  </si>
  <si>
    <t>BHK054</t>
  </si>
  <si>
    <t>KHETAN TRADERS</t>
  </si>
  <si>
    <t>BHG037</t>
  </si>
  <si>
    <t>GUPTA TRADERS - JAMALPUR</t>
  </si>
  <si>
    <t>BHS208</t>
  </si>
  <si>
    <t>SHREE RADHA ENTERPRISES</t>
  </si>
  <si>
    <t>BHP038</t>
  </si>
  <si>
    <t>PANNALAL ENTERPRISES</t>
  </si>
  <si>
    <t>BHL016</t>
  </si>
  <si>
    <t>LAXMI KRISHI KENDRA</t>
  </si>
  <si>
    <t>BHS237</t>
  </si>
  <si>
    <t>SHIV ENTERPRISES - BIHAT</t>
  </si>
  <si>
    <t>BHV028</t>
  </si>
  <si>
    <t>VIJAY TRADERS - MATIHANI</t>
  </si>
  <si>
    <t>BHD027</t>
  </si>
  <si>
    <t>DHARMVEER HARDWARE AND ENTERPRISES</t>
  </si>
  <si>
    <t>BHS256</t>
  </si>
  <si>
    <t>SHRI VISHWAKARMA TRADERS - HASANPUR</t>
  </si>
  <si>
    <t>MUZAFFARPUR</t>
  </si>
  <si>
    <t>BHM013</t>
  </si>
  <si>
    <t>MAHADEV STEEL</t>
  </si>
  <si>
    <t>BHB037</t>
  </si>
  <si>
    <t>BAJRANG TRADERS (SAKRA)</t>
  </si>
  <si>
    <t>BHS106</t>
  </si>
  <si>
    <t>SRI GANPATI TRADERS (PILKHI)</t>
  </si>
  <si>
    <t>BHS141</t>
  </si>
  <si>
    <t>SRI RAVI TRADERS (PAMRA)</t>
  </si>
  <si>
    <t>BHA060</t>
  </si>
  <si>
    <t>ANUSHKA TRADERS</t>
  </si>
  <si>
    <t>BHL015</t>
  </si>
  <si>
    <t>LAXMI TRADERS (SITAMARHI)</t>
  </si>
  <si>
    <t>BHM109</t>
  </si>
  <si>
    <t>MAHALAXMI TRADERS (MUZAFFARPUR)</t>
  </si>
  <si>
    <t>BHS170</t>
  </si>
  <si>
    <t>SHIVA TRADERS (MAJORGANJ)</t>
  </si>
  <si>
    <t>BHR079</t>
  </si>
  <si>
    <t>RAM JANKI TRADERS</t>
  </si>
  <si>
    <t>BHS188</t>
  </si>
  <si>
    <t>SONA BRICKS AND TRADERS</t>
  </si>
  <si>
    <t>BHC018</t>
  </si>
  <si>
    <t>CHAUDHARY HARDWARE AND SONS</t>
  </si>
  <si>
    <t>BHR083</t>
  </si>
  <si>
    <t>ROHIT TRADERS</t>
  </si>
  <si>
    <t>BHS200</t>
  </si>
  <si>
    <t>SHIV TRADERS - SAKRA</t>
  </si>
  <si>
    <t>BHJ047</t>
  </si>
  <si>
    <t>JAI SADAFAL LOHA BHANDAR</t>
  </si>
  <si>
    <t>BHL017</t>
  </si>
  <si>
    <t>LUCKY ENTERPRISES - PARIHAR</t>
  </si>
  <si>
    <t>BHT017</t>
  </si>
  <si>
    <t>THAKUR AND SONS - GAYGHAT</t>
  </si>
  <si>
    <t>BHA092</t>
  </si>
  <si>
    <t>AASHIYANA BUILDCON</t>
  </si>
  <si>
    <t>KATIHAR</t>
  </si>
  <si>
    <t>G083</t>
  </si>
  <si>
    <t>GANGA ENTERPRISES</t>
  </si>
  <si>
    <t>S411</t>
  </si>
  <si>
    <t>SHIV KHAD BEEJ BHANDAR</t>
  </si>
  <si>
    <t>BHD002</t>
  </si>
  <si>
    <t>DEEP ENTERPRISES</t>
  </si>
  <si>
    <t>BHM012</t>
  </si>
  <si>
    <t>MANISH TRADING</t>
  </si>
  <si>
    <t>BHS033</t>
  </si>
  <si>
    <t>SUNIL TRADING (BARSOI)</t>
  </si>
  <si>
    <t>BHG006</t>
  </si>
  <si>
    <t>GAURAV ENTERPRISES</t>
  </si>
  <si>
    <t>BHS176</t>
  </si>
  <si>
    <t>SALAM SUPPLIERS</t>
  </si>
  <si>
    <t>BHC014</t>
  </si>
  <si>
    <t>CHOUDHARY ENTERPRISES</t>
  </si>
  <si>
    <t>BHJ042</t>
  </si>
  <si>
    <t>JAI MAA LAXMI TRADERS (KURSELA)</t>
  </si>
  <si>
    <t>BHM118</t>
  </si>
  <si>
    <t>MAMTA ENTERPRISES</t>
  </si>
  <si>
    <t>BHR084</t>
  </si>
  <si>
    <t>RAJA TRADING</t>
  </si>
  <si>
    <t>BHS212</t>
  </si>
  <si>
    <t>SHREEPUR HARDWARE</t>
  </si>
  <si>
    <t>BHR092</t>
  </si>
  <si>
    <t>RAJIV RANJAN ENTERPRISES</t>
  </si>
  <si>
    <t>BHM146</t>
  </si>
  <si>
    <t>MAA BHAWANI TRADERS - KOLASHI</t>
  </si>
  <si>
    <t>BHT019</t>
  </si>
  <si>
    <t>T A TRADERS</t>
  </si>
  <si>
    <t>BHR098</t>
  </si>
  <si>
    <t>ROSHNI ENTERPRISES</t>
  </si>
  <si>
    <t>BHA097</t>
  </si>
  <si>
    <t>ARHAM ENTERPRISES</t>
  </si>
  <si>
    <t>BHM156</t>
  </si>
  <si>
    <t>MODERN HARDWARE</t>
  </si>
  <si>
    <t>PURNIA</t>
  </si>
  <si>
    <t>A152</t>
  </si>
  <si>
    <t>ANNAPURNA TRADERS</t>
  </si>
  <si>
    <t>G099</t>
  </si>
  <si>
    <t>GREEN CENTER</t>
  </si>
  <si>
    <t>P173</t>
  </si>
  <si>
    <t>PAPPU KRISHI KENDRA</t>
  </si>
  <si>
    <t>S544</t>
  </si>
  <si>
    <t>SAH TRADERS</t>
  </si>
  <si>
    <t>BHK018</t>
  </si>
  <si>
    <t>KIRAN TRADERS (GARHBANAILI)</t>
  </si>
  <si>
    <t>BHR034</t>
  </si>
  <si>
    <t>RAHUL TRADEWING PVT. LTD.</t>
  </si>
  <si>
    <t>BHM066</t>
  </si>
  <si>
    <t>MAA DURGA TRADERS (BARHARA KOTHI)</t>
  </si>
  <si>
    <t>BHS158</t>
  </si>
  <si>
    <t>S K TRADING</t>
  </si>
  <si>
    <t>BHF006</t>
  </si>
  <si>
    <t>FLAH TRADERS</t>
  </si>
  <si>
    <t>BHM115</t>
  </si>
  <si>
    <t>M TRADERS</t>
  </si>
  <si>
    <t>BHK048</t>
  </si>
  <si>
    <t>KRISHNA ENTERPRISES (PURNIA)</t>
  </si>
  <si>
    <t>BHS192</t>
  </si>
  <si>
    <t>SHREE KAMLA ENTERPRISES</t>
  </si>
  <si>
    <t>BHP041</t>
  </si>
  <si>
    <t>PANKAJ CEMENT STORE</t>
  </si>
  <si>
    <t>BHH022</t>
  </si>
  <si>
    <t>HUSSAINI TRADERS</t>
  </si>
  <si>
    <t>BHA090</t>
  </si>
  <si>
    <t>ANJANA TRADERS</t>
  </si>
  <si>
    <t>BHK063</t>
  </si>
  <si>
    <t>KASIM TRADERS</t>
  </si>
  <si>
    <t>NEB377</t>
  </si>
  <si>
    <t>BRAHMAPUTRA ENTERPRISE</t>
  </si>
  <si>
    <t>NEP296</t>
  </si>
  <si>
    <t>PAONA ENTERPRISES</t>
  </si>
  <si>
    <t>NER330</t>
  </si>
  <si>
    <t>R BROTHER &amp; SONS</t>
  </si>
  <si>
    <t>NEP295</t>
  </si>
  <si>
    <t>PUJA ENTERPRISE</t>
  </si>
  <si>
    <t>NEJ190</t>
  </si>
  <si>
    <t>J.B.L HARDWARE</t>
  </si>
  <si>
    <t>NEM348</t>
  </si>
  <si>
    <t>MAA BHAWANI STORE</t>
  </si>
  <si>
    <t>NEA465</t>
  </si>
  <si>
    <t>ASSAM STORES</t>
  </si>
  <si>
    <t>NEN231</t>
  </si>
  <si>
    <t>NEW MADAN GOPAL HARDWARE</t>
  </si>
  <si>
    <t>NEA466</t>
  </si>
  <si>
    <t>AZIZ HARDWARE</t>
  </si>
  <si>
    <t>NER332</t>
  </si>
  <si>
    <t>RIYA HARDWARE</t>
  </si>
  <si>
    <t>NER331</t>
  </si>
  <si>
    <t>RATAN SARKAR</t>
  </si>
  <si>
    <t>NEG184</t>
  </si>
  <si>
    <t>GUPTA HARDWARE</t>
  </si>
  <si>
    <t>NEG186</t>
  </si>
  <si>
    <t>G.D.HARDWARE</t>
  </si>
  <si>
    <t>NER334</t>
  </si>
  <si>
    <t>RS HARDWARE &amp; SUPPLIER</t>
  </si>
  <si>
    <t>NEK224</t>
  </si>
  <si>
    <t>KALPANA TRADING</t>
  </si>
  <si>
    <t>NEN232</t>
  </si>
  <si>
    <t>NATH BROTHERS &amp; HARDWARE</t>
  </si>
  <si>
    <t>NES752</t>
  </si>
  <si>
    <t>SEDES ENTERPRISE</t>
  </si>
  <si>
    <t>NEA469</t>
  </si>
  <si>
    <t>ABRAR STEEL</t>
  </si>
  <si>
    <t>NEA470</t>
  </si>
  <si>
    <t>ANGELAS ENTERPRISE</t>
  </si>
  <si>
    <t>NER335</t>
  </si>
  <si>
    <t>ROTHIN BARMAN</t>
  </si>
  <si>
    <t>NEM453</t>
  </si>
  <si>
    <t>MOMTAZ HARDWARE</t>
  </si>
  <si>
    <t>NEB378</t>
  </si>
  <si>
    <t>BALAJI TRADERS</t>
  </si>
  <si>
    <t>NEJ192</t>
  </si>
  <si>
    <t>JOY MAA HARDWARE AND SANITARY</t>
  </si>
  <si>
    <t>NES754</t>
  </si>
  <si>
    <t>SETHIA ENTERPRISES</t>
  </si>
  <si>
    <t>NES756</t>
  </si>
  <si>
    <t>SARSWATI ENTERPRISES</t>
  </si>
  <si>
    <t>BHP049</t>
  </si>
  <si>
    <t>PANKAJ KUMAR CHAUDHARI</t>
  </si>
  <si>
    <t>NEO045</t>
  </si>
  <si>
    <t>OSMAN HARDWARE</t>
  </si>
  <si>
    <t>NES430</t>
  </si>
  <si>
    <t>SHIVAM ENTERPRISE (GHY)</t>
  </si>
  <si>
    <t>NES757</t>
  </si>
  <si>
    <t>SHREE KANHAIYA HARDWARE STORE</t>
  </si>
  <si>
    <t>BHR097</t>
  </si>
  <si>
    <t>RAZIYA ENTERPRISES</t>
  </si>
  <si>
    <t>NEN077</t>
  </si>
  <si>
    <t>NADIA HARDWARE</t>
  </si>
  <si>
    <t>NEG191</t>
  </si>
  <si>
    <t>GOPE VARIETIES</t>
  </si>
  <si>
    <t>NES759</t>
  </si>
  <si>
    <t>SHYAMALI STORES</t>
  </si>
  <si>
    <t>NET200</t>
  </si>
  <si>
    <t>TATAN ENTERPRISES</t>
  </si>
  <si>
    <t>NEN234</t>
  </si>
  <si>
    <t>NATH VARIETY STORE</t>
  </si>
  <si>
    <t>NEA473</t>
  </si>
  <si>
    <t>ANIMA SINHA</t>
  </si>
  <si>
    <t>NES760</t>
  </si>
  <si>
    <t>SANGAM ENTERPRISE</t>
  </si>
  <si>
    <t>NEA472</t>
  </si>
  <si>
    <t>NEN235</t>
  </si>
  <si>
    <t>NEW MAHENDRA BHANDAR</t>
  </si>
  <si>
    <t>NET202</t>
  </si>
  <si>
    <t>TRIPURESWARI ENTERPRISE</t>
  </si>
  <si>
    <t>WBD097</t>
  </si>
  <si>
    <t>DREAM HOUSE ENTERPRISE</t>
  </si>
  <si>
    <t>NEB383</t>
  </si>
  <si>
    <t>BHOLANATH HARDWARE</t>
  </si>
  <si>
    <t>NEM455</t>
  </si>
  <si>
    <t>M.M HARDWARE</t>
  </si>
  <si>
    <t>R131</t>
  </si>
  <si>
    <t>R.S. TRADERS</t>
  </si>
  <si>
    <t>NEB384</t>
  </si>
  <si>
    <t>BORGHULI HARDWARE</t>
  </si>
  <si>
    <t>NEJ197</t>
  </si>
  <si>
    <t>JOYNARAYAN TRADERS</t>
  </si>
  <si>
    <t>NES444</t>
  </si>
  <si>
    <t>SHYAM TRADERS (SIL)</t>
  </si>
  <si>
    <t>WBD081</t>
  </si>
  <si>
    <t>DARJEELING BUILDER STORE (SILIGURI)</t>
  </si>
  <si>
    <t>NEJ195</t>
  </si>
  <si>
    <t>LAISHRAM BIRAMANGOL SINGH</t>
  </si>
  <si>
    <t>NES763</t>
  </si>
  <si>
    <t>SANJAY BISWAS</t>
  </si>
  <si>
    <t>SIBSAGAR</t>
  </si>
  <si>
    <t>NEN202</t>
  </si>
  <si>
    <t>NIRMAL ENTERPRISE</t>
  </si>
  <si>
    <t>NES765</t>
  </si>
  <si>
    <t>SR ENTERPRISE</t>
  </si>
  <si>
    <t>NER340</t>
  </si>
  <si>
    <t>R.K ENTERPRISES</t>
  </si>
  <si>
    <t>NEA476</t>
  </si>
  <si>
    <t>A A STORE</t>
  </si>
  <si>
    <t>NES767</t>
  </si>
  <si>
    <t>SONOWAL HARDWARE AND FURNITURE</t>
  </si>
  <si>
    <t>H132</t>
  </si>
  <si>
    <t>HOLISTIC ENTERPRISES</t>
  </si>
  <si>
    <t>BHT020</t>
  </si>
  <si>
    <t>TAJ TRADERS</t>
  </si>
  <si>
    <t>NEN237</t>
  </si>
  <si>
    <t>N.H. HARDWARE</t>
  </si>
  <si>
    <t>NEH165</t>
  </si>
  <si>
    <t>HRIT ENTERPRISE</t>
  </si>
  <si>
    <t>NEJ198</t>
  </si>
  <si>
    <t>JYOTI HARDWARE</t>
  </si>
  <si>
    <t>NEJ196</t>
  </si>
  <si>
    <t>JAMIR STORE</t>
  </si>
  <si>
    <t>BHS040</t>
  </si>
  <si>
    <t>SUMAN ENTERPRISES</t>
  </si>
  <si>
    <t>NEN238</t>
  </si>
  <si>
    <t>NAYRA ENTERPRISES</t>
  </si>
  <si>
    <t>NER341</t>
  </si>
  <si>
    <t>RAKESH STORES</t>
  </si>
  <si>
    <t>NEA481</t>
  </si>
  <si>
    <t>ADITYA STEELS AND ISPAT</t>
  </si>
  <si>
    <t>NES771</t>
  </si>
  <si>
    <t>SATYA RANJAN ROY</t>
  </si>
  <si>
    <t>BHR081</t>
  </si>
  <si>
    <t>R K BUILDING AND MATERIALS</t>
  </si>
  <si>
    <t>BHM117</t>
  </si>
  <si>
    <t>MAHADEV TRADERS</t>
  </si>
  <si>
    <t>SKN003</t>
  </si>
  <si>
    <t>NANDA KISHORE PRASAD</t>
  </si>
  <si>
    <t>BHM135</t>
  </si>
  <si>
    <t>M B TRADERS</t>
  </si>
  <si>
    <t>NEK227</t>
  </si>
  <si>
    <t>KM &amp; SONS ENTERPRISES</t>
  </si>
  <si>
    <t>NEH166</t>
  </si>
  <si>
    <t>HARDWARE HUB</t>
  </si>
  <si>
    <t>NET205</t>
  </si>
  <si>
    <t>T K ENTERPRISE</t>
  </si>
  <si>
    <t>NEC142</t>
  </si>
  <si>
    <t>CHAMARIA TRADING CO</t>
  </si>
  <si>
    <t>BHS005</t>
  </si>
  <si>
    <t>SKYLINE TRADERS</t>
  </si>
  <si>
    <t>NES327</t>
  </si>
  <si>
    <t>SUMAN ENTERPRISE (GHY)</t>
  </si>
  <si>
    <t>NES773</t>
  </si>
  <si>
    <t>SBD STEEL &amp; CEMENT</t>
  </si>
  <si>
    <t>WBA135</t>
  </si>
  <si>
    <t>ACE CONSTRUCTION COMPANY</t>
  </si>
  <si>
    <t>NEL137</t>
  </si>
  <si>
    <t>LOKNATH ENTERPRISE</t>
  </si>
  <si>
    <t>BHS260</t>
  </si>
  <si>
    <t>M/S SITA STEEL</t>
  </si>
  <si>
    <t>NET206</t>
  </si>
  <si>
    <t>TANISH ENTERPRISE</t>
  </si>
  <si>
    <t>G141</t>
  </si>
  <si>
    <t>GOPAL ENTERPRISES</t>
  </si>
  <si>
    <t>NEG198</t>
  </si>
  <si>
    <t>GRS HARDWARE</t>
  </si>
  <si>
    <t>SKS011</t>
  </si>
  <si>
    <t>SHIVAM ENTERPRISES - RAKDONG</t>
  </si>
  <si>
    <t>NED260</t>
  </si>
  <si>
    <t>DULUX STORE</t>
  </si>
  <si>
    <t>NEB396</t>
  </si>
  <si>
    <t>BASUDEV ENTERPRISE</t>
  </si>
  <si>
    <t>NEF031</t>
  </si>
  <si>
    <t>FEROZA HARDWARE STORE</t>
  </si>
  <si>
    <t>T053</t>
  </si>
  <si>
    <t>THANGJING HARDWARE</t>
  </si>
  <si>
    <t>NER348</t>
  </si>
  <si>
    <t>R M HARDWARE</t>
  </si>
  <si>
    <t>BHS261</t>
  </si>
  <si>
    <t>SAGAR KHAD BEEJ BHANDAR</t>
  </si>
  <si>
    <t>NES777</t>
  </si>
  <si>
    <t>SUMITA TRADERS</t>
  </si>
  <si>
    <t>NEA488</t>
  </si>
  <si>
    <t>A &amp; A ENTERPRISE</t>
  </si>
  <si>
    <t>NEP309</t>
  </si>
  <si>
    <t>PK AGENCY</t>
  </si>
  <si>
    <t>NES770</t>
  </si>
  <si>
    <t>SHRI SIDDHIVINAYAK STEEL</t>
  </si>
  <si>
    <t>NEH102</t>
  </si>
  <si>
    <t>HANNON ENTERPRISE . APS</t>
  </si>
  <si>
    <t>NES645</t>
  </si>
  <si>
    <t>SARMAH SUPPLIERS</t>
  </si>
  <si>
    <t>NED228</t>
  </si>
  <si>
    <t>DEEPLING HARDWARE STORE</t>
  </si>
  <si>
    <t>NEF032</t>
  </si>
  <si>
    <t>F. A. TRADING AND CO</t>
  </si>
  <si>
    <t>NEO046</t>
  </si>
  <si>
    <t>WBM320</t>
  </si>
  <si>
    <t>MOHAMMAD HARDWEARS</t>
  </si>
  <si>
    <t>NEM466</t>
  </si>
  <si>
    <t>MAKARNI HARDWARE</t>
  </si>
  <si>
    <t>BHD024</t>
  </si>
  <si>
    <t>DARSHAN ENTERPRISES</t>
  </si>
  <si>
    <t>NES779</t>
  </si>
  <si>
    <t>SIVA ENTERPRISE</t>
  </si>
  <si>
    <t>NEB399</t>
  </si>
  <si>
    <t>BINIMOY HARDWARE</t>
  </si>
  <si>
    <t>NET010</t>
  </si>
  <si>
    <t>TAYING HARDWARE</t>
  </si>
  <si>
    <t>BHN049</t>
  </si>
  <si>
    <t>NEPALI KRISHI KENDRA</t>
  </si>
  <si>
    <t>NEM438</t>
  </si>
  <si>
    <t>MISHING LAND FOUNDATION</t>
  </si>
  <si>
    <t>BHJ048</t>
  </si>
  <si>
    <t>JAI MATA DI TRADERS . MAHAMADPUR</t>
  </si>
  <si>
    <t>NEM467</t>
  </si>
  <si>
    <t>M/S GHOSH ENTERPRISE</t>
  </si>
  <si>
    <t>NEA489</t>
  </si>
  <si>
    <t>ARUNA STORE</t>
  </si>
  <si>
    <t>NEA487</t>
  </si>
  <si>
    <t>AKASH HARDWARE</t>
  </si>
  <si>
    <t>NED262</t>
  </si>
  <si>
    <t>DIHINGIA PLY</t>
  </si>
  <si>
    <t>BHM121</t>
  </si>
  <si>
    <t>MANDAL ENTERPRISES . GAURIGANJ</t>
  </si>
  <si>
    <t>WBM072</t>
  </si>
  <si>
    <t>M/S BISWAKARMA CEMENT GHAR</t>
  </si>
  <si>
    <t>NEG200</t>
  </si>
  <si>
    <t>GUPTA TRADERS HARDWARE</t>
  </si>
  <si>
    <t>NED263</t>
  </si>
  <si>
    <t>DADAN PRASAD</t>
  </si>
  <si>
    <t>NES780</t>
  </si>
  <si>
    <t>SIRAJ HARDWARE</t>
  </si>
  <si>
    <t>NER200</t>
  </si>
  <si>
    <t>RAI HARDWARE</t>
  </si>
  <si>
    <t>NEM468</t>
  </si>
  <si>
    <t>MICKLAME HARDWARE</t>
  </si>
  <si>
    <t>WBL040</t>
  </si>
  <si>
    <t>LAXMI ENTERPRISES - SALUGARA</t>
  </si>
  <si>
    <t>NEA490</t>
  </si>
  <si>
    <t>AL AMAN ENTERPRISE</t>
  </si>
  <si>
    <t>NEP113</t>
  </si>
  <si>
    <t>PAKYNTEIN &amp; SONS</t>
  </si>
  <si>
    <t>NES782</t>
  </si>
  <si>
    <t>SHAKTI HARDWARE</t>
  </si>
  <si>
    <t>NEN210</t>
  </si>
  <si>
    <t>NARAYAN UPADHAYA</t>
  </si>
  <si>
    <t>NES781</t>
  </si>
  <si>
    <t>SHREE RAM HARDWARE</t>
  </si>
  <si>
    <t>WBB163</t>
  </si>
  <si>
    <t>BALAJEE CONSTRUCTION</t>
  </si>
  <si>
    <t>NED264</t>
  </si>
  <si>
    <t>DONYI POLO HARDWARE</t>
  </si>
  <si>
    <t>NEA493</t>
  </si>
  <si>
    <t>A.G. TRADERS</t>
  </si>
  <si>
    <t>WBR157</t>
  </si>
  <si>
    <t>RADHA KRISHNA ENTERPRISE</t>
  </si>
  <si>
    <t>NED265</t>
  </si>
  <si>
    <t>DIPRAJ HARDWARE</t>
  </si>
  <si>
    <t>NEM470</t>
  </si>
  <si>
    <t>MAA BANABASHI HARDWARE</t>
  </si>
  <si>
    <t>WBD099</t>
  </si>
  <si>
    <t>DADA BHAI HARDWARE - BALIHARPUR </t>
  </si>
  <si>
    <t>NET207</t>
  </si>
  <si>
    <t>TRADE WORTH</t>
  </si>
  <si>
    <t>NEG189</t>
  </si>
  <si>
    <t>GIA HARDWARE</t>
  </si>
  <si>
    <t>WBD098</t>
  </si>
  <si>
    <t>DAS ENTERPRISE - SOLPARA</t>
  </si>
  <si>
    <t>NER352</t>
  </si>
  <si>
    <t>RM CONSTRUCTIONS</t>
  </si>
  <si>
    <t>NET208</t>
  </si>
  <si>
    <t>THUANS HARDWARE</t>
  </si>
  <si>
    <t>NEA494</t>
  </si>
  <si>
    <t>A R ENTERPRISE</t>
  </si>
  <si>
    <t>WBN113</t>
  </si>
  <si>
    <t>NAJ TIMBER MERCHANTS</t>
  </si>
  <si>
    <t>WBF015</t>
  </si>
  <si>
    <t>FIROJ HARDWARE AND ELECTRIC</t>
  </si>
  <si>
    <t>NEB400</t>
  </si>
  <si>
    <t>B.K. HARDWARE</t>
  </si>
  <si>
    <t>NEN242</t>
  </si>
  <si>
    <t>N A ENTERPRISE</t>
  </si>
  <si>
    <t>NED266</t>
  </si>
  <si>
    <t>DEYS HARDWARE</t>
  </si>
  <si>
    <t>NEM471</t>
  </si>
  <si>
    <t>MS BADANTA HAZARIKA</t>
  </si>
  <si>
    <t>BHR103</t>
  </si>
  <si>
    <t>REZA TRADERS</t>
  </si>
  <si>
    <t>NEM472</t>
  </si>
  <si>
    <t>M/S LANKA HARDWARE</t>
  </si>
  <si>
    <t>NEB144</t>
  </si>
  <si>
    <t>B K GOGOI (SIBSAGAR)</t>
  </si>
  <si>
    <t>NEN241</t>
  </si>
  <si>
    <t>NP ENTERPRISE</t>
  </si>
  <si>
    <t>NEP310</t>
  </si>
  <si>
    <t>POHOR ENTERPRISE</t>
  </si>
  <si>
    <t>WBS351</t>
  </si>
  <si>
    <t>SANJAY ENTERPRISE</t>
  </si>
  <si>
    <t>NEP311</t>
  </si>
  <si>
    <t>PUNIYA HARDWARE</t>
  </si>
  <si>
    <t>WBB164</t>
  </si>
  <si>
    <t>BASUNDHARA CONSTRUCTION</t>
  </si>
  <si>
    <t>BHR104</t>
  </si>
  <si>
    <t>R K TRADERS AND SUPPLIERS</t>
  </si>
  <si>
    <t>BHN050</t>
  </si>
  <si>
    <t>NEW GANPATI STEELS</t>
  </si>
  <si>
    <t>BHB079</t>
  </si>
  <si>
    <t>BHARAT ENTERPRISES - SAHPUR</t>
  </si>
  <si>
    <t>WBH055</t>
  </si>
  <si>
    <t>HARDIK SUPPLIER</t>
  </si>
  <si>
    <t>NEN244</t>
  </si>
  <si>
    <t>NIDHI ENTERPRISE</t>
  </si>
  <si>
    <t>NES786</t>
  </si>
  <si>
    <t>SISTES BUSINESS HUB</t>
  </si>
  <si>
    <t>NEN243</t>
  </si>
  <si>
    <t>N H HARDWARE</t>
  </si>
  <si>
    <t>NEG199</t>
  </si>
  <si>
    <t>GEE BEE ENTERPRISE</t>
  </si>
  <si>
    <t>NEB282</t>
  </si>
  <si>
    <t>BHAITY STORE</t>
  </si>
  <si>
    <t>WBR158</t>
  </si>
  <si>
    <t>RAHA ENTERPRISE</t>
  </si>
  <si>
    <t>NES785</t>
  </si>
  <si>
    <t>S. KHARJANA</t>
  </si>
  <si>
    <t>NEE069</t>
  </si>
  <si>
    <t>EF BEE HARDWARE</t>
  </si>
  <si>
    <t>NEB401</t>
  </si>
  <si>
    <t>BARBHUIYA ENTERPRISE</t>
  </si>
  <si>
    <t>NES787</t>
  </si>
  <si>
    <t>SHYAMJI ENTERPRISES</t>
  </si>
  <si>
    <t>NEN245</t>
  </si>
  <si>
    <t>NEW BHARAT ENTERPRISE</t>
  </si>
  <si>
    <t>NEJ201</t>
  </si>
  <si>
    <t>J HARDWARE</t>
  </si>
  <si>
    <t>NEH167</t>
  </si>
  <si>
    <t>HANIF HARDWARE</t>
  </si>
  <si>
    <t>NES788</t>
  </si>
  <si>
    <t>SHREE HANUMAN HARDWARE</t>
  </si>
  <si>
    <t>NEM473</t>
  </si>
  <si>
    <t>MEDHI ENTERPRISE</t>
  </si>
  <si>
    <t>WBS352</t>
  </si>
  <si>
    <t>SHREE SHYAM HARDWARE - SAILIHAT</t>
  </si>
  <si>
    <t>NEH168</t>
  </si>
  <si>
    <t>HILLS HARDWARE STORE</t>
  </si>
  <si>
    <t>NEF033</t>
  </si>
  <si>
    <t>NER354</t>
  </si>
  <si>
    <t>R M TRADERS</t>
  </si>
  <si>
    <t>NEG201</t>
  </si>
  <si>
    <t>G. R. ENTERPRISE</t>
  </si>
  <si>
    <t>NEA496</t>
  </si>
  <si>
    <t>ASSAM TRADERS</t>
  </si>
  <si>
    <t>NEV065</t>
  </si>
  <si>
    <t>VINCO ENTERPRISE</t>
  </si>
  <si>
    <t>NEA495</t>
  </si>
  <si>
    <t>AR ES HARDWARE STORE</t>
  </si>
  <si>
    <t>NEP312</t>
  </si>
  <si>
    <t>M/S DOWARH SAWN TIMBER TRADING</t>
  </si>
  <si>
    <t>WBD101</t>
  </si>
  <si>
    <t>DHANTALA HARDWARE </t>
  </si>
  <si>
    <t>NER356</t>
  </si>
  <si>
    <t>RAJKUMAR WELDING WORKSHOP</t>
  </si>
  <si>
    <t>NET209</t>
  </si>
  <si>
    <t>TIRUPATI ENTERPRISE</t>
  </si>
  <si>
    <t>NEF035</t>
  </si>
  <si>
    <t>MONDAL HARDWARE STORE</t>
  </si>
  <si>
    <t>WBS353</t>
  </si>
  <si>
    <t>SUBBA STORE</t>
  </si>
  <si>
    <t>SKC002</t>
  </si>
  <si>
    <t>CHAHAT AGARWAL </t>
  </si>
  <si>
    <t>NEK228</t>
  </si>
  <si>
    <t>KAMLA HARDWARE</t>
  </si>
  <si>
    <t>NEF034</t>
  </si>
  <si>
    <t>FRIENDS HARDWARE SHOP</t>
  </si>
  <si>
    <t>NEJ202</t>
  </si>
  <si>
    <t>NEH169</t>
  </si>
  <si>
    <t>H.D ENTERPRISES</t>
  </si>
  <si>
    <t>NEB403</t>
  </si>
  <si>
    <t>BABA HOMNATH ENTERPRISE</t>
  </si>
  <si>
    <t>NES790</t>
  </si>
  <si>
    <t>SWASTI CEMENT STORES</t>
  </si>
  <si>
    <t>BHA104</t>
  </si>
  <si>
    <t>ANANAD TRADERS</t>
  </si>
  <si>
    <t>NEN247</t>
  </si>
  <si>
    <t>NOOR ENTERPRISE</t>
  </si>
  <si>
    <t>NER357</t>
  </si>
  <si>
    <t>RAJIB HARDWARE</t>
  </si>
  <si>
    <t>SKI001</t>
  </si>
  <si>
    <t>IRA ENTERPRISE</t>
  </si>
  <si>
    <t>S380</t>
  </si>
  <si>
    <t>SHREE BHARDWAJ STEEL</t>
  </si>
  <si>
    <t>BHS267</t>
  </si>
  <si>
    <t>SHIVAM ENTERPRISES - VAISHALI</t>
  </si>
  <si>
    <t>BHZ004</t>
  </si>
  <si>
    <t>ZAID ENTERPRISES</t>
  </si>
  <si>
    <t>NER358</t>
  </si>
  <si>
    <t>RASHI HARDWARE</t>
  </si>
  <si>
    <t>BHS268</t>
  </si>
  <si>
    <t>SALEHA TRADERS</t>
  </si>
  <si>
    <t>Saharsa</t>
  </si>
  <si>
    <t>BHS266</t>
  </si>
  <si>
    <t>SHREE BAJRANG TRADERS</t>
  </si>
  <si>
    <t>SKM004</t>
  </si>
  <si>
    <t>MUKESH AGARWAL</t>
  </si>
  <si>
    <t>NEB404</t>
  </si>
  <si>
    <t>B S ASSOCIATE</t>
  </si>
  <si>
    <t>NEK229</t>
  </si>
  <si>
    <t>KAJIRAM SALOI HARDWARE</t>
  </si>
  <si>
    <t>WBM277</t>
  </si>
  <si>
    <t>MAHAMMAD HARDWARE</t>
  </si>
  <si>
    <t>BHV029</t>
  </si>
  <si>
    <t>VATIKA DEPO</t>
  </si>
  <si>
    <t>NEF037</t>
  </si>
  <si>
    <t>NEA498</t>
  </si>
  <si>
    <t>ASIT NATH</t>
  </si>
  <si>
    <t>NET210</t>
  </si>
  <si>
    <t>T.R TRADER</t>
  </si>
  <si>
    <t>NEN249</t>
  </si>
  <si>
    <t>NUTEI HARDWARE</t>
  </si>
  <si>
    <t>NEH095</t>
  </si>
  <si>
    <t>H.LALZAMI STORE</t>
  </si>
  <si>
    <t>L043</t>
  </si>
  <si>
    <t>LALHRIMA SAILO &amp; SONS</t>
  </si>
  <si>
    <t>NEB179</t>
  </si>
  <si>
    <t>B B STEELS</t>
  </si>
  <si>
    <t>NEG046</t>
  </si>
  <si>
    <t>GAJANAND CHACHAN &amp; CO. (SHILLONG)</t>
  </si>
  <si>
    <t>NEB406</t>
  </si>
  <si>
    <t>BALAJI HARDWARE AND STEELS</t>
  </si>
  <si>
    <t>SKS012</t>
  </si>
  <si>
    <t>SUSHIL GUPTA</t>
  </si>
  <si>
    <t>NEP313</t>
  </si>
  <si>
    <t>PANNA ALLUMINIUM</t>
  </si>
  <si>
    <t>NER360</t>
  </si>
  <si>
    <t>RAZA HARDWARE</t>
  </si>
  <si>
    <t>NER359</t>
  </si>
  <si>
    <t>RESHMA ENTERPRISE</t>
  </si>
  <si>
    <t>NEY015</t>
  </si>
  <si>
    <t>SINGH TRADERS</t>
  </si>
  <si>
    <t>NEB407</t>
  </si>
  <si>
    <t>NEK230</t>
  </si>
  <si>
    <t>KASHOB KACHARI</t>
  </si>
  <si>
    <t>SKN005</t>
  </si>
  <si>
    <t>NIRMAL AGARWAL</t>
  </si>
  <si>
    <t>NES794</t>
  </si>
  <si>
    <t>SANGMA HARDWARE STORE</t>
  </si>
  <si>
    <t>NEN178</t>
  </si>
  <si>
    <t>NEFA ENTERPRISES</t>
  </si>
  <si>
    <t>NES795</t>
  </si>
  <si>
    <t>MAA SARADA TRADERS</t>
  </si>
  <si>
    <t>NET212</t>
  </si>
  <si>
    <t>TADUK ENTERPRISES</t>
  </si>
  <si>
    <t>NEF036</t>
  </si>
  <si>
    <t>MANGAM ASSOCIATE</t>
  </si>
  <si>
    <t>NEM369</t>
  </si>
  <si>
    <t>M.D. TRADERS</t>
  </si>
  <si>
    <t>NET211</t>
  </si>
  <si>
    <t>THAKURIA ENTERPRISE</t>
  </si>
  <si>
    <t>NEN252</t>
  </si>
  <si>
    <t>NARAYAN TRADING</t>
  </si>
  <si>
    <t>NEH171</t>
  </si>
  <si>
    <t>HAMIM ENTERPRISE</t>
  </si>
  <si>
    <t>WBT075</t>
  </si>
  <si>
    <t>TAJEM ENTERPRISE</t>
  </si>
  <si>
    <t>NEL105</t>
  </si>
  <si>
    <t>LH ENTERPRISES</t>
  </si>
  <si>
    <t>NEJ203</t>
  </si>
  <si>
    <t>J.S ENTERPRISE</t>
  </si>
  <si>
    <t>BHM161</t>
  </si>
  <si>
    <t>MAA DURGA TRADING</t>
  </si>
  <si>
    <t>BHS269</t>
  </si>
  <si>
    <t>SAH STEEL</t>
  </si>
  <si>
    <t>NER361</t>
  </si>
  <si>
    <t>ROBERT ZOMAWIA STREET</t>
  </si>
  <si>
    <t>NEF038</t>
  </si>
  <si>
    <t>MEGH HARDWARE</t>
  </si>
  <si>
    <t>WBM096</t>
  </si>
  <si>
    <t>M/S BISWA ENTERPRISE</t>
  </si>
  <si>
    <t>NEN251</t>
  </si>
  <si>
    <t>NAMBAT R MARAK</t>
  </si>
  <si>
    <t>NET213</t>
  </si>
  <si>
    <t>THE HANDY HUB</t>
  </si>
  <si>
    <t>NEA500</t>
  </si>
  <si>
    <t>AHMED ENTERPRISE</t>
  </si>
  <si>
    <t>NEV066</t>
  </si>
  <si>
    <t>VELIS HARDWARE</t>
  </si>
  <si>
    <t>NES797</t>
  </si>
  <si>
    <t>SHREE JAGANNATH ENTERPRISE</t>
  </si>
  <si>
    <t>BHN035</t>
  </si>
  <si>
    <t>NIKITA ENTERPRISES</t>
  </si>
  <si>
    <t>BHS270</t>
  </si>
  <si>
    <t>SANAYA ENTERPRISES</t>
  </si>
  <si>
    <t>BHA103</t>
  </si>
  <si>
    <t>ADITYA TRADERS - DEORIA</t>
  </si>
  <si>
    <t>WBD066</t>
  </si>
  <si>
    <t>DEWANHAT HARDWARE</t>
  </si>
  <si>
    <t>WBS355</t>
  </si>
  <si>
    <t>SARKAR BUILDERS AND SUPPLIERS</t>
  </si>
  <si>
    <t>WBR159</t>
  </si>
  <si>
    <t>RAJ CONSULTANCY &amp; CONSTRUCTION</t>
  </si>
  <si>
    <t>NEM434</t>
  </si>
  <si>
    <t>MJ ENTERPRISE</t>
  </si>
  <si>
    <t>NEA499</t>
  </si>
  <si>
    <t>AKHONG Z. ENTERPRISE</t>
  </si>
  <si>
    <t>NEM048</t>
  </si>
  <si>
    <t>NEF045</t>
  </si>
  <si>
    <t>M.S. ENTERPRISE</t>
  </si>
  <si>
    <t>NED268</t>
  </si>
  <si>
    <t>DEEPANJALI STORE</t>
  </si>
  <si>
    <t>NEY017</t>
  </si>
  <si>
    <t>YAI ENTERPRISES</t>
  </si>
  <si>
    <t>NEA501</t>
  </si>
  <si>
    <t>ALBAN HARDWARE</t>
  </si>
  <si>
    <t>NEH175</t>
  </si>
  <si>
    <t>HAZRAT HARDWARE</t>
  </si>
  <si>
    <t>P224</t>
  </si>
  <si>
    <t>PRANTU HARDWARE</t>
  </si>
  <si>
    <t>NEB408</t>
  </si>
  <si>
    <t>SHREE BALAJI HARDWARE</t>
  </si>
  <si>
    <t>NEF039</t>
  </si>
  <si>
    <t>MERRYBELL KHONGSNI</t>
  </si>
  <si>
    <t>NEI055</t>
  </si>
  <si>
    <t>ISLAM ENTERPRISE</t>
  </si>
  <si>
    <t>NED267</t>
  </si>
  <si>
    <t>D.R. TRADERS</t>
  </si>
  <si>
    <t>NEL141</t>
  </si>
  <si>
    <t>LALRINMUANI HARDWARE</t>
  </si>
  <si>
    <t>NEP314</t>
  </si>
  <si>
    <t>PANDEY FURNITURE &amp; JAYDEEP TRADERS</t>
  </si>
  <si>
    <t>NES800</t>
  </si>
  <si>
    <t>SWASTIC ENTERPRISE</t>
  </si>
  <si>
    <t>BHS271</t>
  </si>
  <si>
    <t>SAWAN ENTERPRISES</t>
  </si>
  <si>
    <t>BHL020</t>
  </si>
  <si>
    <t>LAKSHMI ENTERPRISES</t>
  </si>
  <si>
    <t>LATIFUL HARDWARE</t>
  </si>
  <si>
    <t>NEN256</t>
  </si>
  <si>
    <t>NT HARDWARE</t>
  </si>
  <si>
    <t>NEP321</t>
  </si>
  <si>
    <t>PAO FURNITURE</t>
  </si>
  <si>
    <t>NEP320</t>
  </si>
  <si>
    <t>P G ENTERPRISE</t>
  </si>
  <si>
    <t>NEF042</t>
  </si>
  <si>
    <t>FRIDAY HINGE</t>
  </si>
  <si>
    <t>NEA497 </t>
  </si>
  <si>
    <t>AK TRADERS</t>
  </si>
  <si>
    <t>NEF050</t>
  </si>
  <si>
    <t>A.P ENTERPRISE</t>
  </si>
  <si>
    <t>NEF043</t>
  </si>
  <si>
    <t>NES796</t>
  </si>
  <si>
    <t>SKELAND NONGSIEJ</t>
  </si>
  <si>
    <t>NEP299</t>
  </si>
  <si>
    <t>PYNTNGEN MYRTHONG</t>
  </si>
  <si>
    <t>NEP275</t>
  </si>
  <si>
    <t>PAUL AIBANAIBOK BAMON</t>
  </si>
  <si>
    <t>NEA503</t>
  </si>
  <si>
    <t>AMBIKA HARDWARE</t>
  </si>
  <si>
    <t>NEK232</t>
  </si>
  <si>
    <t>KRISHNA ENTERPRISES</t>
  </si>
  <si>
    <t>NEB410</t>
  </si>
  <si>
    <t>BHALUKPONG HARDWARE</t>
  </si>
  <si>
    <t>NEB405</t>
  </si>
  <si>
    <t>BHAKTA HARDWARE</t>
  </si>
  <si>
    <t>NES810</t>
  </si>
  <si>
    <t>SONA HARDWARE</t>
  </si>
  <si>
    <t>S111</t>
  </si>
  <si>
    <t>SHREE DURGA HARDWARE</t>
  </si>
  <si>
    <t>K008</t>
  </si>
  <si>
    <t>KAILASH ENTERPRISE</t>
  </si>
  <si>
    <t>K010</t>
  </si>
  <si>
    <t>KAILASH TRADERS (GUWAHATI)</t>
  </si>
  <si>
    <t>NEA368</t>
  </si>
  <si>
    <t>ADITI STEEL</t>
  </si>
  <si>
    <t>NES791</t>
  </si>
  <si>
    <t>SHREE SAI ENTERPRISE</t>
  </si>
  <si>
    <t>NEC145</t>
  </si>
  <si>
    <t>CHAKRAPANI BUILDMART</t>
  </si>
  <si>
    <t>NEN258</t>
  </si>
  <si>
    <t>NARAYAN ENTERPRISE</t>
  </si>
  <si>
    <t>NEA506</t>
  </si>
  <si>
    <t>AB HOME SOLUTION</t>
  </si>
  <si>
    <t>NEC146</t>
  </si>
  <si>
    <t>C R ENTERPRISE</t>
  </si>
  <si>
    <t>NEU054</t>
  </si>
  <si>
    <t>USHA ENGINEERING FABRICATION</t>
  </si>
  <si>
    <t>NET215</t>
  </si>
  <si>
    <t>T T ENTERPRISES</t>
  </si>
  <si>
    <t>NEI056</t>
  </si>
  <si>
    <t>IR ENTERPRISES</t>
  </si>
  <si>
    <t>BHA098</t>
  </si>
  <si>
    <t>ADITYA TRADERS - KHAGARIA</t>
  </si>
  <si>
    <t>BHG035</t>
  </si>
  <si>
    <t>GAYANI ENTERPRISES</t>
  </si>
  <si>
    <t>NEJ207</t>
  </si>
  <si>
    <t>J.B ASSOCIATE</t>
  </si>
  <si>
    <t>NEK236</t>
  </si>
  <si>
    <t>KISAN ENTERPRISE</t>
  </si>
  <si>
    <t>NEA408</t>
  </si>
  <si>
    <t>ANITA HARDWARE</t>
  </si>
  <si>
    <t>NEB411</t>
  </si>
  <si>
    <t>BINAPANI ENTERPRISE</t>
  </si>
  <si>
    <t>NEF048</t>
  </si>
  <si>
    <t>MAA RASHMI HARDWARE</t>
  </si>
  <si>
    <t>NES295</t>
  </si>
  <si>
    <t>S K TRADERS (GHY)</t>
  </si>
  <si>
    <t>NES668</t>
  </si>
  <si>
    <t>SHAKTI BUILDERS AND MARKETING</t>
  </si>
  <si>
    <t>NES814</t>
  </si>
  <si>
    <t>SILVER TRADE CENTRE</t>
  </si>
  <si>
    <t>NEJ208</t>
  </si>
  <si>
    <t>JYOTI ENTERPRISE</t>
  </si>
  <si>
    <t>NEA509</t>
  </si>
  <si>
    <t>ANISUL TRADERS</t>
  </si>
  <si>
    <t>BHS251</t>
  </si>
  <si>
    <t>SHAKTI TRADING</t>
  </si>
  <si>
    <t>BHR106</t>
  </si>
  <si>
    <t>RAHEEL HARDWARE</t>
  </si>
  <si>
    <t>BHM162</t>
  </si>
  <si>
    <t>M U ENTERPRISES</t>
  </si>
  <si>
    <t>NEJ209</t>
  </si>
  <si>
    <t>I H ENTERPRISE</t>
  </si>
  <si>
    <t>NEA511</t>
  </si>
  <si>
    <t>MR ANOWAR HUSSAIN</t>
  </si>
  <si>
    <t>NEA512</t>
  </si>
  <si>
    <t>ASTHA HARDWARE</t>
  </si>
  <si>
    <t>NES650</t>
  </si>
  <si>
    <t>SARKAR HARDWARE</t>
  </si>
  <si>
    <t>NEN259</t>
  </si>
  <si>
    <t>NEXSTONE INFRASTRUCTURE</t>
  </si>
  <si>
    <t>NED168</t>
  </si>
  <si>
    <t>DAVID ESS STEEL FABRICATION</t>
  </si>
  <si>
    <t>NED271</t>
  </si>
  <si>
    <t>DHING IRON STORE</t>
  </si>
  <si>
    <t>NED156</t>
  </si>
  <si>
    <t>DEBNATH HARDWARE (UDP)</t>
  </si>
  <si>
    <t>NEK233</t>
  </si>
  <si>
    <t>KANTI MAJUMDER</t>
  </si>
  <si>
    <t>NED270</t>
  </si>
  <si>
    <t>DATTA ENTERPRISE</t>
  </si>
  <si>
    <t>WBM322</t>
  </si>
  <si>
    <t>MIR ENTERPRISE</t>
  </si>
  <si>
    <t>WBD102</t>
  </si>
  <si>
    <t>DAS PLANNNER AND SUPPLIER</t>
  </si>
  <si>
    <t>NEK007</t>
  </si>
  <si>
    <t>K.K. ENTERPRISES (AALO)</t>
  </si>
  <si>
    <t>NEL030</t>
  </si>
  <si>
    <t>L L ENTERPRISE (DAPORIJO)</t>
  </si>
  <si>
    <t>NEK210</t>
  </si>
  <si>
    <t>NEN260</t>
  </si>
  <si>
    <t>NORTHEAST COMMERCIAL</t>
  </si>
  <si>
    <t>NEJ067</t>
  </si>
  <si>
    <t>JYOTI TRADERS (DARANG)</t>
  </si>
  <si>
    <t>WBN110</t>
  </si>
  <si>
    <t>NEW H C B HARDWARE</t>
  </si>
  <si>
    <t>NEJ210</t>
  </si>
  <si>
    <t>J B ENTERPRISE</t>
  </si>
  <si>
    <t>NER402</t>
  </si>
  <si>
    <t>RUMI ENTERPRISE</t>
  </si>
  <si>
    <t>NEA513</t>
  </si>
  <si>
    <t>ASSAM NIRMAN AND HARDWARE</t>
  </si>
  <si>
    <t>NEP322</t>
  </si>
  <si>
    <t>PARIJAT TRADERS</t>
  </si>
  <si>
    <t>NEF060</t>
  </si>
  <si>
    <t>M.V STEEL</t>
  </si>
  <si>
    <t>NEF062</t>
  </si>
  <si>
    <t>MAA KAMAKHYA IRON AND STEEL</t>
  </si>
  <si>
    <t>NEF046</t>
  </si>
  <si>
    <t>MUKUTA BORAH AND BROTHERS</t>
  </si>
  <si>
    <t>NEA514</t>
  </si>
  <si>
    <t>ANNU HILLS TRADERS</t>
  </si>
  <si>
    <t>NEA515</t>
  </si>
  <si>
    <t>AKASH INTERIO</t>
  </si>
  <si>
    <t>S363</t>
  </si>
  <si>
    <t>SUDAMA TRADERS</t>
  </si>
  <si>
    <t>NEH176</t>
  </si>
  <si>
    <t>HEMKAJ ENTERPRISES LLP</t>
  </si>
  <si>
    <t>WBM279</t>
  </si>
  <si>
    <t>MD YOUSUF ALI ENTERPRISE</t>
  </si>
  <si>
    <t>NEI057</t>
  </si>
  <si>
    <t>IBOCHOU TRADERS</t>
  </si>
  <si>
    <t>NER234</t>
  </si>
  <si>
    <t>R.R. ENTERPRISE . MIZ</t>
  </si>
  <si>
    <t>NEF061</t>
  </si>
  <si>
    <t>MP HARDWARE</t>
  </si>
  <si>
    <t>BHG051</t>
  </si>
  <si>
    <t>GURU TRADERS</t>
  </si>
  <si>
    <t>NEB412</t>
  </si>
  <si>
    <t>BHAI BHAI ENTERPRISE</t>
  </si>
  <si>
    <t>BHS250</t>
  </si>
  <si>
    <t>SHREE GANESH TRADERS - NAUHATTA</t>
  </si>
  <si>
    <t>BHR107</t>
  </si>
  <si>
    <t>RIYA HARDWARE STORE</t>
  </si>
  <si>
    <t>NEF052</t>
  </si>
  <si>
    <t>FRANKY'D ENTERPRISE</t>
  </si>
  <si>
    <t>NES805</t>
  </si>
  <si>
    <t>S R HARDWARE</t>
  </si>
  <si>
    <t>NEB366</t>
  </si>
  <si>
    <t>BALAJI TRADE &amp; SUPPLY</t>
  </si>
  <si>
    <t>NEK237</t>
  </si>
  <si>
    <t>KAVYA ENTERPRISES</t>
  </si>
  <si>
    <t>NED272</t>
  </si>
  <si>
    <t>D.N. ENTERPRISES</t>
  </si>
  <si>
    <t>NEM341</t>
  </si>
  <si>
    <t>MARUTI STORE</t>
  </si>
  <si>
    <t>WBA164</t>
  </si>
  <si>
    <t>ALISA ENTERPRISE </t>
  </si>
  <si>
    <t>WBR160</t>
  </si>
  <si>
    <t>ROSHAN ENTERPRISES</t>
  </si>
  <si>
    <t>NEC147</t>
  </si>
  <si>
    <t>CN ENTERPRISE</t>
  </si>
  <si>
    <t>WBS356</t>
  </si>
  <si>
    <t>SHIV SHAKTI TRADERS</t>
  </si>
  <si>
    <t>NEP324</t>
  </si>
  <si>
    <t>BHS273</t>
  </si>
  <si>
    <t>S K ENTERPRISES</t>
  </si>
  <si>
    <t>BHT011</t>
  </si>
  <si>
    <t>TIRUPATI TRADING CO</t>
  </si>
  <si>
    <t>BHJ043</t>
  </si>
  <si>
    <t>JAI MATA DEE TRADERS (BHATGAMA)</t>
  </si>
  <si>
    <t>BHK065</t>
  </si>
  <si>
    <t>KUSHWAHA ENTERPRISES</t>
  </si>
  <si>
    <t>BHM116</t>
  </si>
  <si>
    <t>MAA KALI TRADING (NAUGACHIYA)</t>
  </si>
  <si>
    <t>BHA105</t>
  </si>
  <si>
    <t>AJAY TRADERS - SANGRAMPUR</t>
  </si>
  <si>
    <t>NEP323</t>
  </si>
  <si>
    <t>P S STEEL</t>
  </si>
  <si>
    <t>NEG202</t>
  </si>
  <si>
    <t>GANESH ENTERPRISE</t>
  </si>
  <si>
    <t>WBN107</t>
  </si>
  <si>
    <t>NEW AD ENTERPRISE</t>
  </si>
  <si>
    <t>WBB094</t>
  </si>
  <si>
    <t>BURIMAA ENTERPRISE</t>
  </si>
  <si>
    <t>WBS334</t>
  </si>
  <si>
    <t>SHARMA HARDWARE SHOP - KHAPRAIL</t>
  </si>
  <si>
    <t>WBB142</t>
  </si>
  <si>
    <t>B B AGARWAL AND SONS</t>
  </si>
  <si>
    <t>NES815</t>
  </si>
  <si>
    <t>NEL144</t>
  </si>
  <si>
    <t>LAKHDATAR ENTERPRISE</t>
  </si>
  <si>
    <t>NES604</t>
  </si>
  <si>
    <t>SANJAY BHANDAR</t>
  </si>
  <si>
    <t>NEN261</t>
  </si>
  <si>
    <t>NEELKAMAL TRADERS</t>
  </si>
  <si>
    <t>WBK070</t>
  </si>
  <si>
    <t>KARMA HARDWARE</t>
  </si>
  <si>
    <t>WBS239</t>
  </si>
  <si>
    <t>SHREE TRADING</t>
  </si>
  <si>
    <t>NEB413</t>
  </si>
  <si>
    <t>BLUESTONE ENGINEERING</t>
  </si>
  <si>
    <t>S410</t>
  </si>
  <si>
    <t>SHREE NARSINGH TRADERS</t>
  </si>
  <si>
    <t>BHM164</t>
  </si>
  <si>
    <t>MAA BHAGWATI TRADING</t>
  </si>
  <si>
    <t>NEJ211</t>
  </si>
  <si>
    <t>J. C HARDWARE</t>
  </si>
  <si>
    <t>NEG180</t>
  </si>
  <si>
    <t>GAURI GANESH ENTERPRISE</t>
  </si>
  <si>
    <t>NEF063</t>
  </si>
  <si>
    <t>MDI ENTERPRISE</t>
  </si>
  <si>
    <t>NEJ212</t>
  </si>
  <si>
    <t>JAMAL ENTERPRISE</t>
  </si>
  <si>
    <t>NED273</t>
  </si>
  <si>
    <t>D.V.R.ENTERPRISE</t>
  </si>
  <si>
    <t>NES818</t>
  </si>
  <si>
    <t>SHRI KRISHNA BHANDAR</t>
  </si>
  <si>
    <t>NES819</t>
  </si>
  <si>
    <t>SAPNA BEGUM</t>
  </si>
  <si>
    <t>WBM323</t>
  </si>
  <si>
    <t>MAA MANASA ENTERPRISE</t>
  </si>
  <si>
    <t>WBR139</t>
  </si>
  <si>
    <t>RATAN SAHA</t>
  </si>
  <si>
    <t>NES783</t>
  </si>
  <si>
    <t>SPRING HILLS ENTERPRISES</t>
  </si>
  <si>
    <t>NEL143</t>
  </si>
  <si>
    <t>LENGLAM SPARE PARTS</t>
  </si>
  <si>
    <t>NEE071</t>
  </si>
  <si>
    <t>EMA CONSTRUCTION MATERIAL CENTRE</t>
  </si>
  <si>
    <t>NER401</t>
  </si>
  <si>
    <t>RR ENTERPRISE</t>
  </si>
  <si>
    <t>NER403</t>
  </si>
  <si>
    <t>R.Z CONSTRUCTION</t>
  </si>
  <si>
    <t>NES618</t>
  </si>
  <si>
    <t>SANIKA HARDWARE</t>
  </si>
  <si>
    <t>NES042</t>
  </si>
  <si>
    <t>SHREE RAM TRADERS (MORIGAON)</t>
  </si>
  <si>
    <t>BHS089</t>
  </si>
  <si>
    <t>SATYAM TRADERS (HAJIPUR)</t>
  </si>
  <si>
    <t>BHM163</t>
  </si>
  <si>
    <t>MAA LAXMI AND SONS - SAHEBGANJ</t>
  </si>
  <si>
    <t>NEK178</t>
  </si>
  <si>
    <t>K.R.ENTERPRISES</t>
  </si>
  <si>
    <t>NEB414</t>
  </si>
  <si>
    <t>B L ENTERPRISES</t>
  </si>
  <si>
    <t>NED119</t>
  </si>
  <si>
    <t>DILIP KHARKRANG</t>
  </si>
  <si>
    <t>NES816</t>
  </si>
  <si>
    <t>SABITRI HARDWARE STORE</t>
  </si>
  <si>
    <t>NES778</t>
  </si>
  <si>
    <t>SAHU HARDWARE STORE</t>
  </si>
  <si>
    <t>BHB077</t>
  </si>
  <si>
    <t>BABA ENTERPRISES - MADHEPURA</t>
  </si>
  <si>
    <t>NED274</t>
  </si>
  <si>
    <t>DURGA HARDWARE</t>
  </si>
  <si>
    <t>WBS358</t>
  </si>
  <si>
    <t>SAHA TRADING COMPANY</t>
  </si>
  <si>
    <t>NEK239</t>
  </si>
  <si>
    <t>K A ENTERPRISE</t>
  </si>
  <si>
    <t>NEA196</t>
  </si>
  <si>
    <t>ARUNACHAL HARDWARE</t>
  </si>
  <si>
    <t>NEU055</t>
  </si>
  <si>
    <t>UNIQUE HARDWARE</t>
  </si>
  <si>
    <t>WBS357</t>
  </si>
  <si>
    <t>SREE KRISHNA HARDWARE - COOCHBEHAR</t>
  </si>
  <si>
    <t>NER350</t>
  </si>
  <si>
    <t>R C HARDWARE</t>
  </si>
  <si>
    <t>WBS303</t>
  </si>
  <si>
    <t>SHREE RAM TRADERS . CHAMPASARI</t>
  </si>
  <si>
    <t>WBH057</t>
  </si>
  <si>
    <t>HIMALAYAN BUILDER</t>
  </si>
  <si>
    <t>NEB302</t>
  </si>
  <si>
    <t>BHARTI HARDWARE</t>
  </si>
  <si>
    <t>NEP273</t>
  </si>
  <si>
    <t>PRAVEER ENTERPRISE</t>
  </si>
  <si>
    <t>NEN263</t>
  </si>
  <si>
    <t>NIKU ENTERPRISE</t>
  </si>
  <si>
    <t>NEJ213</t>
  </si>
  <si>
    <t>JOYSHREE HARDWARE</t>
  </si>
  <si>
    <t>NEK238</t>
  </si>
  <si>
    <t>KAMAKHYA TRADE</t>
  </si>
  <si>
    <t>NER404</t>
  </si>
  <si>
    <t>RUPAM HARDWARE</t>
  </si>
  <si>
    <t>NEA194</t>
  </si>
  <si>
    <t>ASHOK SUPPLY AGENCY</t>
  </si>
  <si>
    <t>NEH128</t>
  </si>
  <si>
    <t>HOME GALLERY</t>
  </si>
  <si>
    <t>NEA443</t>
  </si>
  <si>
    <t>ANANYA HARDWARE</t>
  </si>
  <si>
    <t>NER316</t>
  </si>
  <si>
    <t>RUDRA HARDWARE</t>
  </si>
  <si>
    <t>NEF049</t>
  </si>
  <si>
    <t>MANISH HARDWARE</t>
  </si>
  <si>
    <t>NEH116</t>
  </si>
  <si>
    <t>HOQUE TRADERS</t>
  </si>
  <si>
    <t>NES581</t>
  </si>
  <si>
    <t>SANDHYA TRADERS-SILCHAR</t>
  </si>
  <si>
    <t>BHR108</t>
  </si>
  <si>
    <t>RAKIB KHAD STORE</t>
  </si>
  <si>
    <t>NEJ101</t>
  </si>
  <si>
    <t>J S ENTERPRISE (NLP)</t>
  </si>
  <si>
    <t>NEN262</t>
  </si>
  <si>
    <t>NORTH EAST HARDWARE</t>
  </si>
  <si>
    <t>WBA165</t>
  </si>
  <si>
    <t>ANAM CONSTRUCTION</t>
  </si>
  <si>
    <t>WBH056</t>
  </si>
  <si>
    <t>HAJI ENTERPRISE</t>
  </si>
  <si>
    <t>WBA166</t>
  </si>
  <si>
    <t>ABDUR RASHID - MADNA</t>
  </si>
  <si>
    <t>WBB165</t>
  </si>
  <si>
    <t>BHAI BHAI HARDWARE - MAHENDRAPUR</t>
  </si>
  <si>
    <t>WBD103</t>
  </si>
  <si>
    <t>DAS HARDWARE</t>
  </si>
  <si>
    <t>NEC148</t>
  </si>
  <si>
    <t>CHHAKCHHUAK HARDWARE STORE</t>
  </si>
  <si>
    <t>NEB095</t>
  </si>
  <si>
    <t>BORA HARDWARE (MAYANG)</t>
  </si>
  <si>
    <t>BHM024</t>
  </si>
  <si>
    <t>MAHALAXMI CEMENT BHANDAR</t>
  </si>
  <si>
    <t>NEP267</t>
  </si>
  <si>
    <t>PEAD CEMENT</t>
  </si>
  <si>
    <t>NEB415</t>
  </si>
  <si>
    <t>BASAK ENTERPRISE</t>
  </si>
  <si>
    <t>BHA084</t>
  </si>
  <si>
    <t>AAMIR ENTERPRISES</t>
  </si>
  <si>
    <t>BHD016</t>
  </si>
  <si>
    <t>DHANI ENTERPRISES</t>
  </si>
  <si>
    <t>NEA517</t>
  </si>
  <si>
    <t>ALMA WANOALIN KHONGJEE</t>
  </si>
  <si>
    <t>NEF067</t>
  </si>
  <si>
    <t>MAJAW HARDWARE</t>
  </si>
  <si>
    <t>NEF065</t>
  </si>
  <si>
    <t>MOINA HARDWARE</t>
  </si>
  <si>
    <t>P049</t>
  </si>
  <si>
    <t>PURBANCHAL UDYOG</t>
  </si>
  <si>
    <t>NES073</t>
  </si>
  <si>
    <t>SHIVAM TRADE AND AGENCY</t>
  </si>
  <si>
    <t>NEA516</t>
  </si>
  <si>
    <t>ABC CONSTRUCTION</t>
  </si>
  <si>
    <t>NEF064</t>
  </si>
  <si>
    <t>MS SAHA ENTERPRISE</t>
  </si>
  <si>
    <t>WBT076</t>
  </si>
  <si>
    <t>TUMPA ROY</t>
  </si>
  <si>
    <t>NEJ185</t>
  </si>
  <si>
    <t>JOY KALI TRADERS</t>
  </si>
  <si>
    <t>NEL138</t>
  </si>
  <si>
    <t>LOKNATH HARDWARE</t>
  </si>
  <si>
    <t>WBR162</t>
  </si>
  <si>
    <t>RAJ TRADING CO</t>
  </si>
  <si>
    <t>NEN240</t>
  </si>
  <si>
    <t>NOIHRIT ENTERPRISE</t>
  </si>
  <si>
    <t>NEG143</t>
  </si>
  <si>
    <t>NEK240</t>
  </si>
  <si>
    <t>KAMRUP CEMENT CENTRE PRIVATE LIMITE</t>
  </si>
  <si>
    <t>NEK241</t>
  </si>
  <si>
    <t>K.F. ENTERPRISE</t>
  </si>
  <si>
    <t>NEG203</t>
  </si>
  <si>
    <t>GANAPATI ENTERPRISE</t>
  </si>
  <si>
    <t>NEF030</t>
  </si>
  <si>
    <t>FARHAN TRADERS</t>
  </si>
  <si>
    <t>NEM400</t>
  </si>
  <si>
    <t>WBD104</t>
  </si>
  <si>
    <t>DIYA HARDWARE AND ELECTRONICS</t>
  </si>
  <si>
    <t>NEJ159</t>
  </si>
  <si>
    <t>JONKI HARDWARE</t>
  </si>
  <si>
    <t>BHJ063</t>
  </si>
  <si>
    <t>J S TRADING</t>
  </si>
  <si>
    <t>NEZ027</t>
  </si>
  <si>
    <t>BHG036</t>
  </si>
  <si>
    <t>GOPAL TRADERS</t>
  </si>
  <si>
    <t>BHS274</t>
  </si>
  <si>
    <t>SS ENTERPRISES</t>
  </si>
  <si>
    <t>NEW017</t>
  </si>
  <si>
    <t>WEST CONSTRUCTION STORE</t>
  </si>
  <si>
    <t>NEJ204</t>
  </si>
  <si>
    <t>JAI MAA LAKSHMI HARDWARE AND ELECTR</t>
  </si>
  <si>
    <t>NEN212</t>
  </si>
  <si>
    <t>NEW SANDHYA HARDWARE</t>
  </si>
  <si>
    <t>BHV020</t>
  </si>
  <si>
    <t>VIJAY TRADERS</t>
  </si>
  <si>
    <t>SKG003</t>
  </si>
  <si>
    <t>GOVIND HARDWARE STORE</t>
  </si>
  <si>
    <t>BHH020</t>
  </si>
  <si>
    <t>HARSHIT TRADERS</t>
  </si>
  <si>
    <t>NEU053</t>
  </si>
  <si>
    <t>URBAN HARDWARE</t>
  </si>
  <si>
    <t>NEJ214</t>
  </si>
  <si>
    <t>NET180</t>
  </si>
  <si>
    <t>MS TRIPURESWARI HARDWARES</t>
  </si>
  <si>
    <t>RAGHUNATHGANJ</t>
  </si>
  <si>
    <t>WBR161</t>
  </si>
  <si>
    <t>R.R. ENTERPRISE</t>
  </si>
  <si>
    <t>BHG044</t>
  </si>
  <si>
    <t>GOPAL SHREE ENTERPRISES</t>
  </si>
  <si>
    <t>BHA083</t>
  </si>
  <si>
    <t>AGARWAL TRADING CO</t>
  </si>
  <si>
    <t>WBJ077</t>
  </si>
  <si>
    <t>JOARDER BUILDERS</t>
  </si>
  <si>
    <t>WBD105</t>
  </si>
  <si>
    <t>D V ENTERPRISE</t>
  </si>
  <si>
    <t>WBS359</t>
  </si>
  <si>
    <t>SUDIP SUTRADHAR</t>
  </si>
  <si>
    <t>NEK063</t>
  </si>
  <si>
    <t>KALUNG HARDWARE (OLD ZIRO)</t>
  </si>
  <si>
    <t>NEP244</t>
  </si>
  <si>
    <t>PERA ENTERPRISE</t>
  </si>
  <si>
    <t>NEB043</t>
  </si>
  <si>
    <t>BARDHAN TRADERS</t>
  </si>
  <si>
    <t>NEP255</t>
  </si>
  <si>
    <t>PANDEY HARDWARE</t>
  </si>
  <si>
    <t>WBS349</t>
  </si>
  <si>
    <t>SARKAR TRADERS</t>
  </si>
  <si>
    <t>WBS361</t>
  </si>
  <si>
    <t>SHREE RADHA KRISHNA ENTERPRISE</t>
  </si>
  <si>
    <t>NEB381</t>
  </si>
  <si>
    <t>BHARTIA STEELS</t>
  </si>
  <si>
    <t>K075</t>
  </si>
  <si>
    <t>KANOI HARDWARE STORE</t>
  </si>
  <si>
    <t>NER227</t>
  </si>
  <si>
    <t>RIDDHI CEMENT CENTRE . GHY</t>
  </si>
  <si>
    <t>NES600</t>
  </si>
  <si>
    <t>SITI HARDWARE</t>
  </si>
  <si>
    <t>WBA072</t>
  </si>
  <si>
    <t>AAKASH ENTERPRISE</t>
  </si>
  <si>
    <t>NES666</t>
  </si>
  <si>
    <t>S.R. HARDWARE</t>
  </si>
  <si>
    <t>NEB290</t>
  </si>
  <si>
    <t>BEE HARDWARE STORES</t>
  </si>
  <si>
    <t>NEA575</t>
  </si>
  <si>
    <t>ASSAM HARDWARE</t>
  </si>
  <si>
    <t>BHC022</t>
  </si>
  <si>
    <t>CHAND STEEL - KATIHAR</t>
  </si>
  <si>
    <t>BHP051</t>
  </si>
  <si>
    <t>PARWEZ &amp; CO</t>
  </si>
  <si>
    <t>NES888</t>
  </si>
  <si>
    <t>SMC ENTERPRISE</t>
  </si>
  <si>
    <t>NES889</t>
  </si>
  <si>
    <t>SURAJ ENTERPRISE</t>
  </si>
  <si>
    <t>WBS360</t>
  </si>
  <si>
    <t>SADIKUL HARDWARE</t>
  </si>
  <si>
    <t>NEL239</t>
  </si>
  <si>
    <t>EMMANUEL ENTERPRISE</t>
  </si>
  <si>
    <t>NEK188</t>
  </si>
  <si>
    <t>SUOHU STORE</t>
  </si>
  <si>
    <t>NEP256</t>
  </si>
  <si>
    <t>PUNI ENTERPRISES</t>
  </si>
  <si>
    <t>NES784</t>
  </si>
  <si>
    <t>S R TRADING</t>
  </si>
  <si>
    <t>NEB380</t>
  </si>
  <si>
    <t>BAHAR HARDWARE</t>
  </si>
  <si>
    <t>BHO008</t>
  </si>
  <si>
    <t>OM TRADING - GULABBAGH</t>
  </si>
  <si>
    <t>BHS276</t>
  </si>
  <si>
    <t>SHIV SHAKTI ENTERPRISES - PIPRA</t>
  </si>
  <si>
    <t>NES700</t>
  </si>
  <si>
    <t>SKJ003</t>
  </si>
  <si>
    <t>JAIN HARDWARE STORES</t>
  </si>
  <si>
    <t>SKY001</t>
  </si>
  <si>
    <t>YUMA ENTERPRISE</t>
  </si>
  <si>
    <t>NEF066</t>
  </si>
  <si>
    <t>MONYUL BROTHER'S CONSTRUCTION</t>
  </si>
  <si>
    <t>NEP253</t>
  </si>
  <si>
    <t>PRATIMA HARDWARE</t>
  </si>
  <si>
    <t>NEM359</t>
  </si>
  <si>
    <t>MAA SANTOSHI ENTERPRISE</t>
  </si>
  <si>
    <t>WBS354</t>
  </si>
  <si>
    <t>SARKAR HARDWARE - PANDEPUR </t>
  </si>
  <si>
    <t>WBA167</t>
  </si>
  <si>
    <t>ALAM TILES FACTORY</t>
  </si>
  <si>
    <t>NEM215</t>
  </si>
  <si>
    <t>MAHESH TRADERS (AP)</t>
  </si>
  <si>
    <t>Golaghat</t>
  </si>
  <si>
    <t>NES195</t>
  </si>
  <si>
    <t>SATABDI STORE (GOLAGHAT)</t>
  </si>
  <si>
    <t>BHD017</t>
  </si>
  <si>
    <t>DAUD TRADERS</t>
  </si>
  <si>
    <t>BHM004</t>
  </si>
  <si>
    <t>MANJAR TRADERS</t>
  </si>
  <si>
    <t>NES546</t>
  </si>
  <si>
    <t>SUJIT SEN</t>
  </si>
  <si>
    <t>NEM351</t>
  </si>
  <si>
    <t>MODAK ENTERPRISE</t>
  </si>
  <si>
    <t>NEA399</t>
  </si>
  <si>
    <t>AMDAD HARDWARE STORE</t>
  </si>
  <si>
    <t>NEA464</t>
  </si>
  <si>
    <t>A B ENTERPRISE</t>
  </si>
  <si>
    <t>BHH023</t>
  </si>
  <si>
    <t>HAJI SAB STORE</t>
  </si>
  <si>
    <t>NEB382</t>
  </si>
  <si>
    <t>BHUYAN ENTERPRISE</t>
  </si>
  <si>
    <t>NEJ301</t>
  </si>
  <si>
    <t>JIVIKA HARDWARE</t>
  </si>
  <si>
    <t>WBM324</t>
  </si>
  <si>
    <t>MAA LAXMI DISTRIBUTORS</t>
  </si>
  <si>
    <t>NEH230</t>
  </si>
  <si>
    <t>HOREB ENTERPRISE</t>
  </si>
  <si>
    <t>BHM166</t>
  </si>
  <si>
    <t>MAA VAISHNO TRADERS</t>
  </si>
  <si>
    <t>BHS275</t>
  </si>
  <si>
    <t>SONA SHRI STEEL</t>
  </si>
  <si>
    <t>NES690</t>
  </si>
  <si>
    <t>SRI RUDRA SAIKIA</t>
  </si>
  <si>
    <t>NEB483</t>
  </si>
  <si>
    <t>BAJRANG HARDWARE STORES</t>
  </si>
  <si>
    <t>BHS263</t>
  </si>
  <si>
    <t>SHREE ENTERPRISES</t>
  </si>
  <si>
    <t>NEP357</t>
  </si>
  <si>
    <t>PAUL ENTERPRISE</t>
  </si>
  <si>
    <t>PATNA</t>
  </si>
  <si>
    <t>BHN051</t>
  </si>
  <si>
    <t>NALANDA TRADERS - PATNA</t>
  </si>
  <si>
    <t>BHK067</t>
  </si>
  <si>
    <t>KRISHNA TRADERS - PABHERA</t>
  </si>
  <si>
    <t>BHM127</t>
  </si>
  <si>
    <t>MITHI TRADERS</t>
  </si>
  <si>
    <t>NEA577</t>
  </si>
  <si>
    <t>ALI HARDWARE</t>
  </si>
  <si>
    <t>WBM325</t>
  </si>
  <si>
    <t>MAHANTA LOUHA BHANDAR - GOPALPUR</t>
  </si>
  <si>
    <t>NED319</t>
  </si>
  <si>
    <t>DILIP STORE</t>
  </si>
  <si>
    <t>NEM550</t>
  </si>
  <si>
    <t>GAYA</t>
  </si>
  <si>
    <t>D160</t>
  </si>
  <si>
    <t>DEEPAK KRISHI KENDRA</t>
  </si>
  <si>
    <t>BHO011</t>
  </si>
  <si>
    <t>OM CEMENT STORE</t>
  </si>
  <si>
    <t>WBN116</t>
  </si>
  <si>
    <t>NEW SHAKAMBARI TRADERS</t>
  </si>
  <si>
    <t>NES681</t>
  </si>
  <si>
    <t>SHREE SHYAM TRADE</t>
  </si>
  <si>
    <t>WBD106</t>
  </si>
  <si>
    <t>DAS ENTERPRISE</t>
  </si>
  <si>
    <t>BHG052</t>
  </si>
  <si>
    <t>GUPTA TRADING</t>
  </si>
  <si>
    <t>WBN115</t>
  </si>
  <si>
    <t>NOOR HARDWARE</t>
  </si>
  <si>
    <t>NEC118</t>
  </si>
  <si>
    <t>CHOUDHURY ENTERPRISE</t>
  </si>
  <si>
    <t>NEB484</t>
  </si>
  <si>
    <t>BODOLAND HARDWARE</t>
  </si>
  <si>
    <t>BHA108</t>
  </si>
  <si>
    <t>ARTI ENTERPRISES</t>
  </si>
  <si>
    <t>BHS279</t>
  </si>
  <si>
    <t>SONI TRADERS - MAULA NAGAR</t>
  </si>
  <si>
    <t>WBD107</t>
  </si>
  <si>
    <t>DADA BHAI ENTERPRISE - JOYHAT</t>
  </si>
  <si>
    <t>WBB166</t>
  </si>
  <si>
    <t>BENGAL TRADERS - ANTARDWIPA</t>
  </si>
  <si>
    <t>BHA106</t>
  </si>
  <si>
    <t>AJAY CEMENT STORE - KHANJAHAPUR</t>
  </si>
  <si>
    <t>BHS278</t>
  </si>
  <si>
    <t>SHANKAR TRADERS</t>
  </si>
  <si>
    <t>WBN117</t>
  </si>
  <si>
    <t>NEW R.K.BUILDERS</t>
  </si>
  <si>
    <t>BHS048</t>
  </si>
  <si>
    <t>SHIVAM TRADERS (WARS)</t>
  </si>
  <si>
    <t>BHA107</t>
  </si>
  <si>
    <t>ASHRAFI TRADERS</t>
  </si>
  <si>
    <t>BHN040</t>
  </si>
  <si>
    <t>NEW BHARAT TRADERS &amp; PAINTS</t>
  </si>
  <si>
    <t>NEA578</t>
  </si>
  <si>
    <t>ANANDA HARDWARE</t>
  </si>
  <si>
    <t>BHS281</t>
  </si>
  <si>
    <t>SRI RADHE TRADERS</t>
  </si>
  <si>
    <t>BHS283</t>
  </si>
  <si>
    <t>SUNIL CEMENT STORE</t>
  </si>
  <si>
    <t>NEM552</t>
  </si>
  <si>
    <t>M.G.D ENTERPRISE</t>
  </si>
  <si>
    <t>NEA580</t>
  </si>
  <si>
    <t>AP BUILD</t>
  </si>
  <si>
    <t>NEM551</t>
  </si>
  <si>
    <t>MOON HARDWARE</t>
  </si>
  <si>
    <t>NED320</t>
  </si>
  <si>
    <t>DIBYAJIT KONWAR HARDWARE STORE</t>
  </si>
  <si>
    <t>NEK290</t>
  </si>
  <si>
    <t>KATOKI HARDWARE</t>
  </si>
  <si>
    <t>NEA579</t>
  </si>
  <si>
    <t>MS AMBIKA HARDWARE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</si>
</sst>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\-mmm\-yy"/>
    <numFmt numFmtId="165" formatCode="m/d/yyyy"/>
    <numFmt numFmtId="166" formatCode="mmm\-yy"/>
    <numFmt numFmtId="167" formatCode="[$-409]dd\-mmm\-yy"/>
    <numFmt numFmtId="168" formatCode="d\-mmm"/>
    <numFmt numFmtId="169" formatCode="0.000"/>
  </numFmts>
  <fonts count="7" x14ac:knownFonts="1">
    <font>
      <sz val="11"/>
      <color theme="1"/>
      <name val="Aptos Narrow"/>
      <charset val="1"/>
    </font>
    <font>
      <b/>
      <sz val="10"/>
      <color theme="1"/>
      <name val="Aptos Narrow"/>
      <charset val="1"/>
    </font>
    <font>
      <b/>
      <sz val="10"/>
      <color rgb="FFA5A5A5"/>
      <name val="Aptos Narrow"/>
      <charset val="1"/>
    </font>
    <font>
      <b/>
      <sz val="10"/>
      <color theme="0"/>
      <name val="Aptos Narrow"/>
      <charset val="1"/>
    </font>
    <font>
      <b/>
      <sz val="11"/>
      <color theme="1"/>
      <name val="Aptos Narrow"/>
      <charset val="1"/>
    </font>
    <font>
      <sz val="10"/>
      <color theme="1"/>
      <name val="Aptos Narrow"/>
      <charset val="1"/>
    </font>
    <font>
      <sz val="9"/>
      <color theme="1"/>
      <name val="Aptos Narrow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1CEEE"/>
        <bgColor rgb="FFD0D0D0"/>
      </patternFill>
    </fill>
    <fill>
      <patternFill patternType="solid">
        <fgColor rgb="FFCAEDFB"/>
        <bgColor rgb="FFC1E4F5"/>
      </patternFill>
    </fill>
    <fill>
      <patternFill patternType="solid">
        <fgColor rgb="FFD9F2D0"/>
        <bgColor rgb="FFCAEDFB"/>
      </patternFill>
    </fill>
    <fill>
      <patternFill patternType="solid">
        <fgColor rgb="FFD0D0D0"/>
        <bgColor rgb="FFC0C0C0"/>
      </patternFill>
    </fill>
    <fill>
      <patternFill patternType="solid">
        <fgColor theme="0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7" fontId="5" fillId="0" borderId="1" xfId="0" applyNumberFormat="1" applyFont="1" applyBorder="1" applyAlignment="1">
      <alignment horizontal="left" vertical="center"/>
    </xf>
    <xf numFmtId="167" fontId="5" fillId="0" borderId="1" xfId="0" applyNumberFormat="1" applyFont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9" fontId="1" fillId="5" borderId="1" xfId="0" applyNumberFormat="1" applyFont="1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/>
    </xf>
    <xf numFmtId="9" fontId="1" fillId="6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2" fontId="1" fillId="4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67" fontId="6" fillId="0" borderId="1" xfId="0" applyNumberFormat="1" applyFont="1" applyBorder="1" applyAlignment="1">
      <alignment horizontal="left" vertical="center"/>
    </xf>
    <xf numFmtId="16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center" wrapText="1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165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 vertical="top"/>
    </xf>
    <xf numFmtId="168" fontId="6" fillId="0" borderId="1" xfId="0" applyNumberFormat="1" applyFont="1" applyBorder="1" applyAlignment="1">
      <alignment horizontal="center"/>
    </xf>
    <xf numFmtId="169" fontId="6" fillId="0" borderId="1" xfId="0" applyNumberFormat="1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center" vertical="center"/>
    </xf>
    <xf numFmtId="0" fontId="6" fillId="7" borderId="1" xfId="0" applyFont="1" applyFill="1" applyBorder="1" applyAlignment="1">
      <alignment horizontal="left"/>
    </xf>
    <xf numFmtId="164" fontId="6" fillId="7" borderId="1" xfId="0" applyNumberFormat="1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0" borderId="1" xfId="0" applyFont="1" applyBorder="1"/>
    <xf numFmtId="0" fontId="6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7" borderId="1" xfId="0" applyFont="1" applyFill="1" applyBorder="1" applyAlignment="1">
      <alignment horizontal="left" vertical="center"/>
    </xf>
    <xf numFmtId="164" fontId="6" fillId="7" borderId="1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barnik%20Lahiri\Downloads\Dealer_Performance_June_2026_updated.xlsx" TargetMode="External"/><Relationship Id="rId1" Type="http://schemas.openxmlformats.org/officeDocument/2006/relationships/externalLinkPath" Target="Dealer_Performance_June_2026_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-M"/>
      <sheetName val="Sheet1"/>
      <sheetName val="Sheet3"/>
      <sheetName val="Sheet5"/>
      <sheetName val="Sheet8"/>
      <sheetName val="Sheet9"/>
      <sheetName val="DLRWISE (4)"/>
      <sheetName val="DLRWISE (5)"/>
      <sheetName val="DLRWISE (3)"/>
      <sheetName val="DLRWISE"/>
      <sheetName val="Sheet7"/>
      <sheetName val="Sheet6"/>
      <sheetName val="Sheet4"/>
      <sheetName val="DLRWISE (2)"/>
      <sheetName val="Sheet2"/>
      <sheetName val="Last6M_AvgSales_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A2">
            <v>1000000638</v>
          </cell>
          <cell r="B2">
            <v>116.666666666667</v>
          </cell>
        </row>
        <row r="3">
          <cell r="A3">
            <v>1000000671</v>
          </cell>
          <cell r="B3">
            <v>3.3333333333333299</v>
          </cell>
        </row>
        <row r="4">
          <cell r="A4">
            <v>1000000673</v>
          </cell>
          <cell r="B4">
            <v>1647.5833333333301</v>
          </cell>
        </row>
        <row r="5">
          <cell r="A5">
            <v>1000000669</v>
          </cell>
          <cell r="B5">
            <v>29.3333333333333</v>
          </cell>
        </row>
        <row r="6">
          <cell r="A6">
            <v>1000000668</v>
          </cell>
          <cell r="B6">
            <v>10.8333333333333</v>
          </cell>
        </row>
        <row r="7">
          <cell r="A7">
            <v>1000000665</v>
          </cell>
          <cell r="B7">
            <v>378.33333333333297</v>
          </cell>
        </row>
        <row r="8">
          <cell r="A8">
            <v>1000000653</v>
          </cell>
          <cell r="B8">
            <v>51.6666666666667</v>
          </cell>
        </row>
        <row r="9">
          <cell r="A9">
            <v>1000000634</v>
          </cell>
          <cell r="B9">
            <v>158.333333333333</v>
          </cell>
        </row>
        <row r="10">
          <cell r="A10">
            <v>1000000654</v>
          </cell>
          <cell r="B10">
            <v>116.166666666667</v>
          </cell>
        </row>
        <row r="11">
          <cell r="A11">
            <v>1000000655</v>
          </cell>
          <cell r="B11">
            <v>23.3333333333333</v>
          </cell>
        </row>
        <row r="12">
          <cell r="A12">
            <v>1000000633</v>
          </cell>
          <cell r="B12">
            <v>165.25</v>
          </cell>
        </row>
        <row r="13">
          <cell r="A13">
            <v>1000000672</v>
          </cell>
          <cell r="B13">
            <v>41.75</v>
          </cell>
        </row>
        <row r="14">
          <cell r="A14">
            <v>1000000657</v>
          </cell>
          <cell r="B14">
            <v>6.6666666666666696</v>
          </cell>
        </row>
        <row r="15">
          <cell r="A15">
            <v>1000000647</v>
          </cell>
          <cell r="B15">
            <v>26.6666666666667</v>
          </cell>
        </row>
        <row r="16">
          <cell r="A16">
            <v>1000000667</v>
          </cell>
          <cell r="B16">
            <v>106.666666666667</v>
          </cell>
        </row>
        <row r="17">
          <cell r="A17">
            <v>1000000661</v>
          </cell>
          <cell r="B17">
            <v>282.16666666666703</v>
          </cell>
        </row>
        <row r="18">
          <cell r="A18">
            <v>1000000646</v>
          </cell>
          <cell r="B18">
            <v>202.333333333333</v>
          </cell>
        </row>
        <row r="19">
          <cell r="A19">
            <v>1000000670</v>
          </cell>
          <cell r="B19">
            <v>460</v>
          </cell>
        </row>
        <row r="20">
          <cell r="A20">
            <v>1000000659</v>
          </cell>
          <cell r="B20">
            <v>10.8333333333333</v>
          </cell>
        </row>
        <row r="21">
          <cell r="A21">
            <v>1000000637</v>
          </cell>
          <cell r="B21">
            <v>116.666666666667</v>
          </cell>
        </row>
        <row r="22">
          <cell r="A22">
            <v>1000000666</v>
          </cell>
          <cell r="B22">
            <v>429.66666666666703</v>
          </cell>
        </row>
        <row r="23">
          <cell r="A23">
            <v>1000000658</v>
          </cell>
          <cell r="B23">
            <v>963.83333333333303</v>
          </cell>
        </row>
        <row r="24">
          <cell r="A24">
            <v>1000001037</v>
          </cell>
          <cell r="B24">
            <v>3191.3916666666701</v>
          </cell>
        </row>
        <row r="25">
          <cell r="A25">
            <v>1000001042</v>
          </cell>
          <cell r="B25">
            <v>8.6666666666666696</v>
          </cell>
        </row>
        <row r="26">
          <cell r="A26">
            <v>1000001032</v>
          </cell>
          <cell r="B26">
            <v>25</v>
          </cell>
        </row>
        <row r="27">
          <cell r="A27">
            <v>1000001035</v>
          </cell>
          <cell r="B27">
            <v>92.1666666666667</v>
          </cell>
        </row>
        <row r="28">
          <cell r="A28">
            <v>1000001033</v>
          </cell>
          <cell r="B28">
            <v>196.833333333333</v>
          </cell>
        </row>
        <row r="29">
          <cell r="A29">
            <v>1000001043</v>
          </cell>
          <cell r="B29">
            <v>225</v>
          </cell>
        </row>
        <row r="30">
          <cell r="A30">
            <v>1000001036</v>
          </cell>
          <cell r="B30">
            <v>47.8333333333333</v>
          </cell>
        </row>
        <row r="31">
          <cell r="A31">
            <v>1000001041</v>
          </cell>
          <cell r="B31">
            <v>37.8333333333333</v>
          </cell>
        </row>
        <row r="32">
          <cell r="A32">
            <v>1000001034</v>
          </cell>
          <cell r="B32">
            <v>170</v>
          </cell>
        </row>
        <row r="33">
          <cell r="A33">
            <v>1000001038</v>
          </cell>
          <cell r="B33">
            <v>45.1666666666667</v>
          </cell>
        </row>
        <row r="34">
          <cell r="A34">
            <v>1000002624</v>
          </cell>
          <cell r="B34">
            <v>21.6666666666667</v>
          </cell>
        </row>
        <row r="35">
          <cell r="A35">
            <v>1000002728</v>
          </cell>
          <cell r="B35">
            <v>3.3333333333333299</v>
          </cell>
        </row>
        <row r="36">
          <cell r="A36">
            <v>1000002750</v>
          </cell>
          <cell r="B36">
            <v>90</v>
          </cell>
        </row>
        <row r="37">
          <cell r="A37">
            <v>1000002818</v>
          </cell>
          <cell r="B37">
            <v>34.3333333333333</v>
          </cell>
        </row>
        <row r="38">
          <cell r="A38">
            <v>1000002960</v>
          </cell>
          <cell r="B38">
            <v>200</v>
          </cell>
        </row>
        <row r="39">
          <cell r="A39">
            <v>1000003133</v>
          </cell>
          <cell r="B39">
            <v>28.8333333333333</v>
          </cell>
        </row>
        <row r="40">
          <cell r="A40">
            <v>1000003202</v>
          </cell>
          <cell r="B40">
            <v>33.3333333333333</v>
          </cell>
        </row>
        <row r="41">
          <cell r="A41">
            <v>1000003200</v>
          </cell>
          <cell r="B41">
            <v>95</v>
          </cell>
        </row>
        <row r="42">
          <cell r="A42">
            <v>1000003243</v>
          </cell>
          <cell r="B42">
            <v>15.8333333333333</v>
          </cell>
        </row>
        <row r="43">
          <cell r="A43">
            <v>1000003314</v>
          </cell>
          <cell r="B43">
            <v>25.8333333333333</v>
          </cell>
        </row>
        <row r="44">
          <cell r="A44">
            <v>1000003488</v>
          </cell>
          <cell r="B44">
            <v>560</v>
          </cell>
        </row>
        <row r="45">
          <cell r="A45">
            <v>1000003532</v>
          </cell>
          <cell r="B45">
            <v>30</v>
          </cell>
        </row>
        <row r="46">
          <cell r="A46">
            <v>1000003527</v>
          </cell>
          <cell r="B46">
            <v>22.5</v>
          </cell>
        </row>
        <row r="47">
          <cell r="A47">
            <v>1000003545</v>
          </cell>
          <cell r="B47">
            <v>26.6666666666667</v>
          </cell>
        </row>
        <row r="48">
          <cell r="A48">
            <v>1000003549</v>
          </cell>
          <cell r="B48">
            <v>26.6666666666667</v>
          </cell>
        </row>
        <row r="49">
          <cell r="A49">
            <v>1000003596</v>
          </cell>
          <cell r="B49">
            <v>11.6666666666667</v>
          </cell>
        </row>
        <row r="50">
          <cell r="A50">
            <v>1000003607</v>
          </cell>
          <cell r="B50">
            <v>16.4166666666667</v>
          </cell>
        </row>
        <row r="51">
          <cell r="A51">
            <v>1000003789</v>
          </cell>
          <cell r="B51">
            <v>10.8333333333333</v>
          </cell>
        </row>
        <row r="52">
          <cell r="A52">
            <v>1000003823</v>
          </cell>
          <cell r="B52">
            <v>8.3333333333333304</v>
          </cell>
        </row>
        <row r="53">
          <cell r="A53">
            <v>1000003840</v>
          </cell>
          <cell r="B53">
            <v>32.5</v>
          </cell>
        </row>
        <row r="54">
          <cell r="A54">
            <v>1000003892</v>
          </cell>
          <cell r="B54">
            <v>25.1666666666667</v>
          </cell>
        </row>
        <row r="55">
          <cell r="A55">
            <v>1000003942</v>
          </cell>
          <cell r="B55">
            <v>123</v>
          </cell>
        </row>
        <row r="56">
          <cell r="A56">
            <v>1000003948</v>
          </cell>
          <cell r="B56">
            <v>12.1666666666667</v>
          </cell>
        </row>
        <row r="57">
          <cell r="A57">
            <v>1000003973</v>
          </cell>
          <cell r="B57">
            <v>57.5</v>
          </cell>
        </row>
        <row r="58">
          <cell r="A58">
            <v>1000003966</v>
          </cell>
          <cell r="B58">
            <v>36.3333333333333</v>
          </cell>
        </row>
        <row r="59">
          <cell r="A59">
            <v>1000004002</v>
          </cell>
          <cell r="B59">
            <v>80.3333333333333</v>
          </cell>
        </row>
        <row r="60">
          <cell r="A60">
            <v>1000004044</v>
          </cell>
          <cell r="B60">
            <v>22.1666666666667</v>
          </cell>
        </row>
        <row r="61">
          <cell r="A61">
            <v>1000004043</v>
          </cell>
          <cell r="B61">
            <v>27.3333333333333</v>
          </cell>
        </row>
        <row r="62">
          <cell r="A62">
            <v>1000004099</v>
          </cell>
          <cell r="B62">
            <v>21.1666666666667</v>
          </cell>
        </row>
        <row r="63">
          <cell r="A63">
            <v>1000000618</v>
          </cell>
          <cell r="B63">
            <v>690</v>
          </cell>
        </row>
        <row r="64">
          <cell r="A64">
            <v>1000000615</v>
          </cell>
          <cell r="B64">
            <v>16.6666666666667</v>
          </cell>
        </row>
        <row r="65">
          <cell r="A65">
            <v>1000000616</v>
          </cell>
          <cell r="B65">
            <v>33.3333333333333</v>
          </cell>
        </row>
        <row r="66">
          <cell r="A66">
            <v>1000001007</v>
          </cell>
          <cell r="B66">
            <v>276.66666666666703</v>
          </cell>
        </row>
        <row r="67">
          <cell r="A67">
            <v>1000001008</v>
          </cell>
          <cell r="B67">
            <v>353.33333333333297</v>
          </cell>
        </row>
        <row r="68">
          <cell r="A68">
            <v>1000000652</v>
          </cell>
          <cell r="B68">
            <v>30.3333333333333</v>
          </cell>
        </row>
        <row r="69">
          <cell r="A69">
            <v>1000001006</v>
          </cell>
          <cell r="B69">
            <v>50</v>
          </cell>
        </row>
        <row r="70">
          <cell r="A70">
            <v>1000002620</v>
          </cell>
          <cell r="B70">
            <v>104.166666666667</v>
          </cell>
        </row>
        <row r="71">
          <cell r="A71">
            <v>1000003164</v>
          </cell>
          <cell r="B71">
            <v>135.333333333333</v>
          </cell>
        </row>
        <row r="72">
          <cell r="A72">
            <v>1000004006</v>
          </cell>
          <cell r="B72">
            <v>43.3333333333333</v>
          </cell>
        </row>
        <row r="73">
          <cell r="A73">
            <v>1000004090</v>
          </cell>
          <cell r="B73">
            <v>50</v>
          </cell>
        </row>
        <row r="74">
          <cell r="A74">
            <v>1000000744</v>
          </cell>
          <cell r="B74">
            <v>244.77500000000001</v>
          </cell>
        </row>
        <row r="75">
          <cell r="A75">
            <v>1000000732</v>
          </cell>
          <cell r="B75">
            <v>5011.8583333333299</v>
          </cell>
        </row>
        <row r="76">
          <cell r="A76">
            <v>1000000729</v>
          </cell>
          <cell r="B76">
            <v>9.75</v>
          </cell>
        </row>
        <row r="77">
          <cell r="A77">
            <v>1000000737</v>
          </cell>
          <cell r="B77">
            <v>1249.05</v>
          </cell>
        </row>
        <row r="78">
          <cell r="A78">
            <v>1000000733</v>
          </cell>
          <cell r="B78">
            <v>103.041666666667</v>
          </cell>
        </row>
        <row r="79">
          <cell r="A79">
            <v>1000000745</v>
          </cell>
          <cell r="B79">
            <v>43.4166666666667</v>
          </cell>
        </row>
        <row r="80">
          <cell r="A80">
            <v>1000000740</v>
          </cell>
          <cell r="B80">
            <v>65.375</v>
          </cell>
        </row>
        <row r="81">
          <cell r="A81">
            <v>1000000722</v>
          </cell>
          <cell r="B81">
            <v>165</v>
          </cell>
        </row>
        <row r="82">
          <cell r="A82">
            <v>1000000735</v>
          </cell>
          <cell r="B82">
            <v>516.08333333333303</v>
          </cell>
        </row>
        <row r="83">
          <cell r="A83">
            <v>1000000728</v>
          </cell>
          <cell r="B83">
            <v>27.9166666666667</v>
          </cell>
        </row>
        <row r="84">
          <cell r="A84">
            <v>1000000742</v>
          </cell>
          <cell r="B84">
            <v>731.97500000000002</v>
          </cell>
        </row>
        <row r="85">
          <cell r="A85">
            <v>1000000726</v>
          </cell>
          <cell r="B85">
            <v>110.833333333333</v>
          </cell>
        </row>
        <row r="86">
          <cell r="A86">
            <v>1000000746</v>
          </cell>
          <cell r="B86">
            <v>150</v>
          </cell>
        </row>
        <row r="87">
          <cell r="A87">
            <v>1000000741</v>
          </cell>
          <cell r="B87">
            <v>190.833333333333</v>
          </cell>
        </row>
        <row r="88">
          <cell r="A88">
            <v>1000000736</v>
          </cell>
          <cell r="B88">
            <v>808.75</v>
          </cell>
        </row>
        <row r="89">
          <cell r="A89">
            <v>1000000725</v>
          </cell>
          <cell r="B89">
            <v>259.41666666666703</v>
          </cell>
        </row>
        <row r="90">
          <cell r="A90">
            <v>1000000738</v>
          </cell>
          <cell r="B90">
            <v>240.833333333333</v>
          </cell>
        </row>
        <row r="91">
          <cell r="A91">
            <v>1000000731</v>
          </cell>
          <cell r="B91">
            <v>277.08333333333297</v>
          </cell>
        </row>
        <row r="92">
          <cell r="A92">
            <v>1000001067</v>
          </cell>
          <cell r="B92">
            <v>20.875</v>
          </cell>
        </row>
        <row r="93">
          <cell r="A93">
            <v>1000001066</v>
          </cell>
          <cell r="B93">
            <v>257.75</v>
          </cell>
        </row>
        <row r="94">
          <cell r="A94">
            <v>1000000734</v>
          </cell>
          <cell r="B94">
            <v>65</v>
          </cell>
        </row>
        <row r="95">
          <cell r="A95">
            <v>1000001068</v>
          </cell>
          <cell r="B95">
            <v>56.5833333333333</v>
          </cell>
        </row>
        <row r="96">
          <cell r="A96">
            <v>1000001069</v>
          </cell>
          <cell r="B96">
            <v>120.583333333333</v>
          </cell>
        </row>
        <row r="97">
          <cell r="A97">
            <v>1000001065</v>
          </cell>
          <cell r="B97">
            <v>307.5</v>
          </cell>
        </row>
        <row r="98">
          <cell r="A98">
            <v>1000002403</v>
          </cell>
          <cell r="B98">
            <v>27.6666666666667</v>
          </cell>
        </row>
        <row r="99">
          <cell r="A99">
            <v>1000002406</v>
          </cell>
          <cell r="B99">
            <v>70.25</v>
          </cell>
        </row>
        <row r="100">
          <cell r="A100">
            <v>1000002619</v>
          </cell>
          <cell r="B100">
            <v>72.6666666666667</v>
          </cell>
        </row>
        <row r="101">
          <cell r="A101">
            <v>1000002761</v>
          </cell>
          <cell r="B101">
            <v>69.1666666666667</v>
          </cell>
        </row>
        <row r="102">
          <cell r="A102">
            <v>1000003193</v>
          </cell>
          <cell r="B102">
            <v>57.75</v>
          </cell>
        </row>
        <row r="103">
          <cell r="A103">
            <v>1000003508</v>
          </cell>
          <cell r="B103">
            <v>214.5</v>
          </cell>
        </row>
        <row r="104">
          <cell r="A104">
            <v>1000003525</v>
          </cell>
          <cell r="B104">
            <v>116.23333333333299</v>
          </cell>
        </row>
        <row r="105">
          <cell r="A105">
            <v>1000003589</v>
          </cell>
          <cell r="B105">
            <v>116.25</v>
          </cell>
        </row>
        <row r="106">
          <cell r="A106">
            <v>1000003599</v>
          </cell>
          <cell r="B106">
            <v>97.5</v>
          </cell>
        </row>
        <row r="107">
          <cell r="A107">
            <v>1000003635</v>
          </cell>
          <cell r="B107">
            <v>54.975000000000001</v>
          </cell>
        </row>
        <row r="108">
          <cell r="A108">
            <v>1000003663</v>
          </cell>
          <cell r="B108">
            <v>106.375</v>
          </cell>
        </row>
        <row r="109">
          <cell r="A109">
            <v>1000003702</v>
          </cell>
          <cell r="B109">
            <v>109.583333333333</v>
          </cell>
        </row>
        <row r="110">
          <cell r="A110">
            <v>1000003841</v>
          </cell>
          <cell r="B110">
            <v>99.1666666666667</v>
          </cell>
        </row>
        <row r="111">
          <cell r="A111">
            <v>1000003864</v>
          </cell>
          <cell r="B111">
            <v>76.508333333333297</v>
          </cell>
        </row>
        <row r="112">
          <cell r="A112">
            <v>1000003885</v>
          </cell>
          <cell r="B112">
            <v>275</v>
          </cell>
        </row>
        <row r="113">
          <cell r="A113">
            <v>1000003900</v>
          </cell>
          <cell r="B113">
            <v>114</v>
          </cell>
        </row>
        <row r="114">
          <cell r="A114">
            <v>1000003910</v>
          </cell>
          <cell r="B114">
            <v>24.25</v>
          </cell>
        </row>
        <row r="115">
          <cell r="A115">
            <v>1000003932</v>
          </cell>
          <cell r="B115">
            <v>88.4583333333333</v>
          </cell>
        </row>
        <row r="116">
          <cell r="A116">
            <v>1000003995</v>
          </cell>
          <cell r="B116">
            <v>178.666666666667</v>
          </cell>
        </row>
        <row r="117">
          <cell r="A117">
            <v>1000004005</v>
          </cell>
          <cell r="B117">
            <v>101.916666666667</v>
          </cell>
        </row>
        <row r="118">
          <cell r="A118">
            <v>1000000476</v>
          </cell>
          <cell r="B118">
            <v>6347.0749999999998</v>
          </cell>
        </row>
        <row r="119">
          <cell r="A119">
            <v>1000000468</v>
          </cell>
          <cell r="B119">
            <v>33.3333333333333</v>
          </cell>
        </row>
        <row r="120">
          <cell r="A120">
            <v>1000000445</v>
          </cell>
          <cell r="B120">
            <v>59.825000000000003</v>
          </cell>
        </row>
        <row r="121">
          <cell r="A121">
            <v>1000000443</v>
          </cell>
          <cell r="B121">
            <v>3328.5583333333302</v>
          </cell>
        </row>
        <row r="122">
          <cell r="A122">
            <v>1000000462</v>
          </cell>
          <cell r="B122">
            <v>375.83333333333297</v>
          </cell>
        </row>
        <row r="123">
          <cell r="A123">
            <v>1000000461</v>
          </cell>
          <cell r="B123">
            <v>130</v>
          </cell>
        </row>
        <row r="124">
          <cell r="A124">
            <v>1000000477</v>
          </cell>
          <cell r="B124">
            <v>15.8333333333333</v>
          </cell>
        </row>
        <row r="125">
          <cell r="A125">
            <v>1000000448</v>
          </cell>
          <cell r="B125">
            <v>205.7</v>
          </cell>
        </row>
        <row r="126">
          <cell r="A126">
            <v>1000000446</v>
          </cell>
          <cell r="B126">
            <v>521.74166666666702</v>
          </cell>
        </row>
        <row r="127">
          <cell r="A127">
            <v>1000000465</v>
          </cell>
          <cell r="B127">
            <v>45.8333333333333</v>
          </cell>
        </row>
        <row r="128">
          <cell r="A128">
            <v>1000000447</v>
          </cell>
          <cell r="B128">
            <v>13.3333333333333</v>
          </cell>
        </row>
        <row r="129">
          <cell r="A129">
            <v>1000000455</v>
          </cell>
          <cell r="B129">
            <v>82.9166666666667</v>
          </cell>
        </row>
        <row r="130">
          <cell r="A130">
            <v>1000000457</v>
          </cell>
          <cell r="B130">
            <v>100.833333333333</v>
          </cell>
        </row>
        <row r="131">
          <cell r="A131">
            <v>1000000473</v>
          </cell>
          <cell r="B131">
            <v>145</v>
          </cell>
        </row>
        <row r="132">
          <cell r="A132">
            <v>1000000470</v>
          </cell>
          <cell r="B132">
            <v>1223.7166666666701</v>
          </cell>
        </row>
        <row r="133">
          <cell r="A133">
            <v>1000000478</v>
          </cell>
          <cell r="B133">
            <v>104.166666666667</v>
          </cell>
        </row>
        <row r="134">
          <cell r="A134">
            <v>1000000444</v>
          </cell>
          <cell r="B134">
            <v>408.85</v>
          </cell>
        </row>
        <row r="135">
          <cell r="A135">
            <v>1000000458</v>
          </cell>
          <cell r="B135">
            <v>144.34166666666701</v>
          </cell>
        </row>
        <row r="136">
          <cell r="A136">
            <v>1000000471</v>
          </cell>
          <cell r="B136">
            <v>105</v>
          </cell>
        </row>
        <row r="137">
          <cell r="A137">
            <v>1000000474</v>
          </cell>
          <cell r="B137">
            <v>56.6666666666667</v>
          </cell>
        </row>
        <row r="138">
          <cell r="A138">
            <v>1000000464</v>
          </cell>
          <cell r="B138">
            <v>20</v>
          </cell>
        </row>
        <row r="139">
          <cell r="A139">
            <v>1000000467</v>
          </cell>
          <cell r="B139">
            <v>34.1666666666667</v>
          </cell>
        </row>
        <row r="140">
          <cell r="A140">
            <v>1000000472</v>
          </cell>
          <cell r="B140">
            <v>106.666666666667</v>
          </cell>
        </row>
        <row r="141">
          <cell r="A141">
            <v>1000000915</v>
          </cell>
          <cell r="B141">
            <v>81.6666666666667</v>
          </cell>
        </row>
        <row r="142">
          <cell r="A142">
            <v>1000000931</v>
          </cell>
          <cell r="B142">
            <v>20</v>
          </cell>
        </row>
        <row r="143">
          <cell r="A143">
            <v>1000000934</v>
          </cell>
          <cell r="B143">
            <v>22.5</v>
          </cell>
        </row>
        <row r="144">
          <cell r="A144">
            <v>1000000914</v>
          </cell>
          <cell r="B144">
            <v>167.5</v>
          </cell>
        </row>
        <row r="145">
          <cell r="A145">
            <v>1000000930</v>
          </cell>
          <cell r="B145">
            <v>93.3333333333333</v>
          </cell>
        </row>
        <row r="146">
          <cell r="A146">
            <v>1000000922</v>
          </cell>
          <cell r="B146">
            <v>118.02500000000001</v>
          </cell>
        </row>
        <row r="147">
          <cell r="A147">
            <v>1000000918</v>
          </cell>
          <cell r="B147">
            <v>262.48333333333301</v>
          </cell>
        </row>
        <row r="148">
          <cell r="A148">
            <v>1000000916</v>
          </cell>
          <cell r="B148">
            <v>170</v>
          </cell>
        </row>
        <row r="149">
          <cell r="A149">
            <v>1000000929</v>
          </cell>
          <cell r="B149">
            <v>160.666666666667</v>
          </cell>
        </row>
        <row r="150">
          <cell r="A150">
            <v>1000000919</v>
          </cell>
          <cell r="B150">
            <v>33.3333333333333</v>
          </cell>
        </row>
        <row r="151">
          <cell r="A151">
            <v>1000000925</v>
          </cell>
          <cell r="B151">
            <v>123.333333333333</v>
          </cell>
        </row>
        <row r="152">
          <cell r="A152">
            <v>1000000927</v>
          </cell>
          <cell r="B152">
            <v>34.1666666666667</v>
          </cell>
        </row>
        <row r="153">
          <cell r="A153">
            <v>1000002404</v>
          </cell>
          <cell r="B153">
            <v>6.6666666666666696</v>
          </cell>
        </row>
        <row r="154">
          <cell r="A154">
            <v>1000002409</v>
          </cell>
          <cell r="B154">
            <v>91.6666666666667</v>
          </cell>
        </row>
        <row r="155">
          <cell r="A155">
            <v>1000002727</v>
          </cell>
          <cell r="B155">
            <v>66.6666666666667</v>
          </cell>
        </row>
        <row r="156">
          <cell r="A156">
            <v>1000003010</v>
          </cell>
          <cell r="B156">
            <v>741.30833333333305</v>
          </cell>
        </row>
        <row r="157">
          <cell r="A157">
            <v>1000003122</v>
          </cell>
          <cell r="B157">
            <v>555.99166666666702</v>
          </cell>
        </row>
        <row r="158">
          <cell r="A158">
            <v>1000003332</v>
          </cell>
          <cell r="B158">
            <v>97.5</v>
          </cell>
        </row>
        <row r="159">
          <cell r="A159">
            <v>1000003479</v>
          </cell>
          <cell r="B159">
            <v>45.8333333333333</v>
          </cell>
        </row>
        <row r="160">
          <cell r="A160">
            <v>1000003553</v>
          </cell>
          <cell r="B160">
            <v>182.433333333333</v>
          </cell>
        </row>
        <row r="161">
          <cell r="A161">
            <v>1000003763</v>
          </cell>
          <cell r="B161">
            <v>131.13333333333301</v>
          </cell>
        </row>
        <row r="162">
          <cell r="A162">
            <v>1000003844</v>
          </cell>
          <cell r="B162">
            <v>699.07500000000005</v>
          </cell>
        </row>
        <row r="163">
          <cell r="A163">
            <v>1000003971</v>
          </cell>
          <cell r="B163">
            <v>6</v>
          </cell>
        </row>
        <row r="164">
          <cell r="A164">
            <v>1000004014</v>
          </cell>
          <cell r="B164">
            <v>1.6666666666666701</v>
          </cell>
        </row>
        <row r="165">
          <cell r="A165">
            <v>1000004083</v>
          </cell>
          <cell r="B165">
            <v>219.46666666666701</v>
          </cell>
        </row>
        <row r="166">
          <cell r="A166">
            <v>1000000086</v>
          </cell>
          <cell r="B166">
            <v>43.3333333333333</v>
          </cell>
        </row>
        <row r="167">
          <cell r="A167">
            <v>1000000067</v>
          </cell>
          <cell r="B167">
            <v>82.8333333333333</v>
          </cell>
        </row>
        <row r="168">
          <cell r="A168">
            <v>1000000074</v>
          </cell>
          <cell r="B168">
            <v>20</v>
          </cell>
        </row>
        <row r="169">
          <cell r="A169">
            <v>1000000070</v>
          </cell>
          <cell r="B169">
            <v>87.0833333333333</v>
          </cell>
        </row>
        <row r="170">
          <cell r="A170">
            <v>1000000087</v>
          </cell>
          <cell r="B170">
            <v>87.5</v>
          </cell>
        </row>
        <row r="171">
          <cell r="A171">
            <v>1000000076</v>
          </cell>
          <cell r="B171">
            <v>112.5</v>
          </cell>
        </row>
        <row r="172">
          <cell r="A172">
            <v>1000000075</v>
          </cell>
          <cell r="B172">
            <v>233.333333333333</v>
          </cell>
        </row>
        <row r="173">
          <cell r="A173">
            <v>1000000088</v>
          </cell>
          <cell r="B173">
            <v>304.16666666666703</v>
          </cell>
        </row>
        <row r="174">
          <cell r="A174">
            <v>1000002392</v>
          </cell>
          <cell r="B174">
            <v>126.666666666667</v>
          </cell>
        </row>
        <row r="175">
          <cell r="A175">
            <v>1000003166</v>
          </cell>
          <cell r="B175">
            <v>106.666666666667</v>
          </cell>
        </row>
        <row r="176">
          <cell r="A176">
            <v>1000003273</v>
          </cell>
          <cell r="B176">
            <v>93.3333333333333</v>
          </cell>
        </row>
        <row r="177">
          <cell r="A177">
            <v>1000003424</v>
          </cell>
          <cell r="B177">
            <v>273.33333333333297</v>
          </cell>
        </row>
        <row r="178">
          <cell r="A178">
            <v>1000003452</v>
          </cell>
          <cell r="B178">
            <v>360.83333333333297</v>
          </cell>
        </row>
        <row r="179">
          <cell r="A179">
            <v>1000003533</v>
          </cell>
          <cell r="B179">
            <v>46.6666666666667</v>
          </cell>
        </row>
        <row r="180">
          <cell r="A180">
            <v>1000003653</v>
          </cell>
          <cell r="B180">
            <v>48</v>
          </cell>
        </row>
        <row r="181">
          <cell r="A181">
            <v>1000003727</v>
          </cell>
          <cell r="B181">
            <v>126.666666666667</v>
          </cell>
        </row>
        <row r="182">
          <cell r="A182">
            <v>1000003782</v>
          </cell>
          <cell r="B182">
            <v>25.4166666666667</v>
          </cell>
        </row>
        <row r="183">
          <cell r="A183">
            <v>1000003816</v>
          </cell>
          <cell r="B183">
            <v>12.5</v>
          </cell>
        </row>
        <row r="184">
          <cell r="A184">
            <v>1000004010</v>
          </cell>
          <cell r="B184">
            <v>80</v>
          </cell>
        </row>
        <row r="185">
          <cell r="A185">
            <v>1000004084</v>
          </cell>
          <cell r="B185">
            <v>351.83333333333297</v>
          </cell>
        </row>
        <row r="186">
          <cell r="A186">
            <v>1000000103</v>
          </cell>
          <cell r="B186">
            <v>268.691666666667</v>
          </cell>
        </row>
        <row r="187">
          <cell r="A187">
            <v>1000000094</v>
          </cell>
          <cell r="B187">
            <v>45.9166666666667</v>
          </cell>
        </row>
        <row r="188">
          <cell r="A188">
            <v>1000000096</v>
          </cell>
          <cell r="B188">
            <v>103.583333333333</v>
          </cell>
        </row>
        <row r="189">
          <cell r="A189">
            <v>1000000110</v>
          </cell>
          <cell r="B189">
            <v>24.1666666666667</v>
          </cell>
        </row>
        <row r="190">
          <cell r="A190">
            <v>1000000104</v>
          </cell>
          <cell r="B190">
            <v>52.3333333333333</v>
          </cell>
        </row>
        <row r="191">
          <cell r="A191">
            <v>1000000113</v>
          </cell>
          <cell r="B191">
            <v>161.125</v>
          </cell>
        </row>
        <row r="192">
          <cell r="A192">
            <v>1000000834</v>
          </cell>
          <cell r="B192">
            <v>204.71666666666701</v>
          </cell>
        </row>
        <row r="193">
          <cell r="A193">
            <v>1000000100</v>
          </cell>
          <cell r="B193">
            <v>51.266666666666701</v>
          </cell>
        </row>
        <row r="194">
          <cell r="A194">
            <v>1000002610</v>
          </cell>
          <cell r="B194">
            <v>10.8333333333333</v>
          </cell>
        </row>
        <row r="195">
          <cell r="A195">
            <v>1000002747</v>
          </cell>
          <cell r="B195">
            <v>64.941666666666706</v>
          </cell>
        </row>
        <row r="196">
          <cell r="A196">
            <v>1000002757</v>
          </cell>
          <cell r="B196">
            <v>115.333333333333</v>
          </cell>
        </row>
        <row r="197">
          <cell r="A197">
            <v>1000002835</v>
          </cell>
          <cell r="B197">
            <v>243.22499999999999</v>
          </cell>
        </row>
        <row r="198">
          <cell r="A198">
            <v>1000003161</v>
          </cell>
          <cell r="B198">
            <v>25</v>
          </cell>
        </row>
        <row r="199">
          <cell r="A199">
            <v>1000003500</v>
          </cell>
          <cell r="B199">
            <v>13.1666666666667</v>
          </cell>
        </row>
        <row r="200">
          <cell r="A200">
            <v>1000003513</v>
          </cell>
          <cell r="B200">
            <v>377.41666666666703</v>
          </cell>
        </row>
        <row r="201">
          <cell r="A201">
            <v>1000003544</v>
          </cell>
          <cell r="B201">
            <v>45</v>
          </cell>
        </row>
        <row r="202">
          <cell r="A202">
            <v>1000003616</v>
          </cell>
          <cell r="B202">
            <v>39.933333333333302</v>
          </cell>
        </row>
        <row r="203">
          <cell r="A203">
            <v>1000003655</v>
          </cell>
          <cell r="B203">
            <v>53.5833333333333</v>
          </cell>
        </row>
        <row r="204">
          <cell r="A204">
            <v>1000003676</v>
          </cell>
          <cell r="B204">
            <v>45</v>
          </cell>
        </row>
        <row r="205">
          <cell r="A205">
            <v>1000003726</v>
          </cell>
          <cell r="B205">
            <v>91.741666666666703</v>
          </cell>
        </row>
        <row r="206">
          <cell r="A206">
            <v>1000003728</v>
          </cell>
          <cell r="B206">
            <v>358.38333333333298</v>
          </cell>
        </row>
        <row r="207">
          <cell r="A207">
            <v>1000003873</v>
          </cell>
          <cell r="B207">
            <v>16.75</v>
          </cell>
        </row>
        <row r="208">
          <cell r="A208">
            <v>1000003926</v>
          </cell>
          <cell r="B208">
            <v>177.5</v>
          </cell>
        </row>
        <row r="209">
          <cell r="A209">
            <v>1000004063</v>
          </cell>
          <cell r="B209">
            <v>442.04166666666703</v>
          </cell>
        </row>
        <row r="210">
          <cell r="A210">
            <v>1000004075</v>
          </cell>
          <cell r="B210">
            <v>26.6666666666667</v>
          </cell>
        </row>
        <row r="211">
          <cell r="A211">
            <v>1000000418</v>
          </cell>
          <cell r="B211">
            <v>236.333333333333</v>
          </cell>
        </row>
        <row r="212">
          <cell r="A212">
            <v>1000000404</v>
          </cell>
          <cell r="B212">
            <v>91.75</v>
          </cell>
        </row>
        <row r="213">
          <cell r="A213">
            <v>1000000401</v>
          </cell>
          <cell r="B213">
            <v>293.16666666666703</v>
          </cell>
        </row>
        <row r="214">
          <cell r="A214">
            <v>1000000407</v>
          </cell>
          <cell r="B214">
            <v>149.166666666667</v>
          </cell>
        </row>
        <row r="215">
          <cell r="A215">
            <v>1000000423</v>
          </cell>
          <cell r="B215">
            <v>92.6666666666667</v>
          </cell>
        </row>
        <row r="216">
          <cell r="A216">
            <v>1000000417</v>
          </cell>
          <cell r="B216">
            <v>748.83333333333303</v>
          </cell>
        </row>
        <row r="217">
          <cell r="A217">
            <v>1000000397</v>
          </cell>
          <cell r="B217">
            <v>62.625</v>
          </cell>
        </row>
        <row r="218">
          <cell r="A218">
            <v>1000000395</v>
          </cell>
          <cell r="B218">
            <v>362.83333333333297</v>
          </cell>
        </row>
        <row r="219">
          <cell r="A219">
            <v>1000000416</v>
          </cell>
          <cell r="B219">
            <v>145.25</v>
          </cell>
        </row>
        <row r="220">
          <cell r="A220">
            <v>1000000415</v>
          </cell>
          <cell r="B220">
            <v>587.625</v>
          </cell>
        </row>
        <row r="221">
          <cell r="A221">
            <v>1000000393</v>
          </cell>
          <cell r="B221">
            <v>103.333333333333</v>
          </cell>
        </row>
        <row r="222">
          <cell r="A222">
            <v>1000000414</v>
          </cell>
          <cell r="B222">
            <v>8.3333333333333304</v>
          </cell>
        </row>
        <row r="223">
          <cell r="A223">
            <v>1000000422</v>
          </cell>
          <cell r="B223">
            <v>504.79166666666703</v>
          </cell>
        </row>
        <row r="224">
          <cell r="A224">
            <v>1000000400</v>
          </cell>
          <cell r="B224">
            <v>35</v>
          </cell>
        </row>
        <row r="225">
          <cell r="A225">
            <v>1000000398</v>
          </cell>
          <cell r="B225">
            <v>472.5</v>
          </cell>
        </row>
        <row r="226">
          <cell r="A226">
            <v>1000000901</v>
          </cell>
          <cell r="B226">
            <v>657.45833333333303</v>
          </cell>
        </row>
        <row r="227">
          <cell r="A227">
            <v>1000000894</v>
          </cell>
          <cell r="B227">
            <v>28.5</v>
          </cell>
        </row>
        <row r="228">
          <cell r="A228">
            <v>1000000893</v>
          </cell>
          <cell r="B228">
            <v>36.0833333333333</v>
          </cell>
        </row>
        <row r="229">
          <cell r="A229">
            <v>1000000890</v>
          </cell>
          <cell r="B229">
            <v>31.0833333333333</v>
          </cell>
        </row>
        <row r="230">
          <cell r="A230">
            <v>1000000895</v>
          </cell>
          <cell r="B230">
            <v>25.25</v>
          </cell>
        </row>
        <row r="231">
          <cell r="A231">
            <v>1000002846</v>
          </cell>
          <cell r="B231">
            <v>30.5</v>
          </cell>
        </row>
        <row r="232">
          <cell r="A232">
            <v>1000002980</v>
          </cell>
          <cell r="B232">
            <v>50.625</v>
          </cell>
        </row>
        <row r="233">
          <cell r="A233">
            <v>1000003186</v>
          </cell>
          <cell r="B233">
            <v>74.5</v>
          </cell>
        </row>
        <row r="234">
          <cell r="A234">
            <v>1000003398</v>
          </cell>
          <cell r="B234">
            <v>12.5</v>
          </cell>
        </row>
        <row r="235">
          <cell r="A235">
            <v>1000003447</v>
          </cell>
          <cell r="B235">
            <v>20.8333333333333</v>
          </cell>
        </row>
        <row r="236">
          <cell r="A236">
            <v>1000003493</v>
          </cell>
          <cell r="B236">
            <v>2.0833333333333299</v>
          </cell>
        </row>
        <row r="237">
          <cell r="A237">
            <v>1000004034</v>
          </cell>
          <cell r="B237">
            <v>5.5</v>
          </cell>
        </row>
        <row r="238">
          <cell r="A238">
            <v>1000000268</v>
          </cell>
          <cell r="B238">
            <v>17.5</v>
          </cell>
        </row>
        <row r="239">
          <cell r="A239">
            <v>1000000263</v>
          </cell>
          <cell r="B239">
            <v>19.1666666666667</v>
          </cell>
        </row>
        <row r="240">
          <cell r="A240">
            <v>1000000277</v>
          </cell>
          <cell r="B240">
            <v>917</v>
          </cell>
        </row>
        <row r="241">
          <cell r="A241">
            <v>1000000261</v>
          </cell>
          <cell r="B241">
            <v>1.6666666666666701</v>
          </cell>
        </row>
        <row r="242">
          <cell r="A242">
            <v>1000000262</v>
          </cell>
          <cell r="B242">
            <v>6.6666666666666696</v>
          </cell>
        </row>
        <row r="243">
          <cell r="A243">
            <v>1000000266</v>
          </cell>
          <cell r="B243">
            <v>463.66666666666703</v>
          </cell>
        </row>
        <row r="244">
          <cell r="A244">
            <v>1000000260</v>
          </cell>
          <cell r="B244">
            <v>85.5</v>
          </cell>
        </row>
        <row r="245">
          <cell r="A245">
            <v>1000000839</v>
          </cell>
          <cell r="B245">
            <v>35.8333333333333</v>
          </cell>
        </row>
        <row r="246">
          <cell r="A246">
            <v>1000000256</v>
          </cell>
          <cell r="B246">
            <v>27.5</v>
          </cell>
        </row>
        <row r="247">
          <cell r="A247">
            <v>1000000265</v>
          </cell>
          <cell r="B247">
            <v>20</v>
          </cell>
        </row>
        <row r="248">
          <cell r="A248">
            <v>1000000258</v>
          </cell>
          <cell r="B248">
            <v>83.3333333333333</v>
          </cell>
        </row>
        <row r="249">
          <cell r="A249">
            <v>1000000279</v>
          </cell>
          <cell r="B249">
            <v>33.1666666666667</v>
          </cell>
        </row>
        <row r="250">
          <cell r="A250">
            <v>1000000272</v>
          </cell>
          <cell r="B250">
            <v>123.833333333333</v>
          </cell>
        </row>
        <row r="251">
          <cell r="A251">
            <v>1000000278</v>
          </cell>
          <cell r="B251">
            <v>6.6666666666666696</v>
          </cell>
        </row>
        <row r="252">
          <cell r="A252">
            <v>1000000270</v>
          </cell>
          <cell r="B252">
            <v>192.5</v>
          </cell>
        </row>
        <row r="253">
          <cell r="A253">
            <v>1000000718</v>
          </cell>
          <cell r="B253">
            <v>1094.5833333333301</v>
          </cell>
        </row>
        <row r="254">
          <cell r="A254">
            <v>1000000707</v>
          </cell>
          <cell r="B254">
            <v>2003.7750000000001</v>
          </cell>
        </row>
        <row r="255">
          <cell r="A255">
            <v>1000000719</v>
          </cell>
          <cell r="B255">
            <v>16.3333333333333</v>
          </cell>
        </row>
        <row r="256">
          <cell r="A256">
            <v>1000000720</v>
          </cell>
          <cell r="B256">
            <v>151.166666666667</v>
          </cell>
        </row>
        <row r="257">
          <cell r="A257">
            <v>1000000716</v>
          </cell>
          <cell r="B257">
            <v>993.625</v>
          </cell>
        </row>
        <row r="258">
          <cell r="A258">
            <v>1000000717</v>
          </cell>
          <cell r="B258">
            <v>20.8333333333333</v>
          </cell>
        </row>
        <row r="259">
          <cell r="A259">
            <v>1000001057</v>
          </cell>
          <cell r="B259">
            <v>97.9166666666667</v>
          </cell>
        </row>
        <row r="260">
          <cell r="A260">
            <v>1000001062</v>
          </cell>
          <cell r="B260">
            <v>212.42500000000001</v>
          </cell>
        </row>
        <row r="261">
          <cell r="A261">
            <v>1000002618</v>
          </cell>
          <cell r="B261">
            <v>153.166666666667</v>
          </cell>
        </row>
        <row r="262">
          <cell r="A262">
            <v>1000002758</v>
          </cell>
          <cell r="B262">
            <v>13.1666666666667</v>
          </cell>
        </row>
        <row r="263">
          <cell r="A263">
            <v>1000002759</v>
          </cell>
          <cell r="B263">
            <v>109.583333333333</v>
          </cell>
        </row>
        <row r="264">
          <cell r="A264">
            <v>1000002760</v>
          </cell>
          <cell r="B264">
            <v>29.6666666666667</v>
          </cell>
        </row>
        <row r="265">
          <cell r="A265">
            <v>1000002764</v>
          </cell>
          <cell r="B265">
            <v>28.3333333333333</v>
          </cell>
        </row>
        <row r="266">
          <cell r="A266">
            <v>1000003503</v>
          </cell>
          <cell r="B266">
            <v>27.5</v>
          </cell>
        </row>
        <row r="267">
          <cell r="A267">
            <v>1000003511</v>
          </cell>
          <cell r="B267">
            <v>61.25</v>
          </cell>
        </row>
        <row r="268">
          <cell r="A268">
            <v>1000003519</v>
          </cell>
          <cell r="B268">
            <v>229.041666666667</v>
          </cell>
        </row>
        <row r="269">
          <cell r="A269">
            <v>1000003809</v>
          </cell>
          <cell r="B269">
            <v>45.8333333333333</v>
          </cell>
        </row>
        <row r="270">
          <cell r="A270">
            <v>1000000237</v>
          </cell>
          <cell r="B270">
            <v>5.5833333333333304</v>
          </cell>
        </row>
        <row r="271">
          <cell r="A271">
            <v>1000000810</v>
          </cell>
          <cell r="B271">
            <v>38.3333333333333</v>
          </cell>
        </row>
        <row r="272">
          <cell r="A272">
            <v>1000000816</v>
          </cell>
          <cell r="B272">
            <v>689.08333333333303</v>
          </cell>
        </row>
        <row r="273">
          <cell r="A273">
            <v>1000000235</v>
          </cell>
          <cell r="B273">
            <v>1187.11666666667</v>
          </cell>
        </row>
        <row r="274">
          <cell r="A274">
            <v>1000000245</v>
          </cell>
          <cell r="B274">
            <v>3.4166666666666701</v>
          </cell>
        </row>
        <row r="275">
          <cell r="A275">
            <v>1000000248</v>
          </cell>
          <cell r="B275">
            <v>235.21666666666701</v>
          </cell>
        </row>
        <row r="276">
          <cell r="A276">
            <v>1000000341</v>
          </cell>
          <cell r="B276">
            <v>502.98333333333301</v>
          </cell>
        </row>
        <row r="277">
          <cell r="A277">
            <v>1000000236</v>
          </cell>
          <cell r="B277">
            <v>20</v>
          </cell>
        </row>
        <row r="278">
          <cell r="A278">
            <v>1000000233</v>
          </cell>
          <cell r="B278">
            <v>542.66666666666697</v>
          </cell>
        </row>
        <row r="279">
          <cell r="A279">
            <v>1000000247</v>
          </cell>
          <cell r="B279">
            <v>73.75</v>
          </cell>
        </row>
        <row r="280">
          <cell r="A280">
            <v>1000000246</v>
          </cell>
          <cell r="B280">
            <v>31.25</v>
          </cell>
        </row>
        <row r="281">
          <cell r="A281">
            <v>1000000811</v>
          </cell>
          <cell r="B281">
            <v>29.1666666666667</v>
          </cell>
        </row>
        <row r="282">
          <cell r="A282">
            <v>1000000239</v>
          </cell>
          <cell r="B282">
            <v>121.041666666667</v>
          </cell>
        </row>
        <row r="283">
          <cell r="A283">
            <v>1000000820</v>
          </cell>
          <cell r="B283">
            <v>119.65</v>
          </cell>
        </row>
        <row r="284">
          <cell r="A284">
            <v>1000000821</v>
          </cell>
          <cell r="B284">
            <v>1.4166666666666701</v>
          </cell>
        </row>
        <row r="285">
          <cell r="A285">
            <v>1000000249</v>
          </cell>
          <cell r="B285">
            <v>36.725000000000001</v>
          </cell>
        </row>
        <row r="286">
          <cell r="A286">
            <v>1000000238</v>
          </cell>
          <cell r="B286">
            <v>25.7083333333333</v>
          </cell>
        </row>
        <row r="287">
          <cell r="A287">
            <v>1000000250</v>
          </cell>
          <cell r="B287">
            <v>25</v>
          </cell>
        </row>
        <row r="288">
          <cell r="A288">
            <v>1000000339</v>
          </cell>
          <cell r="B288">
            <v>95.3333333333333</v>
          </cell>
        </row>
        <row r="289">
          <cell r="A289">
            <v>1000000815</v>
          </cell>
          <cell r="B289">
            <v>608.48333333333301</v>
          </cell>
        </row>
        <row r="290">
          <cell r="A290">
            <v>1000000340</v>
          </cell>
          <cell r="B290">
            <v>36.0833333333333</v>
          </cell>
        </row>
        <row r="291">
          <cell r="A291">
            <v>1000000817</v>
          </cell>
          <cell r="B291">
            <v>82.1666666666667</v>
          </cell>
        </row>
        <row r="292">
          <cell r="A292">
            <v>1000000818</v>
          </cell>
          <cell r="B292">
            <v>116.408333333333</v>
          </cell>
        </row>
        <row r="293">
          <cell r="A293">
            <v>1000000812</v>
          </cell>
          <cell r="B293">
            <v>1417.4166666666699</v>
          </cell>
        </row>
        <row r="294">
          <cell r="A294">
            <v>1000000819</v>
          </cell>
          <cell r="B294">
            <v>190.058333333333</v>
          </cell>
        </row>
        <row r="295">
          <cell r="A295">
            <v>1000003134</v>
          </cell>
          <cell r="B295">
            <v>46.875</v>
          </cell>
        </row>
        <row r="296">
          <cell r="A296">
            <v>1000003473</v>
          </cell>
          <cell r="B296">
            <v>50.4166666666667</v>
          </cell>
        </row>
        <row r="297">
          <cell r="A297">
            <v>1000003502</v>
          </cell>
          <cell r="B297">
            <v>242.308333333333</v>
          </cell>
        </row>
        <row r="298">
          <cell r="A298">
            <v>1000003566</v>
          </cell>
          <cell r="B298">
            <v>51</v>
          </cell>
        </row>
        <row r="299">
          <cell r="A299">
            <v>1000003732</v>
          </cell>
          <cell r="B299">
            <v>1091.25833333333</v>
          </cell>
        </row>
        <row r="300">
          <cell r="A300">
            <v>1000003794</v>
          </cell>
          <cell r="B300">
            <v>135</v>
          </cell>
        </row>
        <row r="301">
          <cell r="A301">
            <v>1000003817</v>
          </cell>
          <cell r="B301">
            <v>94.1666666666667</v>
          </cell>
        </row>
        <row r="302">
          <cell r="A302">
            <v>1000003953</v>
          </cell>
          <cell r="B302">
            <v>490.90833333333302</v>
          </cell>
        </row>
        <row r="303">
          <cell r="A303">
            <v>1000003996</v>
          </cell>
          <cell r="B303">
            <v>91.875</v>
          </cell>
        </row>
        <row r="304">
          <cell r="A304">
            <v>1000004000</v>
          </cell>
          <cell r="B304">
            <v>67.5</v>
          </cell>
        </row>
        <row r="305">
          <cell r="A305">
            <v>1000004008</v>
          </cell>
          <cell r="B305">
            <v>63.75</v>
          </cell>
        </row>
        <row r="306">
          <cell r="A306">
            <v>1000004074</v>
          </cell>
          <cell r="B306">
            <v>73.375</v>
          </cell>
        </row>
        <row r="307">
          <cell r="A307">
            <v>1000000119</v>
          </cell>
          <cell r="B307">
            <v>145.666666666667</v>
          </cell>
        </row>
        <row r="308">
          <cell r="A308">
            <v>1000000114</v>
          </cell>
          <cell r="B308">
            <v>311.5</v>
          </cell>
        </row>
        <row r="309">
          <cell r="A309">
            <v>1000003611</v>
          </cell>
          <cell r="B309">
            <v>5</v>
          </cell>
        </row>
        <row r="310">
          <cell r="A310">
            <v>1000003876</v>
          </cell>
          <cell r="B310">
            <v>177.916666666667</v>
          </cell>
        </row>
        <row r="311">
          <cell r="A311">
            <v>1000004016</v>
          </cell>
          <cell r="B311">
            <v>74.883333333333297</v>
          </cell>
        </row>
        <row r="312">
          <cell r="A312">
            <v>1000000751</v>
          </cell>
          <cell r="B312">
            <v>31.25</v>
          </cell>
        </row>
        <row r="313">
          <cell r="A313">
            <v>1000000752</v>
          </cell>
          <cell r="B313">
            <v>1056.81666666667</v>
          </cell>
        </row>
        <row r="314">
          <cell r="A314">
            <v>1000000761</v>
          </cell>
          <cell r="B314">
            <v>111.666666666667</v>
          </cell>
        </row>
        <row r="315">
          <cell r="A315">
            <v>1000000753</v>
          </cell>
          <cell r="B315">
            <v>23.3333333333333</v>
          </cell>
        </row>
        <row r="316">
          <cell r="A316">
            <v>1000000760</v>
          </cell>
          <cell r="B316">
            <v>30</v>
          </cell>
        </row>
        <row r="317">
          <cell r="A317">
            <v>1000000749</v>
          </cell>
          <cell r="B317">
            <v>10.8333333333333</v>
          </cell>
        </row>
        <row r="318">
          <cell r="A318">
            <v>1000000757</v>
          </cell>
          <cell r="B318">
            <v>200</v>
          </cell>
        </row>
        <row r="319">
          <cell r="A319">
            <v>1000001082</v>
          </cell>
          <cell r="B319">
            <v>12.5</v>
          </cell>
        </row>
        <row r="320">
          <cell r="A320">
            <v>1000001078</v>
          </cell>
          <cell r="B320">
            <v>14.8333333333333</v>
          </cell>
        </row>
        <row r="321">
          <cell r="A321">
            <v>1000000763</v>
          </cell>
          <cell r="B321">
            <v>551</v>
          </cell>
        </row>
        <row r="322">
          <cell r="A322">
            <v>1000001077</v>
          </cell>
          <cell r="B322">
            <v>25.8333333333333</v>
          </cell>
        </row>
        <row r="323">
          <cell r="A323">
            <v>1000001070</v>
          </cell>
          <cell r="B323">
            <v>31.25</v>
          </cell>
        </row>
        <row r="324">
          <cell r="A324">
            <v>1000002605</v>
          </cell>
          <cell r="B324">
            <v>60.4166666666667</v>
          </cell>
        </row>
        <row r="325">
          <cell r="A325">
            <v>1000002617</v>
          </cell>
          <cell r="B325">
            <v>46.9166666666667</v>
          </cell>
        </row>
        <row r="326">
          <cell r="A326">
            <v>1000002726</v>
          </cell>
          <cell r="B326">
            <v>28.3333333333333</v>
          </cell>
        </row>
        <row r="327">
          <cell r="A327">
            <v>1000002748</v>
          </cell>
          <cell r="B327">
            <v>154.583333333333</v>
          </cell>
        </row>
        <row r="328">
          <cell r="A328">
            <v>1000002811</v>
          </cell>
          <cell r="B328">
            <v>20.5</v>
          </cell>
        </row>
        <row r="329">
          <cell r="A329">
            <v>1000003477</v>
          </cell>
          <cell r="B329">
            <v>8.3333333333333304</v>
          </cell>
        </row>
        <row r="330">
          <cell r="A330">
            <v>1000003521</v>
          </cell>
          <cell r="B330">
            <v>48.75</v>
          </cell>
        </row>
        <row r="331">
          <cell r="A331">
            <v>1000003931</v>
          </cell>
          <cell r="B331">
            <v>15.8333333333333</v>
          </cell>
        </row>
        <row r="332">
          <cell r="A332">
            <v>1000004065</v>
          </cell>
          <cell r="B332">
            <v>40.2916666666667</v>
          </cell>
        </row>
        <row r="333">
          <cell r="A333">
            <v>1000004097</v>
          </cell>
          <cell r="B333">
            <v>79.6666666666667</v>
          </cell>
        </row>
        <row r="334">
          <cell r="A334">
            <v>1000000702</v>
          </cell>
          <cell r="B334">
            <v>197.833333333333</v>
          </cell>
        </row>
        <row r="335">
          <cell r="A335">
            <v>1000000694</v>
          </cell>
          <cell r="B335">
            <v>47.5416666666667</v>
          </cell>
        </row>
        <row r="336">
          <cell r="A336">
            <v>1000000697</v>
          </cell>
          <cell r="B336">
            <v>132.833333333333</v>
          </cell>
        </row>
        <row r="337">
          <cell r="A337">
            <v>1000000696</v>
          </cell>
          <cell r="B337">
            <v>23.3333333333333</v>
          </cell>
        </row>
        <row r="338">
          <cell r="A338">
            <v>1000000692</v>
          </cell>
          <cell r="B338">
            <v>90</v>
          </cell>
        </row>
        <row r="339">
          <cell r="A339">
            <v>1000000699</v>
          </cell>
          <cell r="B339">
            <v>148.333333333333</v>
          </cell>
        </row>
        <row r="340">
          <cell r="A340">
            <v>1000000683</v>
          </cell>
          <cell r="B340">
            <v>431.5</v>
          </cell>
        </row>
        <row r="341">
          <cell r="A341">
            <v>1000000679</v>
          </cell>
          <cell r="B341">
            <v>194.5</v>
          </cell>
        </row>
        <row r="342">
          <cell r="A342">
            <v>1000000695</v>
          </cell>
          <cell r="B342">
            <v>107</v>
          </cell>
        </row>
        <row r="343">
          <cell r="A343">
            <v>1000000701</v>
          </cell>
          <cell r="B343">
            <v>3764.3249999999998</v>
          </cell>
        </row>
        <row r="344">
          <cell r="A344">
            <v>1000001055</v>
          </cell>
          <cell r="B344">
            <v>66</v>
          </cell>
        </row>
        <row r="345">
          <cell r="A345">
            <v>1000001052</v>
          </cell>
          <cell r="B345">
            <v>768</v>
          </cell>
        </row>
        <row r="346">
          <cell r="A346">
            <v>1000001051</v>
          </cell>
          <cell r="B346">
            <v>277.5</v>
          </cell>
        </row>
        <row r="347">
          <cell r="A347">
            <v>1000001047</v>
          </cell>
          <cell r="B347">
            <v>96.5</v>
          </cell>
        </row>
        <row r="348">
          <cell r="A348">
            <v>1000002613</v>
          </cell>
          <cell r="B348">
            <v>27.3333333333333</v>
          </cell>
        </row>
        <row r="349">
          <cell r="A349">
            <v>1000002812</v>
          </cell>
          <cell r="B349">
            <v>52.8333333333333</v>
          </cell>
        </row>
        <row r="350">
          <cell r="A350">
            <v>1000002844</v>
          </cell>
          <cell r="B350">
            <v>1692.6666666666699</v>
          </cell>
        </row>
        <row r="351">
          <cell r="A351">
            <v>1000003136</v>
          </cell>
          <cell r="B351">
            <v>8.3333333333333304</v>
          </cell>
        </row>
        <row r="352">
          <cell r="A352">
            <v>1000003612</v>
          </cell>
          <cell r="B352">
            <v>327.16666666666703</v>
          </cell>
        </row>
        <row r="353">
          <cell r="A353">
            <v>1000003675</v>
          </cell>
          <cell r="B353">
            <v>22.5</v>
          </cell>
        </row>
        <row r="354">
          <cell r="A354">
            <v>1000004038</v>
          </cell>
          <cell r="B354">
            <v>42.1666666666667</v>
          </cell>
        </row>
        <row r="355">
          <cell r="A355">
            <v>1000000385</v>
          </cell>
          <cell r="B355">
            <v>27.6666666666667</v>
          </cell>
        </row>
        <row r="356">
          <cell r="A356">
            <v>1000000383</v>
          </cell>
          <cell r="B356">
            <v>247.333333333333</v>
          </cell>
        </row>
        <row r="357">
          <cell r="A357">
            <v>1000000380</v>
          </cell>
          <cell r="B357">
            <v>11.5</v>
          </cell>
        </row>
        <row r="358">
          <cell r="A358">
            <v>1000000384</v>
          </cell>
          <cell r="B358">
            <v>1096.5</v>
          </cell>
        </row>
        <row r="359">
          <cell r="A359">
            <v>1000003773</v>
          </cell>
          <cell r="B359">
            <v>124.333333333333</v>
          </cell>
        </row>
        <row r="360">
          <cell r="A360">
            <v>1000000577</v>
          </cell>
          <cell r="B360">
            <v>144.166666666667</v>
          </cell>
        </row>
        <row r="361">
          <cell r="A361">
            <v>1000000562</v>
          </cell>
          <cell r="B361">
            <v>31.5</v>
          </cell>
        </row>
        <row r="362">
          <cell r="A362">
            <v>1000000579</v>
          </cell>
          <cell r="B362">
            <v>6630.8166666666702</v>
          </cell>
        </row>
        <row r="363">
          <cell r="A363">
            <v>1000000558</v>
          </cell>
          <cell r="B363">
            <v>906.65833333333296</v>
          </cell>
        </row>
        <row r="364">
          <cell r="A364">
            <v>1000000569</v>
          </cell>
          <cell r="B364">
            <v>161.5</v>
          </cell>
        </row>
        <row r="365">
          <cell r="A365">
            <v>1000000578</v>
          </cell>
          <cell r="B365">
            <v>278.83333333333297</v>
          </cell>
        </row>
        <row r="366">
          <cell r="A366">
            <v>1000000561</v>
          </cell>
          <cell r="B366">
            <v>120.833333333333</v>
          </cell>
        </row>
        <row r="367">
          <cell r="A367">
            <v>1000000573</v>
          </cell>
          <cell r="B367">
            <v>4298.8333333333303</v>
          </cell>
        </row>
        <row r="368">
          <cell r="A368">
            <v>1000000983</v>
          </cell>
          <cell r="B368">
            <v>457.96666666666698</v>
          </cell>
        </row>
        <row r="369">
          <cell r="A369">
            <v>1000000969</v>
          </cell>
          <cell r="B369">
            <v>111</v>
          </cell>
        </row>
        <row r="370">
          <cell r="A370">
            <v>1000000976</v>
          </cell>
          <cell r="B370">
            <v>76.908333333333303</v>
          </cell>
        </row>
        <row r="371">
          <cell r="A371">
            <v>1000000972</v>
          </cell>
          <cell r="B371">
            <v>73.55</v>
          </cell>
        </row>
        <row r="372">
          <cell r="A372">
            <v>1000000970</v>
          </cell>
          <cell r="B372">
            <v>1996.56666666667</v>
          </cell>
        </row>
        <row r="373">
          <cell r="A373">
            <v>1000000975</v>
          </cell>
          <cell r="B373">
            <v>182.125</v>
          </cell>
        </row>
        <row r="374">
          <cell r="A374">
            <v>1000002823</v>
          </cell>
          <cell r="B374">
            <v>102.583333333333</v>
          </cell>
        </row>
        <row r="375">
          <cell r="A375">
            <v>1000003188</v>
          </cell>
          <cell r="B375">
            <v>10.5</v>
          </cell>
        </row>
        <row r="376">
          <cell r="A376">
            <v>1000003192</v>
          </cell>
          <cell r="B376">
            <v>152.583333333333</v>
          </cell>
        </row>
        <row r="377">
          <cell r="A377">
            <v>1000003203</v>
          </cell>
          <cell r="B377">
            <v>241.666666666667</v>
          </cell>
        </row>
        <row r="378">
          <cell r="A378">
            <v>1000003386</v>
          </cell>
          <cell r="B378">
            <v>87</v>
          </cell>
        </row>
        <row r="379">
          <cell r="A379">
            <v>1000003785</v>
          </cell>
          <cell r="B379">
            <v>1520.7750000000001</v>
          </cell>
        </row>
        <row r="380">
          <cell r="A380">
            <v>1000003822</v>
          </cell>
          <cell r="B380">
            <v>74</v>
          </cell>
        </row>
        <row r="381">
          <cell r="A381">
            <v>1000003908</v>
          </cell>
          <cell r="B381">
            <v>422.566666666667</v>
          </cell>
        </row>
        <row r="382">
          <cell r="A382">
            <v>1000003935</v>
          </cell>
          <cell r="B382">
            <v>174.1</v>
          </cell>
        </row>
        <row r="383">
          <cell r="A383">
            <v>1000004017</v>
          </cell>
          <cell r="B383">
            <v>22</v>
          </cell>
        </row>
        <row r="384">
          <cell r="A384">
            <v>1000004104</v>
          </cell>
          <cell r="B384">
            <v>23.3333333333333</v>
          </cell>
        </row>
        <row r="385">
          <cell r="A385">
            <v>1000000630</v>
          </cell>
          <cell r="B385">
            <v>29.1666666666667</v>
          </cell>
        </row>
        <row r="386">
          <cell r="A386">
            <v>1000000620</v>
          </cell>
          <cell r="B386">
            <v>351.66666666666703</v>
          </cell>
        </row>
        <row r="387">
          <cell r="A387">
            <v>1000000624</v>
          </cell>
          <cell r="B387">
            <v>627.42499999999995</v>
          </cell>
        </row>
        <row r="388">
          <cell r="A388">
            <v>1000000631</v>
          </cell>
          <cell r="B388">
            <v>866.5</v>
          </cell>
        </row>
        <row r="389">
          <cell r="A389">
            <v>1000000621</v>
          </cell>
          <cell r="B389">
            <v>3244.45</v>
          </cell>
        </row>
        <row r="390">
          <cell r="A390">
            <v>1000000629</v>
          </cell>
          <cell r="B390">
            <v>986</v>
          </cell>
        </row>
        <row r="391">
          <cell r="A391">
            <v>1000000627</v>
          </cell>
          <cell r="B391">
            <v>1326.9166666666699</v>
          </cell>
        </row>
        <row r="392">
          <cell r="A392">
            <v>1000001020</v>
          </cell>
          <cell r="B392">
            <v>15</v>
          </cell>
        </row>
        <row r="393">
          <cell r="A393">
            <v>1000001017</v>
          </cell>
          <cell r="B393">
            <v>1948.375</v>
          </cell>
        </row>
        <row r="394">
          <cell r="A394">
            <v>1000001016</v>
          </cell>
          <cell r="B394">
            <v>245</v>
          </cell>
        </row>
        <row r="395">
          <cell r="A395">
            <v>1000001014</v>
          </cell>
          <cell r="B395">
            <v>1606.24166666667</v>
          </cell>
        </row>
        <row r="396">
          <cell r="A396">
            <v>1000001025</v>
          </cell>
          <cell r="B396">
            <v>1225.8416666666701</v>
          </cell>
        </row>
        <row r="397">
          <cell r="A397">
            <v>1000001027</v>
          </cell>
          <cell r="B397">
            <v>134.166666666667</v>
          </cell>
        </row>
        <row r="398">
          <cell r="A398">
            <v>1000001018</v>
          </cell>
          <cell r="B398">
            <v>56.6666666666667</v>
          </cell>
        </row>
        <row r="399">
          <cell r="A399">
            <v>1000001024</v>
          </cell>
          <cell r="B399">
            <v>125.833333333333</v>
          </cell>
        </row>
        <row r="400">
          <cell r="A400">
            <v>1000003100</v>
          </cell>
          <cell r="B400">
            <v>792.88333333333298</v>
          </cell>
        </row>
        <row r="401">
          <cell r="A401">
            <v>1000003445</v>
          </cell>
          <cell r="B401">
            <v>549.16666666666697</v>
          </cell>
        </row>
        <row r="402">
          <cell r="A402">
            <v>1000003489</v>
          </cell>
          <cell r="B402">
            <v>129.166666666667</v>
          </cell>
        </row>
        <row r="403">
          <cell r="A403">
            <v>1000003698</v>
          </cell>
          <cell r="B403">
            <v>296.86666666666702</v>
          </cell>
        </row>
        <row r="404">
          <cell r="A404">
            <v>1000003762</v>
          </cell>
          <cell r="B404">
            <v>41.674999999999997</v>
          </cell>
        </row>
        <row r="405">
          <cell r="A405">
            <v>1000003924</v>
          </cell>
          <cell r="B405">
            <v>943.97500000000002</v>
          </cell>
        </row>
        <row r="406">
          <cell r="A406">
            <v>1000003997</v>
          </cell>
          <cell r="B406">
            <v>437.86666666666702</v>
          </cell>
        </row>
        <row r="407">
          <cell r="A407">
            <v>1000004020</v>
          </cell>
          <cell r="B407">
            <v>2003.45</v>
          </cell>
        </row>
        <row r="408">
          <cell r="A408">
            <v>1000000281</v>
          </cell>
          <cell r="B408">
            <v>3064.4166666666702</v>
          </cell>
        </row>
        <row r="409">
          <cell r="A409">
            <v>1000003989</v>
          </cell>
          <cell r="B409">
            <v>35.3333333333333</v>
          </cell>
        </row>
        <row r="410">
          <cell r="A410">
            <v>1000000283</v>
          </cell>
          <cell r="B410">
            <v>1038.2166666666701</v>
          </cell>
        </row>
        <row r="411">
          <cell r="A411">
            <v>1000000284</v>
          </cell>
          <cell r="B411">
            <v>118.75</v>
          </cell>
        </row>
        <row r="412">
          <cell r="A412">
            <v>1000000285</v>
          </cell>
          <cell r="B412">
            <v>151.583333333333</v>
          </cell>
        </row>
        <row r="413">
          <cell r="A413">
            <v>1000003402</v>
          </cell>
          <cell r="B413">
            <v>10.75</v>
          </cell>
        </row>
        <row r="414">
          <cell r="A414">
            <v>1000003805</v>
          </cell>
          <cell r="B414">
            <v>16.8333333333333</v>
          </cell>
        </row>
        <row r="415">
          <cell r="A415">
            <v>1000000286</v>
          </cell>
          <cell r="B415">
            <v>163.36666666666699</v>
          </cell>
        </row>
        <row r="416">
          <cell r="A416">
            <v>1000000287</v>
          </cell>
          <cell r="B416">
            <v>232.083333333333</v>
          </cell>
        </row>
        <row r="417">
          <cell r="A417">
            <v>1000003483</v>
          </cell>
          <cell r="B417">
            <v>21</v>
          </cell>
        </row>
        <row r="418">
          <cell r="A418">
            <v>1000002621</v>
          </cell>
          <cell r="B418">
            <v>155.433333333333</v>
          </cell>
        </row>
        <row r="419">
          <cell r="A419">
            <v>1000003615</v>
          </cell>
          <cell r="B419">
            <v>29.9166666666667</v>
          </cell>
        </row>
        <row r="420">
          <cell r="A420">
            <v>1000003799</v>
          </cell>
          <cell r="B420">
            <v>55.4166666666667</v>
          </cell>
        </row>
        <row r="421">
          <cell r="A421">
            <v>1000003846</v>
          </cell>
          <cell r="B421">
            <v>316.33333333333297</v>
          </cell>
        </row>
        <row r="422">
          <cell r="A422">
            <v>1000000288</v>
          </cell>
          <cell r="B422">
            <v>116.083333333333</v>
          </cell>
        </row>
        <row r="423">
          <cell r="A423">
            <v>1000000290</v>
          </cell>
          <cell r="B423">
            <v>5.0833333333333304</v>
          </cell>
        </row>
        <row r="424">
          <cell r="A424">
            <v>1000003815</v>
          </cell>
          <cell r="B424">
            <v>437.5</v>
          </cell>
        </row>
        <row r="425">
          <cell r="A425">
            <v>1000000291</v>
          </cell>
          <cell r="B425">
            <v>17.25</v>
          </cell>
        </row>
        <row r="426">
          <cell r="A426">
            <v>1000002763</v>
          </cell>
          <cell r="B426">
            <v>37.4166666666667</v>
          </cell>
        </row>
        <row r="427">
          <cell r="A427">
            <v>1000003975</v>
          </cell>
          <cell r="B427">
            <v>47.4166666666667</v>
          </cell>
        </row>
        <row r="428">
          <cell r="A428">
            <v>1000003642</v>
          </cell>
          <cell r="B428">
            <v>238.5</v>
          </cell>
        </row>
        <row r="429">
          <cell r="A429">
            <v>1000000292</v>
          </cell>
          <cell r="B429">
            <v>861.91666666666697</v>
          </cell>
        </row>
        <row r="430">
          <cell r="A430">
            <v>1000003294</v>
          </cell>
          <cell r="B430">
            <v>178</v>
          </cell>
        </row>
        <row r="431">
          <cell r="A431">
            <v>1000000294</v>
          </cell>
          <cell r="B431">
            <v>169.65833333333299</v>
          </cell>
        </row>
        <row r="432">
          <cell r="A432">
            <v>1000003802</v>
          </cell>
          <cell r="B432">
            <v>266.375</v>
          </cell>
        </row>
        <row r="433">
          <cell r="A433">
            <v>1000000295</v>
          </cell>
          <cell r="B433">
            <v>53.3333333333333</v>
          </cell>
        </row>
        <row r="434">
          <cell r="A434">
            <v>1000000297</v>
          </cell>
          <cell r="B434">
            <v>101.083333333333</v>
          </cell>
        </row>
        <row r="435">
          <cell r="A435">
            <v>1000000298</v>
          </cell>
          <cell r="B435">
            <v>1127.4166666666699</v>
          </cell>
        </row>
        <row r="436">
          <cell r="A436">
            <v>1000000299</v>
          </cell>
          <cell r="B436">
            <v>449.16666666666703</v>
          </cell>
        </row>
        <row r="437">
          <cell r="A437">
            <v>1000003162</v>
          </cell>
          <cell r="B437">
            <v>127</v>
          </cell>
        </row>
        <row r="438">
          <cell r="A438">
            <v>1000000301</v>
          </cell>
          <cell r="B438">
            <v>2090.0833333333298</v>
          </cell>
        </row>
        <row r="439">
          <cell r="A439">
            <v>1000000302</v>
          </cell>
          <cell r="B439">
            <v>444.5</v>
          </cell>
        </row>
        <row r="440">
          <cell r="A440">
            <v>1000000303</v>
          </cell>
          <cell r="B440">
            <v>8.1666666666666696</v>
          </cell>
        </row>
        <row r="441">
          <cell r="A441">
            <v>1000000305</v>
          </cell>
          <cell r="B441">
            <v>431</v>
          </cell>
        </row>
        <row r="442">
          <cell r="A442">
            <v>1000000182</v>
          </cell>
          <cell r="B442">
            <v>67.5</v>
          </cell>
        </row>
        <row r="443">
          <cell r="A443">
            <v>1000000184</v>
          </cell>
          <cell r="B443">
            <v>1195.1666666666699</v>
          </cell>
        </row>
        <row r="444">
          <cell r="A444">
            <v>1000000171</v>
          </cell>
          <cell r="B444">
            <v>96</v>
          </cell>
        </row>
        <row r="445">
          <cell r="A445">
            <v>1000000176</v>
          </cell>
          <cell r="B445">
            <v>13.6666666666667</v>
          </cell>
        </row>
        <row r="446">
          <cell r="A446">
            <v>1000000185</v>
          </cell>
          <cell r="B446">
            <v>27.5833333333333</v>
          </cell>
        </row>
        <row r="447">
          <cell r="A447">
            <v>1000000196</v>
          </cell>
          <cell r="B447">
            <v>23.1666666666667</v>
          </cell>
        </row>
        <row r="448">
          <cell r="A448">
            <v>1000000177</v>
          </cell>
          <cell r="B448">
            <v>390.53333333333302</v>
          </cell>
        </row>
        <row r="449">
          <cell r="A449">
            <v>1000000194</v>
          </cell>
          <cell r="B449">
            <v>312</v>
          </cell>
        </row>
        <row r="450">
          <cell r="A450">
            <v>1000000189</v>
          </cell>
          <cell r="B450">
            <v>20.8333333333333</v>
          </cell>
        </row>
        <row r="451">
          <cell r="A451">
            <v>1000000181</v>
          </cell>
          <cell r="B451">
            <v>69.3333333333333</v>
          </cell>
        </row>
        <row r="452">
          <cell r="A452">
            <v>1000000178</v>
          </cell>
          <cell r="B452">
            <v>16.9166666666667</v>
          </cell>
        </row>
        <row r="453">
          <cell r="A453">
            <v>1000000190</v>
          </cell>
          <cell r="B453">
            <v>110.5</v>
          </cell>
        </row>
        <row r="454">
          <cell r="A454">
            <v>1000000168</v>
          </cell>
          <cell r="B454">
            <v>182.833333333333</v>
          </cell>
        </row>
        <row r="455">
          <cell r="A455">
            <v>1000000172</v>
          </cell>
          <cell r="B455">
            <v>647.88333333333298</v>
          </cell>
        </row>
        <row r="456">
          <cell r="A456">
            <v>1000000195</v>
          </cell>
          <cell r="B456">
            <v>154.166666666667</v>
          </cell>
        </row>
        <row r="457">
          <cell r="A457">
            <v>1000000170</v>
          </cell>
          <cell r="B457">
            <v>224.5</v>
          </cell>
        </row>
        <row r="458">
          <cell r="A458">
            <v>1000000179</v>
          </cell>
          <cell r="B458">
            <v>157.25</v>
          </cell>
        </row>
        <row r="459">
          <cell r="A459">
            <v>1000000183</v>
          </cell>
          <cell r="B459">
            <v>7.1666666666666696</v>
          </cell>
        </row>
        <row r="460">
          <cell r="A460">
            <v>1000000174</v>
          </cell>
          <cell r="B460">
            <v>62.3333333333333</v>
          </cell>
        </row>
        <row r="461">
          <cell r="A461">
            <v>1000002402</v>
          </cell>
          <cell r="B461">
            <v>72.5</v>
          </cell>
        </row>
        <row r="462">
          <cell r="A462">
            <v>1000002740</v>
          </cell>
          <cell r="B462">
            <v>244.75</v>
          </cell>
        </row>
        <row r="463">
          <cell r="A463">
            <v>1000002820</v>
          </cell>
          <cell r="B463">
            <v>127.416666666667</v>
          </cell>
        </row>
        <row r="464">
          <cell r="A464">
            <v>1000003497</v>
          </cell>
          <cell r="B464">
            <v>19.3333333333333</v>
          </cell>
        </row>
        <row r="465">
          <cell r="A465">
            <v>1000003116</v>
          </cell>
          <cell r="B465">
            <v>13.8333333333333</v>
          </cell>
        </row>
        <row r="466">
          <cell r="A466">
            <v>1000003191</v>
          </cell>
          <cell r="B466">
            <v>14.9166666666667</v>
          </cell>
        </row>
        <row r="467">
          <cell r="A467">
            <v>1000003325</v>
          </cell>
          <cell r="B467">
            <v>126.666666666667</v>
          </cell>
        </row>
        <row r="468">
          <cell r="A468">
            <v>1000003407</v>
          </cell>
          <cell r="B468">
            <v>108.5</v>
          </cell>
        </row>
        <row r="469">
          <cell r="A469">
            <v>1000003598</v>
          </cell>
          <cell r="B469">
            <v>145.583333333333</v>
          </cell>
        </row>
        <row r="470">
          <cell r="A470">
            <v>1000003806</v>
          </cell>
          <cell r="B470">
            <v>41.8333333333333</v>
          </cell>
        </row>
        <row r="471">
          <cell r="A471">
            <v>1000003845</v>
          </cell>
          <cell r="B471">
            <v>133.416666666667</v>
          </cell>
        </row>
        <row r="472">
          <cell r="A472">
            <v>1000003852</v>
          </cell>
          <cell r="B472">
            <v>217.166666666667</v>
          </cell>
        </row>
        <row r="473">
          <cell r="A473">
            <v>1000003854</v>
          </cell>
          <cell r="B473">
            <v>203.083333333333</v>
          </cell>
        </row>
        <row r="474">
          <cell r="A474">
            <v>1000003855</v>
          </cell>
          <cell r="B474">
            <v>93.75</v>
          </cell>
        </row>
        <row r="475">
          <cell r="A475">
            <v>1000003890</v>
          </cell>
          <cell r="B475">
            <v>1171.4166666666699</v>
          </cell>
        </row>
        <row r="476">
          <cell r="A476">
            <v>1000003968</v>
          </cell>
          <cell r="B476">
            <v>82.75</v>
          </cell>
        </row>
        <row r="477">
          <cell r="A477">
            <v>1000003969</v>
          </cell>
          <cell r="B477">
            <v>66.75</v>
          </cell>
        </row>
        <row r="478">
          <cell r="A478">
            <v>1000003999</v>
          </cell>
          <cell r="B478">
            <v>26.5833333333333</v>
          </cell>
        </row>
        <row r="479">
          <cell r="A479">
            <v>1000004022</v>
          </cell>
          <cell r="B479">
            <v>10.4166666666667</v>
          </cell>
        </row>
        <row r="480">
          <cell r="A480">
            <v>1000004052</v>
          </cell>
          <cell r="B480">
            <v>61.0833333333333</v>
          </cell>
        </row>
        <row r="481">
          <cell r="A481">
            <v>1000004105</v>
          </cell>
          <cell r="B481">
            <v>24.3333333333333</v>
          </cell>
        </row>
        <row r="482">
          <cell r="A482">
            <v>1000000368</v>
          </cell>
          <cell r="B482">
            <v>250.666666666667</v>
          </cell>
        </row>
        <row r="483">
          <cell r="A483">
            <v>1000000370</v>
          </cell>
          <cell r="B483">
            <v>16.75</v>
          </cell>
        </row>
        <row r="484">
          <cell r="A484">
            <v>1000000364</v>
          </cell>
          <cell r="B484">
            <v>1.75</v>
          </cell>
        </row>
        <row r="485">
          <cell r="A485">
            <v>1000000337</v>
          </cell>
          <cell r="B485">
            <v>66.3333333333333</v>
          </cell>
        </row>
        <row r="486">
          <cell r="A486">
            <v>1000000360</v>
          </cell>
          <cell r="B486">
            <v>1560.2916666666699</v>
          </cell>
        </row>
        <row r="487">
          <cell r="A487">
            <v>1000000358</v>
          </cell>
          <cell r="B487">
            <v>151.71666666666701</v>
          </cell>
        </row>
        <row r="488">
          <cell r="A488">
            <v>1000000351</v>
          </cell>
          <cell r="B488">
            <v>19.9166666666667</v>
          </cell>
        </row>
        <row r="489">
          <cell r="A489">
            <v>1000000328</v>
          </cell>
          <cell r="B489">
            <v>19.6666666666667</v>
          </cell>
        </row>
        <row r="490">
          <cell r="A490">
            <v>1000000312</v>
          </cell>
          <cell r="B490">
            <v>40.75</v>
          </cell>
        </row>
        <row r="491">
          <cell r="A491">
            <v>1000000359</v>
          </cell>
          <cell r="B491">
            <v>83.4166666666667</v>
          </cell>
        </row>
        <row r="492">
          <cell r="A492">
            <v>1000000336</v>
          </cell>
          <cell r="B492">
            <v>9.3333333333333304</v>
          </cell>
        </row>
        <row r="493">
          <cell r="A493">
            <v>1000000326</v>
          </cell>
          <cell r="B493">
            <v>3.5</v>
          </cell>
        </row>
        <row r="494">
          <cell r="A494">
            <v>1000000311</v>
          </cell>
          <cell r="B494">
            <v>786.58333333333303</v>
          </cell>
        </row>
        <row r="495">
          <cell r="A495">
            <v>1000000313</v>
          </cell>
          <cell r="B495">
            <v>111</v>
          </cell>
        </row>
        <row r="496">
          <cell r="A496">
            <v>1000000355</v>
          </cell>
          <cell r="B496">
            <v>112.791666666667</v>
          </cell>
        </row>
        <row r="497">
          <cell r="A497">
            <v>1000000315</v>
          </cell>
          <cell r="B497">
            <v>34.5</v>
          </cell>
        </row>
        <row r="498">
          <cell r="A498">
            <v>1000000350</v>
          </cell>
          <cell r="B498">
            <v>1.6666666666666701</v>
          </cell>
        </row>
        <row r="499">
          <cell r="A499">
            <v>1000000346</v>
          </cell>
          <cell r="B499">
            <v>15.4166666666667</v>
          </cell>
        </row>
        <row r="500">
          <cell r="A500">
            <v>1000000365</v>
          </cell>
          <cell r="B500">
            <v>6.5833333333333304</v>
          </cell>
        </row>
        <row r="501">
          <cell r="A501">
            <v>1000000331</v>
          </cell>
          <cell r="B501">
            <v>22.3333333333333</v>
          </cell>
        </row>
        <row r="502">
          <cell r="A502">
            <v>1000000338</v>
          </cell>
          <cell r="B502">
            <v>555.875</v>
          </cell>
        </row>
        <row r="503">
          <cell r="A503">
            <v>1000000843</v>
          </cell>
          <cell r="B503">
            <v>1047.5250000000001</v>
          </cell>
        </row>
        <row r="504">
          <cell r="A504">
            <v>1000000333</v>
          </cell>
          <cell r="B504">
            <v>198.666666666667</v>
          </cell>
        </row>
        <row r="505">
          <cell r="A505">
            <v>1000000332</v>
          </cell>
          <cell r="B505">
            <v>132.25</v>
          </cell>
        </row>
        <row r="506">
          <cell r="A506">
            <v>1000000842</v>
          </cell>
          <cell r="B506">
            <v>131</v>
          </cell>
        </row>
        <row r="507">
          <cell r="A507">
            <v>1000002847</v>
          </cell>
          <cell r="B507">
            <v>1219.3916666666701</v>
          </cell>
        </row>
        <row r="508">
          <cell r="A508">
            <v>1000002990</v>
          </cell>
          <cell r="B508">
            <v>47.3333333333333</v>
          </cell>
        </row>
        <row r="509">
          <cell r="A509">
            <v>1000003250</v>
          </cell>
          <cell r="B509">
            <v>7.25</v>
          </cell>
        </row>
        <row r="510">
          <cell r="A510">
            <v>1000003515</v>
          </cell>
          <cell r="B510">
            <v>139.166666666667</v>
          </cell>
        </row>
        <row r="511">
          <cell r="A511">
            <v>1000003592</v>
          </cell>
          <cell r="B511">
            <v>11.7083333333333</v>
          </cell>
        </row>
        <row r="512">
          <cell r="A512">
            <v>1000003744</v>
          </cell>
          <cell r="B512">
            <v>50</v>
          </cell>
        </row>
        <row r="513">
          <cell r="A513">
            <v>1000003901</v>
          </cell>
          <cell r="B513">
            <v>55.9166666666667</v>
          </cell>
        </row>
        <row r="514">
          <cell r="A514">
            <v>1000003983</v>
          </cell>
          <cell r="B514">
            <v>185.625</v>
          </cell>
        </row>
        <row r="515">
          <cell r="A515">
            <v>1000004023</v>
          </cell>
          <cell r="B515">
            <v>26.75</v>
          </cell>
        </row>
        <row r="516">
          <cell r="A516">
            <v>1000004085</v>
          </cell>
          <cell r="B516">
            <v>93.3333333333333</v>
          </cell>
        </row>
        <row r="517">
          <cell r="A517">
            <v>1000000609</v>
          </cell>
          <cell r="B517">
            <v>6.6666666666666696</v>
          </cell>
        </row>
        <row r="518">
          <cell r="A518">
            <v>1000000607</v>
          </cell>
          <cell r="B518">
            <v>1141.6666666666699</v>
          </cell>
        </row>
        <row r="519">
          <cell r="A519">
            <v>1000000611</v>
          </cell>
          <cell r="B519">
            <v>258.33333333333297</v>
          </cell>
        </row>
        <row r="520">
          <cell r="A520">
            <v>1000000614</v>
          </cell>
          <cell r="B520">
            <v>1045</v>
          </cell>
        </row>
        <row r="521">
          <cell r="A521">
            <v>1000000605</v>
          </cell>
          <cell r="B521">
            <v>133.333333333333</v>
          </cell>
        </row>
        <row r="522">
          <cell r="A522">
            <v>1000000604</v>
          </cell>
          <cell r="B522">
            <v>140.833333333333</v>
          </cell>
        </row>
        <row r="523">
          <cell r="A523">
            <v>1000000613</v>
          </cell>
          <cell r="B523">
            <v>33.3333333333333</v>
          </cell>
        </row>
        <row r="524">
          <cell r="A524">
            <v>1000002753</v>
          </cell>
          <cell r="B524">
            <v>95</v>
          </cell>
        </row>
        <row r="525">
          <cell r="A525">
            <v>1000003246</v>
          </cell>
          <cell r="B525">
            <v>83.3333333333333</v>
          </cell>
        </row>
        <row r="526">
          <cell r="A526">
            <v>1000003274</v>
          </cell>
          <cell r="B526">
            <v>126.666666666667</v>
          </cell>
        </row>
        <row r="527">
          <cell r="A527">
            <v>1000003278</v>
          </cell>
          <cell r="B527">
            <v>282.5</v>
          </cell>
        </row>
        <row r="528">
          <cell r="A528">
            <v>1000003324</v>
          </cell>
          <cell r="B528">
            <v>276.66666666666703</v>
          </cell>
        </row>
        <row r="529">
          <cell r="A529">
            <v>1000003907</v>
          </cell>
          <cell r="B529">
            <v>625.83333333333303</v>
          </cell>
        </row>
        <row r="530">
          <cell r="A530">
            <v>1000004062</v>
          </cell>
          <cell r="B530">
            <v>33.3333333333333</v>
          </cell>
        </row>
        <row r="531">
          <cell r="A531">
            <v>1000004082</v>
          </cell>
          <cell r="B531">
            <v>66.6666666666667</v>
          </cell>
        </row>
        <row r="532">
          <cell r="A532">
            <v>1000004086</v>
          </cell>
          <cell r="B532">
            <v>53.3333333333333</v>
          </cell>
        </row>
        <row r="533">
          <cell r="A533">
            <v>1000000481</v>
          </cell>
          <cell r="B533">
            <v>2484.5833333333298</v>
          </cell>
        </row>
        <row r="534">
          <cell r="A534">
            <v>1000000512</v>
          </cell>
          <cell r="B534">
            <v>2214</v>
          </cell>
        </row>
        <row r="535">
          <cell r="A535">
            <v>1000000514</v>
          </cell>
          <cell r="B535">
            <v>1232</v>
          </cell>
        </row>
        <row r="536">
          <cell r="A536">
            <v>1000000515</v>
          </cell>
          <cell r="B536">
            <v>226.57499999999999</v>
          </cell>
        </row>
        <row r="537">
          <cell r="A537">
            <v>1000000519</v>
          </cell>
          <cell r="B537">
            <v>76.116666666666703</v>
          </cell>
        </row>
        <row r="538">
          <cell r="A538">
            <v>1000000527</v>
          </cell>
          <cell r="B538">
            <v>878.91666666666697</v>
          </cell>
        </row>
        <row r="539">
          <cell r="A539">
            <v>1000000495</v>
          </cell>
          <cell r="B539">
            <v>1033.6666666666699</v>
          </cell>
        </row>
        <row r="540">
          <cell r="A540">
            <v>1000000487</v>
          </cell>
          <cell r="B540">
            <v>6.5</v>
          </cell>
        </row>
        <row r="541">
          <cell r="A541">
            <v>1000000488</v>
          </cell>
          <cell r="B541">
            <v>781.25</v>
          </cell>
        </row>
        <row r="542">
          <cell r="A542">
            <v>1000000522</v>
          </cell>
          <cell r="B542">
            <v>1122.9166666666699</v>
          </cell>
        </row>
        <row r="543">
          <cell r="A543">
            <v>1000000491</v>
          </cell>
          <cell r="B543">
            <v>40</v>
          </cell>
        </row>
        <row r="544">
          <cell r="A544">
            <v>1000000499</v>
          </cell>
          <cell r="B544">
            <v>1565.74166666667</v>
          </cell>
        </row>
        <row r="545">
          <cell r="A545">
            <v>1000000490</v>
          </cell>
          <cell r="B545">
            <v>669.33333333333303</v>
          </cell>
        </row>
        <row r="546">
          <cell r="A546">
            <v>1000000523</v>
          </cell>
          <cell r="B546">
            <v>11</v>
          </cell>
        </row>
        <row r="547">
          <cell r="A547">
            <v>1000000497</v>
          </cell>
          <cell r="B547">
            <v>92.5833333333333</v>
          </cell>
        </row>
        <row r="548">
          <cell r="A548">
            <v>1000000511</v>
          </cell>
          <cell r="B548">
            <v>214</v>
          </cell>
        </row>
        <row r="549">
          <cell r="A549">
            <v>1000000493</v>
          </cell>
          <cell r="B549">
            <v>160</v>
          </cell>
        </row>
        <row r="550">
          <cell r="A550">
            <v>1000000492</v>
          </cell>
          <cell r="B550">
            <v>147.5</v>
          </cell>
        </row>
        <row r="551">
          <cell r="A551">
            <v>1000000501</v>
          </cell>
          <cell r="B551">
            <v>29.1666666666667</v>
          </cell>
        </row>
        <row r="552">
          <cell r="A552">
            <v>1000000513</v>
          </cell>
          <cell r="B552">
            <v>8.8333333333333304</v>
          </cell>
        </row>
        <row r="553">
          <cell r="A553">
            <v>1000000509</v>
          </cell>
          <cell r="B553">
            <v>1293.5999999999999</v>
          </cell>
        </row>
        <row r="554">
          <cell r="A554">
            <v>1000000486</v>
          </cell>
          <cell r="B554">
            <v>36.5833333333333</v>
          </cell>
        </row>
        <row r="555">
          <cell r="A555">
            <v>1000000503</v>
          </cell>
          <cell r="B555">
            <v>104.75</v>
          </cell>
        </row>
        <row r="556">
          <cell r="A556">
            <v>1000000498</v>
          </cell>
          <cell r="B556">
            <v>37.5</v>
          </cell>
        </row>
        <row r="557">
          <cell r="A557">
            <v>1000000496</v>
          </cell>
          <cell r="B557">
            <v>117.5</v>
          </cell>
        </row>
        <row r="558">
          <cell r="A558">
            <v>1000000508</v>
          </cell>
          <cell r="B558">
            <v>141.666666666667</v>
          </cell>
        </row>
        <row r="559">
          <cell r="A559">
            <v>1000000504</v>
          </cell>
          <cell r="B559">
            <v>236.5</v>
          </cell>
        </row>
        <row r="560">
          <cell r="A560">
            <v>1000000510</v>
          </cell>
          <cell r="B560">
            <v>1197.5</v>
          </cell>
        </row>
        <row r="561">
          <cell r="A561">
            <v>1000000528</v>
          </cell>
          <cell r="B561">
            <v>29.1666666666667</v>
          </cell>
        </row>
        <row r="562">
          <cell r="A562">
            <v>1000000485</v>
          </cell>
          <cell r="B562">
            <v>37.5</v>
          </cell>
        </row>
        <row r="563">
          <cell r="A563">
            <v>1000000494</v>
          </cell>
          <cell r="B563">
            <v>38.241666666666703</v>
          </cell>
        </row>
        <row r="564">
          <cell r="A564">
            <v>1000000506</v>
          </cell>
          <cell r="B564">
            <v>2056.4166666666702</v>
          </cell>
        </row>
        <row r="565">
          <cell r="A565">
            <v>1000000525</v>
          </cell>
          <cell r="B565">
            <v>11.6666666666667</v>
          </cell>
        </row>
        <row r="566">
          <cell r="A566">
            <v>1000000502</v>
          </cell>
          <cell r="B566">
            <v>46.5</v>
          </cell>
        </row>
        <row r="567">
          <cell r="A567">
            <v>1000000521</v>
          </cell>
          <cell r="B567">
            <v>965.35</v>
          </cell>
        </row>
        <row r="568">
          <cell r="A568">
            <v>1000000524</v>
          </cell>
          <cell r="B568">
            <v>879.83333333333303</v>
          </cell>
        </row>
        <row r="569">
          <cell r="A569">
            <v>1000000484</v>
          </cell>
          <cell r="B569">
            <v>371.16666666666703</v>
          </cell>
        </row>
        <row r="570">
          <cell r="A570">
            <v>1000000483</v>
          </cell>
          <cell r="B570">
            <v>811.25</v>
          </cell>
        </row>
        <row r="571">
          <cell r="A571">
            <v>1000000948</v>
          </cell>
          <cell r="B571">
            <v>1664.7833333333299</v>
          </cell>
        </row>
        <row r="572">
          <cell r="A572">
            <v>1000000942</v>
          </cell>
          <cell r="B572">
            <v>46.6666666666667</v>
          </cell>
        </row>
        <row r="573">
          <cell r="A573">
            <v>1000000935</v>
          </cell>
          <cell r="B573">
            <v>25</v>
          </cell>
        </row>
        <row r="574">
          <cell r="A574">
            <v>1000000953</v>
          </cell>
          <cell r="B574">
            <v>819.25</v>
          </cell>
        </row>
        <row r="575">
          <cell r="A575">
            <v>1000000943</v>
          </cell>
          <cell r="B575">
            <v>10.9166666666667</v>
          </cell>
        </row>
        <row r="576">
          <cell r="A576">
            <v>1000000946</v>
          </cell>
          <cell r="B576">
            <v>26.6666666666667</v>
          </cell>
        </row>
        <row r="577">
          <cell r="A577">
            <v>1000000940</v>
          </cell>
          <cell r="B577">
            <v>581</v>
          </cell>
        </row>
        <row r="578">
          <cell r="A578">
            <v>1000000936</v>
          </cell>
          <cell r="B578">
            <v>19.25</v>
          </cell>
        </row>
        <row r="579">
          <cell r="A579">
            <v>1000000945</v>
          </cell>
          <cell r="B579">
            <v>20.8333333333333</v>
          </cell>
        </row>
        <row r="580">
          <cell r="A580">
            <v>1000000962</v>
          </cell>
          <cell r="B580">
            <v>587.08333333333303</v>
          </cell>
        </row>
        <row r="581">
          <cell r="A581">
            <v>1000000944</v>
          </cell>
          <cell r="B581">
            <v>25.75</v>
          </cell>
        </row>
        <row r="582">
          <cell r="A582">
            <v>1000000950</v>
          </cell>
          <cell r="B582">
            <v>29.1666666666667</v>
          </cell>
        </row>
        <row r="583">
          <cell r="A583">
            <v>1000002627</v>
          </cell>
          <cell r="B583">
            <v>200.333333333333</v>
          </cell>
        </row>
        <row r="584">
          <cell r="A584">
            <v>1000002762</v>
          </cell>
          <cell r="B584">
            <v>12.5</v>
          </cell>
        </row>
        <row r="585">
          <cell r="A585">
            <v>1000002813</v>
          </cell>
          <cell r="B585">
            <v>215.74166666666699</v>
          </cell>
        </row>
        <row r="586">
          <cell r="A586">
            <v>1000002833</v>
          </cell>
          <cell r="B586">
            <v>582.91666666666697</v>
          </cell>
        </row>
        <row r="587">
          <cell r="A587">
            <v>1000003282</v>
          </cell>
          <cell r="B587">
            <v>111.666666666667</v>
          </cell>
        </row>
        <row r="588">
          <cell r="A588">
            <v>1000003292</v>
          </cell>
          <cell r="B588">
            <v>375.25</v>
          </cell>
        </row>
        <row r="589">
          <cell r="A589">
            <v>1000003344</v>
          </cell>
          <cell r="B589">
            <v>39.1666666666667</v>
          </cell>
        </row>
        <row r="590">
          <cell r="A590">
            <v>1000003366</v>
          </cell>
          <cell r="B590">
            <v>388.5</v>
          </cell>
        </row>
        <row r="591">
          <cell r="A591">
            <v>1000003393</v>
          </cell>
          <cell r="B591">
            <v>189.916666666667</v>
          </cell>
        </row>
        <row r="592">
          <cell r="A592">
            <v>1000003399</v>
          </cell>
          <cell r="B592">
            <v>258.5</v>
          </cell>
        </row>
        <row r="593">
          <cell r="A593">
            <v>1000003415</v>
          </cell>
          <cell r="B593">
            <v>103.333333333333</v>
          </cell>
        </row>
        <row r="594">
          <cell r="A594">
            <v>1000003454</v>
          </cell>
          <cell r="B594">
            <v>98.8333333333333</v>
          </cell>
        </row>
        <row r="595">
          <cell r="A595">
            <v>1000003586</v>
          </cell>
          <cell r="B595">
            <v>105</v>
          </cell>
        </row>
        <row r="596">
          <cell r="A596">
            <v>1000003597</v>
          </cell>
          <cell r="B596">
            <v>100.166666666667</v>
          </cell>
        </row>
        <row r="597">
          <cell r="A597">
            <v>1000003637</v>
          </cell>
          <cell r="B597">
            <v>35.5833333333333</v>
          </cell>
        </row>
        <row r="598">
          <cell r="A598">
            <v>1000003713</v>
          </cell>
          <cell r="B598">
            <v>75.8333333333333</v>
          </cell>
        </row>
        <row r="599">
          <cell r="A599">
            <v>1000003725</v>
          </cell>
          <cell r="B599">
            <v>851.58333333333303</v>
          </cell>
        </row>
        <row r="600">
          <cell r="A600">
            <v>1000003747</v>
          </cell>
          <cell r="B600">
            <v>55.3333333333333</v>
          </cell>
        </row>
        <row r="601">
          <cell r="A601">
            <v>1000003767</v>
          </cell>
          <cell r="B601">
            <v>43.3333333333333</v>
          </cell>
        </row>
        <row r="602">
          <cell r="A602">
            <v>1000003810</v>
          </cell>
          <cell r="B602">
            <v>23.5833333333333</v>
          </cell>
        </row>
        <row r="603">
          <cell r="A603">
            <v>1000003874</v>
          </cell>
          <cell r="B603">
            <v>24.1666666666667</v>
          </cell>
        </row>
        <row r="604">
          <cell r="A604">
            <v>1000003912</v>
          </cell>
          <cell r="B604">
            <v>56.5833333333333</v>
          </cell>
        </row>
        <row r="605">
          <cell r="A605">
            <v>1000003916</v>
          </cell>
          <cell r="B605">
            <v>173.166666666667</v>
          </cell>
        </row>
        <row r="606">
          <cell r="A606">
            <v>1000003927</v>
          </cell>
          <cell r="B606">
            <v>24.9166666666667</v>
          </cell>
        </row>
        <row r="607">
          <cell r="A607">
            <v>1000003962</v>
          </cell>
          <cell r="B607">
            <v>21.6666666666667</v>
          </cell>
        </row>
        <row r="608">
          <cell r="A608">
            <v>1000003984</v>
          </cell>
          <cell r="B608">
            <v>61.6666666666667</v>
          </cell>
        </row>
        <row r="609">
          <cell r="A609">
            <v>1000004046</v>
          </cell>
          <cell r="B609">
            <v>160.166666666667</v>
          </cell>
        </row>
        <row r="610">
          <cell r="A610">
            <v>1000004076</v>
          </cell>
          <cell r="B610">
            <v>21.375</v>
          </cell>
        </row>
        <row r="611">
          <cell r="A611">
            <v>1000004094</v>
          </cell>
          <cell r="B611">
            <v>31.6666666666667</v>
          </cell>
        </row>
        <row r="612">
          <cell r="A612">
            <v>1000000534</v>
          </cell>
          <cell r="B612">
            <v>368</v>
          </cell>
        </row>
        <row r="613">
          <cell r="A613">
            <v>1000000539</v>
          </cell>
          <cell r="B613">
            <v>1341.8333333333301</v>
          </cell>
        </row>
        <row r="614">
          <cell r="A614">
            <v>1000000557</v>
          </cell>
          <cell r="B614">
            <v>7.5</v>
          </cell>
        </row>
        <row r="615">
          <cell r="A615">
            <v>1000000529</v>
          </cell>
          <cell r="B615">
            <v>542.16666666666697</v>
          </cell>
        </row>
        <row r="616">
          <cell r="A616">
            <v>1000000544</v>
          </cell>
          <cell r="B616">
            <v>577.33333333333303</v>
          </cell>
        </row>
        <row r="617">
          <cell r="A617">
            <v>1000000541</v>
          </cell>
          <cell r="B617">
            <v>12.75</v>
          </cell>
        </row>
        <row r="618">
          <cell r="A618">
            <v>1000000530</v>
          </cell>
          <cell r="B618">
            <v>119.083333333333</v>
          </cell>
        </row>
        <row r="619">
          <cell r="A619">
            <v>1000000549</v>
          </cell>
          <cell r="B619">
            <v>14.9166666666667</v>
          </cell>
        </row>
        <row r="620">
          <cell r="A620">
            <v>1000000554</v>
          </cell>
          <cell r="B620">
            <v>260.91666666666703</v>
          </cell>
        </row>
        <row r="621">
          <cell r="A621">
            <v>1000000555</v>
          </cell>
          <cell r="B621">
            <v>62.75</v>
          </cell>
        </row>
        <row r="622">
          <cell r="A622">
            <v>1000000532</v>
          </cell>
          <cell r="B622">
            <v>149.25</v>
          </cell>
        </row>
        <row r="623">
          <cell r="A623">
            <v>1000000552</v>
          </cell>
          <cell r="B623">
            <v>241</v>
          </cell>
        </row>
        <row r="624">
          <cell r="A624">
            <v>1000000538</v>
          </cell>
          <cell r="B624">
            <v>17.1666666666667</v>
          </cell>
        </row>
        <row r="625">
          <cell r="A625">
            <v>1000000535</v>
          </cell>
          <cell r="B625">
            <v>56.8333333333333</v>
          </cell>
        </row>
        <row r="626">
          <cell r="A626">
            <v>1000000551</v>
          </cell>
          <cell r="B626">
            <v>39.25</v>
          </cell>
        </row>
        <row r="627">
          <cell r="A627">
            <v>1000000542</v>
          </cell>
          <cell r="B627">
            <v>156</v>
          </cell>
        </row>
        <row r="628">
          <cell r="A628">
            <v>1000000553</v>
          </cell>
          <cell r="B628">
            <v>188.583333333333</v>
          </cell>
        </row>
        <row r="629">
          <cell r="A629">
            <v>1000000548</v>
          </cell>
          <cell r="B629">
            <v>912.75</v>
          </cell>
        </row>
        <row r="630">
          <cell r="A630">
            <v>1000000546</v>
          </cell>
          <cell r="B630">
            <v>49.75</v>
          </cell>
        </row>
        <row r="631">
          <cell r="A631">
            <v>1000000958</v>
          </cell>
          <cell r="B631">
            <v>28.9166666666667</v>
          </cell>
        </row>
        <row r="632">
          <cell r="A632">
            <v>1000000963</v>
          </cell>
          <cell r="B632">
            <v>23.6666666666667</v>
          </cell>
        </row>
        <row r="633">
          <cell r="A633">
            <v>1000000965</v>
          </cell>
          <cell r="B633">
            <v>38.75</v>
          </cell>
        </row>
        <row r="634">
          <cell r="A634">
            <v>1000000959</v>
          </cell>
          <cell r="B634">
            <v>15.9166666666667</v>
          </cell>
        </row>
        <row r="635">
          <cell r="A635">
            <v>1000002405</v>
          </cell>
          <cell r="B635">
            <v>43</v>
          </cell>
        </row>
        <row r="636">
          <cell r="A636">
            <v>1000002607</v>
          </cell>
          <cell r="B636">
            <v>21.5833333333333</v>
          </cell>
        </row>
        <row r="637">
          <cell r="A637">
            <v>1000002723</v>
          </cell>
          <cell r="B637">
            <v>241.666666666667</v>
          </cell>
        </row>
        <row r="638">
          <cell r="A638">
            <v>1000003189</v>
          </cell>
          <cell r="B638">
            <v>69</v>
          </cell>
        </row>
        <row r="639">
          <cell r="A639">
            <v>1000003304</v>
          </cell>
          <cell r="B639">
            <v>34</v>
          </cell>
        </row>
        <row r="640">
          <cell r="A640">
            <v>1000003385</v>
          </cell>
          <cell r="B640">
            <v>107.75</v>
          </cell>
        </row>
        <row r="641">
          <cell r="A641">
            <v>1000003429</v>
          </cell>
          <cell r="B641">
            <v>10.8333333333333</v>
          </cell>
        </row>
        <row r="642">
          <cell r="A642">
            <v>1000003443</v>
          </cell>
          <cell r="B642">
            <v>111.416666666667</v>
          </cell>
        </row>
        <row r="643">
          <cell r="A643">
            <v>1000003745</v>
          </cell>
          <cell r="B643">
            <v>177.416666666667</v>
          </cell>
        </row>
        <row r="644">
          <cell r="A644">
            <v>1000003842</v>
          </cell>
          <cell r="B644">
            <v>186.816666666667</v>
          </cell>
        </row>
        <row r="645">
          <cell r="A645">
            <v>1000003843</v>
          </cell>
          <cell r="B645">
            <v>537.97500000000002</v>
          </cell>
        </row>
        <row r="646">
          <cell r="A646">
            <v>1000003896</v>
          </cell>
          <cell r="B646">
            <v>53.25</v>
          </cell>
        </row>
        <row r="647">
          <cell r="A647">
            <v>1000004047</v>
          </cell>
          <cell r="B647">
            <v>29.25</v>
          </cell>
        </row>
        <row r="648">
          <cell r="A648">
            <v>1000000043</v>
          </cell>
          <cell r="B648">
            <v>127.5</v>
          </cell>
        </row>
        <row r="649">
          <cell r="A649">
            <v>1000000036</v>
          </cell>
          <cell r="B649">
            <v>358.33333333333297</v>
          </cell>
        </row>
        <row r="650">
          <cell r="A650">
            <v>1000000040</v>
          </cell>
          <cell r="B650">
            <v>448.61666666666702</v>
          </cell>
        </row>
        <row r="651">
          <cell r="A651">
            <v>1000000059</v>
          </cell>
          <cell r="B651">
            <v>1.6666666666666701</v>
          </cell>
        </row>
        <row r="652">
          <cell r="A652">
            <v>1000000013</v>
          </cell>
          <cell r="B652">
            <v>108.625</v>
          </cell>
        </row>
        <row r="653">
          <cell r="A653">
            <v>1000000825</v>
          </cell>
          <cell r="B653">
            <v>93.5833333333333</v>
          </cell>
        </row>
        <row r="654">
          <cell r="A654">
            <v>1000000021</v>
          </cell>
          <cell r="B654">
            <v>31.6666666666667</v>
          </cell>
        </row>
        <row r="655">
          <cell r="A655">
            <v>1000000022</v>
          </cell>
          <cell r="B655">
            <v>1856.2083333333301</v>
          </cell>
        </row>
        <row r="656">
          <cell r="A656">
            <v>1000000041</v>
          </cell>
          <cell r="B656">
            <v>65</v>
          </cell>
        </row>
        <row r="657">
          <cell r="A657">
            <v>1000000048</v>
          </cell>
          <cell r="B657">
            <v>145.666666666667</v>
          </cell>
        </row>
        <row r="658">
          <cell r="A658">
            <v>1000000047</v>
          </cell>
          <cell r="B658">
            <v>35.0833333333333</v>
          </cell>
        </row>
        <row r="659">
          <cell r="A659">
            <v>1000000039</v>
          </cell>
          <cell r="B659">
            <v>73.3333333333333</v>
          </cell>
        </row>
        <row r="660">
          <cell r="A660">
            <v>1000000050</v>
          </cell>
          <cell r="B660">
            <v>405.07499999999999</v>
          </cell>
        </row>
        <row r="661">
          <cell r="A661">
            <v>1000000822</v>
          </cell>
          <cell r="B661">
            <v>5693.4750000000004</v>
          </cell>
        </row>
        <row r="662">
          <cell r="A662">
            <v>1000000044</v>
          </cell>
          <cell r="B662">
            <v>206.583333333333</v>
          </cell>
        </row>
        <row r="663">
          <cell r="A663">
            <v>1000000051</v>
          </cell>
          <cell r="B663">
            <v>100.666666666667</v>
          </cell>
        </row>
        <row r="664">
          <cell r="A664">
            <v>1000000027</v>
          </cell>
          <cell r="B664">
            <v>69.25</v>
          </cell>
        </row>
        <row r="665">
          <cell r="A665">
            <v>1000000827</v>
          </cell>
          <cell r="B665">
            <v>193.27500000000001</v>
          </cell>
        </row>
        <row r="666">
          <cell r="A666">
            <v>1000000064</v>
          </cell>
          <cell r="B666">
            <v>21.5</v>
          </cell>
        </row>
        <row r="667">
          <cell r="A667">
            <v>1000000028</v>
          </cell>
          <cell r="B667">
            <v>187.666666666667</v>
          </cell>
        </row>
        <row r="668">
          <cell r="A668">
            <v>1000000060</v>
          </cell>
          <cell r="B668">
            <v>72.3333333333333</v>
          </cell>
        </row>
        <row r="669">
          <cell r="A669">
            <v>1000000024</v>
          </cell>
          <cell r="B669">
            <v>1671.88333333333</v>
          </cell>
        </row>
        <row r="670">
          <cell r="A670">
            <v>1000000058</v>
          </cell>
          <cell r="B670">
            <v>30</v>
          </cell>
        </row>
        <row r="671">
          <cell r="A671">
            <v>1000000052</v>
          </cell>
          <cell r="B671">
            <v>176.07499999999999</v>
          </cell>
        </row>
        <row r="672">
          <cell r="A672">
            <v>1000000023</v>
          </cell>
          <cell r="B672">
            <v>3.3333333333333299</v>
          </cell>
        </row>
        <row r="673">
          <cell r="A673">
            <v>1000000829</v>
          </cell>
          <cell r="B673">
            <v>111.033333333333</v>
          </cell>
        </row>
        <row r="674">
          <cell r="A674">
            <v>1000000828</v>
          </cell>
          <cell r="B674">
            <v>30</v>
          </cell>
        </row>
        <row r="675">
          <cell r="A675">
            <v>1000000053</v>
          </cell>
          <cell r="B675">
            <v>14.1666666666667</v>
          </cell>
        </row>
        <row r="676">
          <cell r="A676">
            <v>1000000030</v>
          </cell>
          <cell r="B676">
            <v>6.25</v>
          </cell>
        </row>
        <row r="677">
          <cell r="A677">
            <v>1000002391</v>
          </cell>
          <cell r="B677">
            <v>71.125</v>
          </cell>
        </row>
        <row r="678">
          <cell r="A678">
            <v>1000000049</v>
          </cell>
          <cell r="B678">
            <v>6.6666666666666696</v>
          </cell>
        </row>
        <row r="679">
          <cell r="A679">
            <v>1000000042</v>
          </cell>
          <cell r="B679">
            <v>85.7</v>
          </cell>
        </row>
        <row r="680">
          <cell r="A680">
            <v>1000000038</v>
          </cell>
          <cell r="B680">
            <v>708.5</v>
          </cell>
        </row>
        <row r="681">
          <cell r="A681">
            <v>1000000062</v>
          </cell>
          <cell r="B681">
            <v>40.8333333333333</v>
          </cell>
        </row>
        <row r="682">
          <cell r="A682">
            <v>1000000823</v>
          </cell>
          <cell r="B682">
            <v>14.1666666666667</v>
          </cell>
        </row>
        <row r="683">
          <cell r="A683">
            <v>1000000056</v>
          </cell>
          <cell r="B683">
            <v>516.1</v>
          </cell>
        </row>
        <row r="684">
          <cell r="A684">
            <v>1000000033</v>
          </cell>
          <cell r="B684">
            <v>199.208333333333</v>
          </cell>
        </row>
        <row r="685">
          <cell r="A685">
            <v>1000000826</v>
          </cell>
          <cell r="B685">
            <v>42.766666666666701</v>
          </cell>
        </row>
        <row r="686">
          <cell r="A686">
            <v>1000000029</v>
          </cell>
          <cell r="B686">
            <v>38.0833333333333</v>
          </cell>
        </row>
        <row r="687">
          <cell r="A687">
            <v>1000002744</v>
          </cell>
          <cell r="B687">
            <v>35</v>
          </cell>
        </row>
        <row r="688">
          <cell r="A688">
            <v>1000002845</v>
          </cell>
          <cell r="B688">
            <v>46.6666666666667</v>
          </cell>
        </row>
        <row r="689">
          <cell r="A689">
            <v>1000002891</v>
          </cell>
          <cell r="B689">
            <v>160.28333333333299</v>
          </cell>
        </row>
        <row r="690">
          <cell r="A690">
            <v>1000003249</v>
          </cell>
          <cell r="B690">
            <v>176</v>
          </cell>
        </row>
        <row r="691">
          <cell r="A691">
            <v>1000003783</v>
          </cell>
          <cell r="B691">
            <v>7.9166666666666696</v>
          </cell>
        </row>
        <row r="692">
          <cell r="A692">
            <v>1000003963</v>
          </cell>
          <cell r="B692">
            <v>37.0833333333333</v>
          </cell>
        </row>
        <row r="693">
          <cell r="A693">
            <v>1000003964</v>
          </cell>
          <cell r="B693">
            <v>59.0833333333333</v>
          </cell>
        </row>
        <row r="694">
          <cell r="A694">
            <v>1000004087</v>
          </cell>
          <cell r="B694">
            <v>3.3333333333333299</v>
          </cell>
        </row>
        <row r="695">
          <cell r="A695">
            <v>1000000790</v>
          </cell>
          <cell r="B695">
            <v>1164.50833333333</v>
          </cell>
        </row>
        <row r="696">
          <cell r="A696">
            <v>1000000804</v>
          </cell>
          <cell r="B696">
            <v>23.75</v>
          </cell>
        </row>
        <row r="697">
          <cell r="A697">
            <v>1000000794</v>
          </cell>
          <cell r="B697">
            <v>49.358333333333299</v>
          </cell>
        </row>
        <row r="698">
          <cell r="A698">
            <v>1000000806</v>
          </cell>
          <cell r="B698">
            <v>296.04166666666703</v>
          </cell>
        </row>
        <row r="699">
          <cell r="A699">
            <v>1000000789</v>
          </cell>
          <cell r="B699">
            <v>61</v>
          </cell>
        </row>
        <row r="700">
          <cell r="A700">
            <v>1000000805</v>
          </cell>
          <cell r="B700">
            <v>155.9</v>
          </cell>
        </row>
        <row r="701">
          <cell r="A701">
            <v>1000000808</v>
          </cell>
          <cell r="B701">
            <v>283.691666666667</v>
          </cell>
        </row>
        <row r="702">
          <cell r="A702">
            <v>1000000798</v>
          </cell>
          <cell r="B702">
            <v>62.6666666666667</v>
          </cell>
        </row>
        <row r="703">
          <cell r="A703">
            <v>1000000797</v>
          </cell>
          <cell r="B703">
            <v>250.875</v>
          </cell>
        </row>
        <row r="704">
          <cell r="A704">
            <v>1000000803</v>
          </cell>
          <cell r="B704">
            <v>75.174999999999997</v>
          </cell>
        </row>
        <row r="705">
          <cell r="A705">
            <v>1000000802</v>
          </cell>
          <cell r="B705">
            <v>42.866666666666703</v>
          </cell>
        </row>
        <row r="706">
          <cell r="A706">
            <v>1000000801</v>
          </cell>
          <cell r="B706">
            <v>103.7</v>
          </cell>
        </row>
        <row r="707">
          <cell r="A707">
            <v>1000000809</v>
          </cell>
          <cell r="B707">
            <v>316.32499999999999</v>
          </cell>
        </row>
        <row r="708">
          <cell r="A708">
            <v>1000000807</v>
          </cell>
          <cell r="B708">
            <v>93.3333333333333</v>
          </cell>
        </row>
        <row r="709">
          <cell r="A709">
            <v>1000000799</v>
          </cell>
          <cell r="B709">
            <v>36.75</v>
          </cell>
        </row>
        <row r="710">
          <cell r="A710">
            <v>1000000792</v>
          </cell>
          <cell r="B710">
            <v>10.8333333333333</v>
          </cell>
        </row>
        <row r="711">
          <cell r="A711">
            <v>1000000800</v>
          </cell>
          <cell r="B711">
            <v>73.4166666666667</v>
          </cell>
        </row>
        <row r="712">
          <cell r="A712">
            <v>1000001102</v>
          </cell>
          <cell r="B712">
            <v>149.75</v>
          </cell>
        </row>
        <row r="713">
          <cell r="A713">
            <v>1000001099</v>
          </cell>
          <cell r="B713">
            <v>154.57499999999999</v>
          </cell>
        </row>
        <row r="714">
          <cell r="A714">
            <v>1000001103</v>
          </cell>
          <cell r="B714">
            <v>80.6666666666667</v>
          </cell>
        </row>
        <row r="715">
          <cell r="A715">
            <v>1000001109</v>
          </cell>
          <cell r="B715">
            <v>99.883333333333297</v>
          </cell>
        </row>
        <row r="716">
          <cell r="A716">
            <v>1000001105</v>
          </cell>
          <cell r="B716">
            <v>62.5</v>
          </cell>
        </row>
        <row r="717">
          <cell r="A717">
            <v>1000001107</v>
          </cell>
          <cell r="B717">
            <v>1273.4166666666699</v>
          </cell>
        </row>
        <row r="718">
          <cell r="A718">
            <v>1000001108</v>
          </cell>
          <cell r="B718">
            <v>21.6666666666667</v>
          </cell>
        </row>
        <row r="719">
          <cell r="A719">
            <v>1000001098</v>
          </cell>
          <cell r="B719">
            <v>56.0833333333333</v>
          </cell>
        </row>
        <row r="720">
          <cell r="A720">
            <v>1000002595</v>
          </cell>
          <cell r="B720">
            <v>42.5</v>
          </cell>
        </row>
        <row r="721">
          <cell r="A721">
            <v>1000003490</v>
          </cell>
          <cell r="B721">
            <v>9.1666666666666696</v>
          </cell>
        </row>
        <row r="722">
          <cell r="A722">
            <v>1000003496</v>
          </cell>
          <cell r="B722">
            <v>91.016666666666694</v>
          </cell>
        </row>
        <row r="723">
          <cell r="A723">
            <v>1000003595</v>
          </cell>
          <cell r="B723">
            <v>32.5833333333333</v>
          </cell>
        </row>
        <row r="724">
          <cell r="A724">
            <v>1000003692</v>
          </cell>
          <cell r="B724">
            <v>23.6666666666667</v>
          </cell>
        </row>
        <row r="725">
          <cell r="A725">
            <v>1000003934</v>
          </cell>
          <cell r="B725">
            <v>19.883333333333301</v>
          </cell>
        </row>
        <row r="726">
          <cell r="A726">
            <v>1000004039</v>
          </cell>
          <cell r="B726">
            <v>51.0416666666667</v>
          </cell>
        </row>
        <row r="727">
          <cell r="A727">
            <v>1000004042</v>
          </cell>
          <cell r="B727">
            <v>36.9583333333333</v>
          </cell>
        </row>
        <row r="728">
          <cell r="A728">
            <v>1000000199</v>
          </cell>
          <cell r="B728">
            <v>133.583333333333</v>
          </cell>
        </row>
        <row r="729">
          <cell r="A729">
            <v>1000000213</v>
          </cell>
          <cell r="B729">
            <v>36.3333333333333</v>
          </cell>
        </row>
        <row r="730">
          <cell r="A730">
            <v>1000000222</v>
          </cell>
          <cell r="B730">
            <v>20.0833333333333</v>
          </cell>
        </row>
        <row r="731">
          <cell r="A731">
            <v>1000000202</v>
          </cell>
          <cell r="B731">
            <v>125.75</v>
          </cell>
        </row>
        <row r="732">
          <cell r="A732">
            <v>1000000224</v>
          </cell>
          <cell r="B732">
            <v>20.8333333333333</v>
          </cell>
        </row>
        <row r="733">
          <cell r="A733">
            <v>1000000216</v>
          </cell>
          <cell r="B733">
            <v>304.33333333333297</v>
          </cell>
        </row>
        <row r="734">
          <cell r="A734">
            <v>1000000231</v>
          </cell>
          <cell r="B734">
            <v>75</v>
          </cell>
        </row>
        <row r="735">
          <cell r="A735">
            <v>1000000208</v>
          </cell>
          <cell r="B735">
            <v>179</v>
          </cell>
        </row>
        <row r="736">
          <cell r="A736">
            <v>1000000210</v>
          </cell>
          <cell r="B736">
            <v>85.9166666666667</v>
          </cell>
        </row>
        <row r="737">
          <cell r="A737">
            <v>1000000219</v>
          </cell>
          <cell r="B737">
            <v>130.833333333333</v>
          </cell>
        </row>
        <row r="738">
          <cell r="A738">
            <v>1000000207</v>
          </cell>
          <cell r="B738">
            <v>186.083333333333</v>
          </cell>
        </row>
        <row r="739">
          <cell r="A739">
            <v>1000000209</v>
          </cell>
          <cell r="B739">
            <v>29.6666666666667</v>
          </cell>
        </row>
        <row r="740">
          <cell r="A740">
            <v>1000000198</v>
          </cell>
          <cell r="B740">
            <v>558.41666666666697</v>
          </cell>
        </row>
        <row r="741">
          <cell r="A741">
            <v>1000000221</v>
          </cell>
          <cell r="B741">
            <v>295.83333333333297</v>
          </cell>
        </row>
        <row r="742">
          <cell r="A742">
            <v>1000000218</v>
          </cell>
          <cell r="B742">
            <v>174.166666666667</v>
          </cell>
        </row>
        <row r="743">
          <cell r="A743">
            <v>1000000200</v>
          </cell>
          <cell r="B743">
            <v>61.5833333333333</v>
          </cell>
        </row>
        <row r="744">
          <cell r="A744">
            <v>1000000204</v>
          </cell>
          <cell r="B744">
            <v>292.70833333333297</v>
          </cell>
        </row>
        <row r="745">
          <cell r="A745">
            <v>1000000211</v>
          </cell>
          <cell r="B745">
            <v>154.083333333333</v>
          </cell>
        </row>
        <row r="746">
          <cell r="A746">
            <v>1000000223</v>
          </cell>
          <cell r="B746">
            <v>219</v>
          </cell>
        </row>
        <row r="747">
          <cell r="A747">
            <v>1000000206</v>
          </cell>
          <cell r="B747">
            <v>162.5</v>
          </cell>
        </row>
        <row r="748">
          <cell r="A748">
            <v>1000000229</v>
          </cell>
          <cell r="B748">
            <v>18.3333333333333</v>
          </cell>
        </row>
        <row r="749">
          <cell r="A749">
            <v>1000000214</v>
          </cell>
          <cell r="B749">
            <v>26.25</v>
          </cell>
        </row>
        <row r="750">
          <cell r="A750">
            <v>1000000205</v>
          </cell>
          <cell r="B750">
            <v>7.0833333333333304</v>
          </cell>
        </row>
        <row r="751">
          <cell r="A751">
            <v>1000000215</v>
          </cell>
          <cell r="B751">
            <v>95.5</v>
          </cell>
        </row>
        <row r="752">
          <cell r="A752">
            <v>1000000226</v>
          </cell>
          <cell r="B752">
            <v>127.366666666667</v>
          </cell>
        </row>
        <row r="753">
          <cell r="A753">
            <v>1000000225</v>
          </cell>
          <cell r="B753">
            <v>24.0833333333333</v>
          </cell>
        </row>
        <row r="754">
          <cell r="A754">
            <v>1000002612</v>
          </cell>
          <cell r="B754">
            <v>141.5</v>
          </cell>
        </row>
        <row r="755">
          <cell r="A755">
            <v>1000002751</v>
          </cell>
          <cell r="B755">
            <v>73.3333333333333</v>
          </cell>
        </row>
        <row r="756">
          <cell r="A756">
            <v>1000002837</v>
          </cell>
          <cell r="B756">
            <v>151.333333333333</v>
          </cell>
        </row>
        <row r="757">
          <cell r="A757">
            <v>1000002903</v>
          </cell>
          <cell r="B757">
            <v>167.25</v>
          </cell>
        </row>
        <row r="758">
          <cell r="A758">
            <v>1000003120</v>
          </cell>
          <cell r="B758">
            <v>91.8333333333333</v>
          </cell>
        </row>
        <row r="759">
          <cell r="A759">
            <v>1000003125</v>
          </cell>
          <cell r="B759">
            <v>12.5</v>
          </cell>
        </row>
        <row r="760">
          <cell r="A760">
            <v>1000003768</v>
          </cell>
          <cell r="B760">
            <v>52</v>
          </cell>
        </row>
        <row r="761">
          <cell r="A761">
            <v>1000003803</v>
          </cell>
          <cell r="B761">
            <v>68.75</v>
          </cell>
        </row>
        <row r="762">
          <cell r="A762">
            <v>1000004026</v>
          </cell>
          <cell r="B762">
            <v>15.75</v>
          </cell>
        </row>
        <row r="763">
          <cell r="A763">
            <v>1000000137</v>
          </cell>
          <cell r="B763">
            <v>24.3333333333333</v>
          </cell>
        </row>
        <row r="764">
          <cell r="A764">
            <v>1000000144</v>
          </cell>
          <cell r="B764">
            <v>225.59166666666701</v>
          </cell>
        </row>
        <row r="765">
          <cell r="A765">
            <v>1000000129</v>
          </cell>
          <cell r="B765">
            <v>1642.6583333333299</v>
          </cell>
        </row>
        <row r="766">
          <cell r="A766">
            <v>1000000158</v>
          </cell>
          <cell r="B766">
            <v>291.375</v>
          </cell>
        </row>
        <row r="767">
          <cell r="A767">
            <v>1000000120</v>
          </cell>
          <cell r="B767">
            <v>222.25</v>
          </cell>
        </row>
        <row r="768">
          <cell r="A768">
            <v>1000000126</v>
          </cell>
          <cell r="B768">
            <v>196.25</v>
          </cell>
        </row>
        <row r="769">
          <cell r="A769">
            <v>1000000155</v>
          </cell>
          <cell r="B769">
            <v>449.20833333333297</v>
          </cell>
        </row>
        <row r="770">
          <cell r="A770">
            <v>1000000150</v>
          </cell>
          <cell r="B770">
            <v>231.541666666667</v>
          </cell>
        </row>
        <row r="771">
          <cell r="A771">
            <v>1000000154</v>
          </cell>
          <cell r="B771">
            <v>28.375</v>
          </cell>
        </row>
        <row r="772">
          <cell r="A772">
            <v>1000000147</v>
          </cell>
          <cell r="B772">
            <v>4.1666666666666696</v>
          </cell>
        </row>
        <row r="773">
          <cell r="A773">
            <v>1000000125</v>
          </cell>
          <cell r="B773">
            <v>8.1666666666666696</v>
          </cell>
        </row>
        <row r="774">
          <cell r="A774">
            <v>1000000142</v>
          </cell>
          <cell r="B774">
            <v>35.6666666666667</v>
          </cell>
        </row>
        <row r="775">
          <cell r="A775">
            <v>1000000157</v>
          </cell>
          <cell r="B775">
            <v>1635.7</v>
          </cell>
        </row>
        <row r="776">
          <cell r="A776">
            <v>1000000138</v>
          </cell>
          <cell r="B776">
            <v>327.63333333333298</v>
          </cell>
        </row>
        <row r="777">
          <cell r="A777">
            <v>1000000148</v>
          </cell>
          <cell r="B777">
            <v>99.3333333333333</v>
          </cell>
        </row>
        <row r="778">
          <cell r="A778">
            <v>1000000152</v>
          </cell>
          <cell r="B778">
            <v>186.916666666667</v>
          </cell>
        </row>
        <row r="779">
          <cell r="A779">
            <v>1000000145</v>
          </cell>
          <cell r="B779">
            <v>83.4166666666667</v>
          </cell>
        </row>
        <row r="780">
          <cell r="A780">
            <v>1000000162</v>
          </cell>
          <cell r="B780">
            <v>28.55</v>
          </cell>
        </row>
        <row r="781">
          <cell r="A781">
            <v>1000000122</v>
          </cell>
          <cell r="B781">
            <v>17.0833333333333</v>
          </cell>
        </row>
        <row r="782">
          <cell r="A782">
            <v>1000000136</v>
          </cell>
          <cell r="B782">
            <v>34</v>
          </cell>
        </row>
        <row r="783">
          <cell r="A783">
            <v>1000000160</v>
          </cell>
          <cell r="B783">
            <v>28.7916666666667</v>
          </cell>
        </row>
        <row r="784">
          <cell r="A784">
            <v>1000000141</v>
          </cell>
          <cell r="B784">
            <v>36</v>
          </cell>
        </row>
        <row r="785">
          <cell r="A785">
            <v>1000000143</v>
          </cell>
          <cell r="B785">
            <v>44.1666666666667</v>
          </cell>
        </row>
        <row r="786">
          <cell r="A786">
            <v>1000000153</v>
          </cell>
          <cell r="B786">
            <v>189.72499999999999</v>
          </cell>
        </row>
        <row r="787">
          <cell r="A787">
            <v>1000000836</v>
          </cell>
          <cell r="B787">
            <v>135.24166666666699</v>
          </cell>
        </row>
        <row r="788">
          <cell r="A788">
            <v>1000000159</v>
          </cell>
          <cell r="B788">
            <v>17.966666666666701</v>
          </cell>
        </row>
        <row r="789">
          <cell r="A789">
            <v>1000000133</v>
          </cell>
          <cell r="B789">
            <v>77.4583333333333</v>
          </cell>
        </row>
        <row r="790">
          <cell r="A790">
            <v>1000000135</v>
          </cell>
          <cell r="B790">
            <v>24.125</v>
          </cell>
        </row>
        <row r="791">
          <cell r="A791">
            <v>1000002609</v>
          </cell>
          <cell r="B791">
            <v>19.625</v>
          </cell>
        </row>
        <row r="792">
          <cell r="A792">
            <v>1000003168</v>
          </cell>
          <cell r="B792">
            <v>59.5</v>
          </cell>
        </row>
        <row r="793">
          <cell r="A793">
            <v>1000003182</v>
          </cell>
          <cell r="B793">
            <v>10.8333333333333</v>
          </cell>
        </row>
        <row r="794">
          <cell r="A794">
            <v>1000003184</v>
          </cell>
          <cell r="B794">
            <v>5</v>
          </cell>
        </row>
        <row r="795">
          <cell r="A795">
            <v>1000003208</v>
          </cell>
          <cell r="B795">
            <v>464.20833333333297</v>
          </cell>
        </row>
        <row r="796">
          <cell r="A796">
            <v>1000003382</v>
          </cell>
          <cell r="B796">
            <v>65.1666666666667</v>
          </cell>
        </row>
        <row r="797">
          <cell r="A797">
            <v>1000003501</v>
          </cell>
          <cell r="B797">
            <v>27.4166666666667</v>
          </cell>
        </row>
        <row r="798">
          <cell r="A798">
            <v>1000003751</v>
          </cell>
          <cell r="B798">
            <v>36.3333333333333</v>
          </cell>
        </row>
        <row r="799">
          <cell r="A799">
            <v>1000003795</v>
          </cell>
          <cell r="B799">
            <v>48.816666666666698</v>
          </cell>
        </row>
        <row r="800">
          <cell r="A800">
            <v>1000003796</v>
          </cell>
          <cell r="B800">
            <v>2.75</v>
          </cell>
        </row>
        <row r="801">
          <cell r="A801">
            <v>1000003807</v>
          </cell>
          <cell r="B801">
            <v>51.6666666666667</v>
          </cell>
        </row>
        <row r="802">
          <cell r="A802">
            <v>1000003881</v>
          </cell>
          <cell r="B802">
            <v>138.67500000000001</v>
          </cell>
        </row>
        <row r="803">
          <cell r="A803">
            <v>1000003904</v>
          </cell>
          <cell r="B803">
            <v>22.875</v>
          </cell>
        </row>
        <row r="804">
          <cell r="A804">
            <v>1000003920</v>
          </cell>
          <cell r="B804">
            <v>60.4166666666667</v>
          </cell>
        </row>
        <row r="805">
          <cell r="A805">
            <v>1000003936</v>
          </cell>
          <cell r="B805">
            <v>5.4166666666666696</v>
          </cell>
        </row>
        <row r="806">
          <cell r="A806">
            <v>1000004067</v>
          </cell>
          <cell r="B806">
            <v>34.1666666666667</v>
          </cell>
        </row>
        <row r="807">
          <cell r="A807">
            <v>1000000377</v>
          </cell>
          <cell r="B807">
            <v>56.933333333333302</v>
          </cell>
        </row>
        <row r="808">
          <cell r="A808">
            <v>1000000130</v>
          </cell>
          <cell r="B808">
            <v>512.95833333333303</v>
          </cell>
        </row>
        <row r="809">
          <cell r="A809">
            <v>1000000375</v>
          </cell>
          <cell r="B809">
            <v>134.333333333333</v>
          </cell>
        </row>
        <row r="810">
          <cell r="A810">
            <v>1000000373</v>
          </cell>
          <cell r="B810">
            <v>766.8</v>
          </cell>
        </row>
        <row r="811">
          <cell r="A811">
            <v>1000000372</v>
          </cell>
          <cell r="B811">
            <v>87.625</v>
          </cell>
        </row>
        <row r="812">
          <cell r="A812">
            <v>1000001111</v>
          </cell>
          <cell r="B812">
            <v>9.5833333333333304</v>
          </cell>
        </row>
        <row r="813">
          <cell r="A813">
            <v>1000003211</v>
          </cell>
          <cell r="B813">
            <v>16.0833333333333</v>
          </cell>
        </row>
        <row r="814">
          <cell r="A814">
            <v>1000003863</v>
          </cell>
          <cell r="B814">
            <v>18.3333333333333</v>
          </cell>
        </row>
        <row r="815">
          <cell r="A815">
            <v>1000003895</v>
          </cell>
          <cell r="B815">
            <v>0.83333333333333304</v>
          </cell>
        </row>
        <row r="816">
          <cell r="A816">
            <v>1000000437</v>
          </cell>
          <cell r="B816">
            <v>11.8333333333333</v>
          </cell>
        </row>
        <row r="817">
          <cell r="A817">
            <v>1000000140</v>
          </cell>
          <cell r="B817">
            <v>553.67499999999995</v>
          </cell>
        </row>
        <row r="818">
          <cell r="A818">
            <v>1000000434</v>
          </cell>
          <cell r="B818">
            <v>41.6666666666667</v>
          </cell>
        </row>
        <row r="819">
          <cell r="A819">
            <v>1000000432</v>
          </cell>
          <cell r="B819">
            <v>140.85833333333301</v>
          </cell>
        </row>
        <row r="820">
          <cell r="A820">
            <v>1000000428</v>
          </cell>
          <cell r="B820">
            <v>57.8333333333333</v>
          </cell>
        </row>
        <row r="821">
          <cell r="A821">
            <v>1000000442</v>
          </cell>
          <cell r="B821">
            <v>294.433333333333</v>
          </cell>
        </row>
        <row r="822">
          <cell r="A822">
            <v>1000000439</v>
          </cell>
          <cell r="B822">
            <v>165.24166666666699</v>
          </cell>
        </row>
        <row r="823">
          <cell r="A823">
            <v>1000000909</v>
          </cell>
          <cell r="B823">
            <v>37.0833333333333</v>
          </cell>
        </row>
        <row r="824">
          <cell r="A824">
            <v>1000000907</v>
          </cell>
          <cell r="B824">
            <v>263.83333333333297</v>
          </cell>
        </row>
        <row r="825">
          <cell r="A825">
            <v>1000000911</v>
          </cell>
          <cell r="B825">
            <v>24.5833333333333</v>
          </cell>
        </row>
        <row r="826">
          <cell r="A826">
            <v>1000003171</v>
          </cell>
          <cell r="B826">
            <v>387.5</v>
          </cell>
        </row>
        <row r="827">
          <cell r="A827">
            <v>1000003531</v>
          </cell>
          <cell r="B827">
            <v>52.4166666666667</v>
          </cell>
        </row>
        <row r="828">
          <cell r="A828">
            <v>1000003590</v>
          </cell>
          <cell r="B828">
            <v>17.1666666666667</v>
          </cell>
        </row>
        <row r="829">
          <cell r="A829">
            <v>1000003818</v>
          </cell>
          <cell r="B829">
            <v>14.4</v>
          </cell>
        </row>
        <row r="830">
          <cell r="A830">
            <v>1000003871</v>
          </cell>
          <cell r="B830">
            <v>3.4166666666666701</v>
          </cell>
        </row>
        <row r="831">
          <cell r="A831">
            <v>1000003994</v>
          </cell>
          <cell r="B831">
            <v>27.0833333333333</v>
          </cell>
        </row>
        <row r="832">
          <cell r="A832">
            <v>1000004004</v>
          </cell>
          <cell r="B832">
            <v>744.3</v>
          </cell>
        </row>
        <row r="833">
          <cell r="A833">
            <v>1000004068</v>
          </cell>
          <cell r="B833">
            <v>215.333333333333</v>
          </cell>
        </row>
        <row r="834">
          <cell r="A834">
            <v>1000000598</v>
          </cell>
          <cell r="B834">
            <v>38.75</v>
          </cell>
        </row>
        <row r="835">
          <cell r="A835">
            <v>1000000587</v>
          </cell>
          <cell r="B835">
            <v>62.5</v>
          </cell>
        </row>
        <row r="836">
          <cell r="A836">
            <v>1000000591</v>
          </cell>
          <cell r="B836">
            <v>53.3333333333333</v>
          </cell>
        </row>
        <row r="837">
          <cell r="A837">
            <v>1000000589</v>
          </cell>
          <cell r="B837">
            <v>29.0416666666667</v>
          </cell>
        </row>
        <row r="838">
          <cell r="A838">
            <v>1000000588</v>
          </cell>
          <cell r="B838">
            <v>22.6666666666667</v>
          </cell>
        </row>
        <row r="839">
          <cell r="A839">
            <v>1000000597</v>
          </cell>
          <cell r="B839">
            <v>36.6666666666667</v>
          </cell>
        </row>
        <row r="840">
          <cell r="A840">
            <v>1000000593</v>
          </cell>
          <cell r="B840">
            <v>76.3333333333333</v>
          </cell>
        </row>
        <row r="841">
          <cell r="A841">
            <v>1000000594</v>
          </cell>
          <cell r="B841">
            <v>178.49166666666699</v>
          </cell>
        </row>
        <row r="842">
          <cell r="A842">
            <v>1000000582</v>
          </cell>
          <cell r="B842">
            <v>15.5833333333333</v>
          </cell>
        </row>
        <row r="843">
          <cell r="A843">
            <v>1000000583</v>
          </cell>
          <cell r="B843">
            <v>3.3333333333333299</v>
          </cell>
        </row>
        <row r="844">
          <cell r="A844">
            <v>1000000584</v>
          </cell>
          <cell r="B844">
            <v>52.6666666666667</v>
          </cell>
        </row>
        <row r="845">
          <cell r="A845">
            <v>1000001002</v>
          </cell>
          <cell r="B845">
            <v>134.208333333333</v>
          </cell>
        </row>
        <row r="846">
          <cell r="A846">
            <v>1000000999</v>
          </cell>
          <cell r="B846">
            <v>22.3333333333333</v>
          </cell>
        </row>
        <row r="847">
          <cell r="A847">
            <v>1000000996</v>
          </cell>
          <cell r="B847">
            <v>102.333333333333</v>
          </cell>
        </row>
        <row r="848">
          <cell r="A848">
            <v>1000000990</v>
          </cell>
          <cell r="B848">
            <v>48.524999999999999</v>
          </cell>
        </row>
        <row r="849">
          <cell r="A849">
            <v>1000000985</v>
          </cell>
          <cell r="B849">
            <v>132.291666666667</v>
          </cell>
        </row>
        <row r="850">
          <cell r="A850">
            <v>1000000991</v>
          </cell>
          <cell r="B850">
            <v>74.858333333333306</v>
          </cell>
        </row>
        <row r="851">
          <cell r="A851">
            <v>1000001001</v>
          </cell>
          <cell r="B851">
            <v>50.316666666666698</v>
          </cell>
        </row>
        <row r="852">
          <cell r="A852">
            <v>1000002754</v>
          </cell>
          <cell r="B852">
            <v>111.325</v>
          </cell>
        </row>
        <row r="853">
          <cell r="A853">
            <v>1000003112</v>
          </cell>
          <cell r="B853">
            <v>193.40833333333299</v>
          </cell>
        </row>
        <row r="854">
          <cell r="A854">
            <v>1000003126</v>
          </cell>
          <cell r="B854">
            <v>174.916666666667</v>
          </cell>
        </row>
        <row r="855">
          <cell r="A855">
            <v>1000003326</v>
          </cell>
          <cell r="B855">
            <v>10.3333333333333</v>
          </cell>
        </row>
        <row r="856">
          <cell r="A856">
            <v>1000003554</v>
          </cell>
          <cell r="B856">
            <v>6.3333333333333304</v>
          </cell>
        </row>
        <row r="857">
          <cell r="A857">
            <v>1000003677</v>
          </cell>
          <cell r="B857">
            <v>24.116666666666699</v>
          </cell>
        </row>
        <row r="858">
          <cell r="A858">
            <v>1000003714</v>
          </cell>
          <cell r="B858">
            <v>6.9666666666666703</v>
          </cell>
        </row>
        <row r="859">
          <cell r="A859">
            <v>1000003867</v>
          </cell>
          <cell r="B859">
            <v>9.8333333333333304</v>
          </cell>
        </row>
        <row r="860">
          <cell r="A860">
            <v>1000003870</v>
          </cell>
          <cell r="B860">
            <v>23.1666666666667</v>
          </cell>
        </row>
        <row r="861">
          <cell r="A861">
            <v>1000003889</v>
          </cell>
          <cell r="B861">
            <v>154.49166666666699</v>
          </cell>
        </row>
        <row r="862">
          <cell r="A862">
            <v>1000003894</v>
          </cell>
          <cell r="B862">
            <v>21.625</v>
          </cell>
        </row>
        <row r="863">
          <cell r="A863">
            <v>1000003897</v>
          </cell>
          <cell r="B863">
            <v>88</v>
          </cell>
        </row>
        <row r="864">
          <cell r="A864">
            <v>1000003990</v>
          </cell>
          <cell r="B864">
            <v>12</v>
          </cell>
        </row>
        <row r="865">
          <cell r="A865">
            <v>1000004024</v>
          </cell>
          <cell r="B865">
            <v>37.125</v>
          </cell>
        </row>
        <row r="866">
          <cell r="A866">
            <v>1000004049</v>
          </cell>
          <cell r="B866">
            <v>84.3333333333333</v>
          </cell>
        </row>
        <row r="867">
          <cell r="A867">
            <v>1000004106</v>
          </cell>
          <cell r="B867">
            <v>29.2916666666667</v>
          </cell>
        </row>
        <row r="868">
          <cell r="A868">
            <v>1000000767</v>
          </cell>
          <cell r="B868">
            <v>930.65833333333296</v>
          </cell>
        </row>
        <row r="869">
          <cell r="A869">
            <v>1000000772</v>
          </cell>
          <cell r="B869">
            <v>5.5</v>
          </cell>
        </row>
        <row r="870">
          <cell r="A870">
            <v>1000000776</v>
          </cell>
          <cell r="B870">
            <v>58.3333333333333</v>
          </cell>
        </row>
        <row r="871">
          <cell r="A871">
            <v>1000000768</v>
          </cell>
          <cell r="B871">
            <v>25</v>
          </cell>
        </row>
        <row r="872">
          <cell r="A872">
            <v>1000000775</v>
          </cell>
          <cell r="B872">
            <v>100.166666666667</v>
          </cell>
        </row>
        <row r="873">
          <cell r="A873">
            <v>1000000773</v>
          </cell>
          <cell r="B873">
            <v>85</v>
          </cell>
        </row>
        <row r="874">
          <cell r="A874">
            <v>1000000769</v>
          </cell>
          <cell r="B874">
            <v>68.6666666666667</v>
          </cell>
        </row>
        <row r="875">
          <cell r="A875">
            <v>1000000774</v>
          </cell>
          <cell r="B875">
            <v>50.8333333333333</v>
          </cell>
        </row>
        <row r="876">
          <cell r="A876">
            <v>1000001085</v>
          </cell>
          <cell r="B876">
            <v>14.1666666666667</v>
          </cell>
        </row>
        <row r="877">
          <cell r="A877">
            <v>1000001090</v>
          </cell>
          <cell r="B877">
            <v>323.14166666666699</v>
          </cell>
        </row>
        <row r="878">
          <cell r="A878">
            <v>1000001083</v>
          </cell>
          <cell r="B878">
            <v>115</v>
          </cell>
        </row>
        <row r="879">
          <cell r="A879">
            <v>1000001089</v>
          </cell>
          <cell r="B879">
            <v>120.583333333333</v>
          </cell>
        </row>
        <row r="880">
          <cell r="A880">
            <v>1000001088</v>
          </cell>
          <cell r="B880">
            <v>20</v>
          </cell>
        </row>
        <row r="881">
          <cell r="A881">
            <v>1000002756</v>
          </cell>
          <cell r="B881">
            <v>64.1666666666667</v>
          </cell>
        </row>
        <row r="882">
          <cell r="A882">
            <v>1000003565</v>
          </cell>
          <cell r="B882">
            <v>34.6666666666667</v>
          </cell>
        </row>
        <row r="883">
          <cell r="A883">
            <v>1000003716</v>
          </cell>
          <cell r="B883">
            <v>127.5</v>
          </cell>
        </row>
        <row r="884">
          <cell r="A884">
            <v>1000004025</v>
          </cell>
          <cell r="B884">
            <v>110.833333333333</v>
          </cell>
        </row>
        <row r="885">
          <cell r="A885">
            <v>1000004072</v>
          </cell>
          <cell r="B885">
            <v>40</v>
          </cell>
        </row>
        <row r="886">
          <cell r="A886">
            <v>1000000784</v>
          </cell>
          <cell r="B886">
            <v>6.6666666666666696</v>
          </cell>
        </row>
        <row r="887">
          <cell r="A887">
            <v>1000000786</v>
          </cell>
          <cell r="B887">
            <v>9.1666666666666696</v>
          </cell>
        </row>
        <row r="888">
          <cell r="A888">
            <v>1000000788</v>
          </cell>
          <cell r="B888">
            <v>20.8333333333333</v>
          </cell>
        </row>
        <row r="889">
          <cell r="A889">
            <v>1000000780</v>
          </cell>
          <cell r="B889">
            <v>12.5</v>
          </cell>
        </row>
        <row r="890">
          <cell r="A890">
            <v>1000000782</v>
          </cell>
          <cell r="B890">
            <v>25</v>
          </cell>
        </row>
        <row r="891">
          <cell r="A891">
            <v>1000000781</v>
          </cell>
          <cell r="B891">
            <v>67.5833333333333</v>
          </cell>
        </row>
        <row r="892">
          <cell r="A892">
            <v>1000001095</v>
          </cell>
          <cell r="B892">
            <v>42.5</v>
          </cell>
        </row>
        <row r="893">
          <cell r="A893">
            <v>1000001093</v>
          </cell>
          <cell r="B893">
            <v>133.333333333333</v>
          </cell>
        </row>
        <row r="894">
          <cell r="A894">
            <v>1000003061</v>
          </cell>
          <cell r="B894">
            <v>140</v>
          </cell>
        </row>
        <row r="895">
          <cell r="A895">
            <v>1000003306</v>
          </cell>
          <cell r="B895">
            <v>34.1666666666667</v>
          </cell>
        </row>
        <row r="896">
          <cell r="A896">
            <v>1000003396</v>
          </cell>
          <cell r="B896">
            <v>101.666666666667</v>
          </cell>
        </row>
        <row r="897">
          <cell r="A897">
            <v>1000003613</v>
          </cell>
          <cell r="B897">
            <v>23.3333333333333</v>
          </cell>
        </row>
        <row r="898">
          <cell r="A898">
            <v>1000003868</v>
          </cell>
          <cell r="B898">
            <v>8.3333333333333304</v>
          </cell>
        </row>
        <row r="899">
          <cell r="A899">
            <v>1000003952</v>
          </cell>
          <cell r="B899">
            <v>162.5</v>
          </cell>
        </row>
        <row r="900">
          <cell r="A900">
            <v>1000003987</v>
          </cell>
          <cell r="B900">
            <v>105</v>
          </cell>
        </row>
        <row r="901">
          <cell r="A901">
            <v>1000001225</v>
          </cell>
          <cell r="B901">
            <v>1481</v>
          </cell>
        </row>
        <row r="902">
          <cell r="A902">
            <v>1000001234</v>
          </cell>
          <cell r="B902">
            <v>5728.1666666666697</v>
          </cell>
        </row>
        <row r="903">
          <cell r="A903">
            <v>1000001232</v>
          </cell>
          <cell r="B903">
            <v>445.5</v>
          </cell>
        </row>
        <row r="904">
          <cell r="A904">
            <v>1000001229</v>
          </cell>
          <cell r="B904">
            <v>2173.8333333333298</v>
          </cell>
        </row>
        <row r="905">
          <cell r="A905">
            <v>1000001233</v>
          </cell>
          <cell r="B905">
            <v>1938.8333333333301</v>
          </cell>
        </row>
        <row r="906">
          <cell r="A906">
            <v>1000001224</v>
          </cell>
          <cell r="B906">
            <v>3467.0833333333298</v>
          </cell>
        </row>
        <row r="907">
          <cell r="A907">
            <v>1000001230</v>
          </cell>
          <cell r="B907">
            <v>35.6666666666667</v>
          </cell>
        </row>
        <row r="908">
          <cell r="A908">
            <v>1000001231</v>
          </cell>
          <cell r="B908">
            <v>1430</v>
          </cell>
        </row>
        <row r="909">
          <cell r="A909">
            <v>1000001236</v>
          </cell>
          <cell r="B909">
            <v>1125.8333333333301</v>
          </cell>
        </row>
        <row r="910">
          <cell r="A910">
            <v>1000001228</v>
          </cell>
          <cell r="B910">
            <v>277.66666666666703</v>
          </cell>
        </row>
        <row r="911">
          <cell r="A911">
            <v>1000001252</v>
          </cell>
          <cell r="B911">
            <v>1232.5</v>
          </cell>
        </row>
        <row r="912">
          <cell r="A912">
            <v>1000001256</v>
          </cell>
          <cell r="B912">
            <v>243.666666666667</v>
          </cell>
        </row>
        <row r="913">
          <cell r="A913">
            <v>1000001242</v>
          </cell>
          <cell r="B913">
            <v>2818</v>
          </cell>
        </row>
        <row r="914">
          <cell r="A914">
            <v>1000001244</v>
          </cell>
          <cell r="B914">
            <v>53.1666666666667</v>
          </cell>
        </row>
        <row r="915">
          <cell r="A915">
            <v>1000001238</v>
          </cell>
          <cell r="B915">
            <v>1689.5</v>
          </cell>
        </row>
        <row r="916">
          <cell r="A916">
            <v>1000001251</v>
          </cell>
          <cell r="B916">
            <v>1272.3333333333301</v>
          </cell>
        </row>
        <row r="917">
          <cell r="A917">
            <v>1000001254</v>
          </cell>
          <cell r="B917">
            <v>277.5</v>
          </cell>
        </row>
        <row r="918">
          <cell r="A918">
            <v>1000001259</v>
          </cell>
          <cell r="B918">
            <v>154</v>
          </cell>
        </row>
        <row r="919">
          <cell r="A919">
            <v>1000001245</v>
          </cell>
          <cell r="B919">
            <v>245</v>
          </cell>
        </row>
        <row r="920">
          <cell r="A920">
            <v>1000001264</v>
          </cell>
          <cell r="B920">
            <v>2059.1666666666702</v>
          </cell>
        </row>
        <row r="921">
          <cell r="A921">
            <v>1000001257</v>
          </cell>
          <cell r="B921">
            <v>6</v>
          </cell>
        </row>
        <row r="922">
          <cell r="A922">
            <v>1000001265</v>
          </cell>
          <cell r="B922">
            <v>1332.9166666666699</v>
          </cell>
        </row>
        <row r="923">
          <cell r="A923">
            <v>1000001241</v>
          </cell>
          <cell r="B923">
            <v>155.333333333333</v>
          </cell>
        </row>
        <row r="924">
          <cell r="A924">
            <v>1000001239</v>
          </cell>
          <cell r="B924">
            <v>180</v>
          </cell>
        </row>
        <row r="925">
          <cell r="A925">
            <v>1000001261</v>
          </cell>
          <cell r="B925">
            <v>28</v>
          </cell>
        </row>
        <row r="926">
          <cell r="A926">
            <v>1000001250</v>
          </cell>
          <cell r="B926">
            <v>106.166666666667</v>
          </cell>
        </row>
        <row r="927">
          <cell r="A927">
            <v>1000002045</v>
          </cell>
          <cell r="B927">
            <v>583.66666666666697</v>
          </cell>
        </row>
        <row r="928">
          <cell r="A928">
            <v>1000002982</v>
          </cell>
          <cell r="B928">
            <v>165.666666666667</v>
          </cell>
        </row>
        <row r="929">
          <cell r="A929">
            <v>1000003247</v>
          </cell>
          <cell r="B929">
            <v>145.5</v>
          </cell>
        </row>
        <row r="930">
          <cell r="A930">
            <v>1000003610</v>
          </cell>
          <cell r="B930">
            <v>12</v>
          </cell>
        </row>
        <row r="931">
          <cell r="A931">
            <v>1000003723</v>
          </cell>
          <cell r="B931">
            <v>203.166666666667</v>
          </cell>
        </row>
        <row r="932">
          <cell r="A932">
            <v>1000004091</v>
          </cell>
          <cell r="B932">
            <v>180.333333333333</v>
          </cell>
        </row>
        <row r="933">
          <cell r="A933">
            <v>1000001141</v>
          </cell>
          <cell r="B933">
            <v>1568</v>
          </cell>
        </row>
        <row r="934">
          <cell r="A934">
            <v>1000001140</v>
          </cell>
          <cell r="B934">
            <v>1609.4166666666699</v>
          </cell>
        </row>
        <row r="935">
          <cell r="A935">
            <v>1000001146</v>
          </cell>
          <cell r="B935">
            <v>1015</v>
          </cell>
        </row>
        <row r="936">
          <cell r="A936">
            <v>1000001150</v>
          </cell>
          <cell r="B936">
            <v>547.66666666666697</v>
          </cell>
        </row>
        <row r="937">
          <cell r="A937">
            <v>1000001144</v>
          </cell>
          <cell r="B937">
            <v>2879.25</v>
          </cell>
        </row>
        <row r="938">
          <cell r="A938">
            <v>1000001154</v>
          </cell>
          <cell r="B938">
            <v>158.833333333333</v>
          </cell>
        </row>
        <row r="939">
          <cell r="A939">
            <v>1000001147</v>
          </cell>
          <cell r="B939">
            <v>103</v>
          </cell>
        </row>
        <row r="940">
          <cell r="A940">
            <v>1000001153</v>
          </cell>
          <cell r="B940">
            <v>3123.6666666666702</v>
          </cell>
        </row>
        <row r="941">
          <cell r="A941">
            <v>1000001143</v>
          </cell>
          <cell r="B941">
            <v>24</v>
          </cell>
        </row>
        <row r="942">
          <cell r="A942">
            <v>1000001148</v>
          </cell>
          <cell r="B942">
            <v>363.5</v>
          </cell>
        </row>
        <row r="943">
          <cell r="A943">
            <v>1000002535</v>
          </cell>
          <cell r="B943">
            <v>209.416666666667</v>
          </cell>
        </row>
        <row r="944">
          <cell r="A944">
            <v>1000003700</v>
          </cell>
          <cell r="B944">
            <v>139.833333333333</v>
          </cell>
        </row>
        <row r="945">
          <cell r="A945">
            <v>1000003743</v>
          </cell>
          <cell r="B945">
            <v>41.1666666666667</v>
          </cell>
        </row>
        <row r="946">
          <cell r="A946">
            <v>1000004007</v>
          </cell>
          <cell r="B946">
            <v>121.5</v>
          </cell>
        </row>
        <row r="947">
          <cell r="A947">
            <v>1000004069</v>
          </cell>
          <cell r="B947">
            <v>169.333333333333</v>
          </cell>
        </row>
        <row r="948">
          <cell r="A948">
            <v>1000001408</v>
          </cell>
          <cell r="B948">
            <v>404.79166666666703</v>
          </cell>
        </row>
        <row r="949">
          <cell r="A949">
            <v>1000001405</v>
          </cell>
          <cell r="B949">
            <v>197.166666666667</v>
          </cell>
        </row>
        <row r="950">
          <cell r="A950">
            <v>1000001418</v>
          </cell>
          <cell r="B950">
            <v>313.5</v>
          </cell>
        </row>
        <row r="951">
          <cell r="A951">
            <v>1000002808</v>
          </cell>
          <cell r="B951">
            <v>2380.8416666666699</v>
          </cell>
        </row>
        <row r="952">
          <cell r="A952">
            <v>1000001411</v>
          </cell>
          <cell r="B952">
            <v>91.6666666666667</v>
          </cell>
        </row>
        <row r="953">
          <cell r="A953">
            <v>1000001413</v>
          </cell>
          <cell r="B953">
            <v>171.708333333333</v>
          </cell>
        </row>
        <row r="954">
          <cell r="A954">
            <v>1000001406</v>
          </cell>
          <cell r="B954">
            <v>68.6666666666667</v>
          </cell>
        </row>
        <row r="955">
          <cell r="A955">
            <v>1000001416</v>
          </cell>
          <cell r="B955">
            <v>232.333333333333</v>
          </cell>
        </row>
        <row r="956">
          <cell r="A956">
            <v>1000001435</v>
          </cell>
          <cell r="B956">
            <v>204.5</v>
          </cell>
        </row>
        <row r="957">
          <cell r="A957">
            <v>1000001439</v>
          </cell>
          <cell r="B957">
            <v>1120.0416666666699</v>
          </cell>
        </row>
        <row r="958">
          <cell r="A958">
            <v>1000001433</v>
          </cell>
          <cell r="B958">
            <v>350</v>
          </cell>
        </row>
        <row r="959">
          <cell r="A959">
            <v>1000001445</v>
          </cell>
          <cell r="B959">
            <v>494.33333333333297</v>
          </cell>
        </row>
        <row r="960">
          <cell r="A960">
            <v>1000001429</v>
          </cell>
          <cell r="B960">
            <v>576.43333333333305</v>
          </cell>
        </row>
        <row r="961">
          <cell r="A961">
            <v>1000001437</v>
          </cell>
          <cell r="B961">
            <v>1176.5</v>
          </cell>
        </row>
        <row r="962">
          <cell r="A962">
            <v>1000001446</v>
          </cell>
          <cell r="B962">
            <v>24.5833333333333</v>
          </cell>
        </row>
        <row r="963">
          <cell r="A963">
            <v>1000001450</v>
          </cell>
          <cell r="B963">
            <v>9</v>
          </cell>
        </row>
        <row r="964">
          <cell r="A964">
            <v>1000001443</v>
          </cell>
          <cell r="B964">
            <v>4</v>
          </cell>
        </row>
        <row r="965">
          <cell r="A965">
            <v>1000001421</v>
          </cell>
          <cell r="B965">
            <v>110.166666666667</v>
          </cell>
        </row>
        <row r="966">
          <cell r="A966">
            <v>1000001423</v>
          </cell>
          <cell r="B966">
            <v>201.833333333333</v>
          </cell>
        </row>
        <row r="967">
          <cell r="A967">
            <v>1000001425</v>
          </cell>
          <cell r="B967">
            <v>15</v>
          </cell>
        </row>
        <row r="968">
          <cell r="A968">
            <v>1000001451</v>
          </cell>
          <cell r="B968">
            <v>249.9</v>
          </cell>
        </row>
        <row r="969">
          <cell r="A969">
            <v>1000001428</v>
          </cell>
          <cell r="B969">
            <v>425.5</v>
          </cell>
        </row>
        <row r="970">
          <cell r="A970">
            <v>1000001377</v>
          </cell>
          <cell r="B970">
            <v>2405.3083333333302</v>
          </cell>
        </row>
        <row r="971">
          <cell r="A971">
            <v>1000001426</v>
          </cell>
          <cell r="B971">
            <v>237.666666666667</v>
          </cell>
        </row>
        <row r="972">
          <cell r="A972">
            <v>1000001444</v>
          </cell>
          <cell r="B972">
            <v>334.66666666666703</v>
          </cell>
        </row>
        <row r="973">
          <cell r="A973">
            <v>1000002031</v>
          </cell>
          <cell r="B973">
            <v>6.1666666666666696</v>
          </cell>
        </row>
        <row r="974">
          <cell r="A974">
            <v>1000002083</v>
          </cell>
          <cell r="B974">
            <v>7.4166666666666696</v>
          </cell>
        </row>
        <row r="975">
          <cell r="A975">
            <v>1000002522</v>
          </cell>
          <cell r="B975">
            <v>206.166666666667</v>
          </cell>
        </row>
        <row r="976">
          <cell r="A976">
            <v>1000002795</v>
          </cell>
          <cell r="B976">
            <v>191.5</v>
          </cell>
        </row>
        <row r="977">
          <cell r="A977">
            <v>1000002673</v>
          </cell>
          <cell r="B977">
            <v>241.666666666667</v>
          </cell>
        </row>
        <row r="978">
          <cell r="A978">
            <v>1000002889</v>
          </cell>
          <cell r="B978">
            <v>218.5</v>
          </cell>
        </row>
        <row r="979">
          <cell r="A979">
            <v>1000003232</v>
          </cell>
          <cell r="B979">
            <v>28.6666666666667</v>
          </cell>
        </row>
        <row r="980">
          <cell r="A980">
            <v>1000003387</v>
          </cell>
          <cell r="B980">
            <v>8</v>
          </cell>
        </row>
        <row r="981">
          <cell r="A981">
            <v>1000003529</v>
          </cell>
          <cell r="B981">
            <v>8</v>
          </cell>
        </row>
        <row r="982">
          <cell r="A982">
            <v>1000003730</v>
          </cell>
          <cell r="B982">
            <v>230</v>
          </cell>
        </row>
        <row r="983">
          <cell r="A983">
            <v>1000003869</v>
          </cell>
          <cell r="B983">
            <v>24.5833333333333</v>
          </cell>
        </row>
        <row r="984">
          <cell r="A984">
            <v>1000003898</v>
          </cell>
          <cell r="B984">
            <v>1814.31666666667</v>
          </cell>
        </row>
        <row r="985">
          <cell r="A985">
            <v>1000002667</v>
          </cell>
          <cell r="B985">
            <v>26.1666666666667</v>
          </cell>
        </row>
        <row r="986">
          <cell r="A986">
            <v>1000002659</v>
          </cell>
          <cell r="B986">
            <v>11.1666666666667</v>
          </cell>
        </row>
        <row r="987">
          <cell r="A987">
            <v>1000001879</v>
          </cell>
          <cell r="B987">
            <v>40.75</v>
          </cell>
        </row>
        <row r="988">
          <cell r="A988">
            <v>1000001887</v>
          </cell>
          <cell r="B988">
            <v>153.99166666666699</v>
          </cell>
        </row>
        <row r="989">
          <cell r="A989">
            <v>1000001892</v>
          </cell>
          <cell r="B989">
            <v>417.16666666666703</v>
          </cell>
        </row>
        <row r="990">
          <cell r="A990">
            <v>1000001874</v>
          </cell>
          <cell r="B990">
            <v>129.583333333333</v>
          </cell>
        </row>
        <row r="991">
          <cell r="A991">
            <v>1000001877</v>
          </cell>
          <cell r="B991">
            <v>400.70833333333297</v>
          </cell>
        </row>
        <row r="992">
          <cell r="A992">
            <v>1000001901</v>
          </cell>
          <cell r="B992">
            <v>381.8</v>
          </cell>
        </row>
        <row r="993">
          <cell r="A993">
            <v>1000002781</v>
          </cell>
          <cell r="B993">
            <v>35.1666666666667</v>
          </cell>
        </row>
        <row r="994">
          <cell r="A994">
            <v>1000003495</v>
          </cell>
          <cell r="B994">
            <v>121.083333333333</v>
          </cell>
        </row>
        <row r="995">
          <cell r="A995">
            <v>1000003658</v>
          </cell>
          <cell r="B995">
            <v>158.833333333333</v>
          </cell>
        </row>
        <row r="996">
          <cell r="A996">
            <v>1000002670</v>
          </cell>
          <cell r="B996">
            <v>187.583333333333</v>
          </cell>
        </row>
        <row r="997">
          <cell r="A997">
            <v>1000001910</v>
          </cell>
          <cell r="B997">
            <v>133.333333333333</v>
          </cell>
        </row>
        <row r="998">
          <cell r="A998">
            <v>1000001952</v>
          </cell>
          <cell r="B998">
            <v>64.7083333333333</v>
          </cell>
        </row>
        <row r="999">
          <cell r="A999">
            <v>1000001916</v>
          </cell>
          <cell r="B999">
            <v>340.941666666667</v>
          </cell>
        </row>
        <row r="1000">
          <cell r="A1000">
            <v>1000001914</v>
          </cell>
          <cell r="B1000">
            <v>23.3333333333333</v>
          </cell>
        </row>
        <row r="1001">
          <cell r="A1001">
            <v>1000001924</v>
          </cell>
          <cell r="B1001">
            <v>9</v>
          </cell>
        </row>
        <row r="1002">
          <cell r="A1002">
            <v>1000001938</v>
          </cell>
          <cell r="B1002">
            <v>170.833333333333</v>
          </cell>
        </row>
        <row r="1003">
          <cell r="A1003">
            <v>1000001928</v>
          </cell>
          <cell r="B1003">
            <v>751.11666666666702</v>
          </cell>
        </row>
        <row r="1004">
          <cell r="A1004">
            <v>1000001947</v>
          </cell>
          <cell r="B1004">
            <v>409.41666666666703</v>
          </cell>
        </row>
        <row r="1005">
          <cell r="A1005">
            <v>1000001920</v>
          </cell>
          <cell r="B1005">
            <v>138.191666666667</v>
          </cell>
        </row>
        <row r="1006">
          <cell r="A1006">
            <v>1000001918</v>
          </cell>
          <cell r="B1006">
            <v>113.833333333333</v>
          </cell>
        </row>
        <row r="1007">
          <cell r="A1007">
            <v>1000001931</v>
          </cell>
          <cell r="B1007">
            <v>136.666666666667</v>
          </cell>
        </row>
        <row r="1008">
          <cell r="A1008">
            <v>1000001932</v>
          </cell>
          <cell r="B1008">
            <v>5055.625</v>
          </cell>
        </row>
        <row r="1009">
          <cell r="A1009">
            <v>1000001950</v>
          </cell>
          <cell r="B1009">
            <v>45.8333333333333</v>
          </cell>
        </row>
        <row r="1010">
          <cell r="A1010">
            <v>1000001942</v>
          </cell>
          <cell r="B1010">
            <v>697.28333333333296</v>
          </cell>
        </row>
        <row r="1011">
          <cell r="A1011">
            <v>1000001951</v>
          </cell>
          <cell r="B1011">
            <v>773.66666666666697</v>
          </cell>
        </row>
        <row r="1012">
          <cell r="A1012">
            <v>1000002024</v>
          </cell>
          <cell r="B1012">
            <v>15</v>
          </cell>
        </row>
        <row r="1013">
          <cell r="A1013">
            <v>1000002036</v>
          </cell>
          <cell r="B1013">
            <v>237.5</v>
          </cell>
        </row>
        <row r="1014">
          <cell r="A1014">
            <v>1000002552</v>
          </cell>
          <cell r="B1014">
            <v>188.53333333333299</v>
          </cell>
        </row>
        <row r="1015">
          <cell r="A1015">
            <v>1000002558</v>
          </cell>
          <cell r="B1015">
            <v>199.083333333333</v>
          </cell>
        </row>
        <row r="1016">
          <cell r="A1016">
            <v>1000002632</v>
          </cell>
          <cell r="B1016">
            <v>58.5</v>
          </cell>
        </row>
        <row r="1017">
          <cell r="A1017">
            <v>1000003020</v>
          </cell>
          <cell r="B1017">
            <v>287.51666666666699</v>
          </cell>
        </row>
        <row r="1018">
          <cell r="A1018">
            <v>1000003310</v>
          </cell>
          <cell r="B1018">
            <v>629.70833333333303</v>
          </cell>
        </row>
        <row r="1019">
          <cell r="A1019">
            <v>1000003516</v>
          </cell>
          <cell r="B1019">
            <v>115.25</v>
          </cell>
        </row>
        <row r="1020">
          <cell r="A1020">
            <v>1000003517</v>
          </cell>
          <cell r="B1020">
            <v>615.66666666666697</v>
          </cell>
        </row>
        <row r="1021">
          <cell r="A1021">
            <v>1000003614</v>
          </cell>
          <cell r="B1021">
            <v>433.41666666666703</v>
          </cell>
        </row>
        <row r="1022">
          <cell r="A1022">
            <v>1000003721</v>
          </cell>
          <cell r="B1022">
            <v>233.666666666667</v>
          </cell>
        </row>
        <row r="1023">
          <cell r="A1023">
            <v>1000003756</v>
          </cell>
          <cell r="B1023">
            <v>123.083333333333</v>
          </cell>
        </row>
        <row r="1024">
          <cell r="A1024">
            <v>1000003886</v>
          </cell>
          <cell r="B1024">
            <v>11.6666666666667</v>
          </cell>
        </row>
        <row r="1025">
          <cell r="A1025">
            <v>1000003955</v>
          </cell>
          <cell r="B1025">
            <v>98.466666666666697</v>
          </cell>
        </row>
        <row r="1026">
          <cell r="A1026">
            <v>1000003957</v>
          </cell>
          <cell r="B1026">
            <v>134.308333333333</v>
          </cell>
        </row>
        <row r="1027">
          <cell r="A1027">
            <v>1000004009</v>
          </cell>
          <cell r="B1027">
            <v>5</v>
          </cell>
        </row>
        <row r="1028">
          <cell r="A1028">
            <v>1000004036</v>
          </cell>
          <cell r="B1028">
            <v>53.3333333333333</v>
          </cell>
        </row>
        <row r="1029">
          <cell r="A1029">
            <v>1000002702</v>
          </cell>
          <cell r="B1029">
            <v>205.333333333333</v>
          </cell>
        </row>
        <row r="1030">
          <cell r="A1030">
            <v>1000001329</v>
          </cell>
          <cell r="B1030">
            <v>342.5</v>
          </cell>
        </row>
        <row r="1031">
          <cell r="A1031">
            <v>1000001337</v>
          </cell>
          <cell r="B1031">
            <v>200.916666666667</v>
          </cell>
        </row>
        <row r="1032">
          <cell r="A1032">
            <v>1000001336</v>
          </cell>
          <cell r="B1032">
            <v>341.91666666666703</v>
          </cell>
        </row>
        <row r="1033">
          <cell r="A1033">
            <v>1000001330</v>
          </cell>
          <cell r="B1033">
            <v>16.8333333333333</v>
          </cell>
        </row>
        <row r="1034">
          <cell r="A1034">
            <v>1000001341</v>
          </cell>
          <cell r="B1034">
            <v>78.8333333333333</v>
          </cell>
        </row>
        <row r="1035">
          <cell r="A1035">
            <v>1000001334</v>
          </cell>
          <cell r="B1035">
            <v>26.5</v>
          </cell>
        </row>
        <row r="1036">
          <cell r="A1036">
            <v>1000001335</v>
          </cell>
          <cell r="B1036">
            <v>187.5</v>
          </cell>
        </row>
        <row r="1037">
          <cell r="A1037">
            <v>1000001930</v>
          </cell>
          <cell r="B1037">
            <v>56.6666666666667</v>
          </cell>
        </row>
        <row r="1038">
          <cell r="A1038">
            <v>1000002868</v>
          </cell>
          <cell r="B1038">
            <v>21.8333333333333</v>
          </cell>
        </row>
        <row r="1039">
          <cell r="A1039">
            <v>1000003632</v>
          </cell>
          <cell r="B1039">
            <v>52.1666666666667</v>
          </cell>
        </row>
        <row r="1040">
          <cell r="A1040">
            <v>1000002679</v>
          </cell>
          <cell r="B1040">
            <v>11.8333333333333</v>
          </cell>
        </row>
        <row r="1041">
          <cell r="A1041">
            <v>1000001583</v>
          </cell>
          <cell r="B1041">
            <v>32.5</v>
          </cell>
        </row>
        <row r="1042">
          <cell r="A1042">
            <v>1000001615</v>
          </cell>
          <cell r="B1042">
            <v>103.75</v>
          </cell>
        </row>
        <row r="1043">
          <cell r="A1043">
            <v>1000001587</v>
          </cell>
          <cell r="B1043">
            <v>284.75</v>
          </cell>
        </row>
        <row r="1044">
          <cell r="A1044">
            <v>1000001633</v>
          </cell>
          <cell r="B1044">
            <v>80.875</v>
          </cell>
        </row>
        <row r="1045">
          <cell r="A1045">
            <v>1000001609</v>
          </cell>
          <cell r="B1045">
            <v>139.75</v>
          </cell>
        </row>
        <row r="1046">
          <cell r="A1046">
            <v>1000001611</v>
          </cell>
          <cell r="B1046">
            <v>86.6666666666667</v>
          </cell>
        </row>
        <row r="1047">
          <cell r="A1047">
            <v>1000001590</v>
          </cell>
          <cell r="B1047">
            <v>104.45</v>
          </cell>
        </row>
        <row r="1048">
          <cell r="A1048">
            <v>1000001600</v>
          </cell>
          <cell r="B1048">
            <v>470.5</v>
          </cell>
        </row>
        <row r="1049">
          <cell r="A1049">
            <v>1000002043</v>
          </cell>
          <cell r="B1049">
            <v>359.50833333333298</v>
          </cell>
        </row>
        <row r="1050">
          <cell r="A1050">
            <v>1000002073</v>
          </cell>
          <cell r="B1050">
            <v>66.5833333333333</v>
          </cell>
        </row>
        <row r="1051">
          <cell r="A1051">
            <v>1000002072</v>
          </cell>
          <cell r="B1051">
            <v>14.1666666666667</v>
          </cell>
        </row>
        <row r="1052">
          <cell r="A1052">
            <v>1000002803</v>
          </cell>
          <cell r="B1052">
            <v>46.1666666666667</v>
          </cell>
        </row>
        <row r="1053">
          <cell r="A1053">
            <v>1000004095</v>
          </cell>
          <cell r="B1053">
            <v>2.5</v>
          </cell>
        </row>
        <row r="1054">
          <cell r="A1054">
            <v>1000001354</v>
          </cell>
          <cell r="B1054">
            <v>79.625</v>
          </cell>
        </row>
        <row r="1055">
          <cell r="A1055">
            <v>1000001351</v>
          </cell>
          <cell r="B1055">
            <v>492.85</v>
          </cell>
        </row>
        <row r="1056">
          <cell r="A1056">
            <v>1000001417</v>
          </cell>
          <cell r="B1056">
            <v>463.25833333333298</v>
          </cell>
        </row>
        <row r="1057">
          <cell r="A1057">
            <v>1000001384</v>
          </cell>
          <cell r="B1057">
            <v>476.683333333333</v>
          </cell>
        </row>
        <row r="1058">
          <cell r="A1058">
            <v>1000001420</v>
          </cell>
          <cell r="B1058">
            <v>1296.6083333333299</v>
          </cell>
        </row>
        <row r="1059">
          <cell r="A1059">
            <v>1000001374</v>
          </cell>
          <cell r="B1059">
            <v>143.458333333333</v>
          </cell>
        </row>
        <row r="1060">
          <cell r="A1060">
            <v>1000001361</v>
          </cell>
          <cell r="B1060">
            <v>1293.1583333333299</v>
          </cell>
        </row>
        <row r="1061">
          <cell r="A1061">
            <v>1000001381</v>
          </cell>
          <cell r="B1061">
            <v>547.24166666666702</v>
          </cell>
        </row>
        <row r="1062">
          <cell r="A1062">
            <v>1000002057</v>
          </cell>
          <cell r="B1062">
            <v>89.2083333333333</v>
          </cell>
        </row>
        <row r="1063">
          <cell r="A1063">
            <v>1000003425</v>
          </cell>
          <cell r="B1063">
            <v>1775.6666666666699</v>
          </cell>
        </row>
        <row r="1064">
          <cell r="A1064">
            <v>1000001355</v>
          </cell>
          <cell r="B1064">
            <v>14.7083333333333</v>
          </cell>
        </row>
        <row r="1065">
          <cell r="A1065">
            <v>1000001352</v>
          </cell>
          <cell r="B1065">
            <v>2238.0250000000001</v>
          </cell>
        </row>
        <row r="1066">
          <cell r="A1066">
            <v>1000001357</v>
          </cell>
          <cell r="B1066">
            <v>151.666666666667</v>
          </cell>
        </row>
        <row r="1067">
          <cell r="A1067">
            <v>1000001369</v>
          </cell>
          <cell r="B1067">
            <v>97</v>
          </cell>
        </row>
        <row r="1068">
          <cell r="A1068">
            <v>1000001365</v>
          </cell>
          <cell r="B1068">
            <v>694.20833333333303</v>
          </cell>
        </row>
        <row r="1069">
          <cell r="A1069">
            <v>1000001371</v>
          </cell>
          <cell r="B1069">
            <v>63.8333333333333</v>
          </cell>
        </row>
        <row r="1070">
          <cell r="A1070">
            <v>1000002008</v>
          </cell>
          <cell r="B1070">
            <v>1483.0416666666699</v>
          </cell>
        </row>
        <row r="1071">
          <cell r="A1071">
            <v>1000002054</v>
          </cell>
          <cell r="B1071">
            <v>1854.825</v>
          </cell>
        </row>
        <row r="1072">
          <cell r="A1072">
            <v>1000004001</v>
          </cell>
          <cell r="B1072">
            <v>6.3333333333333304</v>
          </cell>
        </row>
        <row r="1073">
          <cell r="A1073">
            <v>1000001479</v>
          </cell>
          <cell r="B1073">
            <v>333.26666666666699</v>
          </cell>
        </row>
        <row r="1074">
          <cell r="A1074">
            <v>1000001480</v>
          </cell>
          <cell r="B1074">
            <v>12</v>
          </cell>
        </row>
        <row r="1075">
          <cell r="A1075">
            <v>1000001516</v>
          </cell>
          <cell r="B1075">
            <v>344.13333333333298</v>
          </cell>
        </row>
        <row r="1076">
          <cell r="A1076">
            <v>1000001519</v>
          </cell>
          <cell r="B1076">
            <v>289.79166666666703</v>
          </cell>
        </row>
        <row r="1077">
          <cell r="A1077">
            <v>1000001515</v>
          </cell>
          <cell r="B1077">
            <v>226.416666666667</v>
          </cell>
        </row>
        <row r="1078">
          <cell r="A1078">
            <v>1000001496</v>
          </cell>
          <cell r="B1078">
            <v>27</v>
          </cell>
        </row>
        <row r="1079">
          <cell r="A1079">
            <v>1000001482</v>
          </cell>
          <cell r="B1079">
            <v>57.4166666666667</v>
          </cell>
        </row>
        <row r="1080">
          <cell r="A1080">
            <v>1000001505</v>
          </cell>
          <cell r="B1080">
            <v>753.45833333333303</v>
          </cell>
        </row>
        <row r="1081">
          <cell r="A1081">
            <v>1000001497</v>
          </cell>
          <cell r="B1081">
            <v>3477.5333333333301</v>
          </cell>
        </row>
        <row r="1082">
          <cell r="A1082">
            <v>1000001507</v>
          </cell>
          <cell r="B1082">
            <v>186.416666666667</v>
          </cell>
        </row>
        <row r="1083">
          <cell r="A1083">
            <v>1000001492</v>
          </cell>
          <cell r="B1083">
            <v>682.41666666666697</v>
          </cell>
        </row>
        <row r="1084">
          <cell r="A1084">
            <v>1000001499</v>
          </cell>
          <cell r="B1084">
            <v>52.75</v>
          </cell>
        </row>
        <row r="1085">
          <cell r="A1085">
            <v>1000001508</v>
          </cell>
          <cell r="B1085">
            <v>2503.9166666666702</v>
          </cell>
        </row>
        <row r="1086">
          <cell r="A1086">
            <v>1000001500</v>
          </cell>
          <cell r="B1086">
            <v>84.8333333333333</v>
          </cell>
        </row>
        <row r="1087">
          <cell r="A1087">
            <v>1000001509</v>
          </cell>
          <cell r="B1087">
            <v>81.8333333333333</v>
          </cell>
        </row>
        <row r="1088">
          <cell r="A1088">
            <v>1000001483</v>
          </cell>
          <cell r="B1088">
            <v>296.33333333333297</v>
          </cell>
        </row>
        <row r="1089">
          <cell r="A1089">
            <v>1000001490</v>
          </cell>
          <cell r="B1089">
            <v>259</v>
          </cell>
        </row>
        <row r="1090">
          <cell r="A1090">
            <v>1000001494</v>
          </cell>
          <cell r="B1090">
            <v>122.666666666667</v>
          </cell>
        </row>
        <row r="1091">
          <cell r="A1091">
            <v>1000001484</v>
          </cell>
          <cell r="B1091">
            <v>769.83333333333303</v>
          </cell>
        </row>
        <row r="1092">
          <cell r="A1092">
            <v>1000001511</v>
          </cell>
          <cell r="B1092">
            <v>746.91666666666697</v>
          </cell>
        </row>
        <row r="1093">
          <cell r="A1093">
            <v>1000001485</v>
          </cell>
          <cell r="B1093">
            <v>120.833333333333</v>
          </cell>
        </row>
        <row r="1094">
          <cell r="A1094">
            <v>1000001486</v>
          </cell>
          <cell r="B1094">
            <v>319.98333333333301</v>
          </cell>
        </row>
        <row r="1095">
          <cell r="A1095">
            <v>1000002006</v>
          </cell>
          <cell r="B1095">
            <v>48.75</v>
          </cell>
        </row>
        <row r="1096">
          <cell r="A1096">
            <v>1000002041</v>
          </cell>
          <cell r="B1096">
            <v>223.5</v>
          </cell>
        </row>
        <row r="1097">
          <cell r="A1097">
            <v>1000002044</v>
          </cell>
          <cell r="B1097">
            <v>723.20833333333303</v>
          </cell>
        </row>
        <row r="1098">
          <cell r="A1098">
            <v>1000002851</v>
          </cell>
          <cell r="B1098">
            <v>198.333333333333</v>
          </cell>
        </row>
        <row r="1099">
          <cell r="A1099">
            <v>1000002867</v>
          </cell>
          <cell r="B1099">
            <v>22.3333333333333</v>
          </cell>
        </row>
        <row r="1100">
          <cell r="A1100">
            <v>1000002981</v>
          </cell>
          <cell r="B1100">
            <v>1034.75</v>
          </cell>
        </row>
        <row r="1101">
          <cell r="A1101">
            <v>1000003242</v>
          </cell>
          <cell r="B1101">
            <v>178.583333333333</v>
          </cell>
        </row>
        <row r="1102">
          <cell r="A1102">
            <v>1000003505</v>
          </cell>
          <cell r="B1102">
            <v>661.58333333333303</v>
          </cell>
        </row>
        <row r="1103">
          <cell r="A1103">
            <v>1000003877</v>
          </cell>
          <cell r="B1103">
            <v>285.66666666666703</v>
          </cell>
        </row>
        <row r="1104">
          <cell r="A1104">
            <v>1000003918</v>
          </cell>
          <cell r="B1104">
            <v>81.6666666666667</v>
          </cell>
        </row>
        <row r="1105">
          <cell r="A1105">
            <v>1000003922</v>
          </cell>
          <cell r="B1105">
            <v>427.54166666666703</v>
          </cell>
        </row>
        <row r="1106">
          <cell r="A1106">
            <v>1000003972</v>
          </cell>
          <cell r="B1106">
            <v>35</v>
          </cell>
        </row>
        <row r="1107">
          <cell r="A1107">
            <v>1000001978</v>
          </cell>
          <cell r="B1107">
            <v>58.3333333333333</v>
          </cell>
        </row>
        <row r="1108">
          <cell r="A1108">
            <v>1000002508</v>
          </cell>
          <cell r="B1108">
            <v>55</v>
          </cell>
        </row>
        <row r="1109">
          <cell r="A1109">
            <v>1000002856</v>
          </cell>
          <cell r="B1109">
            <v>49.1666666666667</v>
          </cell>
        </row>
        <row r="1110">
          <cell r="A1110">
            <v>1000003731</v>
          </cell>
          <cell r="B1110">
            <v>198.166666666667</v>
          </cell>
        </row>
        <row r="1111">
          <cell r="A1111">
            <v>1000003787</v>
          </cell>
          <cell r="B1111">
            <v>57</v>
          </cell>
        </row>
        <row r="1112">
          <cell r="A1112">
            <v>1000003902</v>
          </cell>
          <cell r="B1112">
            <v>59.1666666666667</v>
          </cell>
        </row>
        <row r="1113">
          <cell r="A1113">
            <v>1000001821</v>
          </cell>
          <cell r="B1113">
            <v>47.5</v>
          </cell>
        </row>
        <row r="1114">
          <cell r="A1114">
            <v>1000001815</v>
          </cell>
          <cell r="B1114">
            <v>45.8333333333333</v>
          </cell>
        </row>
        <row r="1115">
          <cell r="A1115">
            <v>1000001804</v>
          </cell>
          <cell r="B1115">
            <v>29.1666666666667</v>
          </cell>
        </row>
        <row r="1116">
          <cell r="A1116">
            <v>1000001818</v>
          </cell>
          <cell r="B1116">
            <v>191</v>
          </cell>
        </row>
        <row r="1117">
          <cell r="A1117">
            <v>1000002638</v>
          </cell>
          <cell r="B1117">
            <v>8.3333333333333304</v>
          </cell>
        </row>
        <row r="1118">
          <cell r="A1118">
            <v>1000002639</v>
          </cell>
          <cell r="B1118">
            <v>28.3333333333333</v>
          </cell>
        </row>
        <row r="1119">
          <cell r="A1119">
            <v>1000003645</v>
          </cell>
          <cell r="B1119">
            <v>20.8333333333333</v>
          </cell>
        </row>
        <row r="1120">
          <cell r="A1120">
            <v>1000004012</v>
          </cell>
          <cell r="B1120">
            <v>16.6666666666667</v>
          </cell>
        </row>
        <row r="1121">
          <cell r="A1121">
            <v>1000004088</v>
          </cell>
          <cell r="B1121">
            <v>38.3333333333333</v>
          </cell>
        </row>
        <row r="1122">
          <cell r="A1122">
            <v>1000002665</v>
          </cell>
          <cell r="B1122">
            <v>102</v>
          </cell>
        </row>
        <row r="1123">
          <cell r="A1123">
            <v>1000002695</v>
          </cell>
          <cell r="B1123">
            <v>328.33333333333297</v>
          </cell>
        </row>
        <row r="1124">
          <cell r="A1124">
            <v>1000001197</v>
          </cell>
          <cell r="B1124">
            <v>157.666666666667</v>
          </cell>
        </row>
        <row r="1125">
          <cell r="A1125">
            <v>1000001189</v>
          </cell>
          <cell r="B1125">
            <v>177.5</v>
          </cell>
        </row>
        <row r="1126">
          <cell r="A1126">
            <v>1000001190</v>
          </cell>
          <cell r="B1126">
            <v>29.1666666666667</v>
          </cell>
        </row>
        <row r="1127">
          <cell r="A1127">
            <v>1000001211</v>
          </cell>
          <cell r="B1127">
            <v>25</v>
          </cell>
        </row>
        <row r="1128">
          <cell r="A1128">
            <v>1000001198</v>
          </cell>
          <cell r="B1128">
            <v>122.416666666667</v>
          </cell>
        </row>
        <row r="1129">
          <cell r="A1129">
            <v>1000001199</v>
          </cell>
          <cell r="B1129">
            <v>147.5</v>
          </cell>
        </row>
        <row r="1130">
          <cell r="A1130">
            <v>1000001212</v>
          </cell>
          <cell r="B1130">
            <v>224.166666666667</v>
          </cell>
        </row>
        <row r="1131">
          <cell r="A1131">
            <v>1000001200</v>
          </cell>
          <cell r="B1131">
            <v>32.5</v>
          </cell>
        </row>
        <row r="1132">
          <cell r="A1132">
            <v>1000002633</v>
          </cell>
          <cell r="B1132">
            <v>140.833333333333</v>
          </cell>
        </row>
        <row r="1133">
          <cell r="A1133">
            <v>1000003919</v>
          </cell>
          <cell r="B1133">
            <v>27.5</v>
          </cell>
        </row>
        <row r="1134">
          <cell r="A1134">
            <v>1000003945</v>
          </cell>
          <cell r="B1134">
            <v>45.8333333333333</v>
          </cell>
        </row>
        <row r="1135">
          <cell r="A1135">
            <v>1000003991</v>
          </cell>
          <cell r="B1135">
            <v>29.1666666666667</v>
          </cell>
        </row>
        <row r="1136">
          <cell r="A1136">
            <v>1000002559</v>
          </cell>
          <cell r="B1136">
            <v>41.6666666666667</v>
          </cell>
        </row>
        <row r="1137">
          <cell r="A1137">
            <v>1000001177</v>
          </cell>
          <cell r="B1137">
            <v>29.9166666666667</v>
          </cell>
        </row>
        <row r="1138">
          <cell r="A1138">
            <v>1000001170</v>
          </cell>
          <cell r="B1138">
            <v>127.5</v>
          </cell>
        </row>
        <row r="1139">
          <cell r="A1139">
            <v>1000001178</v>
          </cell>
          <cell r="B1139">
            <v>94.1666666666667</v>
          </cell>
        </row>
        <row r="1140">
          <cell r="A1140">
            <v>1000001174</v>
          </cell>
          <cell r="B1140">
            <v>78.3333333333333</v>
          </cell>
        </row>
        <row r="1141">
          <cell r="A1141">
            <v>1000001165</v>
          </cell>
          <cell r="B1141">
            <v>141.583333333333</v>
          </cell>
        </row>
        <row r="1142">
          <cell r="A1142">
            <v>1000001186</v>
          </cell>
          <cell r="B1142">
            <v>128.291666666667</v>
          </cell>
        </row>
        <row r="1143">
          <cell r="A1143">
            <v>1000001183</v>
          </cell>
          <cell r="B1143">
            <v>142.458333333333</v>
          </cell>
        </row>
        <row r="1144">
          <cell r="A1144">
            <v>1000001988</v>
          </cell>
          <cell r="B1144">
            <v>44.1666666666667</v>
          </cell>
        </row>
        <row r="1145">
          <cell r="A1145">
            <v>1000002030</v>
          </cell>
          <cell r="B1145">
            <v>323.33333333333297</v>
          </cell>
        </row>
        <row r="1146">
          <cell r="A1146">
            <v>1000002075</v>
          </cell>
          <cell r="B1146">
            <v>37.5</v>
          </cell>
        </row>
        <row r="1147">
          <cell r="A1147">
            <v>1000002064</v>
          </cell>
          <cell r="B1147">
            <v>234.166666666667</v>
          </cell>
        </row>
        <row r="1148">
          <cell r="A1148">
            <v>1000002070</v>
          </cell>
          <cell r="B1148">
            <v>288.33333333333297</v>
          </cell>
        </row>
        <row r="1149">
          <cell r="A1149">
            <v>1000002546</v>
          </cell>
          <cell r="B1149">
            <v>12.5</v>
          </cell>
        </row>
        <row r="1150">
          <cell r="A1150">
            <v>1000002774</v>
          </cell>
          <cell r="B1150">
            <v>14.1666666666667</v>
          </cell>
        </row>
        <row r="1151">
          <cell r="A1151">
            <v>1000003311</v>
          </cell>
          <cell r="B1151">
            <v>96.5</v>
          </cell>
        </row>
        <row r="1152">
          <cell r="A1152">
            <v>1000003323</v>
          </cell>
          <cell r="B1152">
            <v>16.6666666666667</v>
          </cell>
        </row>
        <row r="1153">
          <cell r="A1153">
            <v>1000003965</v>
          </cell>
          <cell r="B1153">
            <v>36.6666666666667</v>
          </cell>
        </row>
        <row r="1154">
          <cell r="A1154">
            <v>1000001654</v>
          </cell>
          <cell r="B1154">
            <v>25.3333333333333</v>
          </cell>
        </row>
        <row r="1155">
          <cell r="A1155">
            <v>1000001642</v>
          </cell>
          <cell r="B1155">
            <v>20.8333333333333</v>
          </cell>
        </row>
        <row r="1156">
          <cell r="A1156">
            <v>1000001669</v>
          </cell>
          <cell r="B1156">
            <v>26.75</v>
          </cell>
        </row>
        <row r="1157">
          <cell r="A1157">
            <v>1000001671</v>
          </cell>
          <cell r="B1157">
            <v>20.8333333333333</v>
          </cell>
        </row>
        <row r="1158">
          <cell r="A1158">
            <v>1000001638</v>
          </cell>
          <cell r="B1158">
            <v>53.3333333333333</v>
          </cell>
        </row>
        <row r="1159">
          <cell r="A1159">
            <v>1000001652</v>
          </cell>
          <cell r="B1159">
            <v>13.3333333333333</v>
          </cell>
        </row>
        <row r="1160">
          <cell r="A1160">
            <v>1000001657</v>
          </cell>
          <cell r="B1160">
            <v>36.0833333333333</v>
          </cell>
        </row>
        <row r="1161">
          <cell r="A1161">
            <v>1000001672</v>
          </cell>
          <cell r="B1161">
            <v>102.666666666667</v>
          </cell>
        </row>
        <row r="1162">
          <cell r="A1162">
            <v>1000001665</v>
          </cell>
          <cell r="B1162">
            <v>146.666666666667</v>
          </cell>
        </row>
        <row r="1163">
          <cell r="A1163">
            <v>1000001675</v>
          </cell>
          <cell r="B1163">
            <v>60.8333333333333</v>
          </cell>
        </row>
        <row r="1164">
          <cell r="A1164">
            <v>1000001644</v>
          </cell>
          <cell r="B1164">
            <v>139.666666666667</v>
          </cell>
        </row>
        <row r="1165">
          <cell r="A1165">
            <v>1000002005</v>
          </cell>
          <cell r="B1165">
            <v>6.6666666666666696</v>
          </cell>
        </row>
        <row r="1166">
          <cell r="A1166">
            <v>1000002049</v>
          </cell>
          <cell r="B1166">
            <v>12.5</v>
          </cell>
        </row>
        <row r="1167">
          <cell r="A1167">
            <v>1000002059</v>
          </cell>
          <cell r="B1167">
            <v>16.6666666666667</v>
          </cell>
        </row>
        <row r="1168">
          <cell r="A1168">
            <v>1000002553</v>
          </cell>
          <cell r="B1168">
            <v>47.25</v>
          </cell>
        </row>
        <row r="1169">
          <cell r="A1169">
            <v>1000002789</v>
          </cell>
          <cell r="B1169">
            <v>30.8333333333333</v>
          </cell>
        </row>
        <row r="1170">
          <cell r="A1170">
            <v>1000003280</v>
          </cell>
          <cell r="B1170">
            <v>129.166666666667</v>
          </cell>
        </row>
        <row r="1171">
          <cell r="A1171">
            <v>1000001472</v>
          </cell>
          <cell r="B1171">
            <v>30</v>
          </cell>
        </row>
        <row r="1172">
          <cell r="A1172">
            <v>1000001477</v>
          </cell>
          <cell r="B1172">
            <v>57</v>
          </cell>
        </row>
        <row r="1173">
          <cell r="A1173">
            <v>1000001461</v>
          </cell>
          <cell r="B1173">
            <v>99.6666666666667</v>
          </cell>
        </row>
        <row r="1174">
          <cell r="A1174">
            <v>1000001463</v>
          </cell>
          <cell r="B1174">
            <v>146.333333333333</v>
          </cell>
        </row>
        <row r="1175">
          <cell r="A1175">
            <v>1000001468</v>
          </cell>
          <cell r="B1175">
            <v>258.33333333333297</v>
          </cell>
        </row>
        <row r="1176">
          <cell r="A1176">
            <v>1000001462</v>
          </cell>
          <cell r="B1176">
            <v>61.6666666666667</v>
          </cell>
        </row>
        <row r="1177">
          <cell r="A1177">
            <v>1000001469</v>
          </cell>
          <cell r="B1177">
            <v>119.083333333333</v>
          </cell>
        </row>
        <row r="1178">
          <cell r="A1178">
            <v>1000001459</v>
          </cell>
          <cell r="B1178">
            <v>10.4166666666667</v>
          </cell>
        </row>
        <row r="1179">
          <cell r="A1179">
            <v>1000001195</v>
          </cell>
          <cell r="B1179">
            <v>169.333333333333</v>
          </cell>
        </row>
        <row r="1180">
          <cell r="A1180">
            <v>1000001465</v>
          </cell>
          <cell r="B1180">
            <v>232.5</v>
          </cell>
        </row>
        <row r="1181">
          <cell r="A1181">
            <v>1000002010</v>
          </cell>
          <cell r="B1181">
            <v>40.658333333333303</v>
          </cell>
        </row>
        <row r="1182">
          <cell r="A1182">
            <v>1000002510</v>
          </cell>
          <cell r="B1182">
            <v>97</v>
          </cell>
        </row>
        <row r="1183">
          <cell r="A1183">
            <v>1000002773</v>
          </cell>
          <cell r="B1183">
            <v>218.3</v>
          </cell>
        </row>
        <row r="1184">
          <cell r="A1184">
            <v>1000002866</v>
          </cell>
          <cell r="B1184">
            <v>111.666666666667</v>
          </cell>
        </row>
        <row r="1185">
          <cell r="A1185">
            <v>1000003392</v>
          </cell>
          <cell r="B1185">
            <v>74.3333333333333</v>
          </cell>
        </row>
        <row r="1186">
          <cell r="A1186">
            <v>1000003462</v>
          </cell>
          <cell r="B1186">
            <v>4.1666666666666696</v>
          </cell>
        </row>
        <row r="1187">
          <cell r="A1187">
            <v>1000003606</v>
          </cell>
          <cell r="B1187">
            <v>42.5</v>
          </cell>
        </row>
        <row r="1188">
          <cell r="A1188">
            <v>1000003921</v>
          </cell>
          <cell r="B1188">
            <v>618.08333333333303</v>
          </cell>
        </row>
        <row r="1189">
          <cell r="A1189">
            <v>1000001712</v>
          </cell>
          <cell r="B1189">
            <v>352.89166666666699</v>
          </cell>
        </row>
        <row r="1190">
          <cell r="A1190">
            <v>1000001734</v>
          </cell>
          <cell r="B1190">
            <v>697.34166666666704</v>
          </cell>
        </row>
        <row r="1191">
          <cell r="A1191">
            <v>1000001735</v>
          </cell>
          <cell r="B1191">
            <v>404.82499999999999</v>
          </cell>
        </row>
        <row r="1192">
          <cell r="A1192">
            <v>1000001736</v>
          </cell>
          <cell r="B1192">
            <v>44.1666666666667</v>
          </cell>
        </row>
        <row r="1193">
          <cell r="A1193">
            <v>1000001718</v>
          </cell>
          <cell r="B1193">
            <v>11</v>
          </cell>
        </row>
        <row r="1194">
          <cell r="A1194">
            <v>1000001724</v>
          </cell>
          <cell r="B1194">
            <v>12.875</v>
          </cell>
        </row>
        <row r="1195">
          <cell r="A1195">
            <v>1000001721</v>
          </cell>
          <cell r="B1195">
            <v>50.75</v>
          </cell>
        </row>
        <row r="1196">
          <cell r="A1196">
            <v>1000001727</v>
          </cell>
          <cell r="B1196">
            <v>8.3333333333333304</v>
          </cell>
        </row>
        <row r="1197">
          <cell r="A1197">
            <v>1000001716</v>
          </cell>
          <cell r="B1197">
            <v>393.54166666666703</v>
          </cell>
        </row>
        <row r="1198">
          <cell r="A1198">
            <v>1000001722</v>
          </cell>
          <cell r="B1198">
            <v>306</v>
          </cell>
        </row>
        <row r="1199">
          <cell r="A1199">
            <v>1000001719</v>
          </cell>
          <cell r="B1199">
            <v>158.083333333333</v>
          </cell>
        </row>
        <row r="1200">
          <cell r="A1200">
            <v>1000001732</v>
          </cell>
          <cell r="B1200">
            <v>10.5833333333333</v>
          </cell>
        </row>
        <row r="1201">
          <cell r="A1201">
            <v>1000002536</v>
          </cell>
          <cell r="B1201">
            <v>48.3333333333333</v>
          </cell>
        </row>
        <row r="1202">
          <cell r="A1202">
            <v>1000003040</v>
          </cell>
          <cell r="B1202">
            <v>171</v>
          </cell>
        </row>
        <row r="1203">
          <cell r="A1203">
            <v>1000003080</v>
          </cell>
          <cell r="B1203">
            <v>1.1666666666666701</v>
          </cell>
        </row>
        <row r="1204">
          <cell r="A1204">
            <v>1000003556</v>
          </cell>
          <cell r="B1204">
            <v>342.28333333333302</v>
          </cell>
        </row>
        <row r="1205">
          <cell r="A1205">
            <v>1000004108</v>
          </cell>
          <cell r="B1205">
            <v>118.083333333333</v>
          </cell>
        </row>
        <row r="1206">
          <cell r="A1206">
            <v>1000004110</v>
          </cell>
          <cell r="B1206">
            <v>57</v>
          </cell>
        </row>
        <row r="1207">
          <cell r="A1207">
            <v>1000004111</v>
          </cell>
          <cell r="B1207">
            <v>3.3333333333333299</v>
          </cell>
        </row>
        <row r="1208">
          <cell r="A1208">
            <v>1000004109</v>
          </cell>
          <cell r="B1208">
            <v>19.5</v>
          </cell>
        </row>
        <row r="1209">
          <cell r="A1209">
            <v>1000004112</v>
          </cell>
          <cell r="B1209">
            <v>70.8333333333333</v>
          </cell>
        </row>
        <row r="1210">
          <cell r="A1210">
            <v>1000002901</v>
          </cell>
          <cell r="B1210">
            <v>161</v>
          </cell>
        </row>
        <row r="1211">
          <cell r="A1211">
            <v>1000004113</v>
          </cell>
          <cell r="B1211">
            <v>91.7083333333333</v>
          </cell>
        </row>
        <row r="1212">
          <cell r="A1212">
            <v>1000004114</v>
          </cell>
          <cell r="B1212">
            <v>16.25</v>
          </cell>
        </row>
        <row r="1213">
          <cell r="A1213">
            <v>1000004115</v>
          </cell>
          <cell r="B1213">
            <v>141.666666666667</v>
          </cell>
        </row>
        <row r="1214">
          <cell r="A1214">
            <v>1000004116</v>
          </cell>
          <cell r="B1214">
            <v>39.0833333333333</v>
          </cell>
        </row>
        <row r="1215">
          <cell r="A1215">
            <v>1000004117</v>
          </cell>
          <cell r="B1215">
            <v>10</v>
          </cell>
        </row>
        <row r="1216">
          <cell r="A1216">
            <v>1000004118</v>
          </cell>
          <cell r="B1216">
            <v>255.333333333333</v>
          </cell>
        </row>
        <row r="1217">
          <cell r="A1217">
            <v>1000004119</v>
          </cell>
          <cell r="B1217">
            <v>94.5</v>
          </cell>
        </row>
        <row r="1218">
          <cell r="A1218">
            <v>1000004120</v>
          </cell>
          <cell r="B1218">
            <v>99.1666666666667</v>
          </cell>
        </row>
        <row r="1219">
          <cell r="A1219">
            <v>1000004121</v>
          </cell>
          <cell r="B1219">
            <v>360.97500000000002</v>
          </cell>
        </row>
        <row r="1220">
          <cell r="A1220">
            <v>1000004122</v>
          </cell>
          <cell r="B1220">
            <v>26.1666666666667</v>
          </cell>
        </row>
        <row r="1221">
          <cell r="A1221">
            <v>1000004123</v>
          </cell>
          <cell r="B1221">
            <v>234.166666666667</v>
          </cell>
        </row>
        <row r="1222">
          <cell r="A1222">
            <v>1000004126</v>
          </cell>
          <cell r="B1222">
            <v>22.5</v>
          </cell>
        </row>
        <row r="1223">
          <cell r="A1223">
            <v>1000004134</v>
          </cell>
          <cell r="B1223">
            <v>5.5</v>
          </cell>
        </row>
        <row r="1224">
          <cell r="A1224">
            <v>1000004133</v>
          </cell>
          <cell r="B1224">
            <v>23.3333333333333</v>
          </cell>
        </row>
        <row r="1225">
          <cell r="A1225">
            <v>1000004132</v>
          </cell>
          <cell r="B1225">
            <v>116.666666666667</v>
          </cell>
        </row>
        <row r="1226">
          <cell r="A1226">
            <v>1000004136</v>
          </cell>
          <cell r="B1226">
            <v>30.9166666666667</v>
          </cell>
        </row>
        <row r="1227">
          <cell r="A1227">
            <v>1000004137</v>
          </cell>
          <cell r="B1227">
            <v>451.22500000000002</v>
          </cell>
        </row>
        <row r="1228">
          <cell r="A1228">
            <v>1000004139</v>
          </cell>
          <cell r="B1228">
            <v>13.3333333333333</v>
          </cell>
        </row>
        <row r="1229">
          <cell r="A1229">
            <v>1000004141</v>
          </cell>
          <cell r="B1229">
            <v>377.41666666666703</v>
          </cell>
        </row>
        <row r="1230">
          <cell r="A1230">
            <v>1000004146</v>
          </cell>
          <cell r="B1230">
            <v>5.8333333333333304</v>
          </cell>
        </row>
        <row r="1231">
          <cell r="A1231">
            <v>1000004147</v>
          </cell>
          <cell r="B1231">
            <v>484.16666666666703</v>
          </cell>
        </row>
        <row r="1232">
          <cell r="A1232">
            <v>1000000306</v>
          </cell>
          <cell r="B1232">
            <v>1009.83333333333</v>
          </cell>
        </row>
        <row r="1233">
          <cell r="A1233">
            <v>1000004149</v>
          </cell>
          <cell r="B1233">
            <v>3.1666666666666701</v>
          </cell>
        </row>
        <row r="1234">
          <cell r="A1234">
            <v>1000003303</v>
          </cell>
          <cell r="B1234">
            <v>30.75</v>
          </cell>
        </row>
        <row r="1235">
          <cell r="A1235">
            <v>1000000435</v>
          </cell>
          <cell r="B1235">
            <v>13.1916666666667</v>
          </cell>
        </row>
        <row r="1236">
          <cell r="A1236">
            <v>1000004151</v>
          </cell>
          <cell r="B1236">
            <v>136.333333333333</v>
          </cell>
        </row>
        <row r="1237">
          <cell r="A1237">
            <v>1000004152</v>
          </cell>
          <cell r="B1237">
            <v>62.5</v>
          </cell>
        </row>
        <row r="1238">
          <cell r="A1238">
            <v>1000004157</v>
          </cell>
          <cell r="B1238">
            <v>123.333333333333</v>
          </cell>
        </row>
        <row r="1239">
          <cell r="A1239">
            <v>1000004155</v>
          </cell>
          <cell r="B1239">
            <v>100.833333333333</v>
          </cell>
        </row>
        <row r="1240">
          <cell r="A1240">
            <v>1000004156</v>
          </cell>
          <cell r="B1240">
            <v>5</v>
          </cell>
        </row>
        <row r="1241">
          <cell r="A1241">
            <v>1000004161</v>
          </cell>
          <cell r="B1241">
            <v>132.5</v>
          </cell>
        </row>
        <row r="1242">
          <cell r="A1242">
            <v>1000004153</v>
          </cell>
          <cell r="B1242">
            <v>133.333333333333</v>
          </cell>
        </row>
        <row r="1243">
          <cell r="A1243">
            <v>1000004165</v>
          </cell>
          <cell r="B1243">
            <v>665.375</v>
          </cell>
        </row>
        <row r="1244">
          <cell r="A1244">
            <v>1000004164</v>
          </cell>
          <cell r="B1244">
            <v>13</v>
          </cell>
        </row>
        <row r="1245">
          <cell r="A1245">
            <v>1000004158</v>
          </cell>
          <cell r="B1245">
            <v>35.8333333333333</v>
          </cell>
        </row>
        <row r="1246">
          <cell r="A1246">
            <v>1000004163</v>
          </cell>
          <cell r="B1246">
            <v>166.15</v>
          </cell>
        </row>
        <row r="1247">
          <cell r="A1247">
            <v>1000004168</v>
          </cell>
          <cell r="B1247">
            <v>25.3333333333333</v>
          </cell>
        </row>
        <row r="1248">
          <cell r="A1248">
            <v>1000001683</v>
          </cell>
          <cell r="B1248">
            <v>5</v>
          </cell>
        </row>
        <row r="1249">
          <cell r="A1249">
            <v>1000004167</v>
          </cell>
          <cell r="B1249">
            <v>175</v>
          </cell>
        </row>
        <row r="1250">
          <cell r="A1250">
            <v>1000004169</v>
          </cell>
          <cell r="B1250">
            <v>32</v>
          </cell>
        </row>
        <row r="1251">
          <cell r="A1251">
            <v>1000000378</v>
          </cell>
          <cell r="B1251">
            <v>40.625</v>
          </cell>
        </row>
        <row r="1252">
          <cell r="A1252">
            <v>1000001366</v>
          </cell>
          <cell r="B1252">
            <v>477.4</v>
          </cell>
        </row>
        <row r="1253">
          <cell r="A1253">
            <v>1000004159</v>
          </cell>
          <cell r="B1253">
            <v>44.5</v>
          </cell>
        </row>
        <row r="1254">
          <cell r="A1254">
            <v>1000004170</v>
          </cell>
          <cell r="B1254">
            <v>39.1666666666667</v>
          </cell>
        </row>
        <row r="1255">
          <cell r="A1255">
            <v>1000003041</v>
          </cell>
          <cell r="B1255">
            <v>110</v>
          </cell>
        </row>
        <row r="1256">
          <cell r="A1256">
            <v>1000004172</v>
          </cell>
          <cell r="B1256">
            <v>67.5</v>
          </cell>
        </row>
        <row r="1257">
          <cell r="A1257">
            <v>1000004183</v>
          </cell>
          <cell r="B1257">
            <v>62</v>
          </cell>
        </row>
        <row r="1258">
          <cell r="A1258">
            <v>1000004171</v>
          </cell>
          <cell r="B1258">
            <v>30</v>
          </cell>
        </row>
        <row r="1259">
          <cell r="A1259">
            <v>1000004182</v>
          </cell>
          <cell r="B1259">
            <v>58.3333333333333</v>
          </cell>
        </row>
        <row r="1260">
          <cell r="A1260">
            <v>1000000568</v>
          </cell>
          <cell r="B1260">
            <v>123</v>
          </cell>
        </row>
        <row r="1261">
          <cell r="A1261">
            <v>1000004184</v>
          </cell>
          <cell r="B1261">
            <v>63.1666666666667</v>
          </cell>
        </row>
        <row r="1262">
          <cell r="A1262">
            <v>1000004177</v>
          </cell>
          <cell r="B1262">
            <v>63.6666666666667</v>
          </cell>
        </row>
        <row r="1263">
          <cell r="A1263">
            <v>1000004174</v>
          </cell>
          <cell r="B1263">
            <v>142.333333333333</v>
          </cell>
        </row>
        <row r="1264">
          <cell r="A1264">
            <v>1000004175</v>
          </cell>
          <cell r="B1264">
            <v>45.0833333333333</v>
          </cell>
        </row>
        <row r="1265">
          <cell r="A1265">
            <v>1000004166</v>
          </cell>
          <cell r="B1265">
            <v>20</v>
          </cell>
        </row>
        <row r="1266">
          <cell r="A1266">
            <v>1000001168</v>
          </cell>
          <cell r="B1266">
            <v>5.8333333333333304</v>
          </cell>
        </row>
        <row r="1267">
          <cell r="A1267">
            <v>1000004179</v>
          </cell>
          <cell r="B1267">
            <v>80</v>
          </cell>
        </row>
        <row r="1268">
          <cell r="A1268">
            <v>1000004181</v>
          </cell>
          <cell r="B1268">
            <v>126.325</v>
          </cell>
        </row>
        <row r="1269">
          <cell r="A1269">
            <v>1000004187</v>
          </cell>
          <cell r="B1269">
            <v>232.833333333333</v>
          </cell>
        </row>
        <row r="1270">
          <cell r="A1270">
            <v>1000004185</v>
          </cell>
          <cell r="B1270">
            <v>70.8333333333333</v>
          </cell>
        </row>
        <row r="1271">
          <cell r="A1271">
            <v>1000001184</v>
          </cell>
          <cell r="B1271">
            <v>20.7916666666667</v>
          </cell>
        </row>
        <row r="1272">
          <cell r="A1272">
            <v>1000001660</v>
          </cell>
          <cell r="B1272">
            <v>15</v>
          </cell>
        </row>
        <row r="1273">
          <cell r="A1273">
            <v>1000002780</v>
          </cell>
          <cell r="B1273">
            <v>9.9166666666666696</v>
          </cell>
        </row>
        <row r="1274">
          <cell r="A1274">
            <v>1000002525</v>
          </cell>
          <cell r="B1274">
            <v>4.5833333333333304</v>
          </cell>
        </row>
        <row r="1275">
          <cell r="A1275">
            <v>1000004192</v>
          </cell>
          <cell r="B1275">
            <v>152.166666666667</v>
          </cell>
        </row>
        <row r="1276">
          <cell r="A1276">
            <v>1000004196</v>
          </cell>
          <cell r="B1276">
            <v>2328.5833333333298</v>
          </cell>
        </row>
        <row r="1277">
          <cell r="A1277">
            <v>1000004203</v>
          </cell>
          <cell r="B1277">
            <v>10</v>
          </cell>
        </row>
        <row r="1278">
          <cell r="A1278">
            <v>1000004197</v>
          </cell>
          <cell r="B1278">
            <v>351.8</v>
          </cell>
        </row>
        <row r="1279">
          <cell r="A1279">
            <v>1000004202</v>
          </cell>
          <cell r="B1279">
            <v>12.5</v>
          </cell>
        </row>
        <row r="1280">
          <cell r="A1280">
            <v>1000001726</v>
          </cell>
          <cell r="B1280">
            <v>8.8333333333333304</v>
          </cell>
        </row>
        <row r="1281">
          <cell r="A1281">
            <v>1000000307</v>
          </cell>
          <cell r="B1281">
            <v>105.333333333333</v>
          </cell>
        </row>
        <row r="1282">
          <cell r="A1282">
            <v>1000004193</v>
          </cell>
          <cell r="B1282">
            <v>37.1666666666667</v>
          </cell>
        </row>
        <row r="1283">
          <cell r="A1283">
            <v>1000001359</v>
          </cell>
          <cell r="B1283">
            <v>63.1666666666667</v>
          </cell>
        </row>
        <row r="1284">
          <cell r="A1284">
            <v>1000004212</v>
          </cell>
          <cell r="B1284">
            <v>172.5</v>
          </cell>
        </row>
        <row r="1285">
          <cell r="A1285">
            <v>1000004204</v>
          </cell>
          <cell r="B1285">
            <v>28.725000000000001</v>
          </cell>
        </row>
        <row r="1286">
          <cell r="A1286">
            <v>1000004215</v>
          </cell>
          <cell r="B1286">
            <v>190</v>
          </cell>
        </row>
        <row r="1287">
          <cell r="A1287">
            <v>1000000566</v>
          </cell>
          <cell r="B1287">
            <v>53.3333333333333</v>
          </cell>
        </row>
        <row r="1288">
          <cell r="A1288">
            <v>1000004201</v>
          </cell>
          <cell r="B1288">
            <v>8.5</v>
          </cell>
        </row>
        <row r="1289">
          <cell r="A1289">
            <v>1000004214</v>
          </cell>
          <cell r="B1289">
            <v>22.25</v>
          </cell>
        </row>
        <row r="1290">
          <cell r="A1290">
            <v>1000004216</v>
          </cell>
          <cell r="B1290">
            <v>157</v>
          </cell>
        </row>
        <row r="1291">
          <cell r="A1291">
            <v>1000004222</v>
          </cell>
          <cell r="B1291">
            <v>109.308333333333</v>
          </cell>
        </row>
        <row r="1292">
          <cell r="A1292">
            <v>1000004223</v>
          </cell>
          <cell r="B1292">
            <v>137.666666666667</v>
          </cell>
        </row>
        <row r="1293">
          <cell r="A1293">
            <v>1000000580</v>
          </cell>
          <cell r="B1293">
            <v>192.833333333333</v>
          </cell>
        </row>
        <row r="1294">
          <cell r="A1294">
            <v>1000004227</v>
          </cell>
          <cell r="B1294">
            <v>87.575000000000003</v>
          </cell>
        </row>
        <row r="1295">
          <cell r="A1295">
            <v>1000004242</v>
          </cell>
          <cell r="B1295">
            <v>33</v>
          </cell>
        </row>
        <row r="1296">
          <cell r="A1296">
            <v>1000004230</v>
          </cell>
          <cell r="B1296">
            <v>15.9166666666667</v>
          </cell>
        </row>
        <row r="1297">
          <cell r="A1297">
            <v>1000004262</v>
          </cell>
          <cell r="B1297">
            <v>4.8333333333333304</v>
          </cell>
        </row>
        <row r="1298">
          <cell r="A1298">
            <v>1000004224</v>
          </cell>
          <cell r="B1298">
            <v>72.8333333333333</v>
          </cell>
        </row>
        <row r="1299">
          <cell r="A1299">
            <v>1000004213</v>
          </cell>
          <cell r="B1299">
            <v>3.9166666666666701</v>
          </cell>
        </row>
        <row r="1300">
          <cell r="A1300">
            <v>1000004186</v>
          </cell>
          <cell r="B1300">
            <v>28.1666666666667</v>
          </cell>
        </row>
        <row r="1301">
          <cell r="A1301">
            <v>1000000116</v>
          </cell>
          <cell r="B1301">
            <v>25</v>
          </cell>
        </row>
        <row r="1302">
          <cell r="A1302">
            <v>1000003453</v>
          </cell>
          <cell r="B1302">
            <v>20</v>
          </cell>
        </row>
        <row r="1303">
          <cell r="A1303">
            <v>1000003588</v>
          </cell>
          <cell r="B1303">
            <v>20.8333333333333</v>
          </cell>
        </row>
        <row r="1304">
          <cell r="A1304">
            <v>1000004265</v>
          </cell>
          <cell r="B1304">
            <v>68.366666666666703</v>
          </cell>
        </row>
        <row r="1305">
          <cell r="A1305">
            <v>1000004252</v>
          </cell>
          <cell r="B1305">
            <v>125</v>
          </cell>
        </row>
        <row r="1306">
          <cell r="A1306">
            <v>1000004232</v>
          </cell>
          <cell r="B1306">
            <v>63.4166666666667</v>
          </cell>
        </row>
        <row r="1307">
          <cell r="A1307">
            <v>1000004267</v>
          </cell>
          <cell r="B1307">
            <v>40</v>
          </cell>
        </row>
        <row r="1308">
          <cell r="A1308">
            <v>1000002661</v>
          </cell>
          <cell r="B1308">
            <v>79.1666666666667</v>
          </cell>
        </row>
        <row r="1309">
          <cell r="A1309">
            <v>1000004268</v>
          </cell>
          <cell r="B1309">
            <v>19.1666666666667</v>
          </cell>
        </row>
        <row r="1310">
          <cell r="A1310">
            <v>1000004270</v>
          </cell>
          <cell r="B1310">
            <v>18.3333333333333</v>
          </cell>
        </row>
        <row r="1311">
          <cell r="A1311">
            <v>1000000112</v>
          </cell>
          <cell r="B1311">
            <v>127</v>
          </cell>
        </row>
        <row r="1312">
          <cell r="A1312">
            <v>1000004226</v>
          </cell>
          <cell r="B1312">
            <v>25</v>
          </cell>
        </row>
        <row r="1313">
          <cell r="A1313">
            <v>1000000412</v>
          </cell>
          <cell r="B1313">
            <v>2.9166666666666701</v>
          </cell>
        </row>
        <row r="1314">
          <cell r="A1314">
            <v>1000004021</v>
          </cell>
          <cell r="B1314">
            <v>18.3333333333333</v>
          </cell>
        </row>
        <row r="1315">
          <cell r="A1315">
            <v>1000002528</v>
          </cell>
          <cell r="B1315">
            <v>6.6666666666666696</v>
          </cell>
        </row>
        <row r="1316">
          <cell r="A1316">
            <v>1000004273</v>
          </cell>
          <cell r="B1316">
            <v>70.6666666666667</v>
          </cell>
        </row>
        <row r="1317">
          <cell r="A1317">
            <v>1000004276</v>
          </cell>
          <cell r="B1317">
            <v>20.8333333333333</v>
          </cell>
        </row>
        <row r="1318">
          <cell r="A1318">
            <v>1000004225</v>
          </cell>
          <cell r="B1318">
            <v>14.75</v>
          </cell>
        </row>
        <row r="1319">
          <cell r="A1319">
            <v>1000004277</v>
          </cell>
          <cell r="B1319">
            <v>13.3333333333333</v>
          </cell>
        </row>
        <row r="1320">
          <cell r="A1320">
            <v>1000001466</v>
          </cell>
          <cell r="B1320">
            <v>33.3333333333333</v>
          </cell>
        </row>
        <row r="1321">
          <cell r="A1321">
            <v>1000001436</v>
          </cell>
          <cell r="B1321">
            <v>70.5</v>
          </cell>
        </row>
        <row r="1322">
          <cell r="A1322">
            <v>1000004285</v>
          </cell>
          <cell r="B1322">
            <v>6.6666666666666696</v>
          </cell>
        </row>
        <row r="1323">
          <cell r="A1323">
            <v>1000004282</v>
          </cell>
          <cell r="B1323">
            <v>44.8333333333333</v>
          </cell>
        </row>
        <row r="1324">
          <cell r="A1324">
            <v>1000004293</v>
          </cell>
          <cell r="B1324">
            <v>16.6666666666667</v>
          </cell>
        </row>
        <row r="1325">
          <cell r="A1325">
            <v>1000004272</v>
          </cell>
          <cell r="B1325">
            <v>16.6666666666667</v>
          </cell>
        </row>
        <row r="1326">
          <cell r="A1326">
            <v>1000000977</v>
          </cell>
          <cell r="B1326">
            <v>31.5</v>
          </cell>
        </row>
        <row r="1327">
          <cell r="A1327">
            <v>1000004314</v>
          </cell>
          <cell r="B1327">
            <v>468.816666666667</v>
          </cell>
        </row>
        <row r="1328">
          <cell r="A1328">
            <v>1000004275</v>
          </cell>
          <cell r="B1328">
            <v>1269.13333333333</v>
          </cell>
        </row>
        <row r="1329">
          <cell r="A1329">
            <v>1000004302</v>
          </cell>
          <cell r="B1329">
            <v>61.5</v>
          </cell>
        </row>
        <row r="1330">
          <cell r="A1330">
            <v>1000000386</v>
          </cell>
          <cell r="B1330">
            <v>69.8333333333333</v>
          </cell>
        </row>
        <row r="1331">
          <cell r="A1331">
            <v>1000004316</v>
          </cell>
          <cell r="B1331">
            <v>183.416666666667</v>
          </cell>
        </row>
        <row r="1332">
          <cell r="A1332">
            <v>1000003293</v>
          </cell>
          <cell r="B1332">
            <v>40.5</v>
          </cell>
        </row>
        <row r="1333">
          <cell r="A1333">
            <v>1000004292</v>
          </cell>
          <cell r="B1333">
            <v>12.9166666666667</v>
          </cell>
        </row>
        <row r="1334">
          <cell r="A1334">
            <v>1000004315</v>
          </cell>
          <cell r="B1334">
            <v>134.333333333333</v>
          </cell>
        </row>
        <row r="1335">
          <cell r="A1335">
            <v>1000004317</v>
          </cell>
          <cell r="B1335">
            <v>1426.4083333333299</v>
          </cell>
        </row>
        <row r="1336">
          <cell r="A1336">
            <v>1000004313</v>
          </cell>
          <cell r="B1336">
            <v>42.3333333333333</v>
          </cell>
        </row>
        <row r="1337">
          <cell r="A1337">
            <v>1000004324</v>
          </cell>
          <cell r="B1337">
            <v>253.083333333333</v>
          </cell>
        </row>
        <row r="1338">
          <cell r="A1338">
            <v>1000004321</v>
          </cell>
          <cell r="B1338">
            <v>239.333333333333</v>
          </cell>
        </row>
        <row r="1339">
          <cell r="A1339">
            <v>1000004331</v>
          </cell>
          <cell r="B1339">
            <v>17.4166666666667</v>
          </cell>
        </row>
        <row r="1340">
          <cell r="A1340">
            <v>1000004323</v>
          </cell>
          <cell r="B1340">
            <v>26.8333333333333</v>
          </cell>
        </row>
        <row r="1341">
          <cell r="A1341">
            <v>1000004328</v>
          </cell>
          <cell r="B1341">
            <v>269.52499999999998</v>
          </cell>
        </row>
        <row r="1342">
          <cell r="A1342">
            <v>1000004144</v>
          </cell>
          <cell r="B1342">
            <v>26.6666666666667</v>
          </cell>
        </row>
        <row r="1343">
          <cell r="A1343">
            <v>1000004318</v>
          </cell>
          <cell r="B1343">
            <v>90.4</v>
          </cell>
        </row>
        <row r="1344">
          <cell r="A1344">
            <v>1000004334</v>
          </cell>
          <cell r="B1344">
            <v>977.58333333333303</v>
          </cell>
        </row>
        <row r="1345">
          <cell r="A1345">
            <v>1000001982</v>
          </cell>
          <cell r="B1345">
            <v>18.3333333333333</v>
          </cell>
        </row>
        <row r="1346">
          <cell r="A1346">
            <v>1000004327</v>
          </cell>
          <cell r="B1346">
            <v>193.5</v>
          </cell>
        </row>
        <row r="1347">
          <cell r="A1347">
            <v>1000004333</v>
          </cell>
          <cell r="B1347">
            <v>28.6666666666667</v>
          </cell>
        </row>
        <row r="1348">
          <cell r="A1348">
            <v>1000004326</v>
          </cell>
          <cell r="B1348">
            <v>279.41666666666703</v>
          </cell>
        </row>
        <row r="1349">
          <cell r="A1349">
            <v>1000004330</v>
          </cell>
          <cell r="B1349">
            <v>156.666666666667</v>
          </cell>
        </row>
        <row r="1350">
          <cell r="A1350">
            <v>1000004353</v>
          </cell>
          <cell r="B1350">
            <v>647.58333333333303</v>
          </cell>
        </row>
        <row r="1351">
          <cell r="A1351">
            <v>1000004348</v>
          </cell>
          <cell r="B1351">
            <v>70.3333333333333</v>
          </cell>
        </row>
        <row r="1352">
          <cell r="A1352">
            <v>1000004337</v>
          </cell>
          <cell r="B1352">
            <v>53</v>
          </cell>
        </row>
        <row r="1353">
          <cell r="A1353">
            <v>1000004336</v>
          </cell>
          <cell r="B1353">
            <v>15.8333333333333</v>
          </cell>
        </row>
        <row r="1354">
          <cell r="A1354">
            <v>1000004346</v>
          </cell>
          <cell r="B1354">
            <v>207.166666666667</v>
          </cell>
        </row>
        <row r="1355">
          <cell r="A1355">
            <v>1000004354</v>
          </cell>
          <cell r="B1355">
            <v>58.8333333333333</v>
          </cell>
        </row>
        <row r="1356">
          <cell r="A1356">
            <v>1000000704</v>
          </cell>
          <cell r="B1356">
            <v>10.4166666666667</v>
          </cell>
        </row>
        <row r="1357">
          <cell r="A1357">
            <v>1000004322</v>
          </cell>
          <cell r="B1357">
            <v>12.5</v>
          </cell>
        </row>
        <row r="1358">
          <cell r="A1358">
            <v>1000004351</v>
          </cell>
          <cell r="B1358">
            <v>36.6666666666667</v>
          </cell>
        </row>
        <row r="1359">
          <cell r="A1359">
            <v>1000004357</v>
          </cell>
          <cell r="B1359">
            <v>687.625</v>
          </cell>
        </row>
        <row r="1360">
          <cell r="A1360">
            <v>1000004359</v>
          </cell>
          <cell r="B1360">
            <v>574.83333333333303</v>
          </cell>
        </row>
        <row r="1361">
          <cell r="A1361">
            <v>1000004356</v>
          </cell>
          <cell r="B1361">
            <v>73.9166666666667</v>
          </cell>
        </row>
        <row r="1362">
          <cell r="A1362">
            <v>1000004363</v>
          </cell>
          <cell r="B1362">
            <v>325</v>
          </cell>
        </row>
        <row r="1363">
          <cell r="A1363">
            <v>1000004355</v>
          </cell>
          <cell r="B1363">
            <v>48.3333333333333</v>
          </cell>
        </row>
        <row r="1364">
          <cell r="A1364">
            <v>1000004335</v>
          </cell>
          <cell r="B1364">
            <v>39.5833333333333</v>
          </cell>
        </row>
        <row r="1365">
          <cell r="A1365">
            <v>1000004358</v>
          </cell>
          <cell r="B1365">
            <v>31.6666666666667</v>
          </cell>
        </row>
        <row r="1366">
          <cell r="A1366">
            <v>1000004369</v>
          </cell>
          <cell r="B1366">
            <v>99.308333333333294</v>
          </cell>
        </row>
        <row r="1367">
          <cell r="A1367">
            <v>1000004367</v>
          </cell>
          <cell r="B1367">
            <v>675.4</v>
          </cell>
        </row>
        <row r="1368">
          <cell r="A1368">
            <v>1000004370</v>
          </cell>
          <cell r="B1368">
            <v>87.5</v>
          </cell>
        </row>
        <row r="1369">
          <cell r="A1369">
            <v>1000004283</v>
          </cell>
          <cell r="B1369">
            <v>17.5</v>
          </cell>
        </row>
        <row r="1370">
          <cell r="A1370">
            <v>1000002739</v>
          </cell>
          <cell r="B1370">
            <v>53.3333333333333</v>
          </cell>
        </row>
        <row r="1371">
          <cell r="A1371">
            <v>1000004347</v>
          </cell>
          <cell r="B1371">
            <v>163.833333333333</v>
          </cell>
        </row>
        <row r="1372">
          <cell r="A1372">
            <v>1000004361</v>
          </cell>
          <cell r="B1372">
            <v>206</v>
          </cell>
        </row>
        <row r="1373">
          <cell r="A1373">
            <v>1000004365</v>
          </cell>
          <cell r="B1373">
            <v>155</v>
          </cell>
        </row>
        <row r="1374">
          <cell r="A1374">
            <v>1000004368</v>
          </cell>
          <cell r="B1374">
            <v>73.75</v>
          </cell>
        </row>
        <row r="1375">
          <cell r="A1375">
            <v>1000004372</v>
          </cell>
          <cell r="B1375">
            <v>294.90833333333302</v>
          </cell>
        </row>
        <row r="1376">
          <cell r="A1376">
            <v>1000004373</v>
          </cell>
          <cell r="B1376">
            <v>68.3333333333333</v>
          </cell>
        </row>
        <row r="1377">
          <cell r="A1377">
            <v>1000004374</v>
          </cell>
          <cell r="B1377">
            <v>34.25</v>
          </cell>
        </row>
        <row r="1378">
          <cell r="A1378">
            <v>1000004375</v>
          </cell>
          <cell r="B1378">
            <v>14.6666666666667</v>
          </cell>
        </row>
        <row r="1379">
          <cell r="A1379">
            <v>1000004377</v>
          </cell>
          <cell r="B1379">
            <v>498.33333333333297</v>
          </cell>
        </row>
        <row r="1380">
          <cell r="A1380">
            <v>1000004378</v>
          </cell>
          <cell r="B1380">
            <v>26.1666666666667</v>
          </cell>
        </row>
        <row r="1381">
          <cell r="A1381">
            <v>1000004380</v>
          </cell>
          <cell r="B1381">
            <v>694.33333333333303</v>
          </cell>
        </row>
        <row r="1382">
          <cell r="A1382">
            <v>1000004384</v>
          </cell>
          <cell r="B1382">
            <v>410</v>
          </cell>
        </row>
        <row r="1383">
          <cell r="A1383">
            <v>1000004379</v>
          </cell>
          <cell r="B1383">
            <v>35.5</v>
          </cell>
        </row>
        <row r="1384">
          <cell r="A1384">
            <v>1000004391</v>
          </cell>
          <cell r="B1384">
            <v>54.1666666666667</v>
          </cell>
        </row>
        <row r="1385">
          <cell r="A1385">
            <v>1000001900</v>
          </cell>
          <cell r="B1385">
            <v>20.25</v>
          </cell>
        </row>
        <row r="1386">
          <cell r="A1386">
            <v>1000004392</v>
          </cell>
          <cell r="B1386">
            <v>21.6666666666667</v>
          </cell>
        </row>
        <row r="1387">
          <cell r="A1387">
            <v>1000004388</v>
          </cell>
          <cell r="B1387">
            <v>44.1666666666667</v>
          </cell>
        </row>
        <row r="1388">
          <cell r="A1388">
            <v>1000004371</v>
          </cell>
          <cell r="B1388">
            <v>88.733333333333306</v>
          </cell>
        </row>
        <row r="1389">
          <cell r="A1389">
            <v>1000004390</v>
          </cell>
          <cell r="B1389">
            <v>79.5</v>
          </cell>
        </row>
        <row r="1390">
          <cell r="A1390">
            <v>1000004395</v>
          </cell>
          <cell r="B1390">
            <v>9.8333333333333304</v>
          </cell>
        </row>
        <row r="1391">
          <cell r="A1391">
            <v>1000004398</v>
          </cell>
          <cell r="B1391">
            <v>384.16666666666703</v>
          </cell>
        </row>
        <row r="1392">
          <cell r="A1392">
            <v>1000004404</v>
          </cell>
          <cell r="B1392">
            <v>14.1666666666667</v>
          </cell>
        </row>
        <row r="1393">
          <cell r="A1393">
            <v>1000004405</v>
          </cell>
          <cell r="B1393">
            <v>340.35833333333301</v>
          </cell>
        </row>
        <row r="1394">
          <cell r="A1394">
            <v>1000004400</v>
          </cell>
          <cell r="B1394">
            <v>45.8333333333333</v>
          </cell>
        </row>
        <row r="1395">
          <cell r="A1395">
            <v>1000004407</v>
          </cell>
          <cell r="B1395">
            <v>123.041666666667</v>
          </cell>
        </row>
        <row r="1396">
          <cell r="A1396">
            <v>1000004394</v>
          </cell>
          <cell r="B1396">
            <v>12.9166666666667</v>
          </cell>
        </row>
        <row r="1397">
          <cell r="A1397">
            <v>1000004399</v>
          </cell>
          <cell r="B1397">
            <v>69.1666666666667</v>
          </cell>
        </row>
        <row r="1398">
          <cell r="A1398">
            <v>1000004385</v>
          </cell>
          <cell r="B1398">
            <v>240.75</v>
          </cell>
        </row>
        <row r="1399">
          <cell r="A1399">
            <v>1000004415</v>
          </cell>
          <cell r="B1399">
            <v>64.5833333333333</v>
          </cell>
        </row>
        <row r="1400">
          <cell r="A1400">
            <v>1000004414</v>
          </cell>
          <cell r="B1400">
            <v>86.858333333333306</v>
          </cell>
        </row>
        <row r="1401">
          <cell r="A1401">
            <v>1000004401</v>
          </cell>
          <cell r="B1401">
            <v>12.5833333333333</v>
          </cell>
        </row>
        <row r="1402">
          <cell r="A1402">
            <v>1000004412</v>
          </cell>
          <cell r="B1402">
            <v>83.491666666666703</v>
          </cell>
        </row>
        <row r="1403">
          <cell r="A1403">
            <v>1000004417</v>
          </cell>
          <cell r="B1403">
            <v>9.1666666666666696</v>
          </cell>
        </row>
        <row r="1404">
          <cell r="A1404">
            <v>1000004411</v>
          </cell>
          <cell r="B1404">
            <v>26.3333333333333</v>
          </cell>
        </row>
        <row r="1405">
          <cell r="A1405">
            <v>1000004410</v>
          </cell>
          <cell r="B1405">
            <v>71.9166666666667</v>
          </cell>
        </row>
        <row r="1406">
          <cell r="A1406">
            <v>1000004424</v>
          </cell>
          <cell r="B1406">
            <v>70.0833333333333</v>
          </cell>
        </row>
        <row r="1407">
          <cell r="A1407">
            <v>1000004422</v>
          </cell>
          <cell r="B1407">
            <v>12.75</v>
          </cell>
        </row>
        <row r="1408">
          <cell r="A1408">
            <v>1000001182</v>
          </cell>
          <cell r="B1408">
            <v>41.6666666666667</v>
          </cell>
        </row>
        <row r="1409">
          <cell r="A1409">
            <v>1000004416</v>
          </cell>
          <cell r="B1409">
            <v>6.25</v>
          </cell>
        </row>
        <row r="1410">
          <cell r="A1410">
            <v>1000004402</v>
          </cell>
          <cell r="B1410">
            <v>64.1666666666667</v>
          </cell>
        </row>
        <row r="1411">
          <cell r="A1411">
            <v>1000004433</v>
          </cell>
          <cell r="B1411">
            <v>51.6666666666667</v>
          </cell>
        </row>
        <row r="1412">
          <cell r="A1412">
            <v>1000004419</v>
          </cell>
          <cell r="B1412">
            <v>206.833333333333</v>
          </cell>
        </row>
        <row r="1413">
          <cell r="A1413">
            <v>1000004413</v>
          </cell>
          <cell r="B1413">
            <v>25</v>
          </cell>
        </row>
        <row r="1414">
          <cell r="A1414">
            <v>1000004418</v>
          </cell>
          <cell r="B1414">
            <v>32</v>
          </cell>
        </row>
        <row r="1415">
          <cell r="A1415">
            <v>1000004434</v>
          </cell>
          <cell r="B1415">
            <v>86.6666666666667</v>
          </cell>
        </row>
        <row r="1416">
          <cell r="A1416">
            <v>1000004420</v>
          </cell>
          <cell r="B1416">
            <v>49.933333333333302</v>
          </cell>
        </row>
        <row r="1417">
          <cell r="A1417">
            <v>1000002018</v>
          </cell>
          <cell r="B1417">
            <v>213.25</v>
          </cell>
        </row>
        <row r="1418">
          <cell r="A1418">
            <v>1000004436</v>
          </cell>
          <cell r="B1418">
            <v>38.3333333333333</v>
          </cell>
        </row>
        <row r="1419">
          <cell r="A1419">
            <v>1000004439</v>
          </cell>
          <cell r="B1419">
            <v>128.333333333333</v>
          </cell>
        </row>
        <row r="1420">
          <cell r="A1420">
            <v>1000004423</v>
          </cell>
          <cell r="B1420">
            <v>4</v>
          </cell>
        </row>
        <row r="1421">
          <cell r="A1421">
            <v>1000004444</v>
          </cell>
          <cell r="B1421">
            <v>27.2083333333333</v>
          </cell>
        </row>
        <row r="1422">
          <cell r="A1422">
            <v>1000004438</v>
          </cell>
          <cell r="B1422">
            <v>49.8333333333333</v>
          </cell>
        </row>
        <row r="1423">
          <cell r="A1423">
            <v>1000000992</v>
          </cell>
          <cell r="B1423">
            <v>36.6666666666667</v>
          </cell>
        </row>
        <row r="1424">
          <cell r="A1424">
            <v>1000000590</v>
          </cell>
          <cell r="B1424">
            <v>19</v>
          </cell>
        </row>
        <row r="1425">
          <cell r="A1425">
            <v>1000000677</v>
          </cell>
          <cell r="B1425">
            <v>110.333333333333</v>
          </cell>
        </row>
        <row r="1426">
          <cell r="A1426">
            <v>1000000684</v>
          </cell>
          <cell r="B1426">
            <v>19.3333333333333</v>
          </cell>
        </row>
        <row r="1427">
          <cell r="A1427">
            <v>1000004430</v>
          </cell>
          <cell r="B1427">
            <v>83</v>
          </cell>
        </row>
        <row r="1428">
          <cell r="A1428">
            <v>1000004440</v>
          </cell>
          <cell r="B1428">
            <v>15.5833333333333</v>
          </cell>
        </row>
        <row r="1429">
          <cell r="A1429">
            <v>1000004441</v>
          </cell>
          <cell r="B1429">
            <v>2.8333333333333299</v>
          </cell>
        </row>
        <row r="1430">
          <cell r="A1430">
            <v>1000004397</v>
          </cell>
          <cell r="B1430">
            <v>1.9166666666666701</v>
          </cell>
        </row>
        <row r="1431">
          <cell r="A1431">
            <v>1000004452</v>
          </cell>
          <cell r="B1431">
            <v>16.4166666666667</v>
          </cell>
        </row>
        <row r="1432">
          <cell r="A1432">
            <v>1000004431</v>
          </cell>
          <cell r="B1432">
            <v>18.9166666666667</v>
          </cell>
        </row>
        <row r="1433">
          <cell r="A1433">
            <v>1000004453</v>
          </cell>
          <cell r="B1433">
            <v>78.766666666666694</v>
          </cell>
        </row>
        <row r="1434">
          <cell r="A1434">
            <v>1000004454</v>
          </cell>
          <cell r="B1434">
            <v>105.416666666667</v>
          </cell>
        </row>
        <row r="1435">
          <cell r="A1435">
            <v>1000004463</v>
          </cell>
          <cell r="B1435">
            <v>6.4166666666666696</v>
          </cell>
        </row>
        <row r="1436">
          <cell r="A1436">
            <v>1000004464</v>
          </cell>
          <cell r="B1436">
            <v>62.6666666666667</v>
          </cell>
        </row>
        <row r="1437">
          <cell r="A1437">
            <v>1000004435</v>
          </cell>
          <cell r="B1437">
            <v>9.1666666666666696</v>
          </cell>
        </row>
        <row r="1438">
          <cell r="A1438">
            <v>1000004462</v>
          </cell>
          <cell r="B1438">
            <v>0.83333333333333304</v>
          </cell>
        </row>
        <row r="1439">
          <cell r="A1439">
            <v>1000000105</v>
          </cell>
          <cell r="B1439">
            <v>8.3333333333333304</v>
          </cell>
        </row>
        <row r="1440">
          <cell r="A1440">
            <v>1000004455</v>
          </cell>
          <cell r="B1440">
            <v>77</v>
          </cell>
        </row>
        <row r="1441">
          <cell r="A1441">
            <v>1000004470</v>
          </cell>
          <cell r="B1441">
            <v>25.25</v>
          </cell>
        </row>
        <row r="1442">
          <cell r="A1442">
            <v>1000004437</v>
          </cell>
          <cell r="B1442">
            <v>16.6666666666667</v>
          </cell>
        </row>
        <row r="1443">
          <cell r="A1443">
            <v>1000003412</v>
          </cell>
          <cell r="B1443">
            <v>15.5833333333333</v>
          </cell>
        </row>
        <row r="1444">
          <cell r="A1444">
            <v>1000004458</v>
          </cell>
          <cell r="B1444">
            <v>143</v>
          </cell>
        </row>
        <row r="1445">
          <cell r="A1445">
            <v>1000004474</v>
          </cell>
          <cell r="B1445">
            <v>27.191666666666698</v>
          </cell>
        </row>
        <row r="1446">
          <cell r="A1446">
            <v>1000004465</v>
          </cell>
          <cell r="B1446">
            <v>149.666666666667</v>
          </cell>
        </row>
        <row r="1447">
          <cell r="A1447">
            <v>1000004459</v>
          </cell>
          <cell r="B1447">
            <v>124.25</v>
          </cell>
        </row>
        <row r="1448">
          <cell r="A1448">
            <v>1000002970</v>
          </cell>
          <cell r="B1448">
            <v>16.3333333333333</v>
          </cell>
        </row>
        <row r="1449">
          <cell r="A1449">
            <v>1000004425</v>
          </cell>
          <cell r="B1449">
            <v>19.8333333333333</v>
          </cell>
        </row>
        <row r="1450">
          <cell r="A1450">
            <v>1000004467</v>
          </cell>
          <cell r="B1450">
            <v>18.8333333333333</v>
          </cell>
        </row>
        <row r="1451">
          <cell r="A1451">
            <v>1000004468</v>
          </cell>
          <cell r="B1451">
            <v>33.3333333333333</v>
          </cell>
        </row>
        <row r="1452">
          <cell r="A1452">
            <v>1000004456</v>
          </cell>
          <cell r="B1452">
            <v>39.8333333333333</v>
          </cell>
        </row>
        <row r="1453">
          <cell r="A1453">
            <v>1000004460</v>
          </cell>
          <cell r="B1453">
            <v>125.833333333333</v>
          </cell>
        </row>
        <row r="1454">
          <cell r="A1454">
            <v>1000001886</v>
          </cell>
          <cell r="B1454">
            <v>18.0833333333333</v>
          </cell>
        </row>
        <row r="1455">
          <cell r="A1455">
            <v>1000004469</v>
          </cell>
          <cell r="B1455">
            <v>12.5</v>
          </cell>
        </row>
        <row r="1456">
          <cell r="A1456">
            <v>1000004493</v>
          </cell>
          <cell r="B1456">
            <v>126.666666666667</v>
          </cell>
        </row>
        <row r="1457">
          <cell r="A1457">
            <v>1000004494</v>
          </cell>
          <cell r="B1457">
            <v>28.5833333333333</v>
          </cell>
        </row>
        <row r="1458">
          <cell r="A1458">
            <v>1000004472</v>
          </cell>
          <cell r="B1458">
            <v>84.5</v>
          </cell>
        </row>
        <row r="1459">
          <cell r="A1459">
            <v>1000004473</v>
          </cell>
          <cell r="B1459">
            <v>25</v>
          </cell>
        </row>
        <row r="1460">
          <cell r="A1460">
            <v>1000001984</v>
          </cell>
          <cell r="B1460">
            <v>10.4166666666667</v>
          </cell>
        </row>
        <row r="1461">
          <cell r="A1461">
            <v>1000004499</v>
          </cell>
          <cell r="B1461">
            <v>8.3333333333333304</v>
          </cell>
        </row>
        <row r="1462">
          <cell r="A1462">
            <v>1000004286</v>
          </cell>
          <cell r="B1462">
            <v>40.8333333333333</v>
          </cell>
        </row>
        <row r="1463">
          <cell r="A1463">
            <v>1000001243</v>
          </cell>
          <cell r="B1463">
            <v>20.8333333333333</v>
          </cell>
        </row>
        <row r="1464">
          <cell r="A1464">
            <v>1000004505</v>
          </cell>
          <cell r="B1464">
            <v>214.833333333333</v>
          </cell>
        </row>
        <row r="1465">
          <cell r="A1465">
            <v>1000004498</v>
          </cell>
          <cell r="B1465">
            <v>65.8333333333333</v>
          </cell>
        </row>
        <row r="1466">
          <cell r="A1466">
            <v>1000003992</v>
          </cell>
          <cell r="B1466">
            <v>13.3333333333333</v>
          </cell>
        </row>
        <row r="1467">
          <cell r="A1467">
            <v>1000004483</v>
          </cell>
          <cell r="B1467">
            <v>47.5</v>
          </cell>
        </row>
        <row r="1468">
          <cell r="A1468">
            <v>1000000406</v>
          </cell>
          <cell r="B1468">
            <v>49.25</v>
          </cell>
        </row>
        <row r="1469">
          <cell r="A1469">
            <v>1000004500</v>
          </cell>
          <cell r="B1469">
            <v>4.8333333333333304</v>
          </cell>
        </row>
        <row r="1470">
          <cell r="A1470">
            <v>1000004507</v>
          </cell>
          <cell r="B1470">
            <v>16.6666666666667</v>
          </cell>
        </row>
        <row r="1471">
          <cell r="A1471">
            <v>1000004512</v>
          </cell>
          <cell r="B1471">
            <v>235.166666666667</v>
          </cell>
        </row>
        <row r="1472">
          <cell r="A1472">
            <v>1000004485</v>
          </cell>
          <cell r="B1472">
            <v>18.75</v>
          </cell>
        </row>
        <row r="1473">
          <cell r="A1473">
            <v>1000004497</v>
          </cell>
          <cell r="B1473">
            <v>16.3333333333333</v>
          </cell>
        </row>
        <row r="1474">
          <cell r="A1474">
            <v>1000000663</v>
          </cell>
          <cell r="B1474">
            <v>13</v>
          </cell>
        </row>
        <row r="1475">
          <cell r="A1475">
            <v>1000004457</v>
          </cell>
          <cell r="B1475">
            <v>102.241666666667</v>
          </cell>
        </row>
        <row r="1476">
          <cell r="A1476">
            <v>1000004482</v>
          </cell>
          <cell r="B1476">
            <v>17.5</v>
          </cell>
        </row>
        <row r="1477">
          <cell r="A1477">
            <v>1000004496</v>
          </cell>
          <cell r="B1477">
            <v>27.1666666666667</v>
          </cell>
        </row>
        <row r="1478">
          <cell r="A1478">
            <v>1000004432</v>
          </cell>
          <cell r="B1478">
            <v>40.0833333333333</v>
          </cell>
        </row>
        <row r="1479">
          <cell r="A1479">
            <v>1000004492</v>
          </cell>
          <cell r="B1479">
            <v>8.2916666666666696</v>
          </cell>
        </row>
        <row r="1480">
          <cell r="A1480">
            <v>1000004506</v>
          </cell>
          <cell r="B1480">
            <v>78.8333333333333</v>
          </cell>
        </row>
        <row r="1481">
          <cell r="A1481">
            <v>1000004466</v>
          </cell>
          <cell r="B1481">
            <v>20</v>
          </cell>
        </row>
        <row r="1482">
          <cell r="A1482">
            <v>1000004502</v>
          </cell>
          <cell r="B1482">
            <v>65</v>
          </cell>
        </row>
        <row r="1483">
          <cell r="A1483">
            <v>1000004508</v>
          </cell>
          <cell r="B1483">
            <v>30.5833333333333</v>
          </cell>
        </row>
        <row r="1484">
          <cell r="A1484">
            <v>1000004488</v>
          </cell>
          <cell r="B1484">
            <v>30.8333333333333</v>
          </cell>
        </row>
        <row r="1485">
          <cell r="A1485">
            <v>1000004514</v>
          </cell>
          <cell r="B1485">
            <v>435.33333333333297</v>
          </cell>
        </row>
        <row r="1486">
          <cell r="A1486">
            <v>1000004542</v>
          </cell>
          <cell r="B1486">
            <v>31.8333333333333</v>
          </cell>
        </row>
        <row r="1487">
          <cell r="A1487">
            <v>1000004543</v>
          </cell>
          <cell r="B1487">
            <v>117.083333333333</v>
          </cell>
        </row>
        <row r="1488">
          <cell r="A1488">
            <v>1000004532</v>
          </cell>
          <cell r="B1488">
            <v>316.58333333333297</v>
          </cell>
        </row>
        <row r="1489">
          <cell r="A1489">
            <v>1000004504</v>
          </cell>
          <cell r="B1489">
            <v>58.0833333333333</v>
          </cell>
        </row>
        <row r="1490">
          <cell r="A1490">
            <v>1000004393</v>
          </cell>
          <cell r="B1490">
            <v>49.8333333333333</v>
          </cell>
        </row>
        <row r="1491">
          <cell r="A1491">
            <v>1000004509</v>
          </cell>
          <cell r="B1491">
            <v>89.966666666666697</v>
          </cell>
        </row>
        <row r="1492">
          <cell r="A1492">
            <v>1000004515</v>
          </cell>
          <cell r="B1492">
            <v>4.3333333333333304</v>
          </cell>
        </row>
        <row r="1493">
          <cell r="A1493">
            <v>1000004486</v>
          </cell>
          <cell r="B1493">
            <v>45.8333333333333</v>
          </cell>
        </row>
        <row r="1494">
          <cell r="A1494">
            <v>1000004135</v>
          </cell>
          <cell r="B1494">
            <v>84.1666666666667</v>
          </cell>
        </row>
        <row r="1495">
          <cell r="A1495">
            <v>1000003712</v>
          </cell>
          <cell r="B1495">
            <v>32</v>
          </cell>
        </row>
        <row r="1496">
          <cell r="A1496">
            <v>1000004511</v>
          </cell>
          <cell r="B1496">
            <v>20</v>
          </cell>
        </row>
        <row r="1497">
          <cell r="A1497">
            <v>1000004544</v>
          </cell>
          <cell r="B1497">
            <v>11.8333333333333</v>
          </cell>
        </row>
        <row r="1498">
          <cell r="A1498">
            <v>1000004539</v>
          </cell>
          <cell r="B1498">
            <v>32.941666666666698</v>
          </cell>
        </row>
        <row r="1499">
          <cell r="A1499">
            <v>1000004427</v>
          </cell>
          <cell r="B1499">
            <v>19.866666666666699</v>
          </cell>
        </row>
        <row r="1500">
          <cell r="A1500">
            <v>1000004513</v>
          </cell>
          <cell r="B1500">
            <v>35</v>
          </cell>
        </row>
        <row r="1501">
          <cell r="A1501">
            <v>1000000363</v>
          </cell>
          <cell r="B1501">
            <v>52.25</v>
          </cell>
        </row>
        <row r="1502">
          <cell r="A1502">
            <v>1000000334</v>
          </cell>
          <cell r="B1502">
            <v>6.75</v>
          </cell>
        </row>
        <row r="1503">
          <cell r="A1503">
            <v>1000000335</v>
          </cell>
          <cell r="B1503">
            <v>1.75</v>
          </cell>
        </row>
        <row r="1504">
          <cell r="A1504">
            <v>1000003204</v>
          </cell>
          <cell r="B1504">
            <v>3.1666666666666701</v>
          </cell>
        </row>
        <row r="1505">
          <cell r="A1505">
            <v>1000004403</v>
          </cell>
          <cell r="B1505">
            <v>37.4166666666667</v>
          </cell>
        </row>
        <row r="1506">
          <cell r="A1506">
            <v>1000004537</v>
          </cell>
          <cell r="B1506">
            <v>19.8333333333333</v>
          </cell>
        </row>
        <row r="1507">
          <cell r="A1507">
            <v>1000004538</v>
          </cell>
          <cell r="B1507">
            <v>30.0833333333333</v>
          </cell>
        </row>
        <row r="1508">
          <cell r="A1508">
            <v>1000004522</v>
          </cell>
          <cell r="B1508">
            <v>126.666666666667</v>
          </cell>
        </row>
        <row r="1509">
          <cell r="A1509">
            <v>1000004567</v>
          </cell>
          <cell r="B1509">
            <v>137.25</v>
          </cell>
        </row>
        <row r="1510">
          <cell r="A1510">
            <v>1000004573</v>
          </cell>
          <cell r="B1510">
            <v>23.55</v>
          </cell>
        </row>
        <row r="1511">
          <cell r="A1511">
            <v>1000004547</v>
          </cell>
          <cell r="B1511">
            <v>54.408333333333303</v>
          </cell>
        </row>
        <row r="1512">
          <cell r="A1512">
            <v>1000004549</v>
          </cell>
          <cell r="B1512">
            <v>113</v>
          </cell>
        </row>
        <row r="1513">
          <cell r="A1513">
            <v>1000002085</v>
          </cell>
          <cell r="B1513">
            <v>2.5</v>
          </cell>
        </row>
        <row r="1514">
          <cell r="A1514">
            <v>1000003771</v>
          </cell>
          <cell r="B1514">
            <v>5</v>
          </cell>
        </row>
        <row r="1515">
          <cell r="A1515">
            <v>1000001993</v>
          </cell>
          <cell r="B1515">
            <v>12.5</v>
          </cell>
        </row>
        <row r="1516">
          <cell r="A1516">
            <v>1000004548</v>
          </cell>
          <cell r="B1516">
            <v>128.916666666667</v>
          </cell>
        </row>
        <row r="1517">
          <cell r="A1517">
            <v>1000004575</v>
          </cell>
          <cell r="B1517">
            <v>41</v>
          </cell>
        </row>
        <row r="1518">
          <cell r="A1518">
            <v>1000003652</v>
          </cell>
          <cell r="B1518">
            <v>60</v>
          </cell>
        </row>
        <row r="1519">
          <cell r="A1519">
            <v>1000004540</v>
          </cell>
          <cell r="B1519">
            <v>32.4166666666667</v>
          </cell>
        </row>
        <row r="1520">
          <cell r="A1520">
            <v>1000004572</v>
          </cell>
          <cell r="B1520">
            <v>40.9166666666667</v>
          </cell>
        </row>
        <row r="1521">
          <cell r="A1521">
            <v>1000000356</v>
          </cell>
          <cell r="B1521">
            <v>2.3333333333333299</v>
          </cell>
        </row>
        <row r="1522">
          <cell r="A1522">
            <v>1000003603</v>
          </cell>
          <cell r="B1522">
            <v>14.25</v>
          </cell>
        </row>
        <row r="1523">
          <cell r="A1523">
            <v>1000004552</v>
          </cell>
          <cell r="B1523">
            <v>18.0833333333333</v>
          </cell>
        </row>
        <row r="1524">
          <cell r="A1524">
            <v>1000000399</v>
          </cell>
          <cell r="B1524">
            <v>6.6666666666666696</v>
          </cell>
        </row>
        <row r="1525">
          <cell r="A1525">
            <v>1000004562</v>
          </cell>
          <cell r="B1525">
            <v>14.8333333333333</v>
          </cell>
        </row>
        <row r="1526">
          <cell r="A1526">
            <v>1000004553</v>
          </cell>
          <cell r="B1526">
            <v>13.3333333333333</v>
          </cell>
        </row>
        <row r="1527">
          <cell r="A1527">
            <v>1000003905</v>
          </cell>
          <cell r="B1527">
            <v>2.4166666666666701</v>
          </cell>
        </row>
        <row r="1528">
          <cell r="A1528">
            <v>1000004160</v>
          </cell>
          <cell r="B1528">
            <v>5.8333333333333304</v>
          </cell>
        </row>
        <row r="1529">
          <cell r="A1529">
            <v>1000004565</v>
          </cell>
          <cell r="B1529">
            <v>143</v>
          </cell>
        </row>
        <row r="1530">
          <cell r="A1530">
            <v>1000004574</v>
          </cell>
          <cell r="B1530">
            <v>51.6666666666667</v>
          </cell>
        </row>
        <row r="1531">
          <cell r="A1531">
            <v>1000004576</v>
          </cell>
          <cell r="B1531">
            <v>83.141666666666694</v>
          </cell>
        </row>
        <row r="1532">
          <cell r="A1532">
            <v>1000004541</v>
          </cell>
          <cell r="B1532">
            <v>62.5</v>
          </cell>
        </row>
        <row r="1533">
          <cell r="A1533">
            <v>1000004594</v>
          </cell>
          <cell r="B1533">
            <v>46.6666666666667</v>
          </cell>
        </row>
        <row r="1534">
          <cell r="A1534">
            <v>1000003476</v>
          </cell>
          <cell r="B1534">
            <v>8.3333333333333304</v>
          </cell>
        </row>
        <row r="1535">
          <cell r="A1535">
            <v>1000004546</v>
          </cell>
          <cell r="B1535">
            <v>113.833333333333</v>
          </cell>
        </row>
        <row r="1536">
          <cell r="A1536">
            <v>1000000989</v>
          </cell>
          <cell r="B1536">
            <v>3.6666666666666701</v>
          </cell>
        </row>
        <row r="1537">
          <cell r="A1537">
            <v>1000004579</v>
          </cell>
          <cell r="B1537">
            <v>106.666666666667</v>
          </cell>
        </row>
        <row r="1538">
          <cell r="A1538">
            <v>1000003195</v>
          </cell>
          <cell r="B1538">
            <v>4</v>
          </cell>
        </row>
        <row r="1539">
          <cell r="A1539">
            <v>1000000705</v>
          </cell>
          <cell r="B1539">
            <v>6.6666666666666696</v>
          </cell>
        </row>
        <row r="1540">
          <cell r="A1540">
            <v>1000003518</v>
          </cell>
          <cell r="B1540">
            <v>1</v>
          </cell>
        </row>
        <row r="1541">
          <cell r="A1541">
            <v>1000003993</v>
          </cell>
          <cell r="B1541">
            <v>2.4916666666666698</v>
          </cell>
        </row>
        <row r="1542">
          <cell r="A1542">
            <v>1000001100</v>
          </cell>
          <cell r="B1542">
            <v>20.3333333333333</v>
          </cell>
        </row>
        <row r="1543">
          <cell r="A1543">
            <v>1000004550</v>
          </cell>
          <cell r="B1543">
            <v>20.0833333333333</v>
          </cell>
        </row>
        <row r="1544">
          <cell r="A1544">
            <v>1000004563</v>
          </cell>
          <cell r="B1544">
            <v>42.5833333333333</v>
          </cell>
        </row>
        <row r="1545">
          <cell r="A1545">
            <v>1000004534</v>
          </cell>
          <cell r="B1545">
            <v>59.933333333333302</v>
          </cell>
        </row>
        <row r="1546">
          <cell r="A1546">
            <v>1000004545</v>
          </cell>
          <cell r="B1546">
            <v>20.7083333333333</v>
          </cell>
        </row>
        <row r="1547">
          <cell r="A1547">
            <v>1000000098</v>
          </cell>
          <cell r="B1547">
            <v>5</v>
          </cell>
        </row>
        <row r="1548">
          <cell r="A1548">
            <v>1000000101</v>
          </cell>
          <cell r="B1548">
            <v>22</v>
          </cell>
        </row>
        <row r="1549">
          <cell r="A1549">
            <v>1000003811</v>
          </cell>
          <cell r="B1549">
            <v>5.4166666666666696</v>
          </cell>
        </row>
        <row r="1550">
          <cell r="A1550">
            <v>1000004591</v>
          </cell>
          <cell r="B1550">
            <v>53.9166666666667</v>
          </cell>
        </row>
        <row r="1551">
          <cell r="A1551">
            <v>1000000180</v>
          </cell>
          <cell r="B1551">
            <v>3.3333333333333299</v>
          </cell>
        </row>
        <row r="1552">
          <cell r="A1552">
            <v>1000003882</v>
          </cell>
          <cell r="B1552">
            <v>17</v>
          </cell>
        </row>
        <row r="1553">
          <cell r="A1553">
            <v>1000004623</v>
          </cell>
          <cell r="B1553">
            <v>29.3333333333333</v>
          </cell>
        </row>
        <row r="1554">
          <cell r="A1554">
            <v>1000004595</v>
          </cell>
          <cell r="B1554">
            <v>296.91666666666703</v>
          </cell>
        </row>
        <row r="1555">
          <cell r="A1555">
            <v>1000004597</v>
          </cell>
          <cell r="B1555">
            <v>47.6666666666667</v>
          </cell>
        </row>
        <row r="1556">
          <cell r="A1556">
            <v>1000004602</v>
          </cell>
          <cell r="B1556">
            <v>302.83333333333297</v>
          </cell>
        </row>
        <row r="1557">
          <cell r="A1557">
            <v>1000004569</v>
          </cell>
          <cell r="B1557">
            <v>8.3333333333333304</v>
          </cell>
        </row>
        <row r="1558">
          <cell r="A1558">
            <v>1000004599</v>
          </cell>
          <cell r="B1558">
            <v>41</v>
          </cell>
        </row>
        <row r="1559">
          <cell r="A1559">
            <v>1000004536</v>
          </cell>
          <cell r="B1559">
            <v>1.6666666666666701</v>
          </cell>
        </row>
        <row r="1560">
          <cell r="A1560">
            <v>1000004596</v>
          </cell>
          <cell r="B1560">
            <v>13.3333333333333</v>
          </cell>
        </row>
        <row r="1561">
          <cell r="A1561">
            <v>1000004615</v>
          </cell>
          <cell r="B1561">
            <v>62.008333333333297</v>
          </cell>
        </row>
        <row r="1562">
          <cell r="A1562">
            <v>1000001474</v>
          </cell>
          <cell r="B1562">
            <v>1.1666666666666701</v>
          </cell>
        </row>
        <row r="1563">
          <cell r="A1563">
            <v>1000004614</v>
          </cell>
          <cell r="B1563">
            <v>81.6666666666667</v>
          </cell>
        </row>
        <row r="1564">
          <cell r="A1564">
            <v>1000002033</v>
          </cell>
          <cell r="B1564">
            <v>11.6666666666667</v>
          </cell>
        </row>
        <row r="1565">
          <cell r="A1565">
            <v>1000004613</v>
          </cell>
          <cell r="B1565">
            <v>97.3333333333333</v>
          </cell>
        </row>
        <row r="1566">
          <cell r="A1566">
            <v>1000001110</v>
          </cell>
          <cell r="B1566">
            <v>12.4166666666667</v>
          </cell>
        </row>
        <row r="1567">
          <cell r="A1567">
            <v>1000004588</v>
          </cell>
          <cell r="B1567">
            <v>106.833333333333</v>
          </cell>
        </row>
        <row r="1568">
          <cell r="A1568">
            <v>1000004590</v>
          </cell>
          <cell r="B1568">
            <v>10.8333333333333</v>
          </cell>
        </row>
        <row r="1569">
          <cell r="A1569">
            <v>1000004566</v>
          </cell>
          <cell r="B1569">
            <v>1.75</v>
          </cell>
        </row>
        <row r="1570">
          <cell r="A1570">
            <v>1000003883</v>
          </cell>
          <cell r="B1570">
            <v>8.3333333333333304</v>
          </cell>
        </row>
        <row r="1571">
          <cell r="A1571">
            <v>1000004568</v>
          </cell>
          <cell r="B1571">
            <v>11.6666666666667</v>
          </cell>
        </row>
        <row r="1572">
          <cell r="A1572">
            <v>1000004587</v>
          </cell>
          <cell r="B1572">
            <v>10</v>
          </cell>
        </row>
        <row r="1573">
          <cell r="A1573">
            <v>1000004489</v>
          </cell>
          <cell r="B1573">
            <v>12.0833333333333</v>
          </cell>
        </row>
        <row r="1574">
          <cell r="A1574">
            <v>1000003967</v>
          </cell>
          <cell r="B1574">
            <v>2.5</v>
          </cell>
        </row>
        <row r="1575">
          <cell r="A1575">
            <v>1000004589</v>
          </cell>
          <cell r="B1575">
            <v>12.5</v>
          </cell>
        </row>
        <row r="1576">
          <cell r="A1576">
            <v>1000004598</v>
          </cell>
          <cell r="B1576">
            <v>40.8333333333333</v>
          </cell>
        </row>
        <row r="1577">
          <cell r="A1577">
            <v>1000002732</v>
          </cell>
          <cell r="B1577">
            <v>4.1666666666666696</v>
          </cell>
        </row>
        <row r="1578">
          <cell r="A1578">
            <v>1000004426</v>
          </cell>
          <cell r="B1578">
            <v>25.6666666666667</v>
          </cell>
        </row>
        <row r="1579">
          <cell r="A1579">
            <v>1000004577</v>
          </cell>
          <cell r="B1579">
            <v>55.975000000000001</v>
          </cell>
        </row>
        <row r="1580">
          <cell r="A1580">
            <v>1000004654</v>
          </cell>
          <cell r="B1580">
            <v>6.6666666666666696</v>
          </cell>
        </row>
        <row r="1581">
          <cell r="A1581">
            <v>1000004624</v>
          </cell>
          <cell r="B1581">
            <v>94.5</v>
          </cell>
        </row>
        <row r="1582">
          <cell r="A1582">
            <v>1000004628</v>
          </cell>
          <cell r="B1582">
            <v>26.6666666666667</v>
          </cell>
        </row>
        <row r="1583">
          <cell r="A1583">
            <v>1000004630</v>
          </cell>
          <cell r="B1583">
            <v>4.1666666666666696</v>
          </cell>
        </row>
        <row r="1584">
          <cell r="A1584">
            <v>1000001999</v>
          </cell>
          <cell r="B1584">
            <v>3.3333333333333299</v>
          </cell>
        </row>
        <row r="1585">
          <cell r="A1585">
            <v>1000001196</v>
          </cell>
          <cell r="B1585">
            <v>10</v>
          </cell>
        </row>
        <row r="1586">
          <cell r="A1586">
            <v>1000004032</v>
          </cell>
          <cell r="B1586">
            <v>1.6666666666666701</v>
          </cell>
        </row>
        <row r="1587">
          <cell r="A1587">
            <v>1000001202</v>
          </cell>
          <cell r="B1587">
            <v>11.6666666666667</v>
          </cell>
        </row>
        <row r="1588">
          <cell r="A1588">
            <v>1000004656</v>
          </cell>
          <cell r="B1588">
            <v>46.6666666666667</v>
          </cell>
        </row>
        <row r="1589">
          <cell r="A1589">
            <v>1000004619</v>
          </cell>
          <cell r="B1589">
            <v>7.5</v>
          </cell>
        </row>
        <row r="1590">
          <cell r="A1590">
            <v>1000004620</v>
          </cell>
          <cell r="B1590">
            <v>10.5416666666667</v>
          </cell>
        </row>
        <row r="1591">
          <cell r="A1591">
            <v>1000003484</v>
          </cell>
          <cell r="B1591">
            <v>8.8333333333333304</v>
          </cell>
        </row>
        <row r="1592">
          <cell r="A1592">
            <v>1000001324</v>
          </cell>
          <cell r="B1592">
            <v>9.1666666666666696</v>
          </cell>
        </row>
        <row r="1593">
          <cell r="A1593">
            <v>1000002786</v>
          </cell>
          <cell r="B1593">
            <v>166.7</v>
          </cell>
        </row>
        <row r="1594">
          <cell r="A1594">
            <v>1000002007</v>
          </cell>
          <cell r="B1594">
            <v>8</v>
          </cell>
        </row>
        <row r="1595">
          <cell r="A1595">
            <v>1000004616</v>
          </cell>
          <cell r="B1595">
            <v>66.6666666666667</v>
          </cell>
        </row>
        <row r="1596">
          <cell r="A1596">
            <v>1000004662</v>
          </cell>
          <cell r="B1596">
            <v>22.5833333333333</v>
          </cell>
        </row>
        <row r="1597">
          <cell r="A1597">
            <v>1000003103</v>
          </cell>
          <cell r="B1597">
            <v>13.0833333333333</v>
          </cell>
        </row>
        <row r="1598">
          <cell r="A1598">
            <v>1000004643</v>
          </cell>
          <cell r="B1598">
            <v>13.9583333333333</v>
          </cell>
        </row>
        <row r="1599">
          <cell r="A1599">
            <v>1000004612</v>
          </cell>
          <cell r="B1599">
            <v>88</v>
          </cell>
        </row>
        <row r="1600">
          <cell r="A1600">
            <v>1000001449</v>
          </cell>
          <cell r="B1600">
            <v>23</v>
          </cell>
        </row>
        <row r="1601">
          <cell r="A1601">
            <v>1000004618</v>
          </cell>
          <cell r="B1601">
            <v>11.8333333333333</v>
          </cell>
        </row>
        <row r="1602">
          <cell r="A1602">
            <v>1000001476</v>
          </cell>
          <cell r="B1602">
            <v>1.1666666666666701</v>
          </cell>
        </row>
        <row r="1603">
          <cell r="A1603">
            <v>1000004672</v>
          </cell>
          <cell r="B1603">
            <v>15</v>
          </cell>
        </row>
        <row r="1604">
          <cell r="A1604">
            <v>1000004653</v>
          </cell>
          <cell r="B1604">
            <v>50</v>
          </cell>
        </row>
        <row r="1605">
          <cell r="A1605">
            <v>1000004078</v>
          </cell>
          <cell r="B1605">
            <v>8.3333333333333304</v>
          </cell>
        </row>
        <row r="1606">
          <cell r="A1606">
            <v>1000004633</v>
          </cell>
          <cell r="B1606">
            <v>19.5</v>
          </cell>
        </row>
        <row r="1607">
          <cell r="A1607">
            <v>1000004663</v>
          </cell>
          <cell r="B1607">
            <v>23.8333333333333</v>
          </cell>
        </row>
        <row r="1608">
          <cell r="A1608">
            <v>1000004655</v>
          </cell>
          <cell r="B1608">
            <v>9.75</v>
          </cell>
        </row>
        <row r="1609">
          <cell r="A1609">
            <v>1000004629</v>
          </cell>
          <cell r="B1609">
            <v>28.0833333333333</v>
          </cell>
        </row>
        <row r="1610">
          <cell r="A1610">
            <v>1000004652</v>
          </cell>
          <cell r="B1610">
            <v>5</v>
          </cell>
        </row>
        <row r="1611">
          <cell r="A1611">
            <v>1000004626</v>
          </cell>
          <cell r="B1611">
            <v>17.5</v>
          </cell>
        </row>
        <row r="1612">
          <cell r="A1612">
            <v>1000002023</v>
          </cell>
          <cell r="B1612">
            <v>2.1666666666666701</v>
          </cell>
        </row>
        <row r="1613">
          <cell r="A1613">
            <v>1000004329</v>
          </cell>
          <cell r="B1613">
            <v>44</v>
          </cell>
        </row>
        <row r="1614">
          <cell r="A1614">
            <v>1000004564</v>
          </cell>
          <cell r="B1614">
            <v>9.1666666666666696</v>
          </cell>
        </row>
        <row r="1615">
          <cell r="A1615">
            <v>1000004627</v>
          </cell>
          <cell r="B1615">
            <v>112.666666666667</v>
          </cell>
        </row>
        <row r="1616">
          <cell r="A1616">
            <v>1000004535</v>
          </cell>
          <cell r="B1616">
            <v>55.8333333333333</v>
          </cell>
        </row>
        <row r="1617">
          <cell r="A1617">
            <v>1000004632</v>
          </cell>
          <cell r="B1617">
            <v>8.6666666666666696</v>
          </cell>
        </row>
        <row r="1618">
          <cell r="A1618">
            <v>1000003169</v>
          </cell>
          <cell r="B1618">
            <v>40</v>
          </cell>
        </row>
        <row r="1619">
          <cell r="A1619">
            <v>1000000612</v>
          </cell>
          <cell r="B1619">
            <v>3.3333333333333299</v>
          </cell>
        </row>
        <row r="1620">
          <cell r="A1620">
            <v>1000001859</v>
          </cell>
          <cell r="B1620">
            <v>9.1666666666666696</v>
          </cell>
        </row>
        <row r="1621">
          <cell r="A1621">
            <v>1000004621</v>
          </cell>
          <cell r="B1621">
            <v>8.3333333333333304</v>
          </cell>
        </row>
        <row r="1622">
          <cell r="A1622">
            <v>1000003000</v>
          </cell>
          <cell r="B1622">
            <v>38.141666666666701</v>
          </cell>
        </row>
        <row r="1623">
          <cell r="A1623">
            <v>1000004635</v>
          </cell>
          <cell r="B1623">
            <v>183.5</v>
          </cell>
        </row>
        <row r="1624">
          <cell r="A1624">
            <v>1000000681</v>
          </cell>
          <cell r="B1624">
            <v>1.25</v>
          </cell>
        </row>
        <row r="1625">
          <cell r="A1625">
            <v>1000004622</v>
          </cell>
          <cell r="B1625">
            <v>15.8333333333333</v>
          </cell>
        </row>
        <row r="1626">
          <cell r="A1626">
            <v>1000004264</v>
          </cell>
          <cell r="B1626">
            <v>6.6666666666666696</v>
          </cell>
        </row>
        <row r="1627">
          <cell r="A1627">
            <v>1000003804</v>
          </cell>
          <cell r="B1627">
            <v>2.5</v>
          </cell>
        </row>
        <row r="1628">
          <cell r="A1628">
            <v>1000004659</v>
          </cell>
          <cell r="B1628">
            <v>10</v>
          </cell>
        </row>
        <row r="1629">
          <cell r="A1629">
            <v>1000004682</v>
          </cell>
          <cell r="B1629">
            <v>43</v>
          </cell>
        </row>
        <row r="1630">
          <cell r="A1630">
            <v>1000004681</v>
          </cell>
          <cell r="B1630">
            <v>8.3333333333333304</v>
          </cell>
        </row>
        <row r="1631">
          <cell r="A1631">
            <v>1000000093</v>
          </cell>
          <cell r="B1631">
            <v>5.8333333333333304</v>
          </cell>
        </row>
        <row r="1632">
          <cell r="A1632">
            <v>1000004676</v>
          </cell>
          <cell r="B1632">
            <v>5</v>
          </cell>
        </row>
        <row r="1633">
          <cell r="A1633">
            <v>1000004677</v>
          </cell>
          <cell r="B1633">
            <v>22.8333333333333</v>
          </cell>
        </row>
        <row r="1634">
          <cell r="A1634">
            <v>1000004263</v>
          </cell>
          <cell r="B1634">
            <v>2.0833333333333299</v>
          </cell>
        </row>
        <row r="1635">
          <cell r="A1635">
            <v>1000001383</v>
          </cell>
          <cell r="B1635">
            <v>4.1666666666666696</v>
          </cell>
        </row>
        <row r="1636">
          <cell r="A1636">
            <v>1000004673</v>
          </cell>
          <cell r="B1636">
            <v>126.708333333333</v>
          </cell>
        </row>
        <row r="1637">
          <cell r="A1637">
            <v>1000003197</v>
          </cell>
          <cell r="B1637">
            <v>2.5</v>
          </cell>
        </row>
        <row r="1638">
          <cell r="A1638">
            <v>1000003683</v>
          </cell>
          <cell r="B1638">
            <v>8.3333333333333304</v>
          </cell>
        </row>
        <row r="1639">
          <cell r="A1639">
            <v>1000004666</v>
          </cell>
          <cell r="B1639">
            <v>2.5</v>
          </cell>
        </row>
        <row r="1640">
          <cell r="A1640">
            <v>1000004670</v>
          </cell>
          <cell r="B1640">
            <v>2.5</v>
          </cell>
        </row>
        <row r="1641">
          <cell r="A1641">
            <v>1000004683</v>
          </cell>
          <cell r="B1641">
            <v>10.8333333333333</v>
          </cell>
        </row>
        <row r="1642">
          <cell r="A1642">
            <v>1000004667</v>
          </cell>
          <cell r="B1642">
            <v>12.3333333333333</v>
          </cell>
        </row>
        <row r="1643">
          <cell r="A1643">
            <v>1000000309</v>
          </cell>
          <cell r="B1643">
            <v>1.75</v>
          </cell>
        </row>
        <row r="1644">
          <cell r="A1644">
            <v>1000003115</v>
          </cell>
          <cell r="B1644">
            <v>2.9166666666666701</v>
          </cell>
        </row>
        <row r="1645">
          <cell r="A1645">
            <v>1000003906</v>
          </cell>
          <cell r="B1645">
            <v>8.1666666666666696</v>
          </cell>
        </row>
        <row r="1646">
          <cell r="A1646">
            <v>1000003923</v>
          </cell>
          <cell r="B1646">
            <v>8</v>
          </cell>
        </row>
        <row r="1647">
          <cell r="A1647">
            <v>1000004593</v>
          </cell>
          <cell r="B1647">
            <v>8</v>
          </cell>
        </row>
        <row r="1648">
          <cell r="A1648">
            <v>1000002603</v>
          </cell>
          <cell r="B1648">
            <v>1.6666666666666701</v>
          </cell>
        </row>
        <row r="1649">
          <cell r="A1649">
            <v>1000002729</v>
          </cell>
          <cell r="B1649">
            <v>3.4166666666666701</v>
          </cell>
        </row>
        <row r="1650">
          <cell r="A1650">
            <v>1000004675</v>
          </cell>
          <cell r="B1650">
            <v>35.6666666666667</v>
          </cell>
        </row>
        <row r="1651">
          <cell r="A1651">
            <v>1000000920</v>
          </cell>
          <cell r="B1651">
            <v>30</v>
          </cell>
        </row>
        <row r="1652">
          <cell r="A1652">
            <v>1000004661</v>
          </cell>
          <cell r="B1652">
            <v>20.3333333333333</v>
          </cell>
        </row>
        <row r="1653">
          <cell r="A1653">
            <v>1000004642</v>
          </cell>
          <cell r="B1653">
            <v>8.3333333333333304</v>
          </cell>
        </row>
        <row r="1654">
          <cell r="A1654">
            <v>1000004657</v>
          </cell>
          <cell r="B1654">
            <v>195.5</v>
          </cell>
        </row>
        <row r="1655">
          <cell r="A1655">
            <v>1000004658</v>
          </cell>
          <cell r="B1655">
            <v>85.5</v>
          </cell>
        </row>
        <row r="1656">
          <cell r="A1656">
            <v>1000004664</v>
          </cell>
          <cell r="B1656">
            <v>38.3333333333333</v>
          </cell>
        </row>
        <row r="1657">
          <cell r="A1657">
            <v>1000004665</v>
          </cell>
          <cell r="B1657">
            <v>83.6666666666667</v>
          </cell>
        </row>
        <row r="1658">
          <cell r="A1658">
            <v>1000004679</v>
          </cell>
          <cell r="B1658">
            <v>3.1666666666666701</v>
          </cell>
        </row>
        <row r="1659">
          <cell r="A1659">
            <v>1000000606</v>
          </cell>
          <cell r="B1659">
            <v>6.6666666666666696</v>
          </cell>
        </row>
        <row r="1660">
          <cell r="A1660">
            <v>1000001656</v>
          </cell>
          <cell r="B1660">
            <v>1.6666666666666701</v>
          </cell>
        </row>
        <row r="1661">
          <cell r="A1661">
            <v>1000003570</v>
          </cell>
          <cell r="B1661">
            <v>11.6666666666667</v>
          </cell>
        </row>
        <row r="1662">
          <cell r="A1662">
            <v>1000004669</v>
          </cell>
          <cell r="B1662">
            <v>7.5</v>
          </cell>
        </row>
        <row r="1663">
          <cell r="A1663">
            <v>1000002793</v>
          </cell>
          <cell r="B1663">
            <v>1.1666666666666701</v>
          </cell>
        </row>
        <row r="1664">
          <cell r="A1664">
            <v>1000001809</v>
          </cell>
          <cell r="B1664">
            <v>13.3333333333333</v>
          </cell>
        </row>
        <row r="1665">
          <cell r="A1665">
            <v>1000004684</v>
          </cell>
          <cell r="B1665">
            <v>81</v>
          </cell>
        </row>
        <row r="1666">
          <cell r="A1666">
            <v>1000004692</v>
          </cell>
          <cell r="B1666">
            <v>40.1666666666667</v>
          </cell>
        </row>
        <row r="1667">
          <cell r="A1667">
            <v>1000004678</v>
          </cell>
          <cell r="B1667">
            <v>5</v>
          </cell>
        </row>
        <row r="1668">
          <cell r="A1668">
            <v>1000000743</v>
          </cell>
          <cell r="B1668">
            <v>5</v>
          </cell>
        </row>
        <row r="1669">
          <cell r="A1669">
            <v>1000000762</v>
          </cell>
          <cell r="B1669">
            <v>5</v>
          </cell>
        </row>
        <row r="1670">
          <cell r="A1670">
            <v>1000004680</v>
          </cell>
          <cell r="B1670">
            <v>18.3333333333333</v>
          </cell>
        </row>
        <row r="1671">
          <cell r="A1671">
            <v>1000004668</v>
          </cell>
          <cell r="B1671">
            <v>20.9166666666667</v>
          </cell>
        </row>
        <row r="1672">
          <cell r="A1672">
            <v>1000004578</v>
          </cell>
          <cell r="B1672">
            <v>7.4166666666666696</v>
          </cell>
        </row>
        <row r="1673">
          <cell r="A1673">
            <v>1000004685</v>
          </cell>
          <cell r="B1673">
            <v>39.1666666666667</v>
          </cell>
        </row>
        <row r="1674">
          <cell r="A1674">
            <v>1000004707</v>
          </cell>
          <cell r="B1674">
            <v>5</v>
          </cell>
        </row>
        <row r="1675">
          <cell r="A1675">
            <v>1000004689</v>
          </cell>
          <cell r="B1675">
            <v>12.6666666666667</v>
          </cell>
        </row>
        <row r="1676">
          <cell r="A1676">
            <v>1000004199</v>
          </cell>
          <cell r="B1676">
            <v>4.3333333333333304</v>
          </cell>
        </row>
        <row r="1677">
          <cell r="A1677">
            <v>1000002626</v>
          </cell>
          <cell r="B1677">
            <v>8.6666666666666696</v>
          </cell>
        </row>
        <row r="1678">
          <cell r="A1678">
            <v>1000004693</v>
          </cell>
          <cell r="B1678">
            <v>89.7083333333333</v>
          </cell>
        </row>
        <row r="1679">
          <cell r="A1679">
            <v>1000004697</v>
          </cell>
          <cell r="B1679">
            <v>1.75</v>
          </cell>
        </row>
        <row r="1680">
          <cell r="A1680">
            <v>1000004687</v>
          </cell>
          <cell r="B1680">
            <v>6.0833333333333304</v>
          </cell>
        </row>
        <row r="1681">
          <cell r="A1681">
            <v>1000004712</v>
          </cell>
          <cell r="B1681">
            <v>3.3333333333333299</v>
          </cell>
        </row>
        <row r="1682">
          <cell r="A1682">
            <v>1000004705</v>
          </cell>
          <cell r="B1682">
            <v>3.3333333333333299</v>
          </cell>
        </row>
        <row r="1683">
          <cell r="A1683">
            <v>1000004704</v>
          </cell>
          <cell r="B1683">
            <v>2</v>
          </cell>
        </row>
        <row r="1684">
          <cell r="A1684">
            <v>1000004702</v>
          </cell>
          <cell r="B1684">
            <v>3.75</v>
          </cell>
        </row>
        <row r="1685">
          <cell r="A1685">
            <v>1000004690</v>
          </cell>
          <cell r="B1685">
            <v>5</v>
          </cell>
        </row>
        <row r="1686">
          <cell r="A1686">
            <v>1000004686</v>
          </cell>
          <cell r="B1686">
            <v>12.9166666666667</v>
          </cell>
        </row>
        <row r="1687">
          <cell r="A1687">
            <v>1000002000</v>
          </cell>
          <cell r="B1687">
            <v>0.83333333333333304</v>
          </cell>
        </row>
        <row r="1688">
          <cell r="A1688">
            <v>1000004694</v>
          </cell>
          <cell r="B1688">
            <v>1.6666666666666701</v>
          </cell>
        </row>
        <row r="1689">
          <cell r="A1689">
            <v>1000004696</v>
          </cell>
          <cell r="B1689">
            <v>5.8333333333333304</v>
          </cell>
        </row>
        <row r="1690">
          <cell r="A1690">
            <v>1000004443</v>
          </cell>
          <cell r="B1690">
            <v>2.1666666666666701</v>
          </cell>
        </row>
        <row r="1691">
          <cell r="A1691">
            <v>1000004701</v>
          </cell>
          <cell r="B1691">
            <v>64</v>
          </cell>
        </row>
        <row r="1692">
          <cell r="A1692">
            <v>1000001828</v>
          </cell>
          <cell r="B1692">
            <v>4.1666666666666696</v>
          </cell>
        </row>
        <row r="1693">
          <cell r="A1693">
            <v>1000004698</v>
          </cell>
          <cell r="B1693">
            <v>52.3333333333333</v>
          </cell>
        </row>
        <row r="1694">
          <cell r="A1694">
            <v>1000002074</v>
          </cell>
          <cell r="B1694">
            <v>4.1666666666666696</v>
          </cell>
        </row>
        <row r="1695">
          <cell r="A1695">
            <v>1000004484</v>
          </cell>
          <cell r="B1695">
            <v>9.1666666666666696</v>
          </cell>
        </row>
        <row r="1696">
          <cell r="A1696">
            <v>1000004699</v>
          </cell>
          <cell r="B1696">
            <v>1.9166666666666701</v>
          </cell>
        </row>
        <row r="1697">
          <cell r="A1697">
            <v>1000004691</v>
          </cell>
          <cell r="B1697">
            <v>10.25</v>
          </cell>
        </row>
        <row r="1698">
          <cell r="A1698">
            <v>1000004695</v>
          </cell>
          <cell r="B1698">
            <v>55.3333333333333</v>
          </cell>
        </row>
        <row r="1699">
          <cell r="A1699">
            <v>1000002689</v>
          </cell>
          <cell r="B1699">
            <v>4.1666666666666696</v>
          </cell>
        </row>
        <row r="1700">
          <cell r="A1700">
            <v>1000002772</v>
          </cell>
          <cell r="B1700">
            <v>0.58333333333333304</v>
          </cell>
        </row>
        <row r="1701">
          <cell r="A1701">
            <v>1000004706</v>
          </cell>
          <cell r="B1701">
            <v>3.5</v>
          </cell>
        </row>
        <row r="1702">
          <cell r="A1702">
            <v>1000004709</v>
          </cell>
          <cell r="B1702">
            <v>0</v>
          </cell>
        </row>
        <row r="1703">
          <cell r="A1703">
            <v>1000004703</v>
          </cell>
          <cell r="B1703">
            <v>0</v>
          </cell>
        </row>
        <row r="1704">
          <cell r="A1704">
            <v>1000000832</v>
          </cell>
          <cell r="B1704">
            <v>0</v>
          </cell>
        </row>
        <row r="1705">
          <cell r="A1705">
            <v>1000003127</v>
          </cell>
          <cell r="B1705">
            <v>0</v>
          </cell>
        </row>
        <row r="1706">
          <cell r="A1706">
            <v>1000000128</v>
          </cell>
          <cell r="B1706">
            <v>0</v>
          </cell>
        </row>
        <row r="1707">
          <cell r="A1707">
            <v>1000004718</v>
          </cell>
          <cell r="B1707">
            <v>0</v>
          </cell>
        </row>
        <row r="1708">
          <cell r="A1708">
            <v>1000004319</v>
          </cell>
          <cell r="B1708">
            <v>0</v>
          </cell>
        </row>
        <row r="1709">
          <cell r="A1709">
            <v>1000004729</v>
          </cell>
          <cell r="B1709">
            <v>0</v>
          </cell>
        </row>
        <row r="1710">
          <cell r="A1710">
            <v>1000004715</v>
          </cell>
          <cell r="B1710">
            <v>0</v>
          </cell>
        </row>
        <row r="1711">
          <cell r="A1711">
            <v>1000000271</v>
          </cell>
          <cell r="B1711">
            <v>0</v>
          </cell>
        </row>
        <row r="1712">
          <cell r="A1712">
            <v>1000000354</v>
          </cell>
          <cell r="B1712">
            <v>0</v>
          </cell>
        </row>
        <row r="1713">
          <cell r="A1713">
            <v>1000002848</v>
          </cell>
          <cell r="B1713">
            <v>0</v>
          </cell>
        </row>
        <row r="1714">
          <cell r="A1714">
            <v>1000001419</v>
          </cell>
          <cell r="B1714">
            <v>0</v>
          </cell>
        </row>
        <row r="1715">
          <cell r="A1715">
            <v>1000003548</v>
          </cell>
          <cell r="B1715">
            <v>0</v>
          </cell>
        </row>
        <row r="1716">
          <cell r="A1716">
            <v>1000002902</v>
          </cell>
          <cell r="B1716">
            <v>0</v>
          </cell>
        </row>
        <row r="1717">
          <cell r="A1717">
            <v>1000004719</v>
          </cell>
          <cell r="B1717">
            <v>0</v>
          </cell>
        </row>
        <row r="1718">
          <cell r="A1718">
            <v>1000004725</v>
          </cell>
          <cell r="B1718">
            <v>0</v>
          </cell>
        </row>
        <row r="1719">
          <cell r="A1719">
            <v>1000004711</v>
          </cell>
          <cell r="B1719">
            <v>0</v>
          </cell>
        </row>
        <row r="1720">
          <cell r="A1720">
            <v>1000004726</v>
          </cell>
          <cell r="B1720">
            <v>0</v>
          </cell>
        </row>
        <row r="1721">
          <cell r="A1721">
            <v>1000004728</v>
          </cell>
          <cell r="B1721">
            <v>0</v>
          </cell>
        </row>
        <row r="1722">
          <cell r="A1722">
            <v>1000004727</v>
          </cell>
          <cell r="B1722">
            <v>0</v>
          </cell>
        </row>
        <row r="1723">
          <cell r="A1723">
            <v>1000004716</v>
          </cell>
          <cell r="B1723">
            <v>0</v>
          </cell>
        </row>
        <row r="1724">
          <cell r="A1724">
            <v>1000004724</v>
          </cell>
          <cell r="B1724">
            <v>0</v>
          </cell>
        </row>
        <row r="1725">
          <cell r="A1725">
            <v>1000004745</v>
          </cell>
          <cell r="B1725">
            <v>0</v>
          </cell>
        </row>
        <row r="1726">
          <cell r="A1726">
            <v>1000004408</v>
          </cell>
          <cell r="B1726">
            <v>0</v>
          </cell>
        </row>
        <row r="1727">
          <cell r="A1727">
            <v>1000004708</v>
          </cell>
          <cell r="B1727">
            <v>0</v>
          </cell>
        </row>
        <row r="1728">
          <cell r="A1728">
            <v>1000002785</v>
          </cell>
          <cell r="B1728">
            <v>0</v>
          </cell>
        </row>
        <row r="1729">
          <cell r="A1729">
            <v>1000004743</v>
          </cell>
          <cell r="B1729">
            <v>0</v>
          </cell>
        </row>
        <row r="1730">
          <cell r="A1730">
            <v>1000004714</v>
          </cell>
          <cell r="B1730">
            <v>0</v>
          </cell>
        </row>
        <row r="1731">
          <cell r="A1731">
            <v>1000004731</v>
          </cell>
          <cell r="B1731">
            <v>0</v>
          </cell>
        </row>
        <row r="1732">
          <cell r="A1732">
            <v>1000004734</v>
          </cell>
          <cell r="B1732">
            <v>0</v>
          </cell>
        </row>
        <row r="1733">
          <cell r="A1733">
            <v>1000004671</v>
          </cell>
          <cell r="B1733">
            <v>0</v>
          </cell>
        </row>
        <row r="1734">
          <cell r="A1734">
            <v>1000004723</v>
          </cell>
          <cell r="B1734">
            <v>0</v>
          </cell>
        </row>
        <row r="1735">
          <cell r="A1735">
            <v>1000003207</v>
          </cell>
          <cell r="B1735">
            <v>0</v>
          </cell>
        </row>
        <row r="1736">
          <cell r="A1736">
            <v>1000004421</v>
          </cell>
          <cell r="B1736">
            <v>0</v>
          </cell>
        </row>
        <row r="1737">
          <cell r="A1737">
            <v>1000004710</v>
          </cell>
          <cell r="B1737">
            <v>0</v>
          </cell>
        </row>
        <row r="1738">
          <cell r="A1738">
            <v>1500001082</v>
          </cell>
          <cell r="B1738">
            <v>26.108333333333299</v>
          </cell>
        </row>
        <row r="1739">
          <cell r="A1739">
            <v>1500001716</v>
          </cell>
          <cell r="B1739">
            <v>33.3333333333333</v>
          </cell>
        </row>
        <row r="1740">
          <cell r="A1740">
            <v>1500001486</v>
          </cell>
          <cell r="B1740">
            <v>20.8333333333333</v>
          </cell>
        </row>
        <row r="1741">
          <cell r="A1741">
            <v>1500000804</v>
          </cell>
          <cell r="B1741">
            <v>148.666666666667</v>
          </cell>
        </row>
        <row r="1742">
          <cell r="A1742">
            <v>1500001252</v>
          </cell>
          <cell r="B1742">
            <v>39.5</v>
          </cell>
        </row>
        <row r="1743">
          <cell r="A1743">
            <v>1500000329</v>
          </cell>
          <cell r="B1743">
            <v>28.1666666666667</v>
          </cell>
        </row>
        <row r="1744">
          <cell r="A1744">
            <v>1500000012</v>
          </cell>
          <cell r="B1744">
            <v>2.1666666666666701</v>
          </cell>
        </row>
        <row r="1745">
          <cell r="A1745">
            <v>1500001318</v>
          </cell>
          <cell r="B1745">
            <v>10</v>
          </cell>
        </row>
        <row r="1746">
          <cell r="A1746">
            <v>1500001214</v>
          </cell>
          <cell r="B1746">
            <v>28.0833333333333</v>
          </cell>
        </row>
        <row r="1747">
          <cell r="A1747">
            <v>1500000220</v>
          </cell>
          <cell r="B1747">
            <v>1.8333333333333299</v>
          </cell>
        </row>
        <row r="1748">
          <cell r="A1748">
            <v>1500001518</v>
          </cell>
          <cell r="B1748">
            <v>34.5</v>
          </cell>
        </row>
        <row r="1749">
          <cell r="A1749">
            <v>1500001313</v>
          </cell>
          <cell r="B1749">
            <v>0</v>
          </cell>
        </row>
        <row r="1750">
          <cell r="A1750">
            <v>1500000681</v>
          </cell>
          <cell r="B1750">
            <v>18</v>
          </cell>
        </row>
        <row r="1751">
          <cell r="A1751">
            <v>1500000238</v>
          </cell>
          <cell r="B1751">
            <v>61.2916666666667</v>
          </cell>
        </row>
        <row r="1752">
          <cell r="A1752">
            <v>1500000435</v>
          </cell>
          <cell r="B1752">
            <v>54.3333333333333</v>
          </cell>
        </row>
        <row r="1753">
          <cell r="A1753">
            <v>1500000682</v>
          </cell>
          <cell r="B1753">
            <v>28.8333333333333</v>
          </cell>
        </row>
        <row r="1754">
          <cell r="A1754">
            <v>1500000784</v>
          </cell>
          <cell r="B1754">
            <v>88.1666666666667</v>
          </cell>
        </row>
        <row r="1755">
          <cell r="A1755">
            <v>1500001200</v>
          </cell>
          <cell r="B1755">
            <v>26.0833333333333</v>
          </cell>
        </row>
        <row r="1756">
          <cell r="A1756">
            <v>1500000929</v>
          </cell>
          <cell r="B1756">
            <v>8.25</v>
          </cell>
        </row>
        <row r="1757">
          <cell r="A1757">
            <v>1500001410</v>
          </cell>
          <cell r="B1757">
            <v>72.5</v>
          </cell>
        </row>
        <row r="1758">
          <cell r="A1758">
            <v>1500001603</v>
          </cell>
          <cell r="B1758">
            <v>12.0833333333333</v>
          </cell>
        </row>
        <row r="1759">
          <cell r="A1759">
            <v>1500000637</v>
          </cell>
          <cell r="B1759">
            <v>14.033333333333299</v>
          </cell>
        </row>
        <row r="1760">
          <cell r="A1760">
            <v>1500000074</v>
          </cell>
          <cell r="B1760">
            <v>28.6666666666667</v>
          </cell>
        </row>
        <row r="1761">
          <cell r="A1761">
            <v>1500000286</v>
          </cell>
          <cell r="B1761">
            <v>24.1666666666667</v>
          </cell>
        </row>
        <row r="1762">
          <cell r="A1762">
            <v>1500000652</v>
          </cell>
          <cell r="B1762">
            <v>178.833333333333</v>
          </cell>
        </row>
        <row r="1763">
          <cell r="A1763">
            <v>1500001491</v>
          </cell>
          <cell r="B1763">
            <v>24.9166666666667</v>
          </cell>
        </row>
        <row r="1764">
          <cell r="A1764">
            <v>1500001004</v>
          </cell>
          <cell r="B1764">
            <v>17.3333333333333</v>
          </cell>
        </row>
        <row r="1765">
          <cell r="A1765">
            <v>1500000590</v>
          </cell>
          <cell r="B1765">
            <v>14.4166666666667</v>
          </cell>
        </row>
        <row r="1766">
          <cell r="A1766">
            <v>1500001253</v>
          </cell>
          <cell r="B1766">
            <v>0</v>
          </cell>
        </row>
        <row r="1767">
          <cell r="A1767">
            <v>1500001594</v>
          </cell>
          <cell r="B1767">
            <v>85.016666666666694</v>
          </cell>
        </row>
        <row r="1768">
          <cell r="A1768">
            <v>1500000417</v>
          </cell>
          <cell r="B1768">
            <v>36</v>
          </cell>
        </row>
        <row r="1769">
          <cell r="A1769">
            <v>1500000101</v>
          </cell>
          <cell r="B1769">
            <v>23.25</v>
          </cell>
        </row>
        <row r="1770">
          <cell r="A1770">
            <v>1500001492</v>
          </cell>
          <cell r="B1770">
            <v>18</v>
          </cell>
        </row>
        <row r="1771">
          <cell r="A1771">
            <v>1500000399</v>
          </cell>
          <cell r="B1771">
            <v>90</v>
          </cell>
        </row>
        <row r="1772">
          <cell r="A1772">
            <v>1500000731</v>
          </cell>
          <cell r="B1772">
            <v>8</v>
          </cell>
        </row>
        <row r="1773">
          <cell r="A1773">
            <v>1500000382</v>
          </cell>
          <cell r="B1773">
            <v>120.166666666667</v>
          </cell>
        </row>
        <row r="1774">
          <cell r="A1774">
            <v>1500001308</v>
          </cell>
          <cell r="B1774">
            <v>36.3333333333333</v>
          </cell>
        </row>
        <row r="1775">
          <cell r="A1775">
            <v>1500001519</v>
          </cell>
          <cell r="B1775">
            <v>7.3333333333333304</v>
          </cell>
        </row>
        <row r="1776">
          <cell r="A1776">
            <v>1500000509</v>
          </cell>
          <cell r="B1776">
            <v>4</v>
          </cell>
        </row>
        <row r="1777">
          <cell r="A1777">
            <v>1500000683</v>
          </cell>
          <cell r="B1777">
            <v>0</v>
          </cell>
        </row>
        <row r="1778">
          <cell r="A1778">
            <v>1500000326</v>
          </cell>
          <cell r="B1778">
            <v>0</v>
          </cell>
        </row>
        <row r="1779">
          <cell r="A1779">
            <v>1500000825</v>
          </cell>
          <cell r="B1779">
            <v>16.3333333333333</v>
          </cell>
        </row>
        <row r="1780">
          <cell r="A1780">
            <v>1500001215</v>
          </cell>
          <cell r="B1780">
            <v>4</v>
          </cell>
        </row>
        <row r="1781">
          <cell r="A1781">
            <v>1500000805</v>
          </cell>
          <cell r="B1781">
            <v>0</v>
          </cell>
        </row>
        <row r="1782">
          <cell r="A1782">
            <v>1500000154</v>
          </cell>
          <cell r="B1782">
            <v>245</v>
          </cell>
        </row>
        <row r="1783">
          <cell r="A1783">
            <v>1500001133</v>
          </cell>
          <cell r="B1783">
            <v>44.6666666666667</v>
          </cell>
        </row>
        <row r="1784">
          <cell r="A1784">
            <v>1500000544</v>
          </cell>
          <cell r="B1784">
            <v>18</v>
          </cell>
        </row>
        <row r="1785">
          <cell r="A1785">
            <v>1500001591</v>
          </cell>
          <cell r="B1785">
            <v>0</v>
          </cell>
        </row>
        <row r="1786">
          <cell r="A1786">
            <v>1500000023</v>
          </cell>
          <cell r="B1786">
            <v>6.8333333333333304</v>
          </cell>
        </row>
        <row r="1787">
          <cell r="A1787">
            <v>1500000436</v>
          </cell>
          <cell r="B1787">
            <v>34.25</v>
          </cell>
        </row>
        <row r="1788">
          <cell r="A1788">
            <v>1500000628</v>
          </cell>
          <cell r="B1788">
            <v>66.3333333333333</v>
          </cell>
        </row>
        <row r="1789">
          <cell r="A1789">
            <v>1500001712</v>
          </cell>
          <cell r="B1789">
            <v>86.1666666666667</v>
          </cell>
        </row>
        <row r="1790">
          <cell r="A1790">
            <v>1500000177</v>
          </cell>
          <cell r="B1790">
            <v>7.3333333333333304</v>
          </cell>
        </row>
        <row r="1791">
          <cell r="A1791">
            <v>1500001641</v>
          </cell>
          <cell r="B1791">
            <v>94.9166666666667</v>
          </cell>
        </row>
        <row r="1792">
          <cell r="A1792">
            <v>1500000000</v>
          </cell>
          <cell r="B1792">
            <v>0</v>
          </cell>
        </row>
        <row r="1793">
          <cell r="A1793">
            <v>1500001099</v>
          </cell>
          <cell r="B1793">
            <v>0</v>
          </cell>
        </row>
        <row r="1794">
          <cell r="A1794">
            <v>1500001135</v>
          </cell>
          <cell r="B1794">
            <v>78.8333333333333</v>
          </cell>
        </row>
        <row r="1795">
          <cell r="A1795">
            <v>1500001298</v>
          </cell>
          <cell r="B1795">
            <v>75.5</v>
          </cell>
        </row>
        <row r="1796">
          <cell r="A1796">
            <v>1500000310</v>
          </cell>
          <cell r="B1796">
            <v>69.1666666666667</v>
          </cell>
        </row>
        <row r="1797">
          <cell r="A1797">
            <v>1500000437</v>
          </cell>
          <cell r="B1797">
            <v>0</v>
          </cell>
        </row>
        <row r="1798">
          <cell r="A1798">
            <v>1500000511</v>
          </cell>
          <cell r="B1798">
            <v>25</v>
          </cell>
        </row>
        <row r="1799">
          <cell r="A1799">
            <v>1500001642</v>
          </cell>
          <cell r="B1799">
            <v>16.6666666666667</v>
          </cell>
        </row>
        <row r="1800">
          <cell r="A1800">
            <v>1500000660</v>
          </cell>
          <cell r="B1800">
            <v>0</v>
          </cell>
        </row>
        <row r="1801">
          <cell r="A1801">
            <v>1500000732</v>
          </cell>
          <cell r="B1801">
            <v>0</v>
          </cell>
        </row>
        <row r="1802">
          <cell r="A1802">
            <v>1500000685</v>
          </cell>
          <cell r="B1802">
            <v>0.83333333333333304</v>
          </cell>
        </row>
        <row r="1803">
          <cell r="A1803">
            <v>1500001299</v>
          </cell>
          <cell r="B1803">
            <v>45.5</v>
          </cell>
        </row>
        <row r="1804">
          <cell r="A1804">
            <v>1500001300</v>
          </cell>
          <cell r="B1804">
            <v>16.3333333333333</v>
          </cell>
        </row>
        <row r="1805">
          <cell r="A1805">
            <v>1500001557</v>
          </cell>
          <cell r="B1805">
            <v>0</v>
          </cell>
        </row>
        <row r="1806">
          <cell r="A1806">
            <v>1500012511</v>
          </cell>
          <cell r="B1806">
            <v>0</v>
          </cell>
        </row>
        <row r="1807">
          <cell r="A1807">
            <v>1500000362</v>
          </cell>
          <cell r="B1807">
            <v>0</v>
          </cell>
        </row>
        <row r="1808">
          <cell r="A1808">
            <v>1500000931</v>
          </cell>
          <cell r="B1808">
            <v>34.3333333333333</v>
          </cell>
        </row>
        <row r="1809">
          <cell r="A1809">
            <v>1500001194</v>
          </cell>
          <cell r="B1809">
            <v>0.83333333333333304</v>
          </cell>
        </row>
        <row r="1810">
          <cell r="A1810">
            <v>1500001307</v>
          </cell>
          <cell r="B1810">
            <v>137.291666666667</v>
          </cell>
        </row>
        <row r="1811">
          <cell r="A1811">
            <v>1500000087</v>
          </cell>
          <cell r="B1811">
            <v>46.5</v>
          </cell>
        </row>
        <row r="1812">
          <cell r="A1812">
            <v>1500000475</v>
          </cell>
          <cell r="B1812">
            <v>3.3333333333333299</v>
          </cell>
        </row>
        <row r="1813">
          <cell r="A1813">
            <v>1500001643</v>
          </cell>
          <cell r="B1813">
            <v>200</v>
          </cell>
        </row>
        <row r="1814">
          <cell r="A1814">
            <v>1500001100</v>
          </cell>
          <cell r="B1814">
            <v>14</v>
          </cell>
        </row>
        <row r="1815">
          <cell r="A1815">
            <v>1500000400</v>
          </cell>
          <cell r="B1815">
            <v>0.83333333333333304</v>
          </cell>
        </row>
        <row r="1816">
          <cell r="A1816">
            <v>1500000401</v>
          </cell>
          <cell r="B1816">
            <v>137.666666666667</v>
          </cell>
        </row>
        <row r="1817">
          <cell r="A1817">
            <v>1500000826</v>
          </cell>
          <cell r="B1817">
            <v>50.6666666666667</v>
          </cell>
        </row>
        <row r="1818">
          <cell r="A1818">
            <v>1500001164</v>
          </cell>
          <cell r="B1818">
            <v>0</v>
          </cell>
        </row>
        <row r="1819">
          <cell r="A1819">
            <v>1500000438</v>
          </cell>
          <cell r="B1819">
            <v>18.3333333333333</v>
          </cell>
        </row>
        <row r="1820">
          <cell r="A1820">
            <v>1500001521</v>
          </cell>
          <cell r="B1820">
            <v>13.3333333333333</v>
          </cell>
        </row>
        <row r="1821">
          <cell r="A1821">
            <v>1500001356</v>
          </cell>
          <cell r="B1821">
            <v>35.1666666666667</v>
          </cell>
        </row>
        <row r="1822">
          <cell r="A1822">
            <v>1500000476</v>
          </cell>
          <cell r="B1822">
            <v>120.833333333333</v>
          </cell>
        </row>
        <row r="1823">
          <cell r="A1823">
            <v>1500001007</v>
          </cell>
          <cell r="B1823">
            <v>18.5</v>
          </cell>
        </row>
        <row r="1824">
          <cell r="A1824">
            <v>1500001269</v>
          </cell>
          <cell r="B1824">
            <v>42.6666666666667</v>
          </cell>
        </row>
        <row r="1825">
          <cell r="A1825">
            <v>1500000733</v>
          </cell>
          <cell r="B1825">
            <v>0</v>
          </cell>
        </row>
        <row r="1826">
          <cell r="A1826">
            <v>1500001195</v>
          </cell>
          <cell r="B1826">
            <v>19</v>
          </cell>
        </row>
        <row r="1827">
          <cell r="A1827">
            <v>1500000288</v>
          </cell>
          <cell r="B1827">
            <v>3.3333333333333299</v>
          </cell>
        </row>
        <row r="1828">
          <cell r="A1828">
            <v>1500001646</v>
          </cell>
          <cell r="B1828">
            <v>89.3333333333333</v>
          </cell>
        </row>
        <row r="1829">
          <cell r="A1829">
            <v>1500001494</v>
          </cell>
          <cell r="B1829">
            <v>22</v>
          </cell>
        </row>
        <row r="1830">
          <cell r="A1830">
            <v>1500000767</v>
          </cell>
          <cell r="B1830">
            <v>57.8333333333333</v>
          </cell>
        </row>
        <row r="1831">
          <cell r="A1831">
            <v>1500001495</v>
          </cell>
          <cell r="B1831">
            <v>5</v>
          </cell>
        </row>
        <row r="1832">
          <cell r="A1832">
            <v>1500000402</v>
          </cell>
          <cell r="B1832">
            <v>13.3333333333333</v>
          </cell>
        </row>
        <row r="1833">
          <cell r="A1833">
            <v>1500000289</v>
          </cell>
          <cell r="B1833">
            <v>15</v>
          </cell>
        </row>
        <row r="1834">
          <cell r="A1834">
            <v>1500001066</v>
          </cell>
          <cell r="B1834">
            <v>46.216666666666697</v>
          </cell>
        </row>
        <row r="1835">
          <cell r="A1835">
            <v>1500001592</v>
          </cell>
          <cell r="B1835">
            <v>0</v>
          </cell>
        </row>
        <row r="1836">
          <cell r="A1836">
            <v>1500001522</v>
          </cell>
          <cell r="B1836">
            <v>0</v>
          </cell>
        </row>
        <row r="1837">
          <cell r="A1837">
            <v>1500000311</v>
          </cell>
          <cell r="B1837">
            <v>0</v>
          </cell>
        </row>
        <row r="1838">
          <cell r="A1838">
            <v>1500000005</v>
          </cell>
          <cell r="B1838">
            <v>4.1666666666666696</v>
          </cell>
        </row>
        <row r="1839">
          <cell r="A1839">
            <v>1500000505</v>
          </cell>
          <cell r="B1839">
            <v>6</v>
          </cell>
        </row>
        <row r="1840">
          <cell r="A1840">
            <v>1500000178</v>
          </cell>
          <cell r="B1840">
            <v>31.75</v>
          </cell>
        </row>
        <row r="1841">
          <cell r="A1841">
            <v>1500000932</v>
          </cell>
          <cell r="B1841">
            <v>10</v>
          </cell>
        </row>
        <row r="1842">
          <cell r="A1842">
            <v>1500000495</v>
          </cell>
          <cell r="B1842">
            <v>0</v>
          </cell>
        </row>
        <row r="1843">
          <cell r="A1843">
            <v>1500000828</v>
          </cell>
          <cell r="B1843">
            <v>47.0833333333333</v>
          </cell>
        </row>
        <row r="1844">
          <cell r="A1844">
            <v>1500000114</v>
          </cell>
          <cell r="B1844">
            <v>0</v>
          </cell>
        </row>
        <row r="1845">
          <cell r="A1845">
            <v>1500011162</v>
          </cell>
          <cell r="B1845">
            <v>29</v>
          </cell>
        </row>
        <row r="1846">
          <cell r="A1846">
            <v>1500000115</v>
          </cell>
          <cell r="B1846">
            <v>0</v>
          </cell>
        </row>
        <row r="1847">
          <cell r="A1847">
            <v>1500001391</v>
          </cell>
          <cell r="B1847">
            <v>75.6666666666667</v>
          </cell>
        </row>
        <row r="1848">
          <cell r="A1848">
            <v>1500001560</v>
          </cell>
          <cell r="B1848">
            <v>26.5</v>
          </cell>
        </row>
        <row r="1849">
          <cell r="A1849">
            <v>1500000653</v>
          </cell>
          <cell r="B1849">
            <v>14.3333333333333</v>
          </cell>
        </row>
        <row r="1850">
          <cell r="A1850">
            <v>1500001196</v>
          </cell>
          <cell r="B1850">
            <v>5.8333333333333304</v>
          </cell>
        </row>
        <row r="1851">
          <cell r="A1851">
            <v>1500000770</v>
          </cell>
          <cell r="B1851">
            <v>40.6666666666667</v>
          </cell>
        </row>
        <row r="1852">
          <cell r="A1852">
            <v>1500000478</v>
          </cell>
          <cell r="B1852">
            <v>10</v>
          </cell>
        </row>
        <row r="1853">
          <cell r="A1853">
            <v>1500000403</v>
          </cell>
          <cell r="B1853">
            <v>27.3333333333333</v>
          </cell>
        </row>
        <row r="1854">
          <cell r="A1854">
            <v>1500000404</v>
          </cell>
          <cell r="B1854">
            <v>18.6666666666667</v>
          </cell>
        </row>
        <row r="1855">
          <cell r="A1855">
            <v>1500000806</v>
          </cell>
          <cell r="B1855">
            <v>87.8333333333333</v>
          </cell>
        </row>
        <row r="1856">
          <cell r="A1856">
            <v>1500001101</v>
          </cell>
          <cell r="B1856">
            <v>2.8333333333333299</v>
          </cell>
        </row>
        <row r="1857">
          <cell r="A1857">
            <v>1500000548</v>
          </cell>
          <cell r="B1857">
            <v>5.8333333333333304</v>
          </cell>
        </row>
        <row r="1858">
          <cell r="A1858">
            <v>1500001357</v>
          </cell>
          <cell r="B1858">
            <v>0</v>
          </cell>
        </row>
        <row r="1859">
          <cell r="A1859">
            <v>1500011438</v>
          </cell>
          <cell r="B1859">
            <v>11.6666666666667</v>
          </cell>
        </row>
        <row r="1860">
          <cell r="A1860">
            <v>1500001136</v>
          </cell>
          <cell r="B1860">
            <v>79.1666666666667</v>
          </cell>
        </row>
        <row r="1861">
          <cell r="A1861">
            <v>1500000239</v>
          </cell>
          <cell r="B1861">
            <v>34.8333333333333</v>
          </cell>
        </row>
        <row r="1862">
          <cell r="A1862">
            <v>1500001496</v>
          </cell>
          <cell r="B1862">
            <v>48.6666666666667</v>
          </cell>
        </row>
        <row r="1863">
          <cell r="A1863">
            <v>1500000440</v>
          </cell>
          <cell r="B1863">
            <v>30.3333333333333</v>
          </cell>
        </row>
        <row r="1864">
          <cell r="A1864">
            <v>1500000629</v>
          </cell>
          <cell r="B1864">
            <v>55.0416666666667</v>
          </cell>
        </row>
        <row r="1865">
          <cell r="A1865">
            <v>1500011439</v>
          </cell>
          <cell r="B1865">
            <v>289.10000000000002</v>
          </cell>
        </row>
        <row r="1866">
          <cell r="A1866">
            <v>1500012526</v>
          </cell>
          <cell r="B1866">
            <v>20</v>
          </cell>
        </row>
        <row r="1867">
          <cell r="A1867">
            <v>1500000874</v>
          </cell>
          <cell r="B1867">
            <v>0</v>
          </cell>
        </row>
        <row r="1868">
          <cell r="A1868">
            <v>1500000512</v>
          </cell>
          <cell r="B1868">
            <v>4</v>
          </cell>
        </row>
        <row r="1869">
          <cell r="A1869">
            <v>1500001523</v>
          </cell>
          <cell r="B1869">
            <v>42.6666666666667</v>
          </cell>
        </row>
        <row r="1870">
          <cell r="A1870">
            <v>1500000273</v>
          </cell>
          <cell r="B1870">
            <v>0</v>
          </cell>
        </row>
        <row r="1871">
          <cell r="A1871">
            <v>1500011440</v>
          </cell>
          <cell r="B1871">
            <v>0</v>
          </cell>
        </row>
        <row r="1872">
          <cell r="A1872">
            <v>1500001524</v>
          </cell>
          <cell r="B1872">
            <v>15.5</v>
          </cell>
        </row>
        <row r="1873">
          <cell r="A1873">
            <v>1500000786</v>
          </cell>
          <cell r="B1873">
            <v>17.4166666666667</v>
          </cell>
        </row>
        <row r="1874">
          <cell r="A1874">
            <v>1500001137</v>
          </cell>
          <cell r="B1874">
            <v>17.5833333333333</v>
          </cell>
        </row>
        <row r="1875">
          <cell r="A1875">
            <v>1500001378</v>
          </cell>
          <cell r="B1875">
            <v>56.6666666666667</v>
          </cell>
        </row>
        <row r="1876">
          <cell r="A1876">
            <v>1500000013</v>
          </cell>
          <cell r="B1876">
            <v>9.1666666666666696</v>
          </cell>
        </row>
        <row r="1877">
          <cell r="A1877">
            <v>1500000179</v>
          </cell>
          <cell r="B1877">
            <v>4.5</v>
          </cell>
        </row>
        <row r="1878">
          <cell r="A1878">
            <v>1500001358</v>
          </cell>
          <cell r="B1878">
            <v>12</v>
          </cell>
        </row>
        <row r="1879">
          <cell r="A1879">
            <v>1500001713</v>
          </cell>
          <cell r="B1879">
            <v>23.6666666666667</v>
          </cell>
        </row>
        <row r="1880">
          <cell r="A1880">
            <v>1500001615</v>
          </cell>
          <cell r="B1880">
            <v>26.008333333333301</v>
          </cell>
        </row>
        <row r="1881">
          <cell r="A1881">
            <v>1500001165</v>
          </cell>
          <cell r="B1881">
            <v>18.8333333333333</v>
          </cell>
        </row>
        <row r="1882">
          <cell r="A1882">
            <v>1500000006</v>
          </cell>
          <cell r="B1882">
            <v>22.5</v>
          </cell>
        </row>
        <row r="1883">
          <cell r="A1883">
            <v>1500001359</v>
          </cell>
          <cell r="B1883">
            <v>100.833333333333</v>
          </cell>
        </row>
        <row r="1884">
          <cell r="A1884">
            <v>1500001463</v>
          </cell>
          <cell r="B1884">
            <v>7.1666666666666696</v>
          </cell>
        </row>
        <row r="1885">
          <cell r="A1885">
            <v>1500001497</v>
          </cell>
          <cell r="B1885">
            <v>6.25</v>
          </cell>
        </row>
        <row r="1886">
          <cell r="A1886">
            <v>1500001439</v>
          </cell>
          <cell r="B1886">
            <v>42</v>
          </cell>
        </row>
        <row r="1887">
          <cell r="A1887">
            <v>1500001440</v>
          </cell>
          <cell r="B1887">
            <v>19.1666666666667</v>
          </cell>
        </row>
        <row r="1888">
          <cell r="A1888">
            <v>1500001525</v>
          </cell>
          <cell r="B1888">
            <v>6</v>
          </cell>
        </row>
        <row r="1889">
          <cell r="A1889">
            <v>1500001551</v>
          </cell>
          <cell r="B1889">
            <v>6</v>
          </cell>
        </row>
        <row r="1890">
          <cell r="A1890">
            <v>1500000441</v>
          </cell>
          <cell r="B1890">
            <v>83.5</v>
          </cell>
        </row>
        <row r="1891">
          <cell r="A1891">
            <v>1500001302</v>
          </cell>
          <cell r="B1891">
            <v>28</v>
          </cell>
        </row>
        <row r="1892">
          <cell r="A1892">
            <v>1500000934</v>
          </cell>
          <cell r="B1892">
            <v>39.5833333333333</v>
          </cell>
        </row>
        <row r="1893">
          <cell r="A1893">
            <v>1500001586</v>
          </cell>
          <cell r="B1893">
            <v>0</v>
          </cell>
        </row>
        <row r="1894">
          <cell r="A1894">
            <v>1500000582</v>
          </cell>
          <cell r="B1894">
            <v>9.9166666666666696</v>
          </cell>
        </row>
        <row r="1895">
          <cell r="A1895">
            <v>1500001139</v>
          </cell>
          <cell r="B1895">
            <v>16</v>
          </cell>
        </row>
        <row r="1896">
          <cell r="A1896">
            <v>1500000829</v>
          </cell>
          <cell r="B1896">
            <v>34.3333333333333</v>
          </cell>
        </row>
        <row r="1897">
          <cell r="A1897">
            <v>1500001204</v>
          </cell>
          <cell r="B1897">
            <v>57</v>
          </cell>
        </row>
        <row r="1898">
          <cell r="A1898">
            <v>1500000746</v>
          </cell>
          <cell r="B1898">
            <v>19</v>
          </cell>
        </row>
        <row r="1899">
          <cell r="A1899">
            <v>1500000753</v>
          </cell>
          <cell r="B1899">
            <v>55.325000000000003</v>
          </cell>
        </row>
        <row r="1900">
          <cell r="A1900">
            <v>1500001234</v>
          </cell>
          <cell r="B1900">
            <v>67.75</v>
          </cell>
        </row>
        <row r="1901">
          <cell r="A1901">
            <v>1500000830</v>
          </cell>
          <cell r="B1901">
            <v>39.1666666666667</v>
          </cell>
        </row>
        <row r="1902">
          <cell r="A1902">
            <v>1500000061</v>
          </cell>
          <cell r="B1902">
            <v>70.8333333333333</v>
          </cell>
        </row>
        <row r="1903">
          <cell r="A1903">
            <v>1500001441</v>
          </cell>
          <cell r="B1903">
            <v>30.5</v>
          </cell>
        </row>
        <row r="1904">
          <cell r="A1904">
            <v>1500001205</v>
          </cell>
          <cell r="B1904">
            <v>0</v>
          </cell>
        </row>
        <row r="1905">
          <cell r="A1905">
            <v>1500000831</v>
          </cell>
          <cell r="B1905">
            <v>11.3333333333333</v>
          </cell>
        </row>
        <row r="1906">
          <cell r="A1906">
            <v>1500000513</v>
          </cell>
          <cell r="B1906">
            <v>0</v>
          </cell>
        </row>
        <row r="1907">
          <cell r="A1907">
            <v>1500000832</v>
          </cell>
          <cell r="B1907">
            <v>0</v>
          </cell>
        </row>
        <row r="1908">
          <cell r="A1908">
            <v>1500000687</v>
          </cell>
          <cell r="B1908">
            <v>7.5</v>
          </cell>
        </row>
        <row r="1909">
          <cell r="A1909">
            <v>1500001499</v>
          </cell>
          <cell r="B1909">
            <v>10.1666666666667</v>
          </cell>
        </row>
        <row r="1910">
          <cell r="A1910">
            <v>1500011617</v>
          </cell>
          <cell r="B1910">
            <v>80.8333333333333</v>
          </cell>
        </row>
        <row r="1911">
          <cell r="A1911">
            <v>1500001283</v>
          </cell>
          <cell r="B1911">
            <v>47.1666666666667</v>
          </cell>
        </row>
        <row r="1912">
          <cell r="A1912">
            <v>1500000833</v>
          </cell>
          <cell r="B1912">
            <v>42.6666666666667</v>
          </cell>
        </row>
        <row r="1913">
          <cell r="A1913">
            <v>1500001140</v>
          </cell>
          <cell r="B1913">
            <v>21.6666666666667</v>
          </cell>
        </row>
        <row r="1914">
          <cell r="A1914">
            <v>1500000314</v>
          </cell>
          <cell r="B1914">
            <v>21.1666666666667</v>
          </cell>
        </row>
        <row r="1915">
          <cell r="A1915">
            <v>1500001467</v>
          </cell>
          <cell r="B1915">
            <v>6</v>
          </cell>
        </row>
        <row r="1916">
          <cell r="A1916">
            <v>1500000480</v>
          </cell>
          <cell r="B1916">
            <v>3.3333333333333299</v>
          </cell>
        </row>
        <row r="1917">
          <cell r="A1917">
            <v>1500000492</v>
          </cell>
          <cell r="B1917">
            <v>29.5</v>
          </cell>
        </row>
        <row r="1918">
          <cell r="A1918">
            <v>1500000787</v>
          </cell>
          <cell r="B1918">
            <v>0</v>
          </cell>
        </row>
        <row r="1919">
          <cell r="A1919">
            <v>1500000834</v>
          </cell>
          <cell r="B1919">
            <v>38.6666666666667</v>
          </cell>
        </row>
        <row r="1920">
          <cell r="A1920">
            <v>1500000631</v>
          </cell>
          <cell r="B1920">
            <v>0</v>
          </cell>
        </row>
        <row r="1921">
          <cell r="A1921">
            <v>1500000149</v>
          </cell>
          <cell r="B1921">
            <v>20.9166666666667</v>
          </cell>
        </row>
        <row r="1922">
          <cell r="A1922">
            <v>1500001141</v>
          </cell>
          <cell r="B1922">
            <v>46</v>
          </cell>
        </row>
        <row r="1923">
          <cell r="A1923">
            <v>1500001216</v>
          </cell>
          <cell r="B1923">
            <v>0</v>
          </cell>
        </row>
        <row r="1924">
          <cell r="A1924">
            <v>1500001217</v>
          </cell>
          <cell r="B1924">
            <v>55.8333333333333</v>
          </cell>
        </row>
        <row r="1925">
          <cell r="A1925">
            <v>1500011441</v>
          </cell>
          <cell r="B1925">
            <v>0</v>
          </cell>
        </row>
        <row r="1926">
          <cell r="A1926">
            <v>1500001527</v>
          </cell>
          <cell r="B1926">
            <v>24.1666666666667</v>
          </cell>
        </row>
        <row r="1927">
          <cell r="A1927">
            <v>1500000632</v>
          </cell>
          <cell r="B1927">
            <v>121.333333333333</v>
          </cell>
        </row>
        <row r="1928">
          <cell r="A1928">
            <v>1500001393</v>
          </cell>
          <cell r="B1928">
            <v>34</v>
          </cell>
        </row>
        <row r="1929">
          <cell r="A1929">
            <v>1500000156</v>
          </cell>
          <cell r="B1929">
            <v>0</v>
          </cell>
        </row>
        <row r="1930">
          <cell r="A1930">
            <v>1500001528</v>
          </cell>
          <cell r="B1930">
            <v>14.3333333333333</v>
          </cell>
        </row>
        <row r="1931">
          <cell r="A1931">
            <v>1500000807</v>
          </cell>
          <cell r="B1931">
            <v>28.5</v>
          </cell>
        </row>
        <row r="1932">
          <cell r="A1932">
            <v>1500000497</v>
          </cell>
          <cell r="B1932">
            <v>4.4166666666666696</v>
          </cell>
        </row>
        <row r="1933">
          <cell r="A1933">
            <v>1500000291</v>
          </cell>
          <cell r="B1933">
            <v>3.5</v>
          </cell>
        </row>
        <row r="1934">
          <cell r="A1934">
            <v>1500000661</v>
          </cell>
          <cell r="B1934">
            <v>0</v>
          </cell>
        </row>
        <row r="1935">
          <cell r="A1935">
            <v>1500000506</v>
          </cell>
          <cell r="B1935">
            <v>45</v>
          </cell>
        </row>
        <row r="1936">
          <cell r="A1936">
            <v>1500000734</v>
          </cell>
          <cell r="B1936">
            <v>22.6666666666667</v>
          </cell>
        </row>
        <row r="1937">
          <cell r="A1937">
            <v>1500001595</v>
          </cell>
          <cell r="B1937">
            <v>5.80833333333333</v>
          </cell>
        </row>
        <row r="1938">
          <cell r="A1938">
            <v>1500000514</v>
          </cell>
          <cell r="B1938">
            <v>245.5</v>
          </cell>
        </row>
        <row r="1939">
          <cell r="A1939">
            <v>1500001206</v>
          </cell>
          <cell r="B1939">
            <v>2</v>
          </cell>
        </row>
        <row r="1940">
          <cell r="A1940">
            <v>1500001218</v>
          </cell>
          <cell r="B1940">
            <v>2</v>
          </cell>
        </row>
        <row r="1941">
          <cell r="A1941">
            <v>1500000974</v>
          </cell>
          <cell r="B1941">
            <v>0.66666666666666696</v>
          </cell>
        </row>
        <row r="1942">
          <cell r="A1942">
            <v>1500001464</v>
          </cell>
          <cell r="B1942">
            <v>0</v>
          </cell>
        </row>
        <row r="1943">
          <cell r="A1943">
            <v>1500000150</v>
          </cell>
          <cell r="B1943">
            <v>7.8333333333333304</v>
          </cell>
        </row>
        <row r="1944">
          <cell r="A1944">
            <v>1500000754</v>
          </cell>
          <cell r="B1944">
            <v>0</v>
          </cell>
        </row>
        <row r="1945">
          <cell r="A1945">
            <v>1500000328</v>
          </cell>
          <cell r="B1945">
            <v>48.1666666666667</v>
          </cell>
        </row>
        <row r="1946">
          <cell r="A1946">
            <v>1500001120</v>
          </cell>
          <cell r="B1946">
            <v>19.5</v>
          </cell>
        </row>
        <row r="1947">
          <cell r="A1947">
            <v>1500001197</v>
          </cell>
          <cell r="B1947">
            <v>53.1666666666667</v>
          </cell>
        </row>
        <row r="1948">
          <cell r="A1948">
            <v>1500000788</v>
          </cell>
          <cell r="B1948">
            <v>4</v>
          </cell>
        </row>
        <row r="1949">
          <cell r="A1949">
            <v>1500012540</v>
          </cell>
          <cell r="B1949">
            <v>0</v>
          </cell>
        </row>
        <row r="1950">
          <cell r="A1950">
            <v>1500001143</v>
          </cell>
          <cell r="B1950">
            <v>16.3333333333333</v>
          </cell>
        </row>
        <row r="1951">
          <cell r="A1951">
            <v>1500000634</v>
          </cell>
          <cell r="B1951">
            <v>48.5833333333333</v>
          </cell>
        </row>
        <row r="1952">
          <cell r="A1952">
            <v>1500001529</v>
          </cell>
          <cell r="B1952">
            <v>14.1666666666667</v>
          </cell>
        </row>
        <row r="1953">
          <cell r="A1953">
            <v>1500001648</v>
          </cell>
          <cell r="B1953">
            <v>16.5</v>
          </cell>
        </row>
        <row r="1954">
          <cell r="A1954">
            <v>1500001248</v>
          </cell>
          <cell r="B1954">
            <v>0</v>
          </cell>
        </row>
        <row r="1955">
          <cell r="A1955">
            <v>1500000591</v>
          </cell>
          <cell r="B1955">
            <v>20</v>
          </cell>
        </row>
        <row r="1956">
          <cell r="A1956">
            <v>1500001360</v>
          </cell>
          <cell r="B1956">
            <v>75.1666666666667</v>
          </cell>
        </row>
        <row r="1957">
          <cell r="A1957">
            <v>1500000292</v>
          </cell>
          <cell r="B1957">
            <v>5.3333333333333304</v>
          </cell>
        </row>
        <row r="1958">
          <cell r="A1958">
            <v>1500000293</v>
          </cell>
          <cell r="B1958">
            <v>4.3333333333333304</v>
          </cell>
        </row>
        <row r="1959">
          <cell r="A1959">
            <v>1500000515</v>
          </cell>
          <cell r="B1959">
            <v>0</v>
          </cell>
        </row>
        <row r="1960">
          <cell r="A1960">
            <v>1500000516</v>
          </cell>
          <cell r="B1960">
            <v>63</v>
          </cell>
        </row>
        <row r="1961">
          <cell r="A1961">
            <v>1500001362</v>
          </cell>
          <cell r="B1961">
            <v>71.1666666666667</v>
          </cell>
        </row>
        <row r="1962">
          <cell r="A1962">
            <v>1500000106</v>
          </cell>
          <cell r="B1962">
            <v>0</v>
          </cell>
        </row>
        <row r="1963">
          <cell r="A1963">
            <v>1500000294</v>
          </cell>
          <cell r="B1963">
            <v>10.1666666666667</v>
          </cell>
        </row>
        <row r="1964">
          <cell r="A1964">
            <v>1500001650</v>
          </cell>
          <cell r="B1964">
            <v>134.166666666667</v>
          </cell>
        </row>
        <row r="1965">
          <cell r="A1965">
            <v>1500001501</v>
          </cell>
          <cell r="B1965">
            <v>192.833333333333</v>
          </cell>
        </row>
        <row r="1966">
          <cell r="A1966">
            <v>1500000014</v>
          </cell>
          <cell r="B1966">
            <v>52</v>
          </cell>
        </row>
        <row r="1967">
          <cell r="A1967">
            <v>1500000935</v>
          </cell>
          <cell r="B1967">
            <v>17.1666666666667</v>
          </cell>
        </row>
        <row r="1968">
          <cell r="A1968">
            <v>1500001564</v>
          </cell>
          <cell r="B1968">
            <v>0</v>
          </cell>
        </row>
        <row r="1969">
          <cell r="A1969">
            <v>1500001565</v>
          </cell>
          <cell r="B1969">
            <v>21.8333333333333</v>
          </cell>
        </row>
        <row r="1970">
          <cell r="A1970">
            <v>1500001651</v>
          </cell>
          <cell r="B1970">
            <v>110.5</v>
          </cell>
        </row>
        <row r="1971">
          <cell r="A1971">
            <v>1500000295</v>
          </cell>
          <cell r="B1971">
            <v>23.3333333333333</v>
          </cell>
        </row>
        <row r="1972">
          <cell r="A1972">
            <v>1500000936</v>
          </cell>
          <cell r="B1972">
            <v>52.5</v>
          </cell>
        </row>
        <row r="1973">
          <cell r="A1973">
            <v>1500000937</v>
          </cell>
          <cell r="B1973">
            <v>10.8333333333333</v>
          </cell>
        </row>
        <row r="1974">
          <cell r="A1974">
            <v>1500000333</v>
          </cell>
          <cell r="B1974">
            <v>14.1666666666667</v>
          </cell>
        </row>
        <row r="1975">
          <cell r="A1975">
            <v>1500001566</v>
          </cell>
          <cell r="B1975">
            <v>0</v>
          </cell>
        </row>
        <row r="1976">
          <cell r="A1976">
            <v>1500001652</v>
          </cell>
          <cell r="B1976">
            <v>67.5</v>
          </cell>
        </row>
        <row r="1977">
          <cell r="A1977">
            <v>1500001502</v>
          </cell>
          <cell r="B1977">
            <v>31.5</v>
          </cell>
        </row>
        <row r="1978">
          <cell r="A1978">
            <v>1500001166</v>
          </cell>
          <cell r="B1978">
            <v>0</v>
          </cell>
        </row>
        <row r="1979">
          <cell r="A1979">
            <v>1500001144</v>
          </cell>
          <cell r="B1979">
            <v>25.0833333333333</v>
          </cell>
        </row>
        <row r="1980">
          <cell r="A1980">
            <v>1500001145</v>
          </cell>
          <cell r="B1980">
            <v>0</v>
          </cell>
        </row>
        <row r="1981">
          <cell r="A1981">
            <v>1500000836</v>
          </cell>
          <cell r="B1981">
            <v>4</v>
          </cell>
        </row>
        <row r="1982">
          <cell r="A1982">
            <v>1500000481</v>
          </cell>
          <cell r="B1982">
            <v>53.1666666666667</v>
          </cell>
        </row>
        <row r="1983">
          <cell r="A1983">
            <v>1500000612</v>
          </cell>
          <cell r="B1983">
            <v>35.0833333333333</v>
          </cell>
        </row>
        <row r="1984">
          <cell r="A1984">
            <v>1500000613</v>
          </cell>
          <cell r="B1984">
            <v>0</v>
          </cell>
        </row>
        <row r="1985">
          <cell r="A1985">
            <v>1500000371</v>
          </cell>
          <cell r="B1985">
            <v>42.25</v>
          </cell>
        </row>
        <row r="1986">
          <cell r="A1986">
            <v>1500000372</v>
          </cell>
          <cell r="B1986">
            <v>26.6666666666667</v>
          </cell>
        </row>
        <row r="1987">
          <cell r="A1987">
            <v>1500000318</v>
          </cell>
          <cell r="B1987">
            <v>14.5</v>
          </cell>
        </row>
        <row r="1988">
          <cell r="A1988">
            <v>1500000444</v>
          </cell>
          <cell r="B1988">
            <v>0</v>
          </cell>
        </row>
        <row r="1989">
          <cell r="A1989">
            <v>1500000614</v>
          </cell>
          <cell r="B1989">
            <v>1.6666666666666701</v>
          </cell>
        </row>
        <row r="1990">
          <cell r="A1990">
            <v>1500000625</v>
          </cell>
          <cell r="B1990">
            <v>0</v>
          </cell>
        </row>
        <row r="1991">
          <cell r="A1991">
            <v>1500000626</v>
          </cell>
          <cell r="B1991">
            <v>100.208333333333</v>
          </cell>
        </row>
        <row r="1992">
          <cell r="A1992">
            <v>1500000077</v>
          </cell>
          <cell r="B1992">
            <v>0</v>
          </cell>
        </row>
        <row r="1993">
          <cell r="A1993">
            <v>1500000078</v>
          </cell>
          <cell r="B1993">
            <v>30.4166666666667</v>
          </cell>
        </row>
        <row r="1994">
          <cell r="A1994">
            <v>1500000079</v>
          </cell>
          <cell r="B1994">
            <v>12.5</v>
          </cell>
        </row>
        <row r="1995">
          <cell r="A1995">
            <v>1500000080</v>
          </cell>
          <cell r="B1995">
            <v>67.6666666666667</v>
          </cell>
        </row>
        <row r="1996">
          <cell r="A1996">
            <v>1500001611</v>
          </cell>
          <cell r="B1996">
            <v>46.0833333333333</v>
          </cell>
        </row>
        <row r="1997">
          <cell r="A1997">
            <v>1500000353</v>
          </cell>
          <cell r="B1997">
            <v>0</v>
          </cell>
        </row>
        <row r="1998">
          <cell r="A1998">
            <v>1500001237</v>
          </cell>
          <cell r="B1998">
            <v>1.6666666666666701</v>
          </cell>
        </row>
        <row r="1999">
          <cell r="A1999">
            <v>1500000007</v>
          </cell>
          <cell r="B1999">
            <v>0</v>
          </cell>
        </row>
        <row r="2000">
          <cell r="A2000">
            <v>1500001482</v>
          </cell>
          <cell r="B2000">
            <v>13.0833333333333</v>
          </cell>
        </row>
        <row r="2001">
          <cell r="A2001">
            <v>1500001106</v>
          </cell>
          <cell r="B2001">
            <v>3.8333333333333299</v>
          </cell>
        </row>
        <row r="2002">
          <cell r="A2002">
            <v>1500000808</v>
          </cell>
          <cell r="B2002">
            <v>9</v>
          </cell>
        </row>
        <row r="2003">
          <cell r="A2003">
            <v>1500001238</v>
          </cell>
          <cell r="B2003">
            <v>4.1666666666666696</v>
          </cell>
        </row>
        <row r="2004">
          <cell r="A2004">
            <v>1500000224</v>
          </cell>
          <cell r="B2004">
            <v>12.5</v>
          </cell>
        </row>
        <row r="2005">
          <cell r="A2005">
            <v>1500001067</v>
          </cell>
          <cell r="B2005">
            <v>0.25</v>
          </cell>
        </row>
        <row r="2006">
          <cell r="A2006">
            <v>1500000146</v>
          </cell>
          <cell r="B2006">
            <v>0</v>
          </cell>
        </row>
        <row r="2007">
          <cell r="A2007">
            <v>1500001316</v>
          </cell>
          <cell r="B2007">
            <v>103.5</v>
          </cell>
        </row>
        <row r="2008">
          <cell r="A2008">
            <v>1500001239</v>
          </cell>
          <cell r="B2008">
            <v>0</v>
          </cell>
        </row>
        <row r="2009">
          <cell r="A2009">
            <v>1500001330</v>
          </cell>
          <cell r="B2009">
            <v>3.8333333333333299</v>
          </cell>
        </row>
        <row r="2010">
          <cell r="A2010">
            <v>1500000906</v>
          </cell>
          <cell r="B2010">
            <v>3.375</v>
          </cell>
        </row>
        <row r="2011">
          <cell r="A2011">
            <v>1500000949</v>
          </cell>
          <cell r="B2011">
            <v>6.6666666666666696</v>
          </cell>
        </row>
        <row r="2012">
          <cell r="A2012">
            <v>1500000385</v>
          </cell>
          <cell r="B2012">
            <v>38</v>
          </cell>
        </row>
        <row r="2013">
          <cell r="A2013">
            <v>1500000735</v>
          </cell>
          <cell r="B2013">
            <v>2</v>
          </cell>
        </row>
        <row r="2014">
          <cell r="A2014">
            <v>1500000688</v>
          </cell>
          <cell r="B2014">
            <v>0</v>
          </cell>
        </row>
        <row r="2015">
          <cell r="A2015">
            <v>1500000689</v>
          </cell>
          <cell r="B2015">
            <v>18.1666666666667</v>
          </cell>
        </row>
        <row r="2016">
          <cell r="A2016">
            <v>1500000809</v>
          </cell>
          <cell r="B2016">
            <v>0</v>
          </cell>
        </row>
        <row r="2017">
          <cell r="A2017">
            <v>1500000570</v>
          </cell>
          <cell r="B2017">
            <v>0</v>
          </cell>
        </row>
        <row r="2018">
          <cell r="A2018">
            <v>1500000560</v>
          </cell>
          <cell r="B2018">
            <v>77.2083333333333</v>
          </cell>
        </row>
        <row r="2019">
          <cell r="A2019">
            <v>1500001273</v>
          </cell>
          <cell r="B2019">
            <v>0</v>
          </cell>
        </row>
        <row r="2020">
          <cell r="A2020">
            <v>1500001317</v>
          </cell>
          <cell r="B2020">
            <v>147.46666666666701</v>
          </cell>
        </row>
        <row r="2021">
          <cell r="A2021">
            <v>1500000008</v>
          </cell>
          <cell r="B2021">
            <v>33.674999999999997</v>
          </cell>
        </row>
        <row r="2022">
          <cell r="A2022">
            <v>1500001612</v>
          </cell>
          <cell r="B2022">
            <v>23.7916666666667</v>
          </cell>
        </row>
        <row r="2023">
          <cell r="A2023">
            <v>1500000939</v>
          </cell>
          <cell r="B2023">
            <v>0</v>
          </cell>
        </row>
        <row r="2024">
          <cell r="A2024">
            <v>1500001653</v>
          </cell>
          <cell r="B2024">
            <v>64</v>
          </cell>
        </row>
        <row r="2025">
          <cell r="A2025">
            <v>1500001122</v>
          </cell>
          <cell r="B2025">
            <v>71.8333333333333</v>
          </cell>
        </row>
        <row r="2026">
          <cell r="A2026">
            <v>1500001314</v>
          </cell>
          <cell r="B2026">
            <v>2.6666666666666701</v>
          </cell>
        </row>
        <row r="2027">
          <cell r="A2027">
            <v>1500001088</v>
          </cell>
          <cell r="B2027">
            <v>19.3333333333333</v>
          </cell>
        </row>
        <row r="2028">
          <cell r="A2028">
            <v>1500001292</v>
          </cell>
          <cell r="B2028">
            <v>6.5</v>
          </cell>
        </row>
        <row r="2029">
          <cell r="A2029">
            <v>1500000975</v>
          </cell>
          <cell r="B2029">
            <v>0</v>
          </cell>
        </row>
        <row r="2030">
          <cell r="A2030">
            <v>1500000241</v>
          </cell>
          <cell r="B2030">
            <v>117.466666666667</v>
          </cell>
        </row>
        <row r="2031">
          <cell r="A2031">
            <v>1500000976</v>
          </cell>
          <cell r="B2031">
            <v>3.25</v>
          </cell>
        </row>
        <row r="2032">
          <cell r="A2032">
            <v>1500001319</v>
          </cell>
          <cell r="B2032">
            <v>34.3333333333333</v>
          </cell>
        </row>
        <row r="2033">
          <cell r="A2033">
            <v>1500000913</v>
          </cell>
          <cell r="B2033">
            <v>0</v>
          </cell>
        </row>
        <row r="2034">
          <cell r="A2034">
            <v>1500001582</v>
          </cell>
          <cell r="B2034">
            <v>22.75</v>
          </cell>
        </row>
        <row r="2035">
          <cell r="A2035">
            <v>1500000790</v>
          </cell>
          <cell r="B2035">
            <v>19.433333333333302</v>
          </cell>
        </row>
        <row r="2036">
          <cell r="A2036">
            <v>1500000810</v>
          </cell>
          <cell r="B2036">
            <v>0</v>
          </cell>
        </row>
        <row r="2037">
          <cell r="A2037">
            <v>1500001321</v>
          </cell>
          <cell r="B2037">
            <v>44.1666666666667</v>
          </cell>
        </row>
        <row r="2038">
          <cell r="A2038">
            <v>1500000639</v>
          </cell>
          <cell r="B2038">
            <v>95.75</v>
          </cell>
        </row>
        <row r="2039">
          <cell r="A2039">
            <v>1500001089</v>
          </cell>
          <cell r="B2039">
            <v>290</v>
          </cell>
        </row>
        <row r="2040">
          <cell r="A2040">
            <v>1500000774</v>
          </cell>
          <cell r="B2040">
            <v>14.6666666666667</v>
          </cell>
        </row>
        <row r="2041">
          <cell r="A2041">
            <v>1500001220</v>
          </cell>
          <cell r="B2041">
            <v>2</v>
          </cell>
        </row>
        <row r="2042">
          <cell r="A2042">
            <v>1500000108</v>
          </cell>
          <cell r="B2042">
            <v>135</v>
          </cell>
        </row>
        <row r="2043">
          <cell r="A2043">
            <v>1500000940</v>
          </cell>
          <cell r="B2043">
            <v>26.6666666666667</v>
          </cell>
        </row>
        <row r="2044">
          <cell r="A2044">
            <v>1500000941</v>
          </cell>
          <cell r="B2044">
            <v>31.6666666666667</v>
          </cell>
        </row>
        <row r="2045">
          <cell r="A2045">
            <v>1500000518</v>
          </cell>
          <cell r="B2045">
            <v>0</v>
          </cell>
        </row>
        <row r="2046">
          <cell r="A2046">
            <v>1500001293</v>
          </cell>
          <cell r="B2046">
            <v>7</v>
          </cell>
        </row>
        <row r="2047">
          <cell r="A2047">
            <v>1500001211</v>
          </cell>
          <cell r="B2047">
            <v>0</v>
          </cell>
        </row>
        <row r="2048">
          <cell r="A2048">
            <v>1500001213</v>
          </cell>
          <cell r="B2048">
            <v>0</v>
          </cell>
        </row>
        <row r="2049">
          <cell r="A2049">
            <v>1500000242</v>
          </cell>
          <cell r="B2049">
            <v>98.224999999999994</v>
          </cell>
        </row>
        <row r="2050">
          <cell r="A2050">
            <v>1500001654</v>
          </cell>
          <cell r="B2050">
            <v>65.8333333333333</v>
          </cell>
        </row>
        <row r="2051">
          <cell r="A2051">
            <v>1500001240</v>
          </cell>
          <cell r="B2051">
            <v>59.9583333333333</v>
          </cell>
        </row>
        <row r="2052">
          <cell r="A2052">
            <v>1500001655</v>
          </cell>
          <cell r="B2052">
            <v>15</v>
          </cell>
        </row>
        <row r="2053">
          <cell r="A2053">
            <v>1500001221</v>
          </cell>
          <cell r="B2053">
            <v>0</v>
          </cell>
        </row>
        <row r="2054">
          <cell r="A2054">
            <v>1500001656</v>
          </cell>
          <cell r="B2054">
            <v>172.5</v>
          </cell>
        </row>
        <row r="2055">
          <cell r="A2055">
            <v>1500001241</v>
          </cell>
          <cell r="B2055">
            <v>1.6666666666666701</v>
          </cell>
        </row>
        <row r="2056">
          <cell r="A2056">
            <v>1500000690</v>
          </cell>
          <cell r="B2056">
            <v>0</v>
          </cell>
        </row>
        <row r="2057">
          <cell r="A2057">
            <v>1500000691</v>
          </cell>
          <cell r="B2057">
            <v>39</v>
          </cell>
        </row>
        <row r="2058">
          <cell r="A2058">
            <v>1500001657</v>
          </cell>
          <cell r="B2058">
            <v>3.75</v>
          </cell>
        </row>
        <row r="2059">
          <cell r="A2059">
            <v>1500001068</v>
          </cell>
          <cell r="B2059">
            <v>162.32499999999999</v>
          </cell>
        </row>
        <row r="2060">
          <cell r="A2060">
            <v>1500001198</v>
          </cell>
          <cell r="B2060">
            <v>60.1666666666667</v>
          </cell>
        </row>
        <row r="2061">
          <cell r="A2061">
            <v>1500000692</v>
          </cell>
          <cell r="B2061">
            <v>31</v>
          </cell>
        </row>
        <row r="2062">
          <cell r="A2062">
            <v>1500000589</v>
          </cell>
          <cell r="B2062">
            <v>104.333333333333</v>
          </cell>
        </row>
        <row r="2063">
          <cell r="A2063">
            <v>1500000737</v>
          </cell>
          <cell r="B2063">
            <v>6.5</v>
          </cell>
        </row>
        <row r="2064">
          <cell r="A2064">
            <v>1500001634</v>
          </cell>
          <cell r="B2064">
            <v>0</v>
          </cell>
        </row>
        <row r="2065">
          <cell r="A2065">
            <v>1500000583</v>
          </cell>
          <cell r="B2065">
            <v>1.6666666666666701</v>
          </cell>
        </row>
        <row r="2066">
          <cell r="A2066">
            <v>1500001443</v>
          </cell>
          <cell r="B2066">
            <v>37.5</v>
          </cell>
        </row>
        <row r="2067">
          <cell r="A2067">
            <v>1500000521</v>
          </cell>
          <cell r="B2067">
            <v>66.5</v>
          </cell>
        </row>
        <row r="2068">
          <cell r="A2068">
            <v>1500000113</v>
          </cell>
          <cell r="B2068">
            <v>100.833333333333</v>
          </cell>
        </row>
        <row r="2069">
          <cell r="A2069">
            <v>1500011442</v>
          </cell>
          <cell r="B2069">
            <v>180.666666666667</v>
          </cell>
        </row>
        <row r="2070">
          <cell r="A2070">
            <v>1500000367</v>
          </cell>
          <cell r="B2070">
            <v>28.3333333333333</v>
          </cell>
        </row>
        <row r="2071">
          <cell r="A2071">
            <v>1500000522</v>
          </cell>
          <cell r="B2071">
            <v>234.666666666667</v>
          </cell>
        </row>
        <row r="2072">
          <cell r="A2072">
            <v>1500001303</v>
          </cell>
          <cell r="B2072">
            <v>31.8333333333333</v>
          </cell>
        </row>
        <row r="2073">
          <cell r="A2073">
            <v>1500000297</v>
          </cell>
          <cell r="B2073">
            <v>27</v>
          </cell>
        </row>
        <row r="2074">
          <cell r="A2074">
            <v>1500001332</v>
          </cell>
          <cell r="B2074">
            <v>2.43333333333333</v>
          </cell>
        </row>
        <row r="2075">
          <cell r="A2075">
            <v>1500001661</v>
          </cell>
          <cell r="B2075">
            <v>191.583333333333</v>
          </cell>
        </row>
        <row r="2076">
          <cell r="A2076">
            <v>1500001242</v>
          </cell>
          <cell r="B2076">
            <v>1.6666666666666701</v>
          </cell>
        </row>
        <row r="2077">
          <cell r="A2077">
            <v>1500001468</v>
          </cell>
          <cell r="B2077">
            <v>2</v>
          </cell>
        </row>
        <row r="2078">
          <cell r="A2078">
            <v>1500000523</v>
          </cell>
          <cell r="B2078">
            <v>0</v>
          </cell>
        </row>
        <row r="2079">
          <cell r="A2079">
            <v>1500000524</v>
          </cell>
          <cell r="B2079">
            <v>88.3333333333333</v>
          </cell>
        </row>
        <row r="2080">
          <cell r="A2080">
            <v>1500001552</v>
          </cell>
          <cell r="B2080">
            <v>1.6666666666666701</v>
          </cell>
        </row>
        <row r="2081">
          <cell r="A2081">
            <v>1500001274</v>
          </cell>
          <cell r="B2081">
            <v>45.8333333333333</v>
          </cell>
        </row>
        <row r="2082">
          <cell r="A2082">
            <v>1500000811</v>
          </cell>
          <cell r="B2082">
            <v>43</v>
          </cell>
        </row>
        <row r="2083">
          <cell r="A2083">
            <v>1500001662</v>
          </cell>
          <cell r="B2083">
            <v>11.6666666666667</v>
          </cell>
        </row>
        <row r="2084">
          <cell r="A2084">
            <v>1500000738</v>
          </cell>
          <cell r="B2084">
            <v>15</v>
          </cell>
        </row>
        <row r="2085">
          <cell r="A2085">
            <v>1500000812</v>
          </cell>
          <cell r="B2085">
            <v>38.0833333333333</v>
          </cell>
        </row>
        <row r="2086">
          <cell r="A2086">
            <v>1500000791</v>
          </cell>
          <cell r="B2086">
            <v>4</v>
          </cell>
        </row>
        <row r="2087">
          <cell r="A2087">
            <v>1500000739</v>
          </cell>
          <cell r="B2087">
            <v>0</v>
          </cell>
        </row>
        <row r="2088">
          <cell r="A2088">
            <v>1500001613</v>
          </cell>
          <cell r="B2088">
            <v>31.4166666666667</v>
          </cell>
        </row>
        <row r="2089">
          <cell r="A2089">
            <v>1500000978</v>
          </cell>
          <cell r="B2089">
            <v>184</v>
          </cell>
        </row>
        <row r="2090">
          <cell r="A2090">
            <v>1500000225</v>
          </cell>
          <cell r="B2090">
            <v>32</v>
          </cell>
        </row>
        <row r="2091">
          <cell r="A2091">
            <v>1500000740</v>
          </cell>
          <cell r="B2091">
            <v>0</v>
          </cell>
        </row>
        <row r="2092">
          <cell r="A2092">
            <v>1500011618</v>
          </cell>
          <cell r="B2092">
            <v>0.625</v>
          </cell>
        </row>
        <row r="2093">
          <cell r="A2093">
            <v>1500000445</v>
          </cell>
          <cell r="B2093">
            <v>59.5833333333333</v>
          </cell>
        </row>
        <row r="2094">
          <cell r="A2094">
            <v>1500000319</v>
          </cell>
          <cell r="B2094">
            <v>53.3333333333333</v>
          </cell>
        </row>
        <row r="2095">
          <cell r="A2095">
            <v>1500000063</v>
          </cell>
          <cell r="B2095">
            <v>46</v>
          </cell>
        </row>
        <row r="2096">
          <cell r="A2096">
            <v>1500000065</v>
          </cell>
          <cell r="B2096">
            <v>0</v>
          </cell>
        </row>
        <row r="2097">
          <cell r="A2097">
            <v>1500000446</v>
          </cell>
          <cell r="B2097">
            <v>43.9166666666667</v>
          </cell>
        </row>
        <row r="2098">
          <cell r="A2098">
            <v>1500000447</v>
          </cell>
          <cell r="B2098">
            <v>13.3333333333333</v>
          </cell>
        </row>
        <row r="2099">
          <cell r="A2099">
            <v>1500000186</v>
          </cell>
          <cell r="B2099">
            <v>30.0833333333333</v>
          </cell>
        </row>
        <row r="2100">
          <cell r="A2100">
            <v>1500001503</v>
          </cell>
          <cell r="B2100">
            <v>61.75</v>
          </cell>
        </row>
        <row r="2101">
          <cell r="A2101">
            <v>1500001530</v>
          </cell>
          <cell r="B2101">
            <v>82.3333333333333</v>
          </cell>
        </row>
        <row r="2102">
          <cell r="A2102">
            <v>1500001147</v>
          </cell>
          <cell r="B2102">
            <v>54.1666666666667</v>
          </cell>
        </row>
        <row r="2103">
          <cell r="A2103">
            <v>1500001504</v>
          </cell>
          <cell r="B2103">
            <v>206.583333333333</v>
          </cell>
        </row>
        <row r="2104">
          <cell r="A2104">
            <v>1500000298</v>
          </cell>
          <cell r="B2104">
            <v>0</v>
          </cell>
        </row>
        <row r="2105">
          <cell r="A2105">
            <v>1500001664</v>
          </cell>
          <cell r="B2105">
            <v>0</v>
          </cell>
        </row>
        <row r="2106">
          <cell r="A2106">
            <v>1500000979</v>
          </cell>
          <cell r="B2106">
            <v>2.1666666666666701</v>
          </cell>
        </row>
        <row r="2107">
          <cell r="A2107">
            <v>1500001488</v>
          </cell>
          <cell r="B2107">
            <v>34.566666666666698</v>
          </cell>
        </row>
        <row r="2108">
          <cell r="A2108">
            <v>1500001243</v>
          </cell>
          <cell r="B2108">
            <v>9</v>
          </cell>
        </row>
        <row r="2109">
          <cell r="A2109">
            <v>1500001168</v>
          </cell>
          <cell r="B2109">
            <v>82.8333333333333</v>
          </cell>
        </row>
        <row r="2110">
          <cell r="A2110">
            <v>1500000615</v>
          </cell>
          <cell r="B2110">
            <v>5.8333333333333304</v>
          </cell>
        </row>
        <row r="2111">
          <cell r="A2111">
            <v>1500000537</v>
          </cell>
          <cell r="B2111">
            <v>2</v>
          </cell>
        </row>
        <row r="2112">
          <cell r="A2112">
            <v>1500000320</v>
          </cell>
          <cell r="B2112">
            <v>42.6666666666667</v>
          </cell>
        </row>
        <row r="2113">
          <cell r="A2113">
            <v>1500000448</v>
          </cell>
          <cell r="B2113">
            <v>21</v>
          </cell>
        </row>
        <row r="2114">
          <cell r="A2114">
            <v>1500000449</v>
          </cell>
          <cell r="B2114">
            <v>28.3333333333333</v>
          </cell>
        </row>
        <row r="2115">
          <cell r="A2115">
            <v>1500001284</v>
          </cell>
          <cell r="B2115">
            <v>17.5</v>
          </cell>
        </row>
        <row r="2116">
          <cell r="A2116">
            <v>1500000373</v>
          </cell>
          <cell r="B2116">
            <v>20.5</v>
          </cell>
        </row>
        <row r="2117">
          <cell r="A2117">
            <v>1500000389</v>
          </cell>
          <cell r="B2117">
            <v>74</v>
          </cell>
        </row>
        <row r="2118">
          <cell r="A2118">
            <v>1500000419</v>
          </cell>
          <cell r="B2118">
            <v>45.3333333333333</v>
          </cell>
        </row>
        <row r="2119">
          <cell r="A2119">
            <v>1500000696</v>
          </cell>
          <cell r="B2119">
            <v>31.1666666666667</v>
          </cell>
        </row>
        <row r="2120">
          <cell r="A2120">
            <v>1500000374</v>
          </cell>
          <cell r="B2120">
            <v>21.6666666666667</v>
          </cell>
        </row>
        <row r="2121">
          <cell r="A2121">
            <v>1500001505</v>
          </cell>
          <cell r="B2121">
            <v>11.6666666666667</v>
          </cell>
        </row>
        <row r="2122">
          <cell r="A2122">
            <v>1500000327</v>
          </cell>
          <cell r="B2122">
            <v>17</v>
          </cell>
        </row>
        <row r="2123">
          <cell r="A2123">
            <v>1500001260</v>
          </cell>
          <cell r="B2123">
            <v>28.5833333333333</v>
          </cell>
        </row>
        <row r="2124">
          <cell r="A2124">
            <v>1500000970</v>
          </cell>
          <cell r="B2124">
            <v>0</v>
          </cell>
        </row>
        <row r="2125">
          <cell r="A2125">
            <v>1500001567</v>
          </cell>
          <cell r="B2125">
            <v>25</v>
          </cell>
        </row>
        <row r="2126">
          <cell r="A2126">
            <v>1500000584</v>
          </cell>
          <cell r="B2126">
            <v>10.616666666666699</v>
          </cell>
        </row>
        <row r="2127">
          <cell r="A2127">
            <v>1500001148</v>
          </cell>
          <cell r="B2127">
            <v>159.75</v>
          </cell>
        </row>
        <row r="2128">
          <cell r="A2128">
            <v>1500001149</v>
          </cell>
          <cell r="B2128">
            <v>36.3333333333333</v>
          </cell>
        </row>
        <row r="2129">
          <cell r="A2129">
            <v>1500000555</v>
          </cell>
          <cell r="B2129">
            <v>60.6666666666667</v>
          </cell>
        </row>
        <row r="2130">
          <cell r="A2130">
            <v>1500000538</v>
          </cell>
          <cell r="B2130">
            <v>64.5833333333333</v>
          </cell>
        </row>
        <row r="2131">
          <cell r="A2131">
            <v>1500001506</v>
          </cell>
          <cell r="B2131">
            <v>1.6666666666666701</v>
          </cell>
        </row>
        <row r="2132">
          <cell r="A2132">
            <v>1500000664</v>
          </cell>
          <cell r="B2132">
            <v>34.9166666666667</v>
          </cell>
        </row>
        <row r="2133">
          <cell r="A2133">
            <v>1500000592</v>
          </cell>
          <cell r="B2133">
            <v>97.9166666666667</v>
          </cell>
        </row>
        <row r="2134">
          <cell r="A2134">
            <v>1500000813</v>
          </cell>
          <cell r="B2134">
            <v>19</v>
          </cell>
        </row>
        <row r="2135">
          <cell r="A2135">
            <v>1500000066</v>
          </cell>
          <cell r="B2135">
            <v>8.5</v>
          </cell>
        </row>
        <row r="2136">
          <cell r="A2136">
            <v>1500001223</v>
          </cell>
          <cell r="B2136">
            <v>25.6666666666667</v>
          </cell>
        </row>
        <row r="2137">
          <cell r="A2137">
            <v>1500001605</v>
          </cell>
          <cell r="B2137">
            <v>24.7083333333333</v>
          </cell>
        </row>
        <row r="2138">
          <cell r="A2138">
            <v>1500000300</v>
          </cell>
          <cell r="B2138">
            <v>109.166666666667</v>
          </cell>
        </row>
        <row r="2139">
          <cell r="A2139">
            <v>1500001666</v>
          </cell>
          <cell r="B2139">
            <v>117.5</v>
          </cell>
        </row>
        <row r="2140">
          <cell r="A2140">
            <v>1500001667</v>
          </cell>
          <cell r="B2140">
            <v>24.5</v>
          </cell>
        </row>
        <row r="2141">
          <cell r="A2141">
            <v>1500001364</v>
          </cell>
          <cell r="B2141">
            <v>118</v>
          </cell>
        </row>
        <row r="2142">
          <cell r="A2142">
            <v>1500000301</v>
          </cell>
          <cell r="B2142">
            <v>25.8333333333333</v>
          </cell>
        </row>
        <row r="2143">
          <cell r="A2143">
            <v>1500000526</v>
          </cell>
          <cell r="B2143">
            <v>23.1666666666667</v>
          </cell>
        </row>
        <row r="2144">
          <cell r="A2144">
            <v>1500000699</v>
          </cell>
          <cell r="B2144">
            <v>0</v>
          </cell>
        </row>
        <row r="2145">
          <cell r="A2145">
            <v>1500000763</v>
          </cell>
          <cell r="B2145">
            <v>287.33333333333297</v>
          </cell>
        </row>
        <row r="2146">
          <cell r="A2146">
            <v>1500000375</v>
          </cell>
          <cell r="B2146">
            <v>19.3333333333333</v>
          </cell>
        </row>
        <row r="2147">
          <cell r="A2147">
            <v>1500000635</v>
          </cell>
          <cell r="B2147">
            <v>98.233333333333306</v>
          </cell>
        </row>
        <row r="2148">
          <cell r="A2148">
            <v>1500001365</v>
          </cell>
          <cell r="B2148">
            <v>0</v>
          </cell>
        </row>
        <row r="2149">
          <cell r="A2149">
            <v>1500000433</v>
          </cell>
          <cell r="B2149">
            <v>75.8333333333333</v>
          </cell>
        </row>
        <row r="2150">
          <cell r="A2150">
            <v>1500000302</v>
          </cell>
          <cell r="B2150">
            <v>7.8333333333333304</v>
          </cell>
        </row>
        <row r="2151">
          <cell r="A2151">
            <v>1500000585</v>
          </cell>
          <cell r="B2151">
            <v>2.0833333333333299</v>
          </cell>
        </row>
        <row r="2152">
          <cell r="A2152">
            <v>1500000981</v>
          </cell>
          <cell r="B2152">
            <v>38.575000000000003</v>
          </cell>
        </row>
        <row r="2153">
          <cell r="A2153">
            <v>1500000792</v>
          </cell>
          <cell r="B2153">
            <v>9</v>
          </cell>
        </row>
        <row r="2154">
          <cell r="A2154">
            <v>1500001568</v>
          </cell>
          <cell r="B2154">
            <v>117.833333333333</v>
          </cell>
        </row>
        <row r="2155">
          <cell r="A2155">
            <v>1500000636</v>
          </cell>
          <cell r="B2155">
            <v>10.1666666666667</v>
          </cell>
        </row>
        <row r="2156">
          <cell r="A2156">
            <v>1500000321</v>
          </cell>
          <cell r="B2156">
            <v>28.3333333333333</v>
          </cell>
        </row>
        <row r="2157">
          <cell r="A2157">
            <v>1500000700</v>
          </cell>
          <cell r="B2157">
            <v>23</v>
          </cell>
        </row>
        <row r="2158">
          <cell r="A2158">
            <v>1500000454</v>
          </cell>
          <cell r="B2158">
            <v>23.5</v>
          </cell>
        </row>
        <row r="2159">
          <cell r="A2159">
            <v>1500001469</v>
          </cell>
          <cell r="B2159">
            <v>297.7</v>
          </cell>
        </row>
        <row r="2160">
          <cell r="A2160">
            <v>1500000081</v>
          </cell>
          <cell r="B2160">
            <v>0</v>
          </cell>
        </row>
        <row r="2161">
          <cell r="A2161">
            <v>1500000455</v>
          </cell>
          <cell r="B2161">
            <v>42.4166666666667</v>
          </cell>
        </row>
        <row r="2162">
          <cell r="A2162">
            <v>1500000814</v>
          </cell>
          <cell r="B2162">
            <v>30.5</v>
          </cell>
        </row>
        <row r="2163">
          <cell r="A2163">
            <v>1500000223</v>
          </cell>
          <cell r="B2163">
            <v>9.1666666666666696</v>
          </cell>
        </row>
        <row r="2164">
          <cell r="A2164">
            <v>1500000755</v>
          </cell>
          <cell r="B2164">
            <v>14.1666666666667</v>
          </cell>
        </row>
        <row r="2165">
          <cell r="A2165">
            <v>1500001607</v>
          </cell>
          <cell r="B2165">
            <v>60.8333333333333</v>
          </cell>
        </row>
        <row r="2166">
          <cell r="A2166">
            <v>1500001224</v>
          </cell>
          <cell r="B2166">
            <v>42.5</v>
          </cell>
        </row>
        <row r="2167">
          <cell r="A2167">
            <v>1500000944</v>
          </cell>
          <cell r="B2167">
            <v>21.1666666666667</v>
          </cell>
        </row>
        <row r="2168">
          <cell r="A2168">
            <v>1500001150</v>
          </cell>
          <cell r="B2168">
            <v>33.3333333333333</v>
          </cell>
        </row>
        <row r="2169">
          <cell r="A2169">
            <v>1500001151</v>
          </cell>
          <cell r="B2169">
            <v>0</v>
          </cell>
        </row>
        <row r="2170">
          <cell r="A2170">
            <v>1500000457</v>
          </cell>
          <cell r="B2170">
            <v>1.6666666666666701</v>
          </cell>
        </row>
        <row r="2171">
          <cell r="A2171">
            <v>1500000420</v>
          </cell>
          <cell r="B2171">
            <v>4</v>
          </cell>
        </row>
        <row r="2172">
          <cell r="A2172">
            <v>1500000421</v>
          </cell>
          <cell r="B2172">
            <v>14</v>
          </cell>
        </row>
        <row r="2173">
          <cell r="A2173">
            <v>1500000710</v>
          </cell>
          <cell r="B2173">
            <v>17</v>
          </cell>
        </row>
        <row r="2174">
          <cell r="A2174">
            <v>1500000711</v>
          </cell>
          <cell r="B2174">
            <v>10</v>
          </cell>
        </row>
        <row r="2175">
          <cell r="A2175">
            <v>1500000793</v>
          </cell>
          <cell r="B2175">
            <v>4.6666666666666696</v>
          </cell>
        </row>
        <row r="2176">
          <cell r="A2176">
            <v>1500000815</v>
          </cell>
          <cell r="B2176">
            <v>1</v>
          </cell>
        </row>
        <row r="2177">
          <cell r="A2177">
            <v>1500000712</v>
          </cell>
          <cell r="B2177">
            <v>26.75</v>
          </cell>
        </row>
        <row r="2178">
          <cell r="A2178">
            <v>1500001225</v>
          </cell>
          <cell r="B2178">
            <v>57.8333333333333</v>
          </cell>
        </row>
        <row r="2179">
          <cell r="A2179">
            <v>1500000713</v>
          </cell>
          <cell r="B2179">
            <v>22.6666666666667</v>
          </cell>
        </row>
        <row r="2180">
          <cell r="A2180">
            <v>1500001111</v>
          </cell>
          <cell r="B2180">
            <v>19.6666666666667</v>
          </cell>
        </row>
        <row r="2181">
          <cell r="A2181">
            <v>1500001470</v>
          </cell>
          <cell r="B2181">
            <v>0</v>
          </cell>
        </row>
        <row r="2182">
          <cell r="A2182">
            <v>1500000747</v>
          </cell>
          <cell r="B2182">
            <v>0</v>
          </cell>
        </row>
        <row r="2183">
          <cell r="A2183">
            <v>1500000539</v>
          </cell>
          <cell r="B2183">
            <v>287</v>
          </cell>
        </row>
        <row r="2184">
          <cell r="A2184">
            <v>1500000540</v>
          </cell>
          <cell r="B2184">
            <v>18.8333333333333</v>
          </cell>
        </row>
        <row r="2185">
          <cell r="A2185">
            <v>1500000020</v>
          </cell>
          <cell r="B2185">
            <v>1.8333333333333299</v>
          </cell>
        </row>
        <row r="2186">
          <cell r="A2186">
            <v>1500001617</v>
          </cell>
          <cell r="B2186">
            <v>0</v>
          </cell>
        </row>
        <row r="2187">
          <cell r="A2187">
            <v>1500000322</v>
          </cell>
          <cell r="B2187">
            <v>58</v>
          </cell>
        </row>
        <row r="2188">
          <cell r="A2188">
            <v>1500001387</v>
          </cell>
          <cell r="B2188">
            <v>189.76666666666699</v>
          </cell>
        </row>
        <row r="2189">
          <cell r="A2189">
            <v>1500001113</v>
          </cell>
          <cell r="B2189">
            <v>12.1666666666667</v>
          </cell>
        </row>
        <row r="2190">
          <cell r="A2190">
            <v>1500000261</v>
          </cell>
          <cell r="B2190">
            <v>6</v>
          </cell>
        </row>
        <row r="2191">
          <cell r="A2191">
            <v>1500000817</v>
          </cell>
          <cell r="B2191">
            <v>38.1666666666667</v>
          </cell>
        </row>
        <row r="2192">
          <cell r="A2192">
            <v>1500000794</v>
          </cell>
          <cell r="B2192">
            <v>0</v>
          </cell>
        </row>
        <row r="2193">
          <cell r="A2193">
            <v>1500000207</v>
          </cell>
          <cell r="B2193">
            <v>195.066666666667</v>
          </cell>
        </row>
        <row r="2194">
          <cell r="A2194">
            <v>1500000641</v>
          </cell>
          <cell r="B2194">
            <v>4.1666666666666696</v>
          </cell>
        </row>
        <row r="2195">
          <cell r="A2195">
            <v>1500000551</v>
          </cell>
          <cell r="B2195">
            <v>2.1666666666666701</v>
          </cell>
        </row>
        <row r="2196">
          <cell r="A2196">
            <v>1500001427</v>
          </cell>
          <cell r="B2196">
            <v>0</v>
          </cell>
        </row>
        <row r="2197">
          <cell r="A2197">
            <v>1500000665</v>
          </cell>
          <cell r="B2197">
            <v>46.8333333333333</v>
          </cell>
        </row>
        <row r="2198">
          <cell r="A2198">
            <v>1500001415</v>
          </cell>
          <cell r="B2198">
            <v>46.5</v>
          </cell>
        </row>
        <row r="2199">
          <cell r="A2199">
            <v>1500000655</v>
          </cell>
          <cell r="B2199">
            <v>0</v>
          </cell>
        </row>
        <row r="2200">
          <cell r="A2200">
            <v>1500000616</v>
          </cell>
          <cell r="B2200">
            <v>18</v>
          </cell>
        </row>
        <row r="2201">
          <cell r="A2201">
            <v>1500001507</v>
          </cell>
          <cell r="B2201">
            <v>30.5</v>
          </cell>
        </row>
        <row r="2202">
          <cell r="A2202">
            <v>1500000460</v>
          </cell>
          <cell r="B2202">
            <v>0</v>
          </cell>
        </row>
        <row r="2203">
          <cell r="A2203">
            <v>1500000377</v>
          </cell>
          <cell r="B2203">
            <v>77.6666666666667</v>
          </cell>
        </row>
        <row r="2204">
          <cell r="A2204">
            <v>1500000378</v>
          </cell>
          <cell r="B2204">
            <v>159.833333333333</v>
          </cell>
        </row>
        <row r="2205">
          <cell r="A2205">
            <v>1500000379</v>
          </cell>
          <cell r="B2205">
            <v>8.4499999999999993</v>
          </cell>
        </row>
        <row r="2206">
          <cell r="A2206">
            <v>1500000624</v>
          </cell>
          <cell r="B2206">
            <v>103.083333333333</v>
          </cell>
        </row>
        <row r="2207">
          <cell r="A2207">
            <v>1500000323</v>
          </cell>
          <cell r="B2207">
            <v>72.5</v>
          </cell>
        </row>
        <row r="2208">
          <cell r="A2208">
            <v>1500000407</v>
          </cell>
          <cell r="B2208">
            <v>10</v>
          </cell>
        </row>
        <row r="2209">
          <cell r="A2209">
            <v>1500000194</v>
          </cell>
          <cell r="B2209">
            <v>0</v>
          </cell>
        </row>
        <row r="2210">
          <cell r="A2210">
            <v>1500000795</v>
          </cell>
          <cell r="B2210">
            <v>1</v>
          </cell>
        </row>
        <row r="2211">
          <cell r="A2211">
            <v>1500000498</v>
          </cell>
          <cell r="B2211">
            <v>6.8333333333333304</v>
          </cell>
        </row>
        <row r="2212">
          <cell r="A2212">
            <v>1500000668</v>
          </cell>
          <cell r="B2212">
            <v>6.6666666666666696</v>
          </cell>
        </row>
        <row r="2213">
          <cell r="A2213">
            <v>1500000072</v>
          </cell>
          <cell r="B2213">
            <v>61.1666666666667</v>
          </cell>
        </row>
        <row r="2214">
          <cell r="A2214">
            <v>1500000254</v>
          </cell>
          <cell r="B2214">
            <v>24.983333333333299</v>
          </cell>
        </row>
        <row r="2215">
          <cell r="A2215">
            <v>1500001208</v>
          </cell>
          <cell r="B2215">
            <v>48.75</v>
          </cell>
        </row>
        <row r="2216">
          <cell r="A2216">
            <v>1500000033</v>
          </cell>
          <cell r="B2216">
            <v>145.11666666666699</v>
          </cell>
        </row>
        <row r="2217">
          <cell r="A2217">
            <v>1500000527</v>
          </cell>
          <cell r="B2217">
            <v>88.5</v>
          </cell>
        </row>
        <row r="2218">
          <cell r="A2218">
            <v>1500001570</v>
          </cell>
          <cell r="B2218">
            <v>34.5833333333333</v>
          </cell>
        </row>
        <row r="2219">
          <cell r="A2219">
            <v>1500001705</v>
          </cell>
          <cell r="B2219">
            <v>0</v>
          </cell>
        </row>
        <row r="2220">
          <cell r="A2220">
            <v>1500000324</v>
          </cell>
          <cell r="B2220">
            <v>63.6666666666667</v>
          </cell>
        </row>
        <row r="2221">
          <cell r="A2221">
            <v>1500000082</v>
          </cell>
          <cell r="B2221">
            <v>16.6666666666667</v>
          </cell>
        </row>
        <row r="2222">
          <cell r="A2222">
            <v>1500000483</v>
          </cell>
          <cell r="B2222">
            <v>4.1666666666666696</v>
          </cell>
        </row>
        <row r="2223">
          <cell r="A2223">
            <v>1500000015</v>
          </cell>
          <cell r="B2223">
            <v>8.5</v>
          </cell>
        </row>
        <row r="2224">
          <cell r="A2224">
            <v>1500001571</v>
          </cell>
          <cell r="B2224">
            <v>24.5</v>
          </cell>
        </row>
        <row r="2225">
          <cell r="A2225">
            <v>1500000258</v>
          </cell>
          <cell r="B2225">
            <v>0</v>
          </cell>
        </row>
        <row r="2226">
          <cell r="A2226">
            <v>1500001572</v>
          </cell>
          <cell r="B2226">
            <v>29.6666666666667</v>
          </cell>
        </row>
        <row r="2227">
          <cell r="A2227">
            <v>1500001573</v>
          </cell>
          <cell r="B2227">
            <v>42</v>
          </cell>
        </row>
        <row r="2228">
          <cell r="A2228">
            <v>1500000462</v>
          </cell>
          <cell r="B2228">
            <v>9.1666666666666696</v>
          </cell>
        </row>
        <row r="2229">
          <cell r="A2229">
            <v>1500000304</v>
          </cell>
          <cell r="B2229">
            <v>180.333333333333</v>
          </cell>
        </row>
        <row r="2230">
          <cell r="A2230">
            <v>1500011619</v>
          </cell>
          <cell r="B2230">
            <v>10</v>
          </cell>
        </row>
        <row r="2231">
          <cell r="A2231">
            <v>1500001601</v>
          </cell>
          <cell r="B2231">
            <v>11</v>
          </cell>
        </row>
        <row r="2232">
          <cell r="A2232">
            <v>1500001508</v>
          </cell>
          <cell r="B2232">
            <v>1.6666666666666701</v>
          </cell>
        </row>
        <row r="2233">
          <cell r="A2233">
            <v>1500001154</v>
          </cell>
          <cell r="B2233">
            <v>25.5</v>
          </cell>
        </row>
        <row r="2234">
          <cell r="A2234">
            <v>1500000839</v>
          </cell>
          <cell r="B2234">
            <v>53.3333333333333</v>
          </cell>
        </row>
        <row r="2235">
          <cell r="A2235">
            <v>1500000840</v>
          </cell>
          <cell r="B2235">
            <v>50.3333333333333</v>
          </cell>
        </row>
        <row r="2236">
          <cell r="A2236">
            <v>1500001449</v>
          </cell>
          <cell r="B2236">
            <v>15.8333333333333</v>
          </cell>
        </row>
        <row r="2237">
          <cell r="A2237">
            <v>1500000158</v>
          </cell>
          <cell r="B2237">
            <v>252.833333333333</v>
          </cell>
        </row>
        <row r="2238">
          <cell r="A2238">
            <v>1500000159</v>
          </cell>
          <cell r="B2238">
            <v>82.1666666666667</v>
          </cell>
        </row>
        <row r="2239">
          <cell r="A2239">
            <v>1500000715</v>
          </cell>
          <cell r="B2239">
            <v>26</v>
          </cell>
        </row>
        <row r="2240">
          <cell r="A2240">
            <v>1500011444</v>
          </cell>
          <cell r="B2240">
            <v>19.1666666666667</v>
          </cell>
        </row>
        <row r="2241">
          <cell r="A2241">
            <v>1500001471</v>
          </cell>
          <cell r="B2241">
            <v>92.433333333333294</v>
          </cell>
        </row>
        <row r="2242">
          <cell r="A2242">
            <v>1500000408</v>
          </cell>
          <cell r="B2242">
            <v>8.1666666666666696</v>
          </cell>
        </row>
        <row r="2243">
          <cell r="A2243">
            <v>1500000818</v>
          </cell>
          <cell r="B2243">
            <v>16.375</v>
          </cell>
        </row>
        <row r="2244">
          <cell r="A2244">
            <v>1500001263</v>
          </cell>
          <cell r="B2244">
            <v>21.6666666666667</v>
          </cell>
        </row>
        <row r="2245">
          <cell r="A2245">
            <v>1500000741</v>
          </cell>
          <cell r="B2245">
            <v>15.3333333333333</v>
          </cell>
        </row>
        <row r="2246">
          <cell r="A2246">
            <v>1500001668</v>
          </cell>
          <cell r="B2246">
            <v>204</v>
          </cell>
        </row>
        <row r="2247">
          <cell r="A2247">
            <v>1500000983</v>
          </cell>
          <cell r="B2247">
            <v>324.16666666666703</v>
          </cell>
        </row>
        <row r="2248">
          <cell r="A2248">
            <v>1500010133</v>
          </cell>
          <cell r="B2248">
            <v>26.8333333333333</v>
          </cell>
        </row>
        <row r="2249">
          <cell r="A2249">
            <v>1500000308</v>
          </cell>
          <cell r="B2249">
            <v>216.683333333333</v>
          </cell>
        </row>
        <row r="2250">
          <cell r="A2250">
            <v>1500000843</v>
          </cell>
          <cell r="B2250">
            <v>0.83333333333333304</v>
          </cell>
        </row>
        <row r="2251">
          <cell r="A2251">
            <v>1500000423</v>
          </cell>
          <cell r="B2251">
            <v>5.6666666666666696</v>
          </cell>
        </row>
        <row r="2252">
          <cell r="A2252">
            <v>1500000844</v>
          </cell>
          <cell r="B2252">
            <v>46</v>
          </cell>
        </row>
        <row r="2253">
          <cell r="A2253">
            <v>1500000914</v>
          </cell>
          <cell r="B2253">
            <v>0</v>
          </cell>
        </row>
        <row r="2254">
          <cell r="A2254">
            <v>1500000463</v>
          </cell>
          <cell r="B2254">
            <v>0</v>
          </cell>
        </row>
        <row r="2255">
          <cell r="A2255">
            <v>1500001670</v>
          </cell>
          <cell r="B2255">
            <v>36.6666666666667</v>
          </cell>
        </row>
        <row r="2256">
          <cell r="A2256">
            <v>1500001671</v>
          </cell>
          <cell r="B2256">
            <v>23.3333333333333</v>
          </cell>
        </row>
        <row r="2257">
          <cell r="A2257">
            <v>1500000984</v>
          </cell>
          <cell r="B2257">
            <v>4.3333333333333304</v>
          </cell>
        </row>
        <row r="2258">
          <cell r="A2258">
            <v>1500000542</v>
          </cell>
          <cell r="B2258">
            <v>265</v>
          </cell>
        </row>
        <row r="2259">
          <cell r="A2259">
            <v>1500001706</v>
          </cell>
          <cell r="B2259">
            <v>34.3333333333333</v>
          </cell>
        </row>
        <row r="2260">
          <cell r="A2260">
            <v>1500000464</v>
          </cell>
          <cell r="B2260">
            <v>0</v>
          </cell>
        </row>
        <row r="2261">
          <cell r="A2261">
            <v>1500001672</v>
          </cell>
          <cell r="B2261">
            <v>1.6666666666666701</v>
          </cell>
        </row>
        <row r="2262">
          <cell r="A2262">
            <v>1500001532</v>
          </cell>
          <cell r="B2262">
            <v>0</v>
          </cell>
        </row>
        <row r="2263">
          <cell r="A2263">
            <v>1500000920</v>
          </cell>
          <cell r="B2263">
            <v>184.25</v>
          </cell>
        </row>
        <row r="2264">
          <cell r="A2264">
            <v>1500001244</v>
          </cell>
          <cell r="B2264">
            <v>33.6</v>
          </cell>
        </row>
        <row r="2265">
          <cell r="A2265">
            <v>1500000985</v>
          </cell>
          <cell r="B2265">
            <v>1.6666666666666701</v>
          </cell>
        </row>
        <row r="2266">
          <cell r="A2266">
            <v>1500001673</v>
          </cell>
          <cell r="B2266">
            <v>25.8333333333333</v>
          </cell>
        </row>
        <row r="2267">
          <cell r="A2267">
            <v>1500000586</v>
          </cell>
          <cell r="B2267">
            <v>3.25</v>
          </cell>
        </row>
        <row r="2268">
          <cell r="A2268">
            <v>1500001450</v>
          </cell>
          <cell r="B2268">
            <v>26.6666666666667</v>
          </cell>
        </row>
        <row r="2269">
          <cell r="A2269">
            <v>1500000669</v>
          </cell>
          <cell r="B2269">
            <v>15</v>
          </cell>
        </row>
        <row r="2270">
          <cell r="A2270">
            <v>1500001674</v>
          </cell>
          <cell r="B2270">
            <v>39.1666666666667</v>
          </cell>
        </row>
        <row r="2271">
          <cell r="A2271">
            <v>1500000845</v>
          </cell>
          <cell r="B2271">
            <v>0</v>
          </cell>
        </row>
        <row r="2272">
          <cell r="A2272">
            <v>1500001179</v>
          </cell>
          <cell r="B2272">
            <v>0</v>
          </cell>
        </row>
        <row r="2273">
          <cell r="A2273">
            <v>1500001323</v>
          </cell>
          <cell r="B2273">
            <v>0</v>
          </cell>
        </row>
        <row r="2274">
          <cell r="A2274">
            <v>1500000987</v>
          </cell>
          <cell r="B2274">
            <v>112.316666666667</v>
          </cell>
        </row>
        <row r="2275">
          <cell r="A2275">
            <v>1500001210</v>
          </cell>
          <cell r="B2275">
            <v>0</v>
          </cell>
        </row>
        <row r="2276">
          <cell r="A2276">
            <v>1500000543</v>
          </cell>
          <cell r="B2276">
            <v>18.1666666666667</v>
          </cell>
        </row>
        <row r="2277">
          <cell r="A2277">
            <v>1500000846</v>
          </cell>
          <cell r="B2277">
            <v>30</v>
          </cell>
        </row>
        <row r="2278">
          <cell r="A2278">
            <v>1500001226</v>
          </cell>
          <cell r="B2278">
            <v>73.1666666666667</v>
          </cell>
        </row>
        <row r="2279">
          <cell r="A2279">
            <v>1500000848</v>
          </cell>
          <cell r="B2279">
            <v>14.6666666666667</v>
          </cell>
        </row>
        <row r="2280">
          <cell r="A2280">
            <v>1500001533</v>
          </cell>
          <cell r="B2280">
            <v>17.9166666666667</v>
          </cell>
        </row>
        <row r="2281">
          <cell r="A2281">
            <v>1500001227</v>
          </cell>
          <cell r="B2281">
            <v>79.133333333333297</v>
          </cell>
        </row>
        <row r="2282">
          <cell r="A2282">
            <v>1500001534</v>
          </cell>
          <cell r="B2282">
            <v>19.1666666666667</v>
          </cell>
        </row>
        <row r="2283">
          <cell r="A2283">
            <v>1500001155</v>
          </cell>
          <cell r="B2283">
            <v>69.25</v>
          </cell>
        </row>
        <row r="2284">
          <cell r="A2284">
            <v>1500000465</v>
          </cell>
          <cell r="B2284">
            <v>20.6666666666667</v>
          </cell>
        </row>
        <row r="2285">
          <cell r="A2285">
            <v>1500000390</v>
          </cell>
          <cell r="B2285">
            <v>0</v>
          </cell>
        </row>
        <row r="2286">
          <cell r="A2286">
            <v>1500001116</v>
          </cell>
          <cell r="B2286">
            <v>25</v>
          </cell>
        </row>
        <row r="2287">
          <cell r="A2287">
            <v>1500000924</v>
          </cell>
          <cell r="B2287">
            <v>4.1666666666666696</v>
          </cell>
        </row>
        <row r="2288">
          <cell r="A2288">
            <v>1500001180</v>
          </cell>
          <cell r="B2288">
            <v>0</v>
          </cell>
        </row>
        <row r="2289">
          <cell r="A2289">
            <v>1500001420</v>
          </cell>
          <cell r="B2289">
            <v>21.5</v>
          </cell>
        </row>
        <row r="2290">
          <cell r="A2290">
            <v>1500000468</v>
          </cell>
          <cell r="B2290">
            <v>5</v>
          </cell>
        </row>
        <row r="2291">
          <cell r="A2291">
            <v>1500000670</v>
          </cell>
          <cell r="B2291">
            <v>45.6666666666667</v>
          </cell>
        </row>
        <row r="2292">
          <cell r="A2292">
            <v>1500001156</v>
          </cell>
          <cell r="B2292">
            <v>38.1666666666667</v>
          </cell>
        </row>
        <row r="2293">
          <cell r="A2293">
            <v>1500000849</v>
          </cell>
          <cell r="B2293">
            <v>54</v>
          </cell>
        </row>
        <row r="2294">
          <cell r="A2294">
            <v>1500001157</v>
          </cell>
          <cell r="B2294">
            <v>20.0833333333333</v>
          </cell>
        </row>
        <row r="2295">
          <cell r="A2295">
            <v>1500001276</v>
          </cell>
          <cell r="B2295">
            <v>4</v>
          </cell>
        </row>
        <row r="2296">
          <cell r="A2296">
            <v>1500001489</v>
          </cell>
          <cell r="B2296">
            <v>0</v>
          </cell>
        </row>
        <row r="2297">
          <cell r="A2297">
            <v>1500001583</v>
          </cell>
          <cell r="B2297">
            <v>3</v>
          </cell>
        </row>
        <row r="2298">
          <cell r="A2298">
            <v>1500000237</v>
          </cell>
          <cell r="B2298">
            <v>0</v>
          </cell>
        </row>
        <row r="2299">
          <cell r="A2299">
            <v>1500000716</v>
          </cell>
          <cell r="B2299">
            <v>105.916666666667</v>
          </cell>
        </row>
        <row r="2300">
          <cell r="A2300">
            <v>1500001277</v>
          </cell>
          <cell r="B2300">
            <v>4</v>
          </cell>
        </row>
        <row r="2301">
          <cell r="A2301">
            <v>1500000180</v>
          </cell>
          <cell r="B2301">
            <v>25.75</v>
          </cell>
        </row>
        <row r="2302">
          <cell r="A2302">
            <v>1500001158</v>
          </cell>
          <cell r="B2302">
            <v>51.3333333333333</v>
          </cell>
        </row>
        <row r="2303">
          <cell r="A2303">
            <v>1500000091</v>
          </cell>
          <cell r="B2303">
            <v>3.6666666666666701</v>
          </cell>
        </row>
        <row r="2304">
          <cell r="A2304">
            <v>1500000718</v>
          </cell>
          <cell r="B2304">
            <v>0</v>
          </cell>
        </row>
        <row r="2305">
          <cell r="A2305">
            <v>1500000719</v>
          </cell>
          <cell r="B2305">
            <v>12</v>
          </cell>
        </row>
        <row r="2306">
          <cell r="A2306">
            <v>1500000187</v>
          </cell>
          <cell r="B2306">
            <v>0</v>
          </cell>
        </row>
        <row r="2307">
          <cell r="A2307">
            <v>1500001430</v>
          </cell>
          <cell r="B2307">
            <v>0</v>
          </cell>
        </row>
        <row r="2308">
          <cell r="A2308">
            <v>1500001309</v>
          </cell>
          <cell r="B2308">
            <v>48.1666666666667</v>
          </cell>
        </row>
        <row r="2309">
          <cell r="A2309">
            <v>1500000234</v>
          </cell>
          <cell r="B2309">
            <v>189.833333333333</v>
          </cell>
        </row>
        <row r="2310">
          <cell r="A2310">
            <v>1500001278</v>
          </cell>
          <cell r="B2310">
            <v>27.0833333333333</v>
          </cell>
        </row>
        <row r="2311">
          <cell r="A2311">
            <v>1500001389</v>
          </cell>
          <cell r="B2311">
            <v>88.5</v>
          </cell>
        </row>
        <row r="2312">
          <cell r="A2312">
            <v>1500001186</v>
          </cell>
          <cell r="B2312">
            <v>111.666666666667</v>
          </cell>
        </row>
        <row r="2313">
          <cell r="A2313">
            <v>1500000797</v>
          </cell>
          <cell r="B2313">
            <v>8.3333333333333304</v>
          </cell>
        </row>
        <row r="2314">
          <cell r="A2314">
            <v>1500001084</v>
          </cell>
          <cell r="B2314">
            <v>48</v>
          </cell>
        </row>
        <row r="2315">
          <cell r="A2315">
            <v>1500000409</v>
          </cell>
          <cell r="B2315">
            <v>21</v>
          </cell>
        </row>
        <row r="2316">
          <cell r="A2316">
            <v>1500000499</v>
          </cell>
          <cell r="B2316">
            <v>0</v>
          </cell>
        </row>
        <row r="2317">
          <cell r="A2317">
            <v>1500000990</v>
          </cell>
          <cell r="B2317">
            <v>0</v>
          </cell>
        </row>
        <row r="2318">
          <cell r="A2318">
            <v>1500000720</v>
          </cell>
          <cell r="B2318">
            <v>33</v>
          </cell>
        </row>
        <row r="2319">
          <cell r="A2319">
            <v>1500001264</v>
          </cell>
          <cell r="B2319">
            <v>26.5</v>
          </cell>
        </row>
        <row r="2320">
          <cell r="A2320">
            <v>1500001183</v>
          </cell>
          <cell r="B2320">
            <v>0</v>
          </cell>
        </row>
        <row r="2321">
          <cell r="A2321">
            <v>1500001170</v>
          </cell>
          <cell r="B2321">
            <v>0</v>
          </cell>
        </row>
        <row r="2322">
          <cell r="A2322">
            <v>1500000364</v>
          </cell>
          <cell r="B2322">
            <v>0</v>
          </cell>
        </row>
        <row r="2323">
          <cell r="A2323">
            <v>1500000393</v>
          </cell>
          <cell r="B2323">
            <v>8</v>
          </cell>
        </row>
        <row r="2324">
          <cell r="A2324">
            <v>1500000411</v>
          </cell>
          <cell r="B2324">
            <v>22.1666666666667</v>
          </cell>
        </row>
        <row r="2325">
          <cell r="A2325">
            <v>1500000255</v>
          </cell>
          <cell r="B2325">
            <v>0</v>
          </cell>
        </row>
        <row r="2326">
          <cell r="A2326">
            <v>1500000412</v>
          </cell>
          <cell r="B2326">
            <v>14.1666666666667</v>
          </cell>
        </row>
        <row r="2327">
          <cell r="A2327">
            <v>1500001677</v>
          </cell>
          <cell r="B2327">
            <v>0</v>
          </cell>
        </row>
        <row r="2328">
          <cell r="A2328">
            <v>1500001690</v>
          </cell>
          <cell r="B2328">
            <v>13.5</v>
          </cell>
        </row>
        <row r="2329">
          <cell r="A2329">
            <v>1500001013</v>
          </cell>
          <cell r="B2329">
            <v>0</v>
          </cell>
        </row>
        <row r="2330">
          <cell r="A2330">
            <v>1500000424</v>
          </cell>
          <cell r="B2330">
            <v>0</v>
          </cell>
        </row>
        <row r="2331">
          <cell r="A2331">
            <v>1500000721</v>
          </cell>
          <cell r="B2331">
            <v>33</v>
          </cell>
        </row>
        <row r="2332">
          <cell r="A2332">
            <v>1500000425</v>
          </cell>
          <cell r="B2332">
            <v>64.5</v>
          </cell>
        </row>
        <row r="2333">
          <cell r="A2333">
            <v>1500000761</v>
          </cell>
          <cell r="B2333">
            <v>0</v>
          </cell>
        </row>
        <row r="2334">
          <cell r="A2334">
            <v>1500001171</v>
          </cell>
          <cell r="B2334">
            <v>0</v>
          </cell>
        </row>
        <row r="2335">
          <cell r="A2335">
            <v>1500001431</v>
          </cell>
          <cell r="B2335">
            <v>21.0833333333333</v>
          </cell>
        </row>
        <row r="2336">
          <cell r="A2336">
            <v>1500000147</v>
          </cell>
          <cell r="B2336">
            <v>0</v>
          </cell>
        </row>
        <row r="2337">
          <cell r="A2337">
            <v>1500000103</v>
          </cell>
          <cell r="B2337">
            <v>0</v>
          </cell>
        </row>
        <row r="2338">
          <cell r="A2338">
            <v>1500000850</v>
          </cell>
          <cell r="B2338">
            <v>0</v>
          </cell>
        </row>
        <row r="2339">
          <cell r="A2339">
            <v>1500000781</v>
          </cell>
          <cell r="B2339">
            <v>0</v>
          </cell>
        </row>
        <row r="2340">
          <cell r="A2340">
            <v>1500000722</v>
          </cell>
          <cell r="B2340">
            <v>28.5</v>
          </cell>
        </row>
        <row r="2341">
          <cell r="A2341">
            <v>1500001229</v>
          </cell>
          <cell r="B2341">
            <v>51.1666666666667</v>
          </cell>
        </row>
        <row r="2342">
          <cell r="A2342">
            <v>1500001708</v>
          </cell>
          <cell r="B2342">
            <v>16.1666666666667</v>
          </cell>
        </row>
        <row r="2343">
          <cell r="A2343">
            <v>1500000528</v>
          </cell>
          <cell r="B2343">
            <v>121.166666666667</v>
          </cell>
        </row>
        <row r="2344">
          <cell r="A2344">
            <v>1500001455</v>
          </cell>
          <cell r="B2344">
            <v>29.5</v>
          </cell>
        </row>
        <row r="2345">
          <cell r="A2345">
            <v>1500000578</v>
          </cell>
          <cell r="B2345">
            <v>1.8333333333333299</v>
          </cell>
        </row>
        <row r="2346">
          <cell r="A2346">
            <v>1500001535</v>
          </cell>
          <cell r="B2346">
            <v>0</v>
          </cell>
        </row>
        <row r="2347">
          <cell r="A2347">
            <v>1500001286</v>
          </cell>
          <cell r="B2347">
            <v>35.5833333333333</v>
          </cell>
        </row>
        <row r="2348">
          <cell r="A2348">
            <v>1500000601</v>
          </cell>
          <cell r="B2348">
            <v>12</v>
          </cell>
        </row>
        <row r="2349">
          <cell r="A2349">
            <v>1500000671</v>
          </cell>
          <cell r="B2349">
            <v>83.75</v>
          </cell>
        </row>
        <row r="2350">
          <cell r="A2350">
            <v>1500000188</v>
          </cell>
          <cell r="B2350">
            <v>202</v>
          </cell>
        </row>
        <row r="2351">
          <cell r="A2351">
            <v>1500001372</v>
          </cell>
          <cell r="B2351">
            <v>257.83333333333297</v>
          </cell>
        </row>
        <row r="2352">
          <cell r="A2352">
            <v>1500001575</v>
          </cell>
          <cell r="B2352">
            <v>0</v>
          </cell>
        </row>
        <row r="2353">
          <cell r="A2353">
            <v>1500001373</v>
          </cell>
          <cell r="B2353">
            <v>246.333333333333</v>
          </cell>
        </row>
        <row r="2354">
          <cell r="A2354">
            <v>1500000851</v>
          </cell>
          <cell r="B2354">
            <v>22.5</v>
          </cell>
        </row>
        <row r="2355">
          <cell r="A2355">
            <v>1500000189</v>
          </cell>
          <cell r="B2355">
            <v>67</v>
          </cell>
        </row>
        <row r="2356">
          <cell r="A2356">
            <v>1500001679</v>
          </cell>
          <cell r="B2356">
            <v>167.916666666667</v>
          </cell>
        </row>
        <row r="2357">
          <cell r="A2357">
            <v>1500000672</v>
          </cell>
          <cell r="B2357">
            <v>43.1666666666667</v>
          </cell>
        </row>
        <row r="2358">
          <cell r="A2358">
            <v>1500000619</v>
          </cell>
          <cell r="B2358">
            <v>64.8333333333333</v>
          </cell>
        </row>
        <row r="2359">
          <cell r="A2359">
            <v>1500000673</v>
          </cell>
          <cell r="B2359">
            <v>60</v>
          </cell>
        </row>
        <row r="2360">
          <cell r="A2360">
            <v>1500001691</v>
          </cell>
          <cell r="B2360">
            <v>100.833333333333</v>
          </cell>
        </row>
        <row r="2361">
          <cell r="A2361">
            <v>1500001230</v>
          </cell>
          <cell r="B2361">
            <v>40.3333333333333</v>
          </cell>
        </row>
        <row r="2362">
          <cell r="A2362">
            <v>1500001680</v>
          </cell>
          <cell r="B2362">
            <v>207.5</v>
          </cell>
        </row>
        <row r="2363">
          <cell r="A2363">
            <v>1500001681</v>
          </cell>
          <cell r="B2363">
            <v>0</v>
          </cell>
        </row>
        <row r="2364">
          <cell r="A2364">
            <v>1500001694</v>
          </cell>
          <cell r="B2364">
            <v>0</v>
          </cell>
        </row>
        <row r="2365">
          <cell r="A2365">
            <v>1500000507</v>
          </cell>
          <cell r="B2365">
            <v>137.166666666667</v>
          </cell>
        </row>
        <row r="2366">
          <cell r="A2366">
            <v>1500000395</v>
          </cell>
          <cell r="B2366">
            <v>0</v>
          </cell>
        </row>
        <row r="2367">
          <cell r="A2367">
            <v>1500000853</v>
          </cell>
          <cell r="B2367">
            <v>10.3333333333333</v>
          </cell>
        </row>
        <row r="2368">
          <cell r="A2368">
            <v>1500000276</v>
          </cell>
          <cell r="B2368">
            <v>26.8333333333333</v>
          </cell>
        </row>
        <row r="2369">
          <cell r="A2369">
            <v>1500001187</v>
          </cell>
          <cell r="B2369">
            <v>66.1666666666667</v>
          </cell>
        </row>
        <row r="2370">
          <cell r="A2370">
            <v>1500001265</v>
          </cell>
          <cell r="B2370">
            <v>19.1666666666667</v>
          </cell>
        </row>
        <row r="2371">
          <cell r="A2371">
            <v>1500001682</v>
          </cell>
          <cell r="B2371">
            <v>87.5</v>
          </cell>
        </row>
        <row r="2372">
          <cell r="A2372">
            <v>1500001576</v>
          </cell>
          <cell r="B2372">
            <v>37.3333333333333</v>
          </cell>
        </row>
        <row r="2373">
          <cell r="A2373">
            <v>1500001231</v>
          </cell>
          <cell r="B2373">
            <v>71.3333333333333</v>
          </cell>
        </row>
        <row r="2374">
          <cell r="A2374">
            <v>1500000782</v>
          </cell>
          <cell r="B2374">
            <v>0</v>
          </cell>
        </row>
        <row r="2375">
          <cell r="A2375">
            <v>1500000723</v>
          </cell>
          <cell r="B2375">
            <v>5.1666666666666696</v>
          </cell>
        </row>
        <row r="2376">
          <cell r="A2376">
            <v>1500000620</v>
          </cell>
          <cell r="B2376">
            <v>7.9166666666666696</v>
          </cell>
        </row>
        <row r="2377">
          <cell r="A2377">
            <v>1500000603</v>
          </cell>
          <cell r="B2377">
            <v>0</v>
          </cell>
        </row>
        <row r="2378">
          <cell r="A2378">
            <v>1500001536</v>
          </cell>
          <cell r="B2378">
            <v>31.6666666666667</v>
          </cell>
        </row>
        <row r="2379">
          <cell r="A2379">
            <v>1500000855</v>
          </cell>
          <cell r="B2379">
            <v>20.8333333333333</v>
          </cell>
        </row>
        <row r="2380">
          <cell r="A2380">
            <v>1500001428</v>
          </cell>
          <cell r="B2380">
            <v>0</v>
          </cell>
        </row>
        <row r="2381">
          <cell r="A2381">
            <v>1500001537</v>
          </cell>
          <cell r="B2381">
            <v>0</v>
          </cell>
        </row>
        <row r="2382">
          <cell r="A2382">
            <v>1500001232</v>
          </cell>
          <cell r="B2382">
            <v>12.1666666666667</v>
          </cell>
        </row>
        <row r="2383">
          <cell r="A2383">
            <v>1500001123</v>
          </cell>
          <cell r="B2383">
            <v>0</v>
          </cell>
        </row>
        <row r="2384">
          <cell r="A2384">
            <v>1500001509</v>
          </cell>
          <cell r="B2384">
            <v>42.1666666666667</v>
          </cell>
        </row>
        <row r="2385">
          <cell r="A2385">
            <v>1500001461</v>
          </cell>
          <cell r="B2385">
            <v>2.1666666666666701</v>
          </cell>
        </row>
        <row r="2386">
          <cell r="A2386">
            <v>1500000604</v>
          </cell>
          <cell r="B2386">
            <v>60.1666666666667</v>
          </cell>
        </row>
        <row r="2387">
          <cell r="A2387">
            <v>1500001683</v>
          </cell>
          <cell r="B2387">
            <v>1.6666666666666701</v>
          </cell>
        </row>
        <row r="2388">
          <cell r="A2388">
            <v>1500001538</v>
          </cell>
          <cell r="B2388">
            <v>0</v>
          </cell>
        </row>
        <row r="2389">
          <cell r="A2389">
            <v>1500001539</v>
          </cell>
          <cell r="B2389">
            <v>23</v>
          </cell>
        </row>
        <row r="2390">
          <cell r="A2390">
            <v>1500001159</v>
          </cell>
          <cell r="B2390">
            <v>22.1666666666667</v>
          </cell>
        </row>
        <row r="2391">
          <cell r="A2391">
            <v>1500001540</v>
          </cell>
          <cell r="B2391">
            <v>102.166666666667</v>
          </cell>
        </row>
        <row r="2392">
          <cell r="A2392">
            <v>1500000926</v>
          </cell>
          <cell r="B2392">
            <v>13.616666666666699</v>
          </cell>
        </row>
        <row r="2393">
          <cell r="A2393">
            <v>1500001541</v>
          </cell>
          <cell r="B2393">
            <v>19.1666666666667</v>
          </cell>
        </row>
        <row r="2394">
          <cell r="A2394">
            <v>1500000819</v>
          </cell>
          <cell r="B2394">
            <v>0</v>
          </cell>
        </row>
        <row r="2395">
          <cell r="A2395">
            <v>1500000725</v>
          </cell>
          <cell r="B2395">
            <v>0</v>
          </cell>
        </row>
        <row r="2396">
          <cell r="A2396">
            <v>1500001093</v>
          </cell>
          <cell r="B2396">
            <v>2</v>
          </cell>
        </row>
        <row r="2397">
          <cell r="A2397">
            <v>1500001510</v>
          </cell>
          <cell r="B2397">
            <v>19.1666666666667</v>
          </cell>
        </row>
        <row r="2398">
          <cell r="A2398">
            <v>1500000376</v>
          </cell>
          <cell r="B2398">
            <v>58.1666666666667</v>
          </cell>
        </row>
        <row r="2399">
          <cell r="A2399">
            <v>1500001160</v>
          </cell>
          <cell r="B2399">
            <v>0</v>
          </cell>
        </row>
        <row r="2400">
          <cell r="A2400">
            <v>1500001542</v>
          </cell>
          <cell r="B2400">
            <v>0</v>
          </cell>
        </row>
        <row r="2401">
          <cell r="A2401">
            <v>1500000762</v>
          </cell>
          <cell r="B2401">
            <v>0</v>
          </cell>
        </row>
        <row r="2402">
          <cell r="A2402">
            <v>1500001184</v>
          </cell>
          <cell r="B2402">
            <v>78.283333333333303</v>
          </cell>
        </row>
        <row r="2403">
          <cell r="A2403">
            <v>1500000726</v>
          </cell>
          <cell r="B2403">
            <v>0</v>
          </cell>
        </row>
        <row r="2404">
          <cell r="A2404">
            <v>1500001543</v>
          </cell>
          <cell r="B2404">
            <v>16.5</v>
          </cell>
        </row>
        <row r="2405">
          <cell r="A2405">
            <v>1500000181</v>
          </cell>
          <cell r="B2405">
            <v>32.0416666666667</v>
          </cell>
        </row>
        <row r="2406">
          <cell r="A2406">
            <v>1500000992</v>
          </cell>
          <cell r="B2406">
            <v>129.75833333333301</v>
          </cell>
        </row>
        <row r="2407">
          <cell r="A2407">
            <v>1500000529</v>
          </cell>
          <cell r="B2407">
            <v>26</v>
          </cell>
        </row>
        <row r="2408">
          <cell r="A2408">
            <v>1500000621</v>
          </cell>
          <cell r="B2408">
            <v>8.3333333333333304</v>
          </cell>
        </row>
        <row r="2409">
          <cell r="A2409">
            <v>1500000748</v>
          </cell>
          <cell r="B2409">
            <v>2</v>
          </cell>
        </row>
        <row r="2410">
          <cell r="A2410">
            <v>1500000413</v>
          </cell>
          <cell r="B2410">
            <v>0</v>
          </cell>
        </row>
        <row r="2411">
          <cell r="A2411">
            <v>1500001695</v>
          </cell>
          <cell r="B2411">
            <v>4.1666666666666696</v>
          </cell>
        </row>
        <row r="2412">
          <cell r="A2412">
            <v>1500000052</v>
          </cell>
          <cell r="B2412">
            <v>86.1666666666667</v>
          </cell>
        </row>
        <row r="2413">
          <cell r="A2413">
            <v>1500001544</v>
          </cell>
          <cell r="B2413">
            <v>0</v>
          </cell>
        </row>
        <row r="2414">
          <cell r="A2414">
            <v>1500000857</v>
          </cell>
          <cell r="B2414">
            <v>125</v>
          </cell>
        </row>
        <row r="2415">
          <cell r="A2415">
            <v>1500000595</v>
          </cell>
          <cell r="B2415">
            <v>0</v>
          </cell>
        </row>
        <row r="2416">
          <cell r="A2416">
            <v>1500001095</v>
          </cell>
          <cell r="B2416">
            <v>5</v>
          </cell>
        </row>
        <row r="2417">
          <cell r="A2417">
            <v>1500001326</v>
          </cell>
          <cell r="B2417">
            <v>18.9166666666667</v>
          </cell>
        </row>
        <row r="2418">
          <cell r="A2418">
            <v>1500000858</v>
          </cell>
          <cell r="B2418">
            <v>29.8333333333333</v>
          </cell>
        </row>
        <row r="2419">
          <cell r="A2419">
            <v>1500000859</v>
          </cell>
          <cell r="B2419">
            <v>0</v>
          </cell>
        </row>
        <row r="2420">
          <cell r="A2420">
            <v>1500000860</v>
          </cell>
          <cell r="B2420">
            <v>26.5</v>
          </cell>
        </row>
        <row r="2421">
          <cell r="A2421">
            <v>1500000862</v>
          </cell>
          <cell r="B2421">
            <v>44.8333333333333</v>
          </cell>
        </row>
        <row r="2422">
          <cell r="A2422">
            <v>1500001709</v>
          </cell>
          <cell r="B2422">
            <v>150</v>
          </cell>
        </row>
        <row r="2423">
          <cell r="A2423">
            <v>1500001424</v>
          </cell>
          <cell r="B2423">
            <v>42.5</v>
          </cell>
        </row>
        <row r="2424">
          <cell r="A2424">
            <v>1500001433</v>
          </cell>
          <cell r="B2424">
            <v>275.875</v>
          </cell>
        </row>
        <row r="2425">
          <cell r="A2425">
            <v>1500000994</v>
          </cell>
          <cell r="B2425">
            <v>131.875</v>
          </cell>
        </row>
        <row r="2426">
          <cell r="A2426">
            <v>1500001511</v>
          </cell>
          <cell r="B2426">
            <v>5.3333333333333304</v>
          </cell>
        </row>
        <row r="2427">
          <cell r="A2427">
            <v>1500001266</v>
          </cell>
          <cell r="B2427">
            <v>0</v>
          </cell>
        </row>
        <row r="2428">
          <cell r="A2428">
            <v>1500000002</v>
          </cell>
          <cell r="B2428">
            <v>0</v>
          </cell>
        </row>
        <row r="2429">
          <cell r="A2429">
            <v>1500000606</v>
          </cell>
          <cell r="B2429">
            <v>29.3333333333333</v>
          </cell>
        </row>
        <row r="2430">
          <cell r="A2430">
            <v>1500000325</v>
          </cell>
          <cell r="B2430">
            <v>20.8333333333333</v>
          </cell>
        </row>
        <row r="2431">
          <cell r="A2431">
            <v>1500001577</v>
          </cell>
          <cell r="B2431">
            <v>20</v>
          </cell>
        </row>
        <row r="2432">
          <cell r="A2432">
            <v>1500000084</v>
          </cell>
          <cell r="B2432">
            <v>0</v>
          </cell>
        </row>
        <row r="2433">
          <cell r="A2433">
            <v>1500000800</v>
          </cell>
          <cell r="B2433">
            <v>0</v>
          </cell>
        </row>
        <row r="2434">
          <cell r="A2434">
            <v>1500000820</v>
          </cell>
          <cell r="B2434">
            <v>3</v>
          </cell>
        </row>
        <row r="2435">
          <cell r="A2435">
            <v>1500000783</v>
          </cell>
          <cell r="B2435">
            <v>0</v>
          </cell>
        </row>
        <row r="2436">
          <cell r="A2436">
            <v>1500001710</v>
          </cell>
          <cell r="B2436">
            <v>0</v>
          </cell>
        </row>
        <row r="2437">
          <cell r="A2437">
            <v>1500001434</v>
          </cell>
          <cell r="B2437">
            <v>59.4166666666667</v>
          </cell>
        </row>
        <row r="2438">
          <cell r="A2438">
            <v>1500000085</v>
          </cell>
          <cell r="B2438">
            <v>51.1666666666667</v>
          </cell>
        </row>
        <row r="2439">
          <cell r="A2439">
            <v>1500000191</v>
          </cell>
          <cell r="B2439">
            <v>0</v>
          </cell>
        </row>
        <row r="2440">
          <cell r="A2440">
            <v>1500000426</v>
          </cell>
          <cell r="B2440">
            <v>21.8333333333333</v>
          </cell>
        </row>
        <row r="2441">
          <cell r="A2441">
            <v>1500000427</v>
          </cell>
          <cell r="B2441">
            <v>0</v>
          </cell>
        </row>
        <row r="2442">
          <cell r="A2442">
            <v>1500001619</v>
          </cell>
          <cell r="B2442">
            <v>33.1666666666667</v>
          </cell>
        </row>
        <row r="2443">
          <cell r="A2443">
            <v>1500011445</v>
          </cell>
          <cell r="B2443">
            <v>6</v>
          </cell>
        </row>
        <row r="2444">
          <cell r="A2444">
            <v>1500001545</v>
          </cell>
          <cell r="B2444">
            <v>7.5</v>
          </cell>
        </row>
        <row r="2445">
          <cell r="A2445">
            <v>1500000268</v>
          </cell>
          <cell r="B2445">
            <v>1.5833333333333299</v>
          </cell>
        </row>
        <row r="2446">
          <cell r="A2446">
            <v>1500001684</v>
          </cell>
          <cell r="B2446">
            <v>193.333333333333</v>
          </cell>
        </row>
        <row r="2447">
          <cell r="A2447">
            <v>1500001546</v>
          </cell>
          <cell r="B2447">
            <v>0</v>
          </cell>
        </row>
        <row r="2448">
          <cell r="A2448">
            <v>1500000335</v>
          </cell>
          <cell r="B2448">
            <v>239.75</v>
          </cell>
        </row>
        <row r="2449">
          <cell r="A2449">
            <v>1500001174</v>
          </cell>
          <cell r="B2449">
            <v>17.5</v>
          </cell>
        </row>
        <row r="2450">
          <cell r="A2450">
            <v>1500001554</v>
          </cell>
          <cell r="B2450">
            <v>82.5</v>
          </cell>
        </row>
        <row r="2451">
          <cell r="A2451">
            <v>1500001096</v>
          </cell>
          <cell r="B2451">
            <v>35.5</v>
          </cell>
        </row>
        <row r="2452">
          <cell r="A2452">
            <v>1500011621</v>
          </cell>
          <cell r="B2452">
            <v>0</v>
          </cell>
        </row>
        <row r="2453">
          <cell r="A2453">
            <v>1500000269</v>
          </cell>
          <cell r="B2453">
            <v>0</v>
          </cell>
        </row>
        <row r="2454">
          <cell r="A2454">
            <v>1500001685</v>
          </cell>
          <cell r="B2454">
            <v>25</v>
          </cell>
        </row>
        <row r="2455">
          <cell r="A2455">
            <v>1500000398</v>
          </cell>
          <cell r="B2455">
            <v>90.9166666666667</v>
          </cell>
        </row>
        <row r="2456">
          <cell r="A2456">
            <v>1500000473</v>
          </cell>
          <cell r="B2456">
            <v>65</v>
          </cell>
        </row>
        <row r="2457">
          <cell r="A2457">
            <v>1500000336</v>
          </cell>
          <cell r="B2457">
            <v>61.6666666666667</v>
          </cell>
        </row>
        <row r="2458">
          <cell r="A2458">
            <v>1500000306</v>
          </cell>
          <cell r="B2458">
            <v>202.333333333333</v>
          </cell>
        </row>
        <row r="2459">
          <cell r="A2459">
            <v>1500001547</v>
          </cell>
          <cell r="B2459">
            <v>1.6666666666666701</v>
          </cell>
        </row>
        <row r="2460">
          <cell r="A2460">
            <v>1500001548</v>
          </cell>
          <cell r="B2460">
            <v>17.5</v>
          </cell>
        </row>
        <row r="2461">
          <cell r="A2461">
            <v>1500001279</v>
          </cell>
          <cell r="B2461">
            <v>9</v>
          </cell>
        </row>
        <row r="2462">
          <cell r="A2462">
            <v>1500001233</v>
          </cell>
          <cell r="B2462">
            <v>15</v>
          </cell>
        </row>
        <row r="2463">
          <cell r="A2463">
            <v>1500000607</v>
          </cell>
          <cell r="B2463">
            <v>0</v>
          </cell>
        </row>
        <row r="2464">
          <cell r="A2464">
            <v>1500000086</v>
          </cell>
          <cell r="B2464">
            <v>19.5</v>
          </cell>
        </row>
        <row r="2465">
          <cell r="A2465">
            <v>1500000865</v>
          </cell>
          <cell r="B2465">
            <v>33.6666666666667</v>
          </cell>
        </row>
        <row r="2466">
          <cell r="A2466">
            <v>1500001267</v>
          </cell>
          <cell r="B2466">
            <v>22.25</v>
          </cell>
        </row>
        <row r="2467">
          <cell r="A2467">
            <v>1500000021</v>
          </cell>
          <cell r="B2467">
            <v>24.8333333333333</v>
          </cell>
        </row>
        <row r="2468">
          <cell r="A2468">
            <v>1500000075</v>
          </cell>
          <cell r="B2468">
            <v>31.6666666666667</v>
          </cell>
        </row>
        <row r="2469">
          <cell r="A2469">
            <v>1500001190</v>
          </cell>
          <cell r="B2469">
            <v>129.166666666667</v>
          </cell>
        </row>
        <row r="2470">
          <cell r="A2470">
            <v>1500000010</v>
          </cell>
          <cell r="B2470">
            <v>40.6666666666667</v>
          </cell>
        </row>
        <row r="2471">
          <cell r="A2471">
            <v>1500001412</v>
          </cell>
          <cell r="B2471">
            <v>41</v>
          </cell>
        </row>
        <row r="2472">
          <cell r="A2472">
            <v>1500000011</v>
          </cell>
          <cell r="B2472">
            <v>0</v>
          </cell>
        </row>
        <row r="2473">
          <cell r="A2473">
            <v>1500000278</v>
          </cell>
          <cell r="B2473">
            <v>270.08333333333297</v>
          </cell>
        </row>
        <row r="2474">
          <cell r="A2474">
            <v>1500000531</v>
          </cell>
          <cell r="B2474">
            <v>12</v>
          </cell>
        </row>
        <row r="2475">
          <cell r="A2475">
            <v>1500001376</v>
          </cell>
          <cell r="B2475">
            <v>148.25</v>
          </cell>
        </row>
        <row r="2476">
          <cell r="A2476">
            <v>1500001637</v>
          </cell>
          <cell r="B2476">
            <v>0</v>
          </cell>
        </row>
        <row r="2477">
          <cell r="A2477">
            <v>1500000572</v>
          </cell>
          <cell r="B2477">
            <v>20.1666666666667</v>
          </cell>
        </row>
        <row r="2478">
          <cell r="A2478">
            <v>1500001602</v>
          </cell>
          <cell r="B2478">
            <v>1.4166666666666701</v>
          </cell>
        </row>
        <row r="2479">
          <cell r="A2479">
            <v>1500001162</v>
          </cell>
          <cell r="B2479">
            <v>29.1666666666667</v>
          </cell>
        </row>
        <row r="2480">
          <cell r="A2480">
            <v>1500001163</v>
          </cell>
          <cell r="B2480">
            <v>0</v>
          </cell>
        </row>
        <row r="2481">
          <cell r="A2481">
            <v>1500001697</v>
          </cell>
          <cell r="B2481">
            <v>87.8333333333333</v>
          </cell>
        </row>
        <row r="2482">
          <cell r="A2482">
            <v>1500000997</v>
          </cell>
          <cell r="B2482">
            <v>17.2916666666667</v>
          </cell>
        </row>
        <row r="2483">
          <cell r="A2483">
            <v>1500000283</v>
          </cell>
          <cell r="B2483">
            <v>2</v>
          </cell>
        </row>
        <row r="2484">
          <cell r="A2484">
            <v>1500001191</v>
          </cell>
          <cell r="B2484">
            <v>0</v>
          </cell>
        </row>
        <row r="2485">
          <cell r="A2485">
            <v>1500001555</v>
          </cell>
          <cell r="B2485">
            <v>0</v>
          </cell>
        </row>
        <row r="2486">
          <cell r="A2486">
            <v>1500000921</v>
          </cell>
          <cell r="B2486">
            <v>30.8</v>
          </cell>
        </row>
        <row r="2487">
          <cell r="A2487">
            <v>1500001474</v>
          </cell>
          <cell r="B2487">
            <v>0</v>
          </cell>
        </row>
        <row r="2488">
          <cell r="A2488">
            <v>1500000998</v>
          </cell>
          <cell r="B2488">
            <v>225.23333333333301</v>
          </cell>
        </row>
        <row r="2489">
          <cell r="A2489">
            <v>1500000947</v>
          </cell>
          <cell r="B2489">
            <v>51.5</v>
          </cell>
        </row>
        <row r="2490">
          <cell r="A2490">
            <v>1500000676</v>
          </cell>
          <cell r="B2490">
            <v>23.25</v>
          </cell>
        </row>
        <row r="2491">
          <cell r="A2491">
            <v>1500000646</v>
          </cell>
          <cell r="B2491">
            <v>0</v>
          </cell>
        </row>
        <row r="2492">
          <cell r="A2492">
            <v>1500001638</v>
          </cell>
          <cell r="B2492">
            <v>16.8333333333333</v>
          </cell>
        </row>
        <row r="2493">
          <cell r="A2493">
            <v>1500000922</v>
          </cell>
          <cell r="B2493">
            <v>31.6666666666667</v>
          </cell>
        </row>
        <row r="2494">
          <cell r="A2494">
            <v>1500001268</v>
          </cell>
          <cell r="B2494">
            <v>0</v>
          </cell>
        </row>
        <row r="2495">
          <cell r="A2495">
            <v>1500001512</v>
          </cell>
          <cell r="B2495">
            <v>0</v>
          </cell>
        </row>
        <row r="2496">
          <cell r="A2496">
            <v>1500001513</v>
          </cell>
          <cell r="B2496">
            <v>0.83333333333333304</v>
          </cell>
        </row>
        <row r="2497">
          <cell r="A2497">
            <v>1500001584</v>
          </cell>
          <cell r="B2497">
            <v>4.9000000000000004</v>
          </cell>
        </row>
        <row r="2498">
          <cell r="A2498">
            <v>1500000270</v>
          </cell>
          <cell r="B2498">
            <v>1</v>
          </cell>
        </row>
        <row r="2499">
          <cell r="A2499">
            <v>1500000971</v>
          </cell>
          <cell r="B2499">
            <v>4.9166666666666696</v>
          </cell>
        </row>
        <row r="2500">
          <cell r="A2500">
            <v>1500000576</v>
          </cell>
          <cell r="B2500">
            <v>0</v>
          </cell>
        </row>
        <row r="2501">
          <cell r="A2501">
            <v>1500000768</v>
          </cell>
          <cell r="B2501">
            <v>0</v>
          </cell>
        </row>
        <row r="2502">
          <cell r="A2502">
            <v>1500000500</v>
          </cell>
          <cell r="B2502">
            <v>0.5</v>
          </cell>
        </row>
        <row r="2503">
          <cell r="A2503">
            <v>1500000609</v>
          </cell>
          <cell r="B2503">
            <v>60.8333333333333</v>
          </cell>
        </row>
        <row r="2504">
          <cell r="A2504">
            <v>1500001177</v>
          </cell>
          <cell r="B2504">
            <v>20.8333333333333</v>
          </cell>
        </row>
        <row r="2505">
          <cell r="A2505">
            <v>1500001698</v>
          </cell>
          <cell r="B2505">
            <v>73.3333333333333</v>
          </cell>
        </row>
        <row r="2506">
          <cell r="A2506">
            <v>1500000532</v>
          </cell>
          <cell r="B2506">
            <v>27.5</v>
          </cell>
        </row>
        <row r="2507">
          <cell r="A2507">
            <v>1500001405</v>
          </cell>
          <cell r="B2507">
            <v>0</v>
          </cell>
        </row>
        <row r="2508">
          <cell r="A2508">
            <v>1500001514</v>
          </cell>
          <cell r="B2508">
            <v>11.6666666666667</v>
          </cell>
        </row>
        <row r="2509">
          <cell r="A2509">
            <v>1500001515</v>
          </cell>
          <cell r="B2509">
            <v>76.5</v>
          </cell>
        </row>
        <row r="2510">
          <cell r="A2510">
            <v>1500000533</v>
          </cell>
          <cell r="B2510">
            <v>0</v>
          </cell>
        </row>
        <row r="2511">
          <cell r="A2511">
            <v>1500000801</v>
          </cell>
          <cell r="B2511">
            <v>55.5833333333333</v>
          </cell>
        </row>
        <row r="2512">
          <cell r="A2512">
            <v>1500001315</v>
          </cell>
          <cell r="B2512">
            <v>0</v>
          </cell>
        </row>
        <row r="2513">
          <cell r="A2513">
            <v>1500000235</v>
          </cell>
          <cell r="B2513">
            <v>44.1666666666667</v>
          </cell>
        </row>
        <row r="2514">
          <cell r="A2514">
            <v>1500001516</v>
          </cell>
          <cell r="B2514">
            <v>4.1666666666666696</v>
          </cell>
        </row>
        <row r="2515">
          <cell r="A2515">
            <v>1500000596</v>
          </cell>
          <cell r="B2515">
            <v>21</v>
          </cell>
        </row>
        <row r="2516">
          <cell r="A2516">
            <v>1500000184</v>
          </cell>
          <cell r="B2516">
            <v>0</v>
          </cell>
        </row>
        <row r="2517">
          <cell r="A2517">
            <v>1500000152</v>
          </cell>
          <cell r="B2517">
            <v>0</v>
          </cell>
        </row>
        <row r="2518">
          <cell r="A2518">
            <v>1500000337</v>
          </cell>
          <cell r="B2518">
            <v>24.1666666666667</v>
          </cell>
        </row>
        <row r="2519">
          <cell r="A2519">
            <v>1500001245</v>
          </cell>
          <cell r="B2519">
            <v>9.0416666666666696</v>
          </cell>
        </row>
        <row r="2520">
          <cell r="A2520">
            <v>1500000069</v>
          </cell>
          <cell r="B2520">
            <v>0</v>
          </cell>
        </row>
        <row r="2521">
          <cell r="A2521">
            <v>1500000491</v>
          </cell>
          <cell r="B2521">
            <v>87.3333333333333</v>
          </cell>
        </row>
        <row r="2522">
          <cell r="A2522">
            <v>1500000868</v>
          </cell>
          <cell r="B2522">
            <v>48.3333333333333</v>
          </cell>
        </row>
        <row r="2523">
          <cell r="A2523">
            <v>1500001549</v>
          </cell>
          <cell r="B2523">
            <v>29.3333333333333</v>
          </cell>
        </row>
        <row r="2524">
          <cell r="A2524">
            <v>1500000752</v>
          </cell>
          <cell r="B2524">
            <v>40.3333333333333</v>
          </cell>
        </row>
        <row r="2525">
          <cell r="A2525">
            <v>1500000534</v>
          </cell>
          <cell r="B2525">
            <v>81.5</v>
          </cell>
        </row>
        <row r="2526">
          <cell r="A2526">
            <v>1500001579</v>
          </cell>
          <cell r="B2526">
            <v>36.0833333333333</v>
          </cell>
        </row>
        <row r="2527">
          <cell r="A2527">
            <v>1500000247</v>
          </cell>
          <cell r="B2527">
            <v>5.3333333333333304</v>
          </cell>
        </row>
        <row r="2528">
          <cell r="A2528">
            <v>1500001392</v>
          </cell>
          <cell r="B2528">
            <v>0</v>
          </cell>
        </row>
        <row r="2529">
          <cell r="A2529">
            <v>1500000501</v>
          </cell>
          <cell r="B2529">
            <v>0</v>
          </cell>
        </row>
        <row r="2530">
          <cell r="A2530">
            <v>1500001517</v>
          </cell>
          <cell r="B2530">
            <v>0</v>
          </cell>
        </row>
        <row r="2531">
          <cell r="A2531">
            <v>1500001550</v>
          </cell>
          <cell r="B2531">
            <v>4.5</v>
          </cell>
        </row>
        <row r="2532">
          <cell r="A2532">
            <v>1500000360</v>
          </cell>
          <cell r="B2532">
            <v>28.5</v>
          </cell>
        </row>
        <row r="2533">
          <cell r="A2533">
            <v>1500000802</v>
          </cell>
          <cell r="B2533">
            <v>0</v>
          </cell>
        </row>
        <row r="2534">
          <cell r="A2534">
            <v>1500000823</v>
          </cell>
          <cell r="B2534">
            <v>0</v>
          </cell>
        </row>
        <row r="2535">
          <cell r="A2535">
            <v>1500000803</v>
          </cell>
          <cell r="B2535">
            <v>62.4166666666667</v>
          </cell>
        </row>
        <row r="2536">
          <cell r="A2536">
            <v>1500000824</v>
          </cell>
          <cell r="B2536">
            <v>0</v>
          </cell>
        </row>
        <row r="2537">
          <cell r="A2537">
            <v>1500001281</v>
          </cell>
          <cell r="B2537">
            <v>0</v>
          </cell>
        </row>
        <row r="2538">
          <cell r="A2538">
            <v>1500000627</v>
          </cell>
          <cell r="B2538">
            <v>0</v>
          </cell>
        </row>
        <row r="2539">
          <cell r="A2539">
            <v>1500001616</v>
          </cell>
          <cell r="B2539">
            <v>0</v>
          </cell>
        </row>
        <row r="2540">
          <cell r="A2540">
            <v>1500000051</v>
          </cell>
          <cell r="B2540">
            <v>77.125</v>
          </cell>
        </row>
        <row r="2541">
          <cell r="A2541">
            <v>1500000502</v>
          </cell>
          <cell r="B2541">
            <v>0</v>
          </cell>
        </row>
        <row r="2542">
          <cell r="A2542">
            <v>1500000243</v>
          </cell>
          <cell r="B2542">
            <v>10</v>
          </cell>
        </row>
        <row r="2543">
          <cell r="A2543">
            <v>1500001485</v>
          </cell>
          <cell r="B2543">
            <v>0</v>
          </cell>
        </row>
        <row r="2544">
          <cell r="A2544">
            <v>1500000550</v>
          </cell>
          <cell r="B2544">
            <v>9.6666666666666696</v>
          </cell>
        </row>
        <row r="2545">
          <cell r="A2545">
            <v>1500000915</v>
          </cell>
          <cell r="B2545">
            <v>13.4166666666667</v>
          </cell>
        </row>
        <row r="2546">
          <cell r="A2546">
            <v>1500001297</v>
          </cell>
          <cell r="B2546">
            <v>16.3333333333333</v>
          </cell>
        </row>
        <row r="2547">
          <cell r="A2547">
            <v>1500000104</v>
          </cell>
          <cell r="B2547">
            <v>0</v>
          </cell>
        </row>
        <row r="2548">
          <cell r="A2548">
            <v>1500000236</v>
          </cell>
          <cell r="B2548">
            <v>0</v>
          </cell>
        </row>
        <row r="2549">
          <cell r="A2549">
            <v>1500001282</v>
          </cell>
          <cell r="B2549">
            <v>12.8333333333333</v>
          </cell>
        </row>
        <row r="2550">
          <cell r="A2550">
            <v>1500000563</v>
          </cell>
          <cell r="B2550">
            <v>0.83333333333333304</v>
          </cell>
        </row>
        <row r="2551">
          <cell r="A2551">
            <v>1500000271</v>
          </cell>
          <cell r="B2551">
            <v>0</v>
          </cell>
        </row>
        <row r="2552">
          <cell r="A2552">
            <v>1500000588</v>
          </cell>
          <cell r="B2552">
            <v>0</v>
          </cell>
        </row>
        <row r="2553">
          <cell r="A2553">
            <v>1500000564</v>
          </cell>
          <cell r="B2553">
            <v>0</v>
          </cell>
        </row>
        <row r="2554">
          <cell r="A2554">
            <v>1500001466</v>
          </cell>
          <cell r="B2554">
            <v>0.16666666666666699</v>
          </cell>
        </row>
        <row r="2555">
          <cell r="A2555">
            <v>1500000153</v>
          </cell>
          <cell r="B2555">
            <v>18.4166666666667</v>
          </cell>
        </row>
        <row r="2556">
          <cell r="A2556">
            <v>1500011446</v>
          </cell>
          <cell r="B2556">
            <v>2</v>
          </cell>
        </row>
        <row r="2557">
          <cell r="A2557">
            <v>1500011447</v>
          </cell>
          <cell r="B2557">
            <v>0</v>
          </cell>
        </row>
        <row r="2558">
          <cell r="A2558">
            <v>1500011448</v>
          </cell>
          <cell r="B2558">
            <v>0</v>
          </cell>
        </row>
        <row r="2559">
          <cell r="A2559">
            <v>1500011449</v>
          </cell>
          <cell r="B2559">
            <v>167.166666666667</v>
          </cell>
        </row>
        <row r="2560">
          <cell r="A2560">
            <v>1500011450</v>
          </cell>
          <cell r="B2560">
            <v>0</v>
          </cell>
        </row>
        <row r="2561">
          <cell r="A2561">
            <v>1500011451</v>
          </cell>
          <cell r="B2561">
            <v>60.8333333333333</v>
          </cell>
        </row>
        <row r="2562">
          <cell r="A2562">
            <v>1500011452</v>
          </cell>
          <cell r="B2562">
            <v>10.3083333333333</v>
          </cell>
        </row>
        <row r="2563">
          <cell r="A2563">
            <v>1500011453</v>
          </cell>
          <cell r="B2563">
            <v>11.6666666666667</v>
          </cell>
        </row>
        <row r="2564">
          <cell r="A2564">
            <v>1500011456</v>
          </cell>
          <cell r="B2564">
            <v>1.6666666666666701</v>
          </cell>
        </row>
        <row r="2565">
          <cell r="A2565">
            <v>1500011461</v>
          </cell>
          <cell r="B2565">
            <v>0</v>
          </cell>
        </row>
        <row r="2566">
          <cell r="A2566">
            <v>1500011464</v>
          </cell>
          <cell r="B2566">
            <v>28.0833333333333</v>
          </cell>
        </row>
        <row r="2567">
          <cell r="A2567">
            <v>1500011465</v>
          </cell>
          <cell r="B2567">
            <v>0</v>
          </cell>
        </row>
        <row r="2568">
          <cell r="A2568">
            <v>1500011467</v>
          </cell>
          <cell r="B2568">
            <v>0</v>
          </cell>
        </row>
        <row r="2569">
          <cell r="A2569">
            <v>1500011469</v>
          </cell>
          <cell r="B2569">
            <v>0</v>
          </cell>
        </row>
        <row r="2570">
          <cell r="A2570">
            <v>1500011470</v>
          </cell>
          <cell r="B2570">
            <v>2</v>
          </cell>
        </row>
        <row r="2571">
          <cell r="A2571">
            <v>1500011471</v>
          </cell>
          <cell r="B2571">
            <v>4</v>
          </cell>
        </row>
        <row r="2572">
          <cell r="A2572">
            <v>1500011473</v>
          </cell>
          <cell r="B2572">
            <v>160.5</v>
          </cell>
        </row>
        <row r="2573">
          <cell r="A2573">
            <v>1500011474</v>
          </cell>
          <cell r="B2573">
            <v>24.25</v>
          </cell>
        </row>
        <row r="2574">
          <cell r="A2574">
            <v>1500011475</v>
          </cell>
          <cell r="B2574">
            <v>0</v>
          </cell>
        </row>
        <row r="2575">
          <cell r="A2575">
            <v>1500011476</v>
          </cell>
          <cell r="B2575">
            <v>172.5</v>
          </cell>
        </row>
        <row r="2576">
          <cell r="A2576">
            <v>1500011477</v>
          </cell>
          <cell r="B2576">
            <v>0</v>
          </cell>
        </row>
        <row r="2577">
          <cell r="A2577">
            <v>1500011478</v>
          </cell>
          <cell r="B2577">
            <v>0</v>
          </cell>
        </row>
        <row r="2578">
          <cell r="A2578">
            <v>1500011479</v>
          </cell>
          <cell r="B2578">
            <v>0</v>
          </cell>
        </row>
        <row r="2579">
          <cell r="A2579">
            <v>1500011480</v>
          </cell>
          <cell r="B2579">
            <v>37.3333333333333</v>
          </cell>
        </row>
        <row r="2580">
          <cell r="A2580">
            <v>1500011481</v>
          </cell>
          <cell r="B2580">
            <v>103.5</v>
          </cell>
        </row>
        <row r="2581">
          <cell r="A2581">
            <v>1500011482</v>
          </cell>
          <cell r="B2581">
            <v>0</v>
          </cell>
        </row>
        <row r="2582">
          <cell r="A2582">
            <v>1500011483</v>
          </cell>
          <cell r="B2582">
            <v>42.3333333333333</v>
          </cell>
        </row>
        <row r="2583">
          <cell r="A2583">
            <v>1500011484</v>
          </cell>
          <cell r="B2583">
            <v>50.8333333333333</v>
          </cell>
        </row>
        <row r="2584">
          <cell r="A2584">
            <v>1500011485</v>
          </cell>
          <cell r="B2584">
            <v>0</v>
          </cell>
        </row>
        <row r="2585">
          <cell r="A2585">
            <v>1500011486</v>
          </cell>
          <cell r="B2585">
            <v>0</v>
          </cell>
        </row>
        <row r="2586">
          <cell r="A2586">
            <v>1500011488</v>
          </cell>
          <cell r="B2586">
            <v>37.5</v>
          </cell>
        </row>
        <row r="2587">
          <cell r="A2587">
            <v>1500011489</v>
          </cell>
          <cell r="B2587">
            <v>0</v>
          </cell>
        </row>
        <row r="2588">
          <cell r="A2588">
            <v>1500011490</v>
          </cell>
          <cell r="B2588">
            <v>194</v>
          </cell>
        </row>
        <row r="2589">
          <cell r="A2589">
            <v>1500011491</v>
          </cell>
          <cell r="B2589">
            <v>29.75</v>
          </cell>
        </row>
        <row r="2590">
          <cell r="A2590">
            <v>1500011492</v>
          </cell>
          <cell r="B2590">
            <v>79.3333333333333</v>
          </cell>
        </row>
        <row r="2591">
          <cell r="A2591">
            <v>1500011493</v>
          </cell>
          <cell r="B2591">
            <v>1.1666666666666701</v>
          </cell>
        </row>
        <row r="2592">
          <cell r="A2592">
            <v>1500011495</v>
          </cell>
          <cell r="B2592">
            <v>67.1666666666667</v>
          </cell>
        </row>
        <row r="2593">
          <cell r="A2593">
            <v>1500011497</v>
          </cell>
          <cell r="B2593">
            <v>29.8333333333333</v>
          </cell>
        </row>
        <row r="2594">
          <cell r="A2594">
            <v>1500011498</v>
          </cell>
          <cell r="B2594">
            <v>0</v>
          </cell>
        </row>
        <row r="2595">
          <cell r="A2595">
            <v>1500011499</v>
          </cell>
          <cell r="B2595">
            <v>29.5833333333333</v>
          </cell>
        </row>
        <row r="2596">
          <cell r="A2596">
            <v>1500011500</v>
          </cell>
          <cell r="B2596">
            <v>0</v>
          </cell>
        </row>
        <row r="2597">
          <cell r="A2597">
            <v>1500011501</v>
          </cell>
          <cell r="B2597">
            <v>0</v>
          </cell>
        </row>
        <row r="2598">
          <cell r="A2598">
            <v>1500011502</v>
          </cell>
          <cell r="B2598">
            <v>2.3333333333333299</v>
          </cell>
        </row>
        <row r="2599">
          <cell r="A2599">
            <v>1500011503</v>
          </cell>
          <cell r="B2599">
            <v>59.3333333333333</v>
          </cell>
        </row>
        <row r="2600">
          <cell r="A2600">
            <v>1500011504</v>
          </cell>
          <cell r="B2600">
            <v>8.25</v>
          </cell>
        </row>
        <row r="2601">
          <cell r="A2601">
            <v>1500011505</v>
          </cell>
          <cell r="B2601">
            <v>53.1666666666667</v>
          </cell>
        </row>
        <row r="2602">
          <cell r="A2602">
            <v>1500011506</v>
          </cell>
          <cell r="B2602">
            <v>0</v>
          </cell>
        </row>
        <row r="2603">
          <cell r="A2603">
            <v>1500011507</v>
          </cell>
          <cell r="B2603">
            <v>0</v>
          </cell>
        </row>
        <row r="2604">
          <cell r="A2604">
            <v>1500011509</v>
          </cell>
          <cell r="B2604">
            <v>25.8333333333333</v>
          </cell>
        </row>
        <row r="2605">
          <cell r="A2605">
            <v>1500011510</v>
          </cell>
          <cell r="B2605">
            <v>216.666666666667</v>
          </cell>
        </row>
        <row r="2606">
          <cell r="A2606">
            <v>1500011512</v>
          </cell>
          <cell r="B2606">
            <v>87.5</v>
          </cell>
        </row>
        <row r="2607">
          <cell r="A2607">
            <v>1500011513</v>
          </cell>
          <cell r="B2607">
            <v>90.5</v>
          </cell>
        </row>
        <row r="2608">
          <cell r="A2608">
            <v>1500011514</v>
          </cell>
          <cell r="B2608">
            <v>0</v>
          </cell>
        </row>
        <row r="2609">
          <cell r="A2609">
            <v>1500011431</v>
          </cell>
          <cell r="B2609">
            <v>0</v>
          </cell>
        </row>
        <row r="2610">
          <cell r="A2610">
            <v>1500011516</v>
          </cell>
          <cell r="B2610">
            <v>0</v>
          </cell>
        </row>
        <row r="2611">
          <cell r="A2611">
            <v>1500011517</v>
          </cell>
          <cell r="B2611">
            <v>44.6666666666667</v>
          </cell>
        </row>
        <row r="2612">
          <cell r="A2612">
            <v>1500011518</v>
          </cell>
          <cell r="B2612">
            <v>51.2083333333333</v>
          </cell>
        </row>
        <row r="2613">
          <cell r="A2613">
            <v>1500011519</v>
          </cell>
          <cell r="B2613">
            <v>21.5</v>
          </cell>
        </row>
        <row r="2614">
          <cell r="A2614">
            <v>1500011520</v>
          </cell>
          <cell r="B2614">
            <v>0</v>
          </cell>
        </row>
        <row r="2615">
          <cell r="A2615">
            <v>1500011522</v>
          </cell>
          <cell r="B2615">
            <v>51.1666666666667</v>
          </cell>
        </row>
        <row r="2616">
          <cell r="A2616">
            <v>1500011523</v>
          </cell>
          <cell r="B2616">
            <v>0</v>
          </cell>
        </row>
        <row r="2617">
          <cell r="A2617">
            <v>1500011524</v>
          </cell>
          <cell r="B2617">
            <v>101.666666666667</v>
          </cell>
        </row>
        <row r="2618">
          <cell r="A2618">
            <v>1500011525</v>
          </cell>
          <cell r="B2618">
            <v>74.125</v>
          </cell>
        </row>
        <row r="2619">
          <cell r="A2619">
            <v>1500011526</v>
          </cell>
          <cell r="B2619">
            <v>0</v>
          </cell>
        </row>
        <row r="2620">
          <cell r="A2620">
            <v>1500011527</v>
          </cell>
          <cell r="B2620">
            <v>6.5</v>
          </cell>
        </row>
        <row r="2621">
          <cell r="A2621">
            <v>1500011528</v>
          </cell>
          <cell r="B2621">
            <v>0</v>
          </cell>
        </row>
        <row r="2622">
          <cell r="A2622">
            <v>1500011530</v>
          </cell>
          <cell r="B2622">
            <v>0</v>
          </cell>
        </row>
        <row r="2623">
          <cell r="A2623">
            <v>1500011532</v>
          </cell>
          <cell r="B2623">
            <v>0</v>
          </cell>
        </row>
        <row r="2624">
          <cell r="A2624">
            <v>1500011533</v>
          </cell>
          <cell r="B2624">
            <v>0</v>
          </cell>
        </row>
        <row r="2625">
          <cell r="A2625">
            <v>1500011534</v>
          </cell>
          <cell r="B2625">
            <v>9.3333333333333304</v>
          </cell>
        </row>
        <row r="2626">
          <cell r="A2626">
            <v>1500012529</v>
          </cell>
          <cell r="B2626">
            <v>105.25</v>
          </cell>
        </row>
        <row r="2627">
          <cell r="A2627">
            <v>1500011622</v>
          </cell>
          <cell r="B2627">
            <v>10.375</v>
          </cell>
        </row>
        <row r="2628">
          <cell r="A2628">
            <v>1500011623</v>
          </cell>
          <cell r="B2628">
            <v>1</v>
          </cell>
        </row>
        <row r="2629">
          <cell r="A2629">
            <v>1500011624</v>
          </cell>
          <cell r="B2629">
            <v>0</v>
          </cell>
        </row>
        <row r="2630">
          <cell r="A2630">
            <v>1500011625</v>
          </cell>
          <cell r="B2630">
            <v>42.375</v>
          </cell>
        </row>
        <row r="2631">
          <cell r="A2631">
            <v>1500011626</v>
          </cell>
          <cell r="B2631">
            <v>72.1666666666667</v>
          </cell>
        </row>
        <row r="2632">
          <cell r="A2632">
            <v>1500011627</v>
          </cell>
          <cell r="B2632">
            <v>105.166666666667</v>
          </cell>
        </row>
        <row r="2633">
          <cell r="A2633">
            <v>1500011629</v>
          </cell>
          <cell r="B2633">
            <v>8.3333333333333304</v>
          </cell>
        </row>
        <row r="2634">
          <cell r="A2634">
            <v>1500011630</v>
          </cell>
          <cell r="B2634">
            <v>0</v>
          </cell>
        </row>
        <row r="2635">
          <cell r="A2635">
            <v>1500011631</v>
          </cell>
          <cell r="B2635">
            <v>0</v>
          </cell>
        </row>
        <row r="2636">
          <cell r="A2636">
            <v>1500011632</v>
          </cell>
          <cell r="B2636">
            <v>33.883333333333297</v>
          </cell>
        </row>
        <row r="2637">
          <cell r="A2637">
            <v>1500011633</v>
          </cell>
          <cell r="B2637">
            <v>0</v>
          </cell>
        </row>
        <row r="2638">
          <cell r="A2638">
            <v>1500011634</v>
          </cell>
          <cell r="B2638">
            <v>4.80833333333333</v>
          </cell>
        </row>
        <row r="2639">
          <cell r="A2639">
            <v>1500011635</v>
          </cell>
          <cell r="B2639">
            <v>109.333333333333</v>
          </cell>
        </row>
        <row r="2640">
          <cell r="A2640">
            <v>1500011636</v>
          </cell>
          <cell r="B2640">
            <v>0</v>
          </cell>
        </row>
        <row r="2641">
          <cell r="A2641">
            <v>1500011637</v>
          </cell>
          <cell r="B2641">
            <v>0</v>
          </cell>
        </row>
        <row r="2642">
          <cell r="A2642">
            <v>1500011638</v>
          </cell>
          <cell r="B2642">
            <v>109.1</v>
          </cell>
        </row>
        <row r="2643">
          <cell r="A2643">
            <v>1500011639</v>
          </cell>
          <cell r="B2643">
            <v>4.1666666666666696</v>
          </cell>
        </row>
        <row r="2644">
          <cell r="A2644">
            <v>1500011640</v>
          </cell>
          <cell r="B2644">
            <v>19.1666666666667</v>
          </cell>
        </row>
        <row r="2645">
          <cell r="A2645">
            <v>1500011641</v>
          </cell>
          <cell r="B2645">
            <v>23.3333333333333</v>
          </cell>
        </row>
        <row r="2646">
          <cell r="A2646">
            <v>1500011642</v>
          </cell>
          <cell r="B2646">
            <v>15.8333333333333</v>
          </cell>
        </row>
        <row r="2647">
          <cell r="A2647">
            <v>1500011643</v>
          </cell>
          <cell r="B2647">
            <v>44.1666666666667</v>
          </cell>
        </row>
        <row r="2648">
          <cell r="A2648">
            <v>1500011644</v>
          </cell>
          <cell r="B2648">
            <v>81.8333333333333</v>
          </cell>
        </row>
        <row r="2649">
          <cell r="A2649">
            <v>1500011645</v>
          </cell>
          <cell r="B2649">
            <v>13.3333333333333</v>
          </cell>
        </row>
        <row r="2650">
          <cell r="A2650">
            <v>1500011646</v>
          </cell>
          <cell r="B2650">
            <v>25</v>
          </cell>
        </row>
        <row r="2651">
          <cell r="A2651">
            <v>1500011647</v>
          </cell>
          <cell r="B2651">
            <v>231.166666666667</v>
          </cell>
        </row>
        <row r="2652">
          <cell r="A2652">
            <v>1500011648</v>
          </cell>
          <cell r="B2652">
            <v>0</v>
          </cell>
        </row>
        <row r="2653">
          <cell r="A2653">
            <v>1500011649</v>
          </cell>
          <cell r="B2653">
            <v>17.5</v>
          </cell>
        </row>
        <row r="2654">
          <cell r="A2654">
            <v>1500011980</v>
          </cell>
          <cell r="B2654">
            <v>10</v>
          </cell>
        </row>
        <row r="2655">
          <cell r="A2655">
            <v>1500012118</v>
          </cell>
          <cell r="B2655">
            <v>1.1666666666666701</v>
          </cell>
        </row>
        <row r="2656">
          <cell r="A2656">
            <v>1500012119</v>
          </cell>
          <cell r="B2656">
            <v>11.8333333333333</v>
          </cell>
        </row>
        <row r="2657">
          <cell r="A2657">
            <v>1500012120</v>
          </cell>
          <cell r="B2657">
            <v>0</v>
          </cell>
        </row>
        <row r="2658">
          <cell r="A2658">
            <v>1500012121</v>
          </cell>
          <cell r="B2658">
            <v>31.6666666666667</v>
          </cell>
        </row>
        <row r="2659">
          <cell r="A2659">
            <v>1500012122</v>
          </cell>
          <cell r="B2659">
            <v>4.3333333333333304</v>
          </cell>
        </row>
        <row r="2660">
          <cell r="A2660">
            <v>1500012123</v>
          </cell>
          <cell r="B2660">
            <v>18</v>
          </cell>
        </row>
        <row r="2661">
          <cell r="A2661">
            <v>1500012124</v>
          </cell>
          <cell r="B2661">
            <v>73.1666666666667</v>
          </cell>
        </row>
        <row r="2662">
          <cell r="A2662">
            <v>1500011981</v>
          </cell>
          <cell r="B2662">
            <v>6</v>
          </cell>
        </row>
        <row r="2663">
          <cell r="A2663">
            <v>1500011982</v>
          </cell>
          <cell r="B2663">
            <v>0</v>
          </cell>
        </row>
        <row r="2664">
          <cell r="A2664">
            <v>1500011983</v>
          </cell>
          <cell r="B2664">
            <v>121.6</v>
          </cell>
        </row>
        <row r="2665">
          <cell r="A2665">
            <v>1500011984</v>
          </cell>
          <cell r="B2665">
            <v>0</v>
          </cell>
        </row>
        <row r="2666">
          <cell r="A2666">
            <v>1500011986</v>
          </cell>
          <cell r="B2666">
            <v>0</v>
          </cell>
        </row>
        <row r="2667">
          <cell r="A2667">
            <v>1500011988</v>
          </cell>
          <cell r="B2667">
            <v>2.5</v>
          </cell>
        </row>
        <row r="2668">
          <cell r="A2668">
            <v>1500011989</v>
          </cell>
          <cell r="B2668">
            <v>16</v>
          </cell>
        </row>
        <row r="2669">
          <cell r="A2669">
            <v>1500011990</v>
          </cell>
          <cell r="B2669">
            <v>2.6666666666666701</v>
          </cell>
        </row>
        <row r="2670">
          <cell r="A2670">
            <v>1500011993</v>
          </cell>
          <cell r="B2670">
            <v>0</v>
          </cell>
        </row>
        <row r="2671">
          <cell r="A2671">
            <v>1500011995</v>
          </cell>
          <cell r="B2671">
            <v>0</v>
          </cell>
        </row>
        <row r="2672">
          <cell r="A2672">
            <v>1500011996</v>
          </cell>
          <cell r="B2672">
            <v>146.541666666667</v>
          </cell>
        </row>
        <row r="2673">
          <cell r="A2673">
            <v>1500011997</v>
          </cell>
          <cell r="B2673">
            <v>144.46666666666701</v>
          </cell>
        </row>
        <row r="2674">
          <cell r="A2674">
            <v>1500011999</v>
          </cell>
          <cell r="B2674">
            <v>0</v>
          </cell>
        </row>
        <row r="2675">
          <cell r="A2675">
            <v>1500012000</v>
          </cell>
          <cell r="B2675">
            <v>0</v>
          </cell>
        </row>
        <row r="2676">
          <cell r="A2676">
            <v>1500012001</v>
          </cell>
          <cell r="B2676">
            <v>54.1666666666667</v>
          </cell>
        </row>
        <row r="2677">
          <cell r="A2677">
            <v>1500012002</v>
          </cell>
          <cell r="B2677">
            <v>4.1666666666666696</v>
          </cell>
        </row>
        <row r="2678">
          <cell r="A2678">
            <v>1500012003</v>
          </cell>
          <cell r="B2678">
            <v>23.5</v>
          </cell>
        </row>
        <row r="2679">
          <cell r="A2679">
            <v>1500012004</v>
          </cell>
          <cell r="B2679">
            <v>15.5</v>
          </cell>
        </row>
        <row r="2680">
          <cell r="A2680">
            <v>1500012005</v>
          </cell>
          <cell r="B2680">
            <v>135.666666666667</v>
          </cell>
        </row>
        <row r="2681">
          <cell r="A2681">
            <v>1500012006</v>
          </cell>
          <cell r="B2681">
            <v>6</v>
          </cell>
        </row>
        <row r="2682">
          <cell r="A2682">
            <v>1500012007</v>
          </cell>
          <cell r="B2682">
            <v>265.5</v>
          </cell>
        </row>
        <row r="2683">
          <cell r="A2683">
            <v>1500012008</v>
          </cell>
          <cell r="B2683">
            <v>0</v>
          </cell>
        </row>
        <row r="2684">
          <cell r="A2684">
            <v>1500012279</v>
          </cell>
          <cell r="B2684">
            <v>79.6666666666667</v>
          </cell>
        </row>
        <row r="2685">
          <cell r="A2685">
            <v>1500012280</v>
          </cell>
          <cell r="B2685">
            <v>0</v>
          </cell>
        </row>
        <row r="2686">
          <cell r="A2686">
            <v>1500012281</v>
          </cell>
          <cell r="B2686">
            <v>28.25</v>
          </cell>
        </row>
        <row r="2687">
          <cell r="A2687">
            <v>1500012282</v>
          </cell>
          <cell r="B2687">
            <v>0</v>
          </cell>
        </row>
        <row r="2688">
          <cell r="A2688">
            <v>1500012283</v>
          </cell>
          <cell r="B2688">
            <v>41.3333333333333</v>
          </cell>
        </row>
        <row r="2689">
          <cell r="A2689">
            <v>1500012284</v>
          </cell>
          <cell r="B2689">
            <v>19.3333333333333</v>
          </cell>
        </row>
        <row r="2690">
          <cell r="A2690">
            <v>1500012285</v>
          </cell>
          <cell r="B2690">
            <v>10.8333333333333</v>
          </cell>
        </row>
        <row r="2691">
          <cell r="A2691">
            <v>1500012286</v>
          </cell>
          <cell r="B2691">
            <v>3.5</v>
          </cell>
        </row>
        <row r="2692">
          <cell r="A2692">
            <v>1500012287</v>
          </cell>
          <cell r="B2692">
            <v>159.166666666667</v>
          </cell>
        </row>
        <row r="2693">
          <cell r="A2693">
            <v>1500012288</v>
          </cell>
          <cell r="B2693">
            <v>0</v>
          </cell>
        </row>
        <row r="2694">
          <cell r="A2694">
            <v>1500012289</v>
          </cell>
          <cell r="B2694">
            <v>135.5</v>
          </cell>
        </row>
        <row r="2695">
          <cell r="A2695">
            <v>1500012290</v>
          </cell>
          <cell r="B2695">
            <v>0</v>
          </cell>
        </row>
        <row r="2696">
          <cell r="A2696">
            <v>1500012291</v>
          </cell>
          <cell r="B2696">
            <v>49.5</v>
          </cell>
        </row>
        <row r="2697">
          <cell r="A2697">
            <v>1500012292</v>
          </cell>
          <cell r="B2697">
            <v>11</v>
          </cell>
        </row>
        <row r="2698">
          <cell r="A2698">
            <v>1500012293</v>
          </cell>
          <cell r="B2698">
            <v>19.75</v>
          </cell>
        </row>
        <row r="2699">
          <cell r="A2699">
            <v>1500012295</v>
          </cell>
          <cell r="B2699">
            <v>1</v>
          </cell>
        </row>
        <row r="2700">
          <cell r="A2700">
            <v>1500012297</v>
          </cell>
          <cell r="B2700">
            <v>26.6666666666667</v>
          </cell>
        </row>
        <row r="2701">
          <cell r="A2701">
            <v>1500012298</v>
          </cell>
          <cell r="B2701">
            <v>0</v>
          </cell>
        </row>
        <row r="2702">
          <cell r="A2702">
            <v>1500012299</v>
          </cell>
          <cell r="B2702">
            <v>55.8333333333333</v>
          </cell>
        </row>
        <row r="2703">
          <cell r="A2703">
            <v>1500012300</v>
          </cell>
          <cell r="B2703">
            <v>3.75</v>
          </cell>
        </row>
        <row r="2704">
          <cell r="A2704">
            <v>1500012301</v>
          </cell>
          <cell r="B2704">
            <v>5.3333333333333304</v>
          </cell>
        </row>
        <row r="2705">
          <cell r="A2705">
            <v>1500012302</v>
          </cell>
          <cell r="B2705">
            <v>0</v>
          </cell>
        </row>
        <row r="2706">
          <cell r="A2706">
            <v>1500012303</v>
          </cell>
          <cell r="B2706">
            <v>105.666666666667</v>
          </cell>
        </row>
        <row r="2707">
          <cell r="A2707">
            <v>1500012304</v>
          </cell>
          <cell r="B2707">
            <v>44.1666666666667</v>
          </cell>
        </row>
        <row r="2708">
          <cell r="A2708">
            <v>1500012306</v>
          </cell>
          <cell r="B2708">
            <v>80.8333333333333</v>
          </cell>
        </row>
        <row r="2709">
          <cell r="A2709">
            <v>1500012307</v>
          </cell>
          <cell r="B2709">
            <v>43.3333333333333</v>
          </cell>
        </row>
        <row r="2710">
          <cell r="A2710">
            <v>1500012308</v>
          </cell>
          <cell r="B2710">
            <v>19.355</v>
          </cell>
        </row>
        <row r="2711">
          <cell r="A2711">
            <v>1500012309</v>
          </cell>
          <cell r="B2711">
            <v>0</v>
          </cell>
        </row>
        <row r="2712">
          <cell r="A2712">
            <v>1500012310</v>
          </cell>
          <cell r="B2712">
            <v>76.5</v>
          </cell>
        </row>
        <row r="2713">
          <cell r="A2713">
            <v>1500012311</v>
          </cell>
          <cell r="B2713">
            <v>0</v>
          </cell>
        </row>
        <row r="2714">
          <cell r="A2714">
            <v>1500012312</v>
          </cell>
          <cell r="B2714">
            <v>0</v>
          </cell>
        </row>
        <row r="2715">
          <cell r="A2715">
            <v>1500012374</v>
          </cell>
          <cell r="B2715">
            <v>0</v>
          </cell>
        </row>
        <row r="2716">
          <cell r="A2716">
            <v>1500012367</v>
          </cell>
          <cell r="B2716">
            <v>0</v>
          </cell>
        </row>
        <row r="2717">
          <cell r="A2717">
            <v>1500012368</v>
          </cell>
          <cell r="B2717">
            <v>0</v>
          </cell>
        </row>
        <row r="2718">
          <cell r="A2718">
            <v>1500012370</v>
          </cell>
          <cell r="B2718">
            <v>165.791666666667</v>
          </cell>
        </row>
        <row r="2719">
          <cell r="A2719">
            <v>1500012371</v>
          </cell>
          <cell r="B2719">
            <v>150.083333333333</v>
          </cell>
        </row>
        <row r="2720">
          <cell r="A2720">
            <v>1500012372</v>
          </cell>
          <cell r="B2720">
            <v>121.583333333333</v>
          </cell>
        </row>
        <row r="2721">
          <cell r="A2721">
            <v>1500012373</v>
          </cell>
          <cell r="B2721">
            <v>192.791666666667</v>
          </cell>
        </row>
        <row r="2722">
          <cell r="A2722">
            <v>1500012397</v>
          </cell>
          <cell r="B2722">
            <v>0</v>
          </cell>
        </row>
        <row r="2723">
          <cell r="A2723">
            <v>1500012398</v>
          </cell>
          <cell r="B2723">
            <v>26.6666666666667</v>
          </cell>
        </row>
        <row r="2724">
          <cell r="A2724">
            <v>1500012399</v>
          </cell>
          <cell r="B2724">
            <v>2.8333333333333299</v>
          </cell>
        </row>
        <row r="2725">
          <cell r="A2725">
            <v>1500012400</v>
          </cell>
          <cell r="B2725">
            <v>0</v>
          </cell>
        </row>
        <row r="2726">
          <cell r="A2726">
            <v>1500012403</v>
          </cell>
          <cell r="B2726">
            <v>140.333333333333</v>
          </cell>
        </row>
        <row r="2727">
          <cell r="A2727">
            <v>1500012424</v>
          </cell>
          <cell r="B2727">
            <v>13.3333333333333</v>
          </cell>
        </row>
        <row r="2728">
          <cell r="A2728">
            <v>1500012425</v>
          </cell>
          <cell r="B2728">
            <v>60.5</v>
          </cell>
        </row>
        <row r="2729">
          <cell r="A2729">
            <v>1500012401</v>
          </cell>
          <cell r="B2729">
            <v>0</v>
          </cell>
        </row>
        <row r="2730">
          <cell r="A2730">
            <v>1500012460</v>
          </cell>
          <cell r="B2730">
            <v>246.708333333333</v>
          </cell>
        </row>
        <row r="2731">
          <cell r="A2731">
            <v>1500012461</v>
          </cell>
          <cell r="B2731">
            <v>0</v>
          </cell>
        </row>
        <row r="2732">
          <cell r="A2732">
            <v>1500012462</v>
          </cell>
          <cell r="B2732">
            <v>35.1666666666667</v>
          </cell>
        </row>
        <row r="2733">
          <cell r="A2733">
            <v>1500012463</v>
          </cell>
          <cell r="B2733">
            <v>3.75</v>
          </cell>
        </row>
        <row r="2734">
          <cell r="A2734">
            <v>1500012464</v>
          </cell>
          <cell r="B2734">
            <v>109.333333333333</v>
          </cell>
        </row>
        <row r="2735">
          <cell r="A2735">
            <v>1500012560</v>
          </cell>
          <cell r="B2735">
            <v>0.83333333333333304</v>
          </cell>
        </row>
        <row r="2736">
          <cell r="A2736">
            <v>1500012562</v>
          </cell>
          <cell r="B2736">
            <v>6</v>
          </cell>
        </row>
        <row r="2737">
          <cell r="A2737">
            <v>1500012563</v>
          </cell>
          <cell r="B2737">
            <v>56.5</v>
          </cell>
        </row>
        <row r="2738">
          <cell r="A2738">
            <v>1500012564</v>
          </cell>
          <cell r="B2738">
            <v>0</v>
          </cell>
        </row>
        <row r="2739">
          <cell r="A2739">
            <v>1500012565</v>
          </cell>
          <cell r="B2739">
            <v>30.8333333333333</v>
          </cell>
        </row>
        <row r="2740">
          <cell r="A2740">
            <v>1500012567</v>
          </cell>
          <cell r="B2740">
            <v>0</v>
          </cell>
        </row>
        <row r="2741">
          <cell r="A2741">
            <v>1500012568</v>
          </cell>
          <cell r="B2741">
            <v>0</v>
          </cell>
        </row>
        <row r="2742">
          <cell r="A2742">
            <v>1500012569</v>
          </cell>
          <cell r="B2742">
            <v>250.416666666667</v>
          </cell>
        </row>
        <row r="2743">
          <cell r="A2743">
            <v>1500012570</v>
          </cell>
          <cell r="B2743">
            <v>1.6666666666666701</v>
          </cell>
        </row>
        <row r="2744">
          <cell r="A2744">
            <v>1500012573</v>
          </cell>
          <cell r="B2744">
            <v>0</v>
          </cell>
        </row>
        <row r="2745">
          <cell r="A2745">
            <v>1500012603</v>
          </cell>
          <cell r="B2745">
            <v>0</v>
          </cell>
        </row>
        <row r="2746">
          <cell r="A2746">
            <v>1500012604</v>
          </cell>
          <cell r="B2746">
            <v>59.408333333333303</v>
          </cell>
        </row>
        <row r="2747">
          <cell r="A2747">
            <v>1500012606</v>
          </cell>
          <cell r="B2747">
            <v>0</v>
          </cell>
        </row>
        <row r="2748">
          <cell r="A2748">
            <v>1500012610</v>
          </cell>
          <cell r="B2748">
            <v>0</v>
          </cell>
        </row>
        <row r="2749">
          <cell r="A2749">
            <v>1500012611</v>
          </cell>
          <cell r="B2749">
            <v>43.5</v>
          </cell>
        </row>
        <row r="2750">
          <cell r="A2750">
            <v>1500012613</v>
          </cell>
          <cell r="B2750">
            <v>0</v>
          </cell>
        </row>
        <row r="2751">
          <cell r="A2751">
            <v>1500012669</v>
          </cell>
          <cell r="B2751">
            <v>134.35833333333301</v>
          </cell>
        </row>
        <row r="2752">
          <cell r="A2752">
            <v>1500012670</v>
          </cell>
          <cell r="B2752">
            <v>60.908333333333303</v>
          </cell>
        </row>
        <row r="2753">
          <cell r="A2753">
            <v>1500012671</v>
          </cell>
          <cell r="B2753">
            <v>11.6666666666667</v>
          </cell>
        </row>
        <row r="2754">
          <cell r="A2754">
            <v>1500012691</v>
          </cell>
          <cell r="B2754">
            <v>0</v>
          </cell>
        </row>
        <row r="2755">
          <cell r="A2755">
            <v>1500012692</v>
          </cell>
          <cell r="B2755">
            <v>7.5</v>
          </cell>
        </row>
        <row r="2756">
          <cell r="A2756">
            <v>1500012675</v>
          </cell>
          <cell r="B2756">
            <v>0</v>
          </cell>
        </row>
        <row r="2757">
          <cell r="A2757">
            <v>1500012685</v>
          </cell>
          <cell r="B2757">
            <v>45.3333333333333</v>
          </cell>
        </row>
        <row r="2758">
          <cell r="A2758">
            <v>1500012686</v>
          </cell>
          <cell r="B2758">
            <v>19.1666666666667</v>
          </cell>
        </row>
        <row r="2759">
          <cell r="A2759">
            <v>1500012687</v>
          </cell>
          <cell r="B2759">
            <v>25.6666666666667</v>
          </cell>
        </row>
        <row r="2760">
          <cell r="A2760">
            <v>1500012746</v>
          </cell>
          <cell r="B2760">
            <v>28.6666666666667</v>
          </cell>
        </row>
        <row r="2761">
          <cell r="A2761">
            <v>1500012747</v>
          </cell>
          <cell r="B2761">
            <v>2.1666666666666701</v>
          </cell>
        </row>
        <row r="2762">
          <cell r="A2762">
            <v>1500012748</v>
          </cell>
          <cell r="B2762">
            <v>129.791666666667</v>
          </cell>
        </row>
        <row r="2763">
          <cell r="A2763">
            <v>1500012749</v>
          </cell>
          <cell r="B2763">
            <v>0</v>
          </cell>
        </row>
        <row r="2764">
          <cell r="A2764">
            <v>1500012750</v>
          </cell>
          <cell r="B2764">
            <v>4.25</v>
          </cell>
        </row>
        <row r="2765">
          <cell r="A2765">
            <v>1500012769</v>
          </cell>
          <cell r="B2765">
            <v>3.8333333333333299</v>
          </cell>
        </row>
        <row r="2766">
          <cell r="A2766">
            <v>1500012771</v>
          </cell>
          <cell r="B2766">
            <v>12.5</v>
          </cell>
        </row>
        <row r="2767">
          <cell r="A2767">
            <v>1500012770</v>
          </cell>
          <cell r="B2767">
            <v>2</v>
          </cell>
        </row>
        <row r="2768">
          <cell r="A2768">
            <v>1500012745</v>
          </cell>
          <cell r="B2768">
            <v>0</v>
          </cell>
        </row>
        <row r="2769">
          <cell r="A2769">
            <v>1500012755</v>
          </cell>
          <cell r="B2769">
            <v>0</v>
          </cell>
        </row>
        <row r="2770">
          <cell r="A2770">
            <v>1500012756</v>
          </cell>
          <cell r="B2770">
            <v>23.55</v>
          </cell>
        </row>
        <row r="2771">
          <cell r="A2771">
            <v>1500012766</v>
          </cell>
          <cell r="B2771">
            <v>0</v>
          </cell>
        </row>
        <row r="2772">
          <cell r="A2772">
            <v>1500012783</v>
          </cell>
          <cell r="B2772">
            <v>61.25</v>
          </cell>
        </row>
        <row r="2773">
          <cell r="A2773">
            <v>1500012767</v>
          </cell>
          <cell r="B2773">
            <v>5</v>
          </cell>
        </row>
        <row r="2774">
          <cell r="A2774">
            <v>1500012784</v>
          </cell>
          <cell r="B2774">
            <v>0</v>
          </cell>
        </row>
        <row r="2775">
          <cell r="A2775">
            <v>1500012850</v>
          </cell>
          <cell r="B2775">
            <v>55.8333333333333</v>
          </cell>
        </row>
        <row r="2776">
          <cell r="A2776">
            <v>1500012852</v>
          </cell>
          <cell r="B2776">
            <v>26.3333333333333</v>
          </cell>
        </row>
        <row r="2777">
          <cell r="A2777">
            <v>1500012951</v>
          </cell>
          <cell r="B2777">
            <v>0</v>
          </cell>
        </row>
        <row r="2778">
          <cell r="A2778">
            <v>1500012952</v>
          </cell>
          <cell r="B2778">
            <v>67.8333333333333</v>
          </cell>
        </row>
        <row r="2779">
          <cell r="A2779">
            <v>1500012970</v>
          </cell>
          <cell r="B2779">
            <v>0</v>
          </cell>
        </row>
        <row r="2780">
          <cell r="A2780">
            <v>1500012971</v>
          </cell>
          <cell r="B2780">
            <v>0</v>
          </cell>
        </row>
        <row r="2781">
          <cell r="A2781">
            <v>1500012973</v>
          </cell>
          <cell r="B2781">
            <v>52.0833333333333</v>
          </cell>
        </row>
        <row r="2782">
          <cell r="A2782">
            <v>1500012974</v>
          </cell>
          <cell r="B2782">
            <v>6</v>
          </cell>
        </row>
        <row r="2783">
          <cell r="A2783">
            <v>1500012975</v>
          </cell>
          <cell r="B2783">
            <v>0</v>
          </cell>
        </row>
        <row r="2784">
          <cell r="A2784">
            <v>1500012976</v>
          </cell>
          <cell r="B2784">
            <v>0</v>
          </cell>
        </row>
        <row r="2785">
          <cell r="A2785">
            <v>1500012977</v>
          </cell>
          <cell r="B2785">
            <v>3</v>
          </cell>
        </row>
        <row r="2786">
          <cell r="A2786">
            <v>1500013036</v>
          </cell>
          <cell r="B2786">
            <v>5.6666666666666696</v>
          </cell>
        </row>
        <row r="2787">
          <cell r="A2787">
            <v>1500013037</v>
          </cell>
          <cell r="B2787">
            <v>16.5</v>
          </cell>
        </row>
        <row r="2788">
          <cell r="A2788">
            <v>1500013038</v>
          </cell>
          <cell r="B2788">
            <v>0</v>
          </cell>
        </row>
        <row r="2789">
          <cell r="A2789">
            <v>1500013059</v>
          </cell>
          <cell r="B2789">
            <v>0</v>
          </cell>
        </row>
        <row r="2790">
          <cell r="A2790">
            <v>1500013060</v>
          </cell>
          <cell r="B2790">
            <v>5.5</v>
          </cell>
        </row>
        <row r="2791">
          <cell r="A2791">
            <v>1500013061</v>
          </cell>
          <cell r="B2791">
            <v>84.25</v>
          </cell>
        </row>
        <row r="2792">
          <cell r="A2792">
            <v>1500013062</v>
          </cell>
          <cell r="B2792">
            <v>26.75</v>
          </cell>
        </row>
        <row r="2793">
          <cell r="A2793">
            <v>1500013063</v>
          </cell>
          <cell r="B2793">
            <v>22.5</v>
          </cell>
        </row>
        <row r="2794">
          <cell r="A2794">
            <v>1500013065</v>
          </cell>
          <cell r="B2794">
            <v>195.5</v>
          </cell>
        </row>
        <row r="2795">
          <cell r="A2795">
            <v>1500012994</v>
          </cell>
          <cell r="B2795">
            <v>0</v>
          </cell>
        </row>
        <row r="2796">
          <cell r="A2796">
            <v>1500013010</v>
          </cell>
          <cell r="B2796">
            <v>0</v>
          </cell>
        </row>
        <row r="2797">
          <cell r="A2797">
            <v>1500013032</v>
          </cell>
          <cell r="B2797">
            <v>38.3333333333333</v>
          </cell>
        </row>
        <row r="2798">
          <cell r="A2798">
            <v>1500013035</v>
          </cell>
          <cell r="B2798">
            <v>0</v>
          </cell>
        </row>
        <row r="2799">
          <cell r="A2799">
            <v>1500013068</v>
          </cell>
          <cell r="B2799">
            <v>84</v>
          </cell>
        </row>
        <row r="2800">
          <cell r="A2800">
            <v>1500013069</v>
          </cell>
          <cell r="B2800">
            <v>20</v>
          </cell>
        </row>
        <row r="2801">
          <cell r="A2801">
            <v>1500013070</v>
          </cell>
          <cell r="B2801">
            <v>86</v>
          </cell>
        </row>
        <row r="2802">
          <cell r="A2802">
            <v>1500013092</v>
          </cell>
          <cell r="B2802">
            <v>0</v>
          </cell>
        </row>
        <row r="2803">
          <cell r="A2803">
            <v>1500013093</v>
          </cell>
          <cell r="B2803">
            <v>4.1666666666666696</v>
          </cell>
        </row>
        <row r="2804">
          <cell r="A2804">
            <v>1500013094</v>
          </cell>
          <cell r="B2804">
            <v>2</v>
          </cell>
        </row>
        <row r="2805">
          <cell r="A2805">
            <v>1500013095</v>
          </cell>
          <cell r="B2805">
            <v>87</v>
          </cell>
        </row>
        <row r="2806">
          <cell r="A2806">
            <v>1500013117</v>
          </cell>
          <cell r="B2806">
            <v>5.6666666666666696</v>
          </cell>
        </row>
        <row r="2807">
          <cell r="A2807">
            <v>1500013118</v>
          </cell>
          <cell r="B2807">
            <v>0</v>
          </cell>
        </row>
        <row r="2808">
          <cell r="A2808">
            <v>1500013119</v>
          </cell>
          <cell r="B2808">
            <v>2</v>
          </cell>
        </row>
        <row r="2809">
          <cell r="A2809">
            <v>1500013176</v>
          </cell>
          <cell r="B2809">
            <v>12.1666666666667</v>
          </cell>
        </row>
        <row r="2810">
          <cell r="A2810">
            <v>1500013127</v>
          </cell>
          <cell r="B2810">
            <v>1.4166666666666701</v>
          </cell>
        </row>
        <row r="2811">
          <cell r="A2811">
            <v>1500013122</v>
          </cell>
          <cell r="B2811">
            <v>247.583333333333</v>
          </cell>
        </row>
        <row r="2812">
          <cell r="A2812">
            <v>1500013123</v>
          </cell>
          <cell r="B2812">
            <v>4.1666666666666696</v>
          </cell>
        </row>
        <row r="2813">
          <cell r="A2813">
            <v>1500013124</v>
          </cell>
          <cell r="B2813">
            <v>218.333333333333</v>
          </cell>
        </row>
        <row r="2814">
          <cell r="A2814">
            <v>1500013125</v>
          </cell>
          <cell r="B2814">
            <v>75.349999999999994</v>
          </cell>
        </row>
        <row r="2815">
          <cell r="A2815">
            <v>1500013126</v>
          </cell>
          <cell r="B2815">
            <v>40.6666666666667</v>
          </cell>
        </row>
        <row r="2816">
          <cell r="A2816">
            <v>1500013182</v>
          </cell>
          <cell r="B2816">
            <v>26.8333333333333</v>
          </cell>
        </row>
        <row r="2817">
          <cell r="A2817">
            <v>1500013183</v>
          </cell>
          <cell r="B2817">
            <v>15</v>
          </cell>
        </row>
        <row r="2818">
          <cell r="A2818">
            <v>1500013184</v>
          </cell>
          <cell r="B2818">
            <v>23.9166666666667</v>
          </cell>
        </row>
        <row r="2819">
          <cell r="A2819">
            <v>1500013185</v>
          </cell>
          <cell r="B2819">
            <v>133.083333333333</v>
          </cell>
        </row>
        <row r="2820">
          <cell r="A2820">
            <v>1500013214</v>
          </cell>
          <cell r="B2820">
            <v>9.1666666666666696</v>
          </cell>
        </row>
        <row r="2821">
          <cell r="A2821">
            <v>1500013243</v>
          </cell>
          <cell r="B2821">
            <v>113.666666666667</v>
          </cell>
        </row>
        <row r="2822">
          <cell r="A2822">
            <v>1500013246</v>
          </cell>
          <cell r="B2822">
            <v>44.1666666666667</v>
          </cell>
        </row>
        <row r="2823">
          <cell r="A2823">
            <v>1500013247</v>
          </cell>
          <cell r="B2823">
            <v>164.11666666666699</v>
          </cell>
        </row>
        <row r="2824">
          <cell r="A2824">
            <v>1500013282</v>
          </cell>
          <cell r="B2824">
            <v>0</v>
          </cell>
        </row>
        <row r="2825">
          <cell r="A2825">
            <v>1500013283</v>
          </cell>
          <cell r="B2825">
            <v>85.5</v>
          </cell>
        </row>
        <row r="2826">
          <cell r="A2826">
            <v>1500013415</v>
          </cell>
          <cell r="B2826">
            <v>0</v>
          </cell>
        </row>
        <row r="2827">
          <cell r="A2827">
            <v>1500013416</v>
          </cell>
          <cell r="B2827">
            <v>0</v>
          </cell>
        </row>
        <row r="2828">
          <cell r="A2828">
            <v>1500013358</v>
          </cell>
          <cell r="B2828">
            <v>0</v>
          </cell>
        </row>
        <row r="2829">
          <cell r="A2829">
            <v>1500013417</v>
          </cell>
          <cell r="B2829">
            <v>0</v>
          </cell>
        </row>
        <row r="2830">
          <cell r="A2830">
            <v>1500013360</v>
          </cell>
          <cell r="B2830">
            <v>17.625</v>
          </cell>
        </row>
        <row r="2831">
          <cell r="A2831">
            <v>1500013361</v>
          </cell>
          <cell r="B2831">
            <v>4.5416666666666696</v>
          </cell>
        </row>
        <row r="2832">
          <cell r="A2832">
            <v>1500013362</v>
          </cell>
          <cell r="B2832">
            <v>0</v>
          </cell>
        </row>
        <row r="2833">
          <cell r="A2833">
            <v>1500013418</v>
          </cell>
          <cell r="B2833">
            <v>115.833333333333</v>
          </cell>
        </row>
        <row r="2834">
          <cell r="A2834">
            <v>1500013419</v>
          </cell>
          <cell r="B2834">
            <v>16.6666666666667</v>
          </cell>
        </row>
        <row r="2835">
          <cell r="A2835">
            <v>1500013381</v>
          </cell>
          <cell r="B2835">
            <v>0</v>
          </cell>
        </row>
        <row r="2836">
          <cell r="A2836">
            <v>1500013382</v>
          </cell>
          <cell r="B2836">
            <v>24.1666666666667</v>
          </cell>
        </row>
        <row r="2837">
          <cell r="A2837">
            <v>1500013383</v>
          </cell>
          <cell r="B2837">
            <v>25</v>
          </cell>
        </row>
        <row r="2838">
          <cell r="A2838">
            <v>1500013356</v>
          </cell>
          <cell r="B2838">
            <v>97.8333333333333</v>
          </cell>
        </row>
        <row r="2839">
          <cell r="A2839">
            <v>1500013357</v>
          </cell>
          <cell r="B2839">
            <v>5.8333333333333304</v>
          </cell>
        </row>
        <row r="2840">
          <cell r="A2840">
            <v>1500013359</v>
          </cell>
          <cell r="B2840">
            <v>9.5</v>
          </cell>
        </row>
        <row r="2841">
          <cell r="A2841">
            <v>1500013398</v>
          </cell>
          <cell r="B2841">
            <v>4.1666666666666696</v>
          </cell>
        </row>
        <row r="2842">
          <cell r="A2842">
            <v>1500013399</v>
          </cell>
          <cell r="B2842">
            <v>197.10833333333301</v>
          </cell>
        </row>
        <row r="2843">
          <cell r="A2843">
            <v>1500013400</v>
          </cell>
          <cell r="B2843">
            <v>0</v>
          </cell>
        </row>
        <row r="2844">
          <cell r="A2844">
            <v>1500013401</v>
          </cell>
          <cell r="B2844">
            <v>70.45</v>
          </cell>
        </row>
        <row r="2845">
          <cell r="A2845">
            <v>1500013442</v>
          </cell>
          <cell r="B2845">
            <v>72.75</v>
          </cell>
        </row>
        <row r="2846">
          <cell r="A2846">
            <v>1500013443</v>
          </cell>
          <cell r="B2846">
            <v>0</v>
          </cell>
        </row>
        <row r="2847">
          <cell r="A2847">
            <v>1500013438</v>
          </cell>
          <cell r="B2847">
            <v>1.8333333333333299</v>
          </cell>
        </row>
        <row r="2848">
          <cell r="A2848">
            <v>1500013440</v>
          </cell>
          <cell r="B2848">
            <v>4.1666666666666696</v>
          </cell>
        </row>
        <row r="2849">
          <cell r="A2849">
            <v>1500013490</v>
          </cell>
          <cell r="B2849">
            <v>0</v>
          </cell>
        </row>
        <row r="2850">
          <cell r="A2850">
            <v>1500013491</v>
          </cell>
          <cell r="B2850">
            <v>0</v>
          </cell>
        </row>
        <row r="2851">
          <cell r="A2851">
            <v>1500013492</v>
          </cell>
          <cell r="B2851">
            <v>33.5</v>
          </cell>
        </row>
        <row r="2852">
          <cell r="A2852">
            <v>1500013493</v>
          </cell>
          <cell r="B2852">
            <v>11.6666666666667</v>
          </cell>
        </row>
        <row r="2853">
          <cell r="A2853">
            <v>1500013494</v>
          </cell>
          <cell r="B2853">
            <v>0</v>
          </cell>
        </row>
        <row r="2854">
          <cell r="A2854">
            <v>1500013495</v>
          </cell>
          <cell r="B2854">
            <v>62.5</v>
          </cell>
        </row>
        <row r="2855">
          <cell r="A2855">
            <v>1500013496</v>
          </cell>
          <cell r="B2855">
            <v>0</v>
          </cell>
        </row>
        <row r="2856">
          <cell r="A2856">
            <v>1500013439</v>
          </cell>
          <cell r="B2856">
            <v>11.8333333333333</v>
          </cell>
        </row>
        <row r="2857">
          <cell r="A2857">
            <v>1500013497</v>
          </cell>
          <cell r="B2857">
            <v>0</v>
          </cell>
        </row>
        <row r="2858">
          <cell r="A2858">
            <v>1500013499</v>
          </cell>
          <cell r="B2858">
            <v>29.6666666666667</v>
          </cell>
        </row>
        <row r="2859">
          <cell r="A2859">
            <v>1500013500</v>
          </cell>
          <cell r="B2859">
            <v>5</v>
          </cell>
        </row>
        <row r="2860">
          <cell r="A2860">
            <v>1500013501</v>
          </cell>
          <cell r="B2860">
            <v>50.633333333333297</v>
          </cell>
        </row>
        <row r="2861">
          <cell r="A2861">
            <v>1500013502</v>
          </cell>
          <cell r="B2861">
            <v>163.166666666667</v>
          </cell>
        </row>
        <row r="2862">
          <cell r="A2862">
            <v>1500013522</v>
          </cell>
          <cell r="B2862">
            <v>121.25</v>
          </cell>
        </row>
        <row r="2863">
          <cell r="A2863">
            <v>1500013583</v>
          </cell>
          <cell r="B2863">
            <v>0</v>
          </cell>
        </row>
        <row r="2864">
          <cell r="A2864">
            <v>1500013584</v>
          </cell>
          <cell r="B2864">
            <v>0</v>
          </cell>
        </row>
        <row r="2865">
          <cell r="A2865">
            <v>1500013585</v>
          </cell>
          <cell r="B2865">
            <v>28.6666666666667</v>
          </cell>
        </row>
        <row r="2866">
          <cell r="A2866">
            <v>1500013586</v>
          </cell>
          <cell r="B2866">
            <v>22.5</v>
          </cell>
        </row>
        <row r="2867">
          <cell r="A2867">
            <v>1500013587</v>
          </cell>
          <cell r="B2867">
            <v>36.8333333333333</v>
          </cell>
        </row>
        <row r="2868">
          <cell r="A2868">
            <v>1500013588</v>
          </cell>
          <cell r="B2868">
            <v>0</v>
          </cell>
        </row>
        <row r="2869">
          <cell r="A2869">
            <v>1500013612</v>
          </cell>
          <cell r="B2869">
            <v>18.4583333333333</v>
          </cell>
        </row>
        <row r="2870">
          <cell r="A2870">
            <v>1500013609</v>
          </cell>
          <cell r="B2870">
            <v>33.3333333333333</v>
          </cell>
        </row>
        <row r="2871">
          <cell r="A2871">
            <v>1500013615</v>
          </cell>
          <cell r="B2871">
            <v>0</v>
          </cell>
        </row>
        <row r="2872">
          <cell r="A2872">
            <v>1500013616</v>
          </cell>
          <cell r="B2872">
            <v>51.8333333333333</v>
          </cell>
        </row>
        <row r="2873">
          <cell r="A2873">
            <v>1500013678</v>
          </cell>
          <cell r="B2873">
            <v>79.4166666666667</v>
          </cell>
        </row>
        <row r="2874">
          <cell r="A2874">
            <v>1500013679</v>
          </cell>
          <cell r="B2874">
            <v>21.1666666666667</v>
          </cell>
        </row>
        <row r="2875">
          <cell r="A2875">
            <v>1500013680</v>
          </cell>
          <cell r="B2875">
            <v>125.5</v>
          </cell>
        </row>
        <row r="2876">
          <cell r="A2876">
            <v>1500013666</v>
          </cell>
          <cell r="B2876">
            <v>41</v>
          </cell>
        </row>
        <row r="2877">
          <cell r="A2877">
            <v>1500013667</v>
          </cell>
          <cell r="B2877">
            <v>21.6666666666667</v>
          </cell>
        </row>
        <row r="2878">
          <cell r="A2878">
            <v>1500013634</v>
          </cell>
          <cell r="B2878">
            <v>5.8333333333333304</v>
          </cell>
        </row>
        <row r="2879">
          <cell r="A2879">
            <v>1500013637</v>
          </cell>
          <cell r="B2879">
            <v>63.274999999999999</v>
          </cell>
        </row>
        <row r="2880">
          <cell r="A2880">
            <v>1500013702</v>
          </cell>
          <cell r="B2880">
            <v>0</v>
          </cell>
        </row>
        <row r="2881">
          <cell r="A2881">
            <v>1500013703</v>
          </cell>
          <cell r="B2881">
            <v>0</v>
          </cell>
        </row>
        <row r="2882">
          <cell r="A2882">
            <v>1500013713</v>
          </cell>
          <cell r="B2882">
            <v>17.1666666666667</v>
          </cell>
        </row>
        <row r="2883">
          <cell r="A2883">
            <v>1500013782</v>
          </cell>
          <cell r="B2883">
            <v>50.6666666666667</v>
          </cell>
        </row>
        <row r="2884">
          <cell r="A2884">
            <v>1500013784</v>
          </cell>
          <cell r="B2884">
            <v>0</v>
          </cell>
        </row>
        <row r="2885">
          <cell r="A2885">
            <v>1500013785</v>
          </cell>
          <cell r="B2885">
            <v>0</v>
          </cell>
        </row>
        <row r="2886">
          <cell r="A2886">
            <v>1500013847</v>
          </cell>
          <cell r="B2886">
            <v>3.75</v>
          </cell>
        </row>
        <row r="2887">
          <cell r="A2887">
            <v>1500013872</v>
          </cell>
          <cell r="B2887">
            <v>315.66666666666703</v>
          </cell>
        </row>
        <row r="2888">
          <cell r="A2888">
            <v>1500013873</v>
          </cell>
          <cell r="B2888">
            <v>0</v>
          </cell>
        </row>
        <row r="2889">
          <cell r="A2889">
            <v>1500013874</v>
          </cell>
          <cell r="B2889">
            <v>13.8333333333333</v>
          </cell>
        </row>
        <row r="2890">
          <cell r="A2890">
            <v>1500013875</v>
          </cell>
          <cell r="B2890">
            <v>0</v>
          </cell>
        </row>
        <row r="2891">
          <cell r="A2891">
            <v>1500013876</v>
          </cell>
          <cell r="B2891">
            <v>29.5</v>
          </cell>
        </row>
        <row r="2892">
          <cell r="A2892">
            <v>1500013877</v>
          </cell>
          <cell r="B2892">
            <v>25</v>
          </cell>
        </row>
        <row r="2893">
          <cell r="A2893">
            <v>1500013878</v>
          </cell>
          <cell r="B2893">
            <v>10</v>
          </cell>
        </row>
        <row r="2894">
          <cell r="A2894">
            <v>1500013879</v>
          </cell>
          <cell r="B2894">
            <v>51.3333333333333</v>
          </cell>
        </row>
        <row r="2895">
          <cell r="A2895">
            <v>1500013880</v>
          </cell>
          <cell r="B2895">
            <v>0</v>
          </cell>
        </row>
        <row r="2896">
          <cell r="A2896">
            <v>1500013881</v>
          </cell>
          <cell r="B2896">
            <v>0</v>
          </cell>
        </row>
        <row r="2897">
          <cell r="A2897">
            <v>1500013882</v>
          </cell>
          <cell r="B2897">
            <v>47.3333333333333</v>
          </cell>
        </row>
        <row r="2898">
          <cell r="A2898">
            <v>1500013883</v>
          </cell>
          <cell r="B2898">
            <v>30</v>
          </cell>
        </row>
        <row r="2899">
          <cell r="A2899">
            <v>1500013926</v>
          </cell>
          <cell r="B2899">
            <v>96.6666666666667</v>
          </cell>
        </row>
        <row r="2900">
          <cell r="A2900">
            <v>1500013927</v>
          </cell>
          <cell r="B2900">
            <v>48.5</v>
          </cell>
        </row>
        <row r="2901">
          <cell r="A2901">
            <v>1500013928</v>
          </cell>
          <cell r="B2901">
            <v>52.1666666666667</v>
          </cell>
        </row>
        <row r="2902">
          <cell r="A2902">
            <v>1500013929</v>
          </cell>
          <cell r="B2902">
            <v>58.6666666666667</v>
          </cell>
        </row>
        <row r="2903">
          <cell r="A2903">
            <v>1500013933</v>
          </cell>
          <cell r="B2903">
            <v>30.8333333333333</v>
          </cell>
        </row>
        <row r="2904">
          <cell r="A2904">
            <v>1500013930</v>
          </cell>
          <cell r="B2904">
            <v>108</v>
          </cell>
        </row>
        <row r="2905">
          <cell r="A2905">
            <v>1500013931</v>
          </cell>
          <cell r="B2905">
            <v>69.6666666666667</v>
          </cell>
        </row>
        <row r="2906">
          <cell r="A2906">
            <v>1500013932</v>
          </cell>
          <cell r="B2906">
            <v>67.8333333333333</v>
          </cell>
        </row>
        <row r="2907">
          <cell r="A2907">
            <v>1500013850</v>
          </cell>
          <cell r="B2907">
            <v>47.5</v>
          </cell>
        </row>
        <row r="2908">
          <cell r="A2908">
            <v>1500013857</v>
          </cell>
          <cell r="B2908">
            <v>0</v>
          </cell>
        </row>
        <row r="2909">
          <cell r="A2909">
            <v>1500013867</v>
          </cell>
          <cell r="B2909">
            <v>4.1666666666666696</v>
          </cell>
        </row>
        <row r="2910">
          <cell r="A2910">
            <v>1500013868</v>
          </cell>
          <cell r="B2910">
            <v>0</v>
          </cell>
        </row>
        <row r="2911">
          <cell r="A2911">
            <v>1500013983</v>
          </cell>
          <cell r="B2911">
            <v>37.4166666666667</v>
          </cell>
        </row>
        <row r="2912">
          <cell r="A2912">
            <v>1500014014</v>
          </cell>
          <cell r="B2912">
            <v>47.8333333333333</v>
          </cell>
        </row>
        <row r="2913">
          <cell r="A2913">
            <v>1500014032</v>
          </cell>
          <cell r="B2913">
            <v>202.23333333333301</v>
          </cell>
        </row>
        <row r="2914">
          <cell r="A2914">
            <v>1500014034</v>
          </cell>
          <cell r="B2914">
            <v>41.5</v>
          </cell>
        </row>
        <row r="2915">
          <cell r="A2915">
            <v>1500014035</v>
          </cell>
          <cell r="B2915">
            <v>13.6666666666667</v>
          </cell>
        </row>
        <row r="2916">
          <cell r="A2916">
            <v>1500014036</v>
          </cell>
          <cell r="B2916">
            <v>32.3333333333333</v>
          </cell>
        </row>
        <row r="2917">
          <cell r="A2917">
            <v>1500014037</v>
          </cell>
          <cell r="B2917">
            <v>26</v>
          </cell>
        </row>
        <row r="2918">
          <cell r="A2918">
            <v>1500014038</v>
          </cell>
          <cell r="B2918">
            <v>75.3333333333333</v>
          </cell>
        </row>
        <row r="2919">
          <cell r="A2919">
            <v>1500014039</v>
          </cell>
          <cell r="B2919">
            <v>3.3333333333333299</v>
          </cell>
        </row>
        <row r="2920">
          <cell r="A2920">
            <v>1500014040</v>
          </cell>
          <cell r="B2920">
            <v>0</v>
          </cell>
        </row>
        <row r="2921">
          <cell r="A2921">
            <v>1500014073</v>
          </cell>
          <cell r="B2921">
            <v>9.5</v>
          </cell>
        </row>
        <row r="2922">
          <cell r="A2922">
            <v>1500014074</v>
          </cell>
          <cell r="B2922">
            <v>55.5</v>
          </cell>
        </row>
        <row r="2923">
          <cell r="A2923">
            <v>1500013972</v>
          </cell>
          <cell r="B2923">
            <v>0</v>
          </cell>
        </row>
        <row r="2924">
          <cell r="A2924">
            <v>1500014061</v>
          </cell>
          <cell r="B2924">
            <v>55.1666666666667</v>
          </cell>
        </row>
        <row r="2925">
          <cell r="A2925">
            <v>1500014062</v>
          </cell>
          <cell r="B2925">
            <v>148.791666666667</v>
          </cell>
        </row>
        <row r="2926">
          <cell r="A2926">
            <v>1500014063</v>
          </cell>
          <cell r="B2926">
            <v>496.59166666666698</v>
          </cell>
        </row>
        <row r="2927">
          <cell r="A2927">
            <v>1500014082</v>
          </cell>
          <cell r="B2927">
            <v>26.75</v>
          </cell>
        </row>
        <row r="2928">
          <cell r="A2928">
            <v>1500014098</v>
          </cell>
          <cell r="B2928">
            <v>3.3333333333333299</v>
          </cell>
        </row>
        <row r="2929">
          <cell r="A2929">
            <v>1500014102</v>
          </cell>
          <cell r="B2929">
            <v>0</v>
          </cell>
        </row>
        <row r="2930">
          <cell r="A2930">
            <v>1500014099</v>
          </cell>
          <cell r="B2930">
            <v>56.25</v>
          </cell>
        </row>
        <row r="2931">
          <cell r="A2931">
            <v>1500014100</v>
          </cell>
          <cell r="B2931">
            <v>19.491666666666699</v>
          </cell>
        </row>
        <row r="2932">
          <cell r="A2932">
            <v>1500014101</v>
          </cell>
          <cell r="B2932">
            <v>0</v>
          </cell>
        </row>
        <row r="2933">
          <cell r="A2933">
            <v>1500014104</v>
          </cell>
          <cell r="B2933">
            <v>0</v>
          </cell>
        </row>
        <row r="2934">
          <cell r="A2934">
            <v>1500014105</v>
          </cell>
          <cell r="B2934">
            <v>0</v>
          </cell>
        </row>
        <row r="2935">
          <cell r="A2935">
            <v>1500014106</v>
          </cell>
          <cell r="B2935">
            <v>0</v>
          </cell>
        </row>
        <row r="2936">
          <cell r="A2936">
            <v>1500014107</v>
          </cell>
          <cell r="B2936">
            <v>0</v>
          </cell>
        </row>
        <row r="2937">
          <cell r="A2937">
            <v>1500014108</v>
          </cell>
          <cell r="B2937">
            <v>36.1666666666667</v>
          </cell>
        </row>
        <row r="2938">
          <cell r="A2938">
            <v>1500014109</v>
          </cell>
          <cell r="B2938">
            <v>0</v>
          </cell>
        </row>
        <row r="2939">
          <cell r="A2939">
            <v>1500014110</v>
          </cell>
          <cell r="B2939">
            <v>0</v>
          </cell>
        </row>
        <row r="2940">
          <cell r="A2940">
            <v>1500014111</v>
          </cell>
          <cell r="B2940">
            <v>0</v>
          </cell>
        </row>
        <row r="2941">
          <cell r="A2941">
            <v>1500014112</v>
          </cell>
          <cell r="B2941">
            <v>5.4833333333333298</v>
          </cell>
        </row>
        <row r="2942">
          <cell r="A2942">
            <v>1500014113</v>
          </cell>
          <cell r="B2942">
            <v>14.375</v>
          </cell>
        </row>
        <row r="2943">
          <cell r="A2943">
            <v>1500014140</v>
          </cell>
          <cell r="B2943">
            <v>174.07499999999999</v>
          </cell>
        </row>
        <row r="2944">
          <cell r="A2944">
            <v>1500014141</v>
          </cell>
          <cell r="B2944">
            <v>41.6666666666667</v>
          </cell>
        </row>
        <row r="2945">
          <cell r="A2945">
            <v>1500014142</v>
          </cell>
          <cell r="B2945">
            <v>141.75</v>
          </cell>
        </row>
        <row r="2946">
          <cell r="A2946">
            <v>1500014144</v>
          </cell>
          <cell r="B2946">
            <v>201.76666666666699</v>
          </cell>
        </row>
        <row r="2947">
          <cell r="A2947">
            <v>1500014148</v>
          </cell>
          <cell r="B2947">
            <v>5.1666666666666696</v>
          </cell>
        </row>
        <row r="2948">
          <cell r="A2948">
            <v>1500014149</v>
          </cell>
          <cell r="B2948">
            <v>10.4583333333333</v>
          </cell>
        </row>
        <row r="2949">
          <cell r="A2949">
            <v>1500014150</v>
          </cell>
          <cell r="B2949">
            <v>64.5</v>
          </cell>
        </row>
        <row r="2950">
          <cell r="A2950">
            <v>1500014151</v>
          </cell>
          <cell r="B2950">
            <v>20.0833333333333</v>
          </cell>
        </row>
        <row r="2951">
          <cell r="A2951">
            <v>1500014152</v>
          </cell>
          <cell r="B2951">
            <v>18.8333333333333</v>
          </cell>
        </row>
        <row r="2952">
          <cell r="A2952">
            <v>1500014153</v>
          </cell>
          <cell r="B2952">
            <v>25</v>
          </cell>
        </row>
        <row r="2953">
          <cell r="A2953">
            <v>1500014154</v>
          </cell>
          <cell r="B2953">
            <v>0</v>
          </cell>
        </row>
        <row r="2954">
          <cell r="A2954">
            <v>1500014087</v>
          </cell>
          <cell r="B2954">
            <v>0</v>
          </cell>
        </row>
        <row r="2955">
          <cell r="A2955">
            <v>1500014088</v>
          </cell>
          <cell r="B2955">
            <v>0</v>
          </cell>
        </row>
        <row r="2956">
          <cell r="A2956">
            <v>1500014114</v>
          </cell>
          <cell r="B2956">
            <v>80.908333333333402</v>
          </cell>
        </row>
        <row r="2957">
          <cell r="A2957">
            <v>1500014116</v>
          </cell>
          <cell r="B2957">
            <v>0</v>
          </cell>
        </row>
        <row r="2958">
          <cell r="A2958">
            <v>1500014146</v>
          </cell>
          <cell r="B2958">
            <v>102.083333333333</v>
          </cell>
        </row>
        <row r="2959">
          <cell r="A2959">
            <v>1500014147</v>
          </cell>
          <cell r="B2959">
            <v>0</v>
          </cell>
        </row>
        <row r="2960">
          <cell r="A2960">
            <v>1500014085</v>
          </cell>
          <cell r="B2960">
            <v>7.8333333333333304</v>
          </cell>
        </row>
        <row r="2961">
          <cell r="A2961">
            <v>1500014086</v>
          </cell>
          <cell r="B2961">
            <v>0</v>
          </cell>
        </row>
        <row r="2962">
          <cell r="A2962">
            <v>1500014172</v>
          </cell>
          <cell r="B2962">
            <v>53.6666666666667</v>
          </cell>
        </row>
        <row r="2963">
          <cell r="A2963">
            <v>1500014207</v>
          </cell>
          <cell r="B2963">
            <v>0</v>
          </cell>
        </row>
        <row r="2964">
          <cell r="A2964">
            <v>1500014208</v>
          </cell>
          <cell r="B2964">
            <v>0</v>
          </cell>
        </row>
        <row r="2965">
          <cell r="A2965">
            <v>1500014209</v>
          </cell>
          <cell r="B2965">
            <v>52.975000000000001</v>
          </cell>
        </row>
        <row r="2966">
          <cell r="A2966">
            <v>1500014213</v>
          </cell>
          <cell r="B2966">
            <v>0</v>
          </cell>
        </row>
        <row r="2967">
          <cell r="A2967">
            <v>1500014214</v>
          </cell>
          <cell r="B2967">
            <v>0</v>
          </cell>
        </row>
        <row r="2968">
          <cell r="A2968">
            <v>1500014218</v>
          </cell>
          <cell r="B2968">
            <v>86</v>
          </cell>
        </row>
        <row r="2969">
          <cell r="A2969">
            <v>1500014232</v>
          </cell>
          <cell r="B2969">
            <v>1.6666666666666701</v>
          </cell>
        </row>
        <row r="2970">
          <cell r="A2970">
            <v>1500014233</v>
          </cell>
          <cell r="B2970">
            <v>10.3333333333333</v>
          </cell>
        </row>
        <row r="2971">
          <cell r="A2971">
            <v>1500014255</v>
          </cell>
          <cell r="B2971">
            <v>12.5833333333333</v>
          </cell>
        </row>
        <row r="2972">
          <cell r="A2972">
            <v>1500014256</v>
          </cell>
          <cell r="B2972">
            <v>15</v>
          </cell>
        </row>
        <row r="2973">
          <cell r="A2973">
            <v>1500014257</v>
          </cell>
          <cell r="B2973">
            <v>0</v>
          </cell>
        </row>
        <row r="2974">
          <cell r="A2974">
            <v>1500014328</v>
          </cell>
          <cell r="B2974">
            <v>18.533333333333299</v>
          </cell>
        </row>
        <row r="2975">
          <cell r="A2975">
            <v>1500014329</v>
          </cell>
          <cell r="B2975">
            <v>279.83333333333297</v>
          </cell>
        </row>
        <row r="2976">
          <cell r="A2976">
            <v>1500014330</v>
          </cell>
          <cell r="B2976">
            <v>0</v>
          </cell>
        </row>
        <row r="2977">
          <cell r="A2977">
            <v>1500014331</v>
          </cell>
          <cell r="B2977">
            <v>0</v>
          </cell>
        </row>
        <row r="2978">
          <cell r="A2978">
            <v>1500014342</v>
          </cell>
          <cell r="B2978">
            <v>26.3333333333333</v>
          </cell>
        </row>
        <row r="2979">
          <cell r="A2979">
            <v>1500014343</v>
          </cell>
          <cell r="B2979">
            <v>0</v>
          </cell>
        </row>
        <row r="2980">
          <cell r="A2980">
            <v>1500014344</v>
          </cell>
          <cell r="B2980">
            <v>2</v>
          </cell>
        </row>
        <row r="2981">
          <cell r="A2981">
            <v>1500014345</v>
          </cell>
          <cell r="B2981">
            <v>57.3333333333333</v>
          </cell>
        </row>
        <row r="2982">
          <cell r="A2982">
            <v>1500014395</v>
          </cell>
          <cell r="B2982">
            <v>0</v>
          </cell>
        </row>
        <row r="2983">
          <cell r="A2983">
            <v>1500014334</v>
          </cell>
          <cell r="B2983">
            <v>167.916666666667</v>
          </cell>
        </row>
        <row r="2984">
          <cell r="A2984">
            <v>1500014353</v>
          </cell>
          <cell r="B2984">
            <v>11.6666666666667</v>
          </cell>
        </row>
        <row r="2985">
          <cell r="A2985">
            <v>1500014354</v>
          </cell>
          <cell r="B2985">
            <v>46.1666666666667</v>
          </cell>
        </row>
        <row r="2986">
          <cell r="A2986">
            <v>1500014355</v>
          </cell>
          <cell r="B2986">
            <v>3.3333333333333299</v>
          </cell>
        </row>
        <row r="2987">
          <cell r="A2987">
            <v>1500014396</v>
          </cell>
          <cell r="B2987">
            <v>0</v>
          </cell>
        </row>
        <row r="2988">
          <cell r="A2988">
            <v>1500014397</v>
          </cell>
          <cell r="B2988">
            <v>0</v>
          </cell>
        </row>
        <row r="2989">
          <cell r="A2989">
            <v>1500014398</v>
          </cell>
          <cell r="B2989">
            <v>83.8333333333333</v>
          </cell>
        </row>
        <row r="2990">
          <cell r="A2990">
            <v>1500014412</v>
          </cell>
          <cell r="B2990">
            <v>19.1666666666667</v>
          </cell>
        </row>
        <row r="2991">
          <cell r="A2991">
            <v>1500014426</v>
          </cell>
          <cell r="B2991">
            <v>41.1666666666667</v>
          </cell>
        </row>
        <row r="2992">
          <cell r="A2992">
            <v>1500014427</v>
          </cell>
          <cell r="B2992">
            <v>193.833333333333</v>
          </cell>
        </row>
        <row r="2993">
          <cell r="A2993">
            <v>1500014428</v>
          </cell>
          <cell r="B2993">
            <v>11.8333333333333</v>
          </cell>
        </row>
        <row r="2994">
          <cell r="A2994">
            <v>1500014429</v>
          </cell>
          <cell r="B2994">
            <v>0</v>
          </cell>
        </row>
        <row r="2995">
          <cell r="A2995">
            <v>1500014430</v>
          </cell>
          <cell r="B2995">
            <v>10.3333333333333</v>
          </cell>
        </row>
        <row r="2996">
          <cell r="A2996">
            <v>1500014413</v>
          </cell>
          <cell r="B2996">
            <v>0</v>
          </cell>
        </row>
        <row r="2997">
          <cell r="A2997">
            <v>1500014424</v>
          </cell>
          <cell r="B2997">
            <v>188.4</v>
          </cell>
        </row>
        <row r="2998">
          <cell r="A2998">
            <v>1500014425</v>
          </cell>
          <cell r="B2998">
            <v>0</v>
          </cell>
        </row>
        <row r="2999">
          <cell r="A2999">
            <v>1500014486</v>
          </cell>
          <cell r="B2999">
            <v>0</v>
          </cell>
        </row>
        <row r="3000">
          <cell r="A3000">
            <v>1500014502</v>
          </cell>
          <cell r="B3000">
            <v>41.1666666666667</v>
          </cell>
        </row>
        <row r="3001">
          <cell r="A3001">
            <v>1500014495</v>
          </cell>
          <cell r="B3001">
            <v>5.0833333333333304</v>
          </cell>
        </row>
        <row r="3002">
          <cell r="A3002">
            <v>1500014496</v>
          </cell>
          <cell r="B3002">
            <v>20.3333333333333</v>
          </cell>
        </row>
        <row r="3003">
          <cell r="A3003">
            <v>1500014497</v>
          </cell>
          <cell r="B3003">
            <v>0</v>
          </cell>
        </row>
        <row r="3004">
          <cell r="A3004">
            <v>1500014498</v>
          </cell>
          <cell r="B3004">
            <v>18</v>
          </cell>
        </row>
        <row r="3005">
          <cell r="A3005">
            <v>1500014501</v>
          </cell>
          <cell r="B3005">
            <v>5</v>
          </cell>
        </row>
        <row r="3006">
          <cell r="A3006">
            <v>1500014532</v>
          </cell>
          <cell r="B3006">
            <v>0</v>
          </cell>
        </row>
        <row r="3007">
          <cell r="A3007">
            <v>1500014533</v>
          </cell>
          <cell r="B3007">
            <v>49.5</v>
          </cell>
        </row>
        <row r="3008">
          <cell r="A3008">
            <v>1500014534</v>
          </cell>
          <cell r="B3008">
            <v>0</v>
          </cell>
        </row>
        <row r="3009">
          <cell r="A3009">
            <v>1500014535</v>
          </cell>
          <cell r="B3009">
            <v>2</v>
          </cell>
        </row>
        <row r="3010">
          <cell r="A3010">
            <v>1500014536</v>
          </cell>
          <cell r="B3010">
            <v>19.5</v>
          </cell>
        </row>
        <row r="3011">
          <cell r="A3011">
            <v>1500014529</v>
          </cell>
          <cell r="B3011">
            <v>34.6666666666667</v>
          </cell>
        </row>
        <row r="3012">
          <cell r="A3012">
            <v>1500014530</v>
          </cell>
          <cell r="B3012">
            <v>38.3333333333333</v>
          </cell>
        </row>
        <row r="3013">
          <cell r="A3013">
            <v>1500014589</v>
          </cell>
          <cell r="B3013">
            <v>7.5</v>
          </cell>
        </row>
        <row r="3014">
          <cell r="A3014">
            <v>1500014612</v>
          </cell>
          <cell r="B3014">
            <v>0</v>
          </cell>
        </row>
        <row r="3015">
          <cell r="A3015">
            <v>1500014613</v>
          </cell>
          <cell r="B3015">
            <v>4.3333333333333304</v>
          </cell>
        </row>
        <row r="3016">
          <cell r="A3016">
            <v>1500014614</v>
          </cell>
          <cell r="B3016">
            <v>150.083333333333</v>
          </cell>
        </row>
        <row r="3017">
          <cell r="A3017">
            <v>1500014615</v>
          </cell>
          <cell r="B3017">
            <v>30.4166666666667</v>
          </cell>
        </row>
        <row r="3018">
          <cell r="A3018">
            <v>1500014624</v>
          </cell>
          <cell r="B3018">
            <v>30</v>
          </cell>
        </row>
        <row r="3019">
          <cell r="A3019">
            <v>1500014625</v>
          </cell>
          <cell r="B3019">
            <v>47.1666666666667</v>
          </cell>
        </row>
        <row r="3020">
          <cell r="A3020">
            <v>1500014626</v>
          </cell>
          <cell r="B3020">
            <v>29</v>
          </cell>
        </row>
        <row r="3021">
          <cell r="A3021">
            <v>1500014628</v>
          </cell>
          <cell r="B3021">
            <v>131.36666666666699</v>
          </cell>
        </row>
        <row r="3022">
          <cell r="A3022">
            <v>1500014629</v>
          </cell>
          <cell r="B3022">
            <v>0</v>
          </cell>
        </row>
        <row r="3023">
          <cell r="A3023">
            <v>1500014630</v>
          </cell>
          <cell r="B3023">
            <v>27</v>
          </cell>
        </row>
        <row r="3024">
          <cell r="A3024">
            <v>1500014631</v>
          </cell>
          <cell r="B3024">
            <v>19.3333333333333</v>
          </cell>
        </row>
        <row r="3025">
          <cell r="A3025">
            <v>1500014632</v>
          </cell>
          <cell r="B3025">
            <v>0</v>
          </cell>
        </row>
        <row r="3026">
          <cell r="A3026">
            <v>1500014633</v>
          </cell>
          <cell r="B3026">
            <v>24.3333333333333</v>
          </cell>
        </row>
        <row r="3027">
          <cell r="A3027">
            <v>1500014619</v>
          </cell>
          <cell r="B3027">
            <v>12.5</v>
          </cell>
        </row>
        <row r="3028">
          <cell r="A3028">
            <v>1500014658</v>
          </cell>
          <cell r="B3028">
            <v>8.8333333333333304</v>
          </cell>
        </row>
        <row r="3029">
          <cell r="A3029">
            <v>1500014659</v>
          </cell>
          <cell r="B3029">
            <v>0</v>
          </cell>
        </row>
        <row r="3030">
          <cell r="A3030">
            <v>1500014660</v>
          </cell>
          <cell r="B3030">
            <v>19.1666666666667</v>
          </cell>
        </row>
        <row r="3031">
          <cell r="A3031">
            <v>1500014604</v>
          </cell>
          <cell r="B3031">
            <v>7.0833333333333304</v>
          </cell>
        </row>
        <row r="3032">
          <cell r="A3032">
            <v>1500014605</v>
          </cell>
          <cell r="B3032">
            <v>20.4166666666667</v>
          </cell>
        </row>
        <row r="3033">
          <cell r="A3033">
            <v>1500014656</v>
          </cell>
          <cell r="B3033">
            <v>110.916666666667</v>
          </cell>
        </row>
        <row r="3034">
          <cell r="A3034">
            <v>1500014657</v>
          </cell>
          <cell r="B3034">
            <v>76.1666666666667</v>
          </cell>
        </row>
        <row r="3035">
          <cell r="A3035">
            <v>1500014678</v>
          </cell>
          <cell r="B3035">
            <v>0</v>
          </cell>
        </row>
        <row r="3036">
          <cell r="A3036">
            <v>1500014679</v>
          </cell>
          <cell r="B3036">
            <v>21.9166666666667</v>
          </cell>
        </row>
        <row r="3037">
          <cell r="A3037">
            <v>1500014680</v>
          </cell>
          <cell r="B3037">
            <v>6</v>
          </cell>
        </row>
        <row r="3038">
          <cell r="A3038">
            <v>1500014681</v>
          </cell>
          <cell r="B3038">
            <v>0</v>
          </cell>
        </row>
        <row r="3039">
          <cell r="A3039">
            <v>1500014682</v>
          </cell>
          <cell r="B3039">
            <v>60</v>
          </cell>
        </row>
        <row r="3040">
          <cell r="A3040">
            <v>1500014683</v>
          </cell>
          <cell r="B3040">
            <v>0</v>
          </cell>
        </row>
        <row r="3041">
          <cell r="A3041">
            <v>1500014684</v>
          </cell>
          <cell r="B3041">
            <v>17.5</v>
          </cell>
        </row>
        <row r="3042">
          <cell r="A3042">
            <v>1500014754</v>
          </cell>
          <cell r="B3042">
            <v>19</v>
          </cell>
        </row>
        <row r="3043">
          <cell r="A3043">
            <v>1500014755</v>
          </cell>
          <cell r="B3043">
            <v>32</v>
          </cell>
        </row>
        <row r="3044">
          <cell r="A3044">
            <v>1500014756</v>
          </cell>
          <cell r="B3044">
            <v>14.3333333333333</v>
          </cell>
        </row>
        <row r="3045">
          <cell r="A3045">
            <v>1500014757</v>
          </cell>
          <cell r="B3045">
            <v>0</v>
          </cell>
        </row>
        <row r="3046">
          <cell r="A3046">
            <v>1500014712</v>
          </cell>
          <cell r="B3046">
            <v>0</v>
          </cell>
        </row>
        <row r="3047">
          <cell r="A3047">
            <v>1500014713</v>
          </cell>
          <cell r="B3047">
            <v>0</v>
          </cell>
        </row>
        <row r="3048">
          <cell r="A3048">
            <v>1500014802</v>
          </cell>
          <cell r="B3048">
            <v>126.5</v>
          </cell>
        </row>
        <row r="3049">
          <cell r="A3049">
            <v>1500014803</v>
          </cell>
          <cell r="B3049">
            <v>18.3333333333333</v>
          </cell>
        </row>
        <row r="3050">
          <cell r="A3050">
            <v>1500014804</v>
          </cell>
          <cell r="B3050">
            <v>114.166666666667</v>
          </cell>
        </row>
        <row r="3051">
          <cell r="A3051">
            <v>1500014794</v>
          </cell>
          <cell r="B3051">
            <v>0</v>
          </cell>
        </row>
        <row r="3052">
          <cell r="A3052">
            <v>1500014795</v>
          </cell>
          <cell r="B3052">
            <v>0</v>
          </cell>
        </row>
        <row r="3053">
          <cell r="A3053">
            <v>1500014796</v>
          </cell>
          <cell r="B3053">
            <v>241.666666666667</v>
          </cell>
        </row>
        <row r="3054">
          <cell r="A3054">
            <v>1500014797</v>
          </cell>
          <cell r="B3054">
            <v>0</v>
          </cell>
        </row>
        <row r="3055">
          <cell r="A3055">
            <v>1500014812</v>
          </cell>
          <cell r="B3055">
            <v>0</v>
          </cell>
        </row>
        <row r="3056">
          <cell r="A3056">
            <v>1500014813</v>
          </cell>
          <cell r="B3056">
            <v>0</v>
          </cell>
        </row>
        <row r="3057">
          <cell r="A3057">
            <v>1500014814</v>
          </cell>
          <cell r="B3057">
            <v>15</v>
          </cell>
        </row>
        <row r="3058">
          <cell r="A3058">
            <v>1500014815</v>
          </cell>
          <cell r="B3058">
            <v>0</v>
          </cell>
        </row>
        <row r="3059">
          <cell r="A3059">
            <v>1500014816</v>
          </cell>
          <cell r="B3059">
            <v>45.3333333333333</v>
          </cell>
        </row>
        <row r="3060">
          <cell r="A3060">
            <v>1500014817</v>
          </cell>
          <cell r="B3060">
            <v>174</v>
          </cell>
        </row>
        <row r="3061">
          <cell r="A3061">
            <v>1500014818</v>
          </cell>
          <cell r="B3061">
            <v>42</v>
          </cell>
        </row>
        <row r="3062">
          <cell r="A3062">
            <v>1500014819</v>
          </cell>
          <cell r="B3062">
            <v>70.5</v>
          </cell>
        </row>
        <row r="3063">
          <cell r="A3063">
            <v>1500014820</v>
          </cell>
          <cell r="B3063">
            <v>10.633333333333301</v>
          </cell>
        </row>
        <row r="3064">
          <cell r="A3064">
            <v>1500014850</v>
          </cell>
          <cell r="B3064">
            <v>25.5</v>
          </cell>
        </row>
        <row r="3065">
          <cell r="A3065">
            <v>1500014891</v>
          </cell>
          <cell r="B3065">
            <v>8.75</v>
          </cell>
        </row>
        <row r="3066">
          <cell r="A3066">
            <v>1500014851</v>
          </cell>
          <cell r="B3066">
            <v>36.0833333333333</v>
          </cell>
        </row>
        <row r="3067">
          <cell r="A3067">
            <v>1500014909</v>
          </cell>
          <cell r="B3067">
            <v>29.5416666666667</v>
          </cell>
        </row>
        <row r="3068">
          <cell r="A3068">
            <v>1500014848</v>
          </cell>
          <cell r="B3068">
            <v>22.5</v>
          </cell>
        </row>
        <row r="3069">
          <cell r="A3069">
            <v>1500014889</v>
          </cell>
          <cell r="B3069">
            <v>36.5</v>
          </cell>
        </row>
        <row r="3070">
          <cell r="A3070">
            <v>1500014907</v>
          </cell>
          <cell r="B3070">
            <v>143.03333333333299</v>
          </cell>
        </row>
        <row r="3071">
          <cell r="A3071">
            <v>1500014943</v>
          </cell>
          <cell r="B3071">
            <v>97.424999999999997</v>
          </cell>
        </row>
        <row r="3072">
          <cell r="A3072">
            <v>1500014944</v>
          </cell>
          <cell r="B3072">
            <v>387.05</v>
          </cell>
        </row>
        <row r="3073">
          <cell r="A3073">
            <v>1500014971</v>
          </cell>
          <cell r="B3073">
            <v>41</v>
          </cell>
        </row>
        <row r="3074">
          <cell r="A3074">
            <v>1500014972</v>
          </cell>
          <cell r="B3074">
            <v>12.8083333333333</v>
          </cell>
        </row>
        <row r="3075">
          <cell r="A3075">
            <v>1500014948</v>
          </cell>
          <cell r="B3075">
            <v>15.8333333333333</v>
          </cell>
        </row>
        <row r="3076">
          <cell r="A3076">
            <v>1500014949</v>
          </cell>
          <cell r="B3076">
            <v>57.6666666666667</v>
          </cell>
        </row>
        <row r="3077">
          <cell r="A3077">
            <v>1500014950</v>
          </cell>
          <cell r="B3077">
            <v>0</v>
          </cell>
        </row>
        <row r="3078">
          <cell r="A3078">
            <v>1500014945</v>
          </cell>
          <cell r="B3078">
            <v>45.5833333333333</v>
          </cell>
        </row>
        <row r="3079">
          <cell r="A3079">
            <v>1500014946</v>
          </cell>
          <cell r="B3079">
            <v>0</v>
          </cell>
        </row>
        <row r="3080">
          <cell r="A3080">
            <v>1500014947</v>
          </cell>
          <cell r="B3080">
            <v>6</v>
          </cell>
        </row>
        <row r="3081">
          <cell r="A3081">
            <v>1500014973</v>
          </cell>
          <cell r="B3081">
            <v>6.6666666666666696</v>
          </cell>
        </row>
        <row r="3082">
          <cell r="A3082">
            <v>1500015003</v>
          </cell>
          <cell r="B3082">
            <v>12</v>
          </cell>
        </row>
        <row r="3083">
          <cell r="A3083">
            <v>1500015005</v>
          </cell>
          <cell r="B3083">
            <v>0</v>
          </cell>
        </row>
        <row r="3084">
          <cell r="A3084">
            <v>1500015033</v>
          </cell>
          <cell r="B3084">
            <v>39.6666666666667</v>
          </cell>
        </row>
        <row r="3085">
          <cell r="A3085">
            <v>1500015034</v>
          </cell>
          <cell r="B3085">
            <v>0</v>
          </cell>
        </row>
        <row r="3086">
          <cell r="A3086">
            <v>1500015035</v>
          </cell>
          <cell r="B3086">
            <v>160.833333333333</v>
          </cell>
        </row>
        <row r="3087">
          <cell r="A3087">
            <v>1500015038</v>
          </cell>
          <cell r="B3087">
            <v>0</v>
          </cell>
        </row>
        <row r="3088">
          <cell r="A3088">
            <v>1500015039</v>
          </cell>
          <cell r="B3088">
            <v>0</v>
          </cell>
        </row>
        <row r="3089">
          <cell r="A3089">
            <v>1500015041</v>
          </cell>
          <cell r="B3089">
            <v>101.666666666667</v>
          </cell>
        </row>
        <row r="3090">
          <cell r="A3090">
            <v>1500015040</v>
          </cell>
          <cell r="B3090">
            <v>53</v>
          </cell>
        </row>
        <row r="3091">
          <cell r="A3091">
            <v>1500015042</v>
          </cell>
          <cell r="B3091">
            <v>55.5833333333333</v>
          </cell>
        </row>
        <row r="3092">
          <cell r="A3092">
            <v>1500015043</v>
          </cell>
          <cell r="B3092">
            <v>0</v>
          </cell>
        </row>
        <row r="3093">
          <cell r="A3093">
            <v>1500015028</v>
          </cell>
          <cell r="B3093">
            <v>18.5</v>
          </cell>
        </row>
        <row r="3094">
          <cell r="A3094">
            <v>1500015029</v>
          </cell>
          <cell r="B3094">
            <v>64.3333333333333</v>
          </cell>
        </row>
        <row r="3095">
          <cell r="A3095">
            <v>1500015030</v>
          </cell>
          <cell r="B3095">
            <v>34.9166666666667</v>
          </cell>
        </row>
        <row r="3096">
          <cell r="A3096">
            <v>1500015031</v>
          </cell>
          <cell r="B3096">
            <v>56.183333333333302</v>
          </cell>
        </row>
        <row r="3097">
          <cell r="A3097">
            <v>1500015036</v>
          </cell>
          <cell r="B3097">
            <v>313.08333333333297</v>
          </cell>
        </row>
        <row r="3098">
          <cell r="A3098">
            <v>1500015070</v>
          </cell>
          <cell r="B3098">
            <v>113.541666666667</v>
          </cell>
        </row>
        <row r="3099">
          <cell r="A3099">
            <v>1500015071</v>
          </cell>
          <cell r="B3099">
            <v>53</v>
          </cell>
        </row>
        <row r="3100">
          <cell r="A3100">
            <v>1500015072</v>
          </cell>
          <cell r="B3100">
            <v>12.2916666666667</v>
          </cell>
        </row>
        <row r="3101">
          <cell r="A3101">
            <v>1500015077</v>
          </cell>
          <cell r="B3101">
            <v>0</v>
          </cell>
        </row>
        <row r="3102">
          <cell r="A3102">
            <v>1500015078</v>
          </cell>
          <cell r="B3102">
            <v>13.616666666666699</v>
          </cell>
        </row>
        <row r="3103">
          <cell r="A3103">
            <v>1500015094</v>
          </cell>
          <cell r="B3103">
            <v>0</v>
          </cell>
        </row>
        <row r="3104">
          <cell r="A3104">
            <v>1500015095</v>
          </cell>
          <cell r="B3104">
            <v>16.6666666666667</v>
          </cell>
        </row>
        <row r="3105">
          <cell r="A3105">
            <v>1500015096</v>
          </cell>
          <cell r="B3105">
            <v>40.9166666666667</v>
          </cell>
        </row>
        <row r="3106">
          <cell r="A3106">
            <v>1500015097</v>
          </cell>
          <cell r="B3106">
            <v>11.6666666666667</v>
          </cell>
        </row>
        <row r="3107">
          <cell r="A3107">
            <v>1500015100</v>
          </cell>
          <cell r="B3107">
            <v>20</v>
          </cell>
        </row>
        <row r="3108">
          <cell r="A3108">
            <v>1500015137</v>
          </cell>
          <cell r="B3108">
            <v>58.0833333333333</v>
          </cell>
        </row>
        <row r="3109">
          <cell r="A3109">
            <v>1500015138</v>
          </cell>
          <cell r="B3109">
            <v>62.6666666666667</v>
          </cell>
        </row>
        <row r="3110">
          <cell r="A3110">
            <v>1500015167</v>
          </cell>
          <cell r="B3110">
            <v>0</v>
          </cell>
        </row>
        <row r="3111">
          <cell r="A3111">
            <v>1500015168</v>
          </cell>
          <cell r="B3111">
            <v>0</v>
          </cell>
        </row>
        <row r="3112">
          <cell r="A3112">
            <v>1500015169</v>
          </cell>
          <cell r="B3112">
            <v>2.1666666666666701</v>
          </cell>
        </row>
        <row r="3113">
          <cell r="A3113">
            <v>1500015239</v>
          </cell>
          <cell r="B3113">
            <v>0</v>
          </cell>
        </row>
        <row r="3114">
          <cell r="A3114">
            <v>1500015236</v>
          </cell>
          <cell r="B3114">
            <v>62.5</v>
          </cell>
        </row>
        <row r="3115">
          <cell r="A3115">
            <v>1500015237</v>
          </cell>
          <cell r="B3115">
            <v>154.5</v>
          </cell>
        </row>
        <row r="3116">
          <cell r="A3116">
            <v>1500015240</v>
          </cell>
          <cell r="B3116">
            <v>0</v>
          </cell>
        </row>
        <row r="3117">
          <cell r="A3117">
            <v>1500015241</v>
          </cell>
          <cell r="B3117">
            <v>0</v>
          </cell>
        </row>
        <row r="3118">
          <cell r="A3118">
            <v>1500015231</v>
          </cell>
          <cell r="B3118">
            <v>0</v>
          </cell>
        </row>
        <row r="3119">
          <cell r="A3119">
            <v>1500015232</v>
          </cell>
          <cell r="B3119">
            <v>0</v>
          </cell>
        </row>
        <row r="3120">
          <cell r="A3120">
            <v>1500015242</v>
          </cell>
          <cell r="B3120">
            <v>154.69999999999999</v>
          </cell>
        </row>
        <row r="3121">
          <cell r="A3121">
            <v>1500015233</v>
          </cell>
          <cell r="B3121">
            <v>18.45</v>
          </cell>
        </row>
        <row r="3122">
          <cell r="A3122">
            <v>1500015234</v>
          </cell>
          <cell r="B3122">
            <v>0</v>
          </cell>
        </row>
        <row r="3123">
          <cell r="A3123">
            <v>1500015260</v>
          </cell>
          <cell r="B3123">
            <v>87.3333333333333</v>
          </cell>
        </row>
        <row r="3124">
          <cell r="A3124">
            <v>1500015295</v>
          </cell>
          <cell r="B3124">
            <v>8.0833333333333304</v>
          </cell>
        </row>
        <row r="3125">
          <cell r="A3125">
            <v>1500015296</v>
          </cell>
          <cell r="B3125">
            <v>22.0833333333333</v>
          </cell>
        </row>
        <row r="3126">
          <cell r="A3126">
            <v>1500015304</v>
          </cell>
          <cell r="B3126">
            <v>0</v>
          </cell>
        </row>
        <row r="3127">
          <cell r="A3127">
            <v>1500015297</v>
          </cell>
          <cell r="B3127">
            <v>42.6666666666667</v>
          </cell>
        </row>
        <row r="3128">
          <cell r="A3128">
            <v>1500015298</v>
          </cell>
          <cell r="B3128">
            <v>35.3333333333333</v>
          </cell>
        </row>
        <row r="3129">
          <cell r="A3129">
            <v>1500015299</v>
          </cell>
          <cell r="B3129">
            <v>18.5</v>
          </cell>
        </row>
        <row r="3130">
          <cell r="A3130">
            <v>1500015300</v>
          </cell>
          <cell r="B3130">
            <v>99.1666666666667</v>
          </cell>
        </row>
        <row r="3131">
          <cell r="A3131">
            <v>1500015301</v>
          </cell>
          <cell r="B3131">
            <v>75.5416666666667</v>
          </cell>
        </row>
        <row r="3132">
          <cell r="A3132">
            <v>1500015302</v>
          </cell>
          <cell r="B3132">
            <v>116.583333333333</v>
          </cell>
        </row>
        <row r="3133">
          <cell r="A3133">
            <v>1500015307</v>
          </cell>
          <cell r="B3133">
            <v>23</v>
          </cell>
        </row>
        <row r="3134">
          <cell r="A3134">
            <v>1500015338</v>
          </cell>
          <cell r="B3134">
            <v>32.5</v>
          </cell>
        </row>
        <row r="3135">
          <cell r="A3135">
            <v>1500015340</v>
          </cell>
          <cell r="B3135">
            <v>0</v>
          </cell>
        </row>
        <row r="3136">
          <cell r="A3136">
            <v>1500015341</v>
          </cell>
          <cell r="B3136">
            <v>6.6666666666666696</v>
          </cell>
        </row>
        <row r="3137">
          <cell r="A3137">
            <v>1500015255</v>
          </cell>
          <cell r="B3137">
            <v>76.5833333333333</v>
          </cell>
        </row>
        <row r="3138">
          <cell r="A3138">
            <v>1500015258</v>
          </cell>
          <cell r="B3138">
            <v>0</v>
          </cell>
        </row>
        <row r="3139">
          <cell r="A3139">
            <v>1500015292</v>
          </cell>
          <cell r="B3139">
            <v>37.8333333333333</v>
          </cell>
        </row>
        <row r="3140">
          <cell r="A3140">
            <v>1500015293</v>
          </cell>
          <cell r="B3140">
            <v>114.991666666667</v>
          </cell>
        </row>
        <row r="3141">
          <cell r="A3141">
            <v>1500015308</v>
          </cell>
          <cell r="B3141">
            <v>0</v>
          </cell>
        </row>
        <row r="3142">
          <cell r="A3142">
            <v>1500015360</v>
          </cell>
          <cell r="B3142">
            <v>4.1666666666666696</v>
          </cell>
        </row>
        <row r="3143">
          <cell r="A3143">
            <v>1500015426</v>
          </cell>
          <cell r="B3143">
            <v>0</v>
          </cell>
        </row>
        <row r="3144">
          <cell r="A3144">
            <v>1500015459</v>
          </cell>
          <cell r="B3144">
            <v>0</v>
          </cell>
        </row>
        <row r="3145">
          <cell r="A3145">
            <v>1500015460</v>
          </cell>
          <cell r="B3145">
            <v>2</v>
          </cell>
        </row>
        <row r="3146">
          <cell r="A3146">
            <v>1500015362</v>
          </cell>
          <cell r="B3146">
            <v>130.82833333333301</v>
          </cell>
        </row>
        <row r="3147">
          <cell r="A3147">
            <v>1500015425</v>
          </cell>
          <cell r="B3147">
            <v>24.1666666666667</v>
          </cell>
        </row>
        <row r="3148">
          <cell r="A3148">
            <v>1500015453</v>
          </cell>
          <cell r="B3148">
            <v>184.691666666667</v>
          </cell>
        </row>
        <row r="3149">
          <cell r="A3149">
            <v>1500015454</v>
          </cell>
          <cell r="B3149">
            <v>103.333333333333</v>
          </cell>
        </row>
        <row r="3150">
          <cell r="A3150">
            <v>1500015510</v>
          </cell>
          <cell r="B3150">
            <v>4.9166666666666696</v>
          </cell>
        </row>
        <row r="3151">
          <cell r="A3151">
            <v>1500015509</v>
          </cell>
          <cell r="B3151">
            <v>9.8333333333333304</v>
          </cell>
        </row>
        <row r="3152">
          <cell r="A3152">
            <v>1500015545</v>
          </cell>
          <cell r="B3152">
            <v>291.54166666666703</v>
          </cell>
        </row>
        <row r="3153">
          <cell r="A3153">
            <v>1500015546</v>
          </cell>
          <cell r="B3153">
            <v>28.1666666666667</v>
          </cell>
        </row>
        <row r="3154">
          <cell r="A3154">
            <v>1500015547</v>
          </cell>
          <cell r="B3154">
            <v>64.0416666666667</v>
          </cell>
        </row>
        <row r="3155">
          <cell r="A3155">
            <v>1500015548</v>
          </cell>
          <cell r="B3155">
            <v>106.166666666667</v>
          </cell>
        </row>
        <row r="3156">
          <cell r="A3156">
            <v>1500015593</v>
          </cell>
          <cell r="B3156">
            <v>0</v>
          </cell>
        </row>
        <row r="3157">
          <cell r="A3157">
            <v>1500015617</v>
          </cell>
          <cell r="B3157">
            <v>52.158333333333303</v>
          </cell>
        </row>
        <row r="3158">
          <cell r="A3158">
            <v>1500015640</v>
          </cell>
          <cell r="B3158">
            <v>0</v>
          </cell>
        </row>
        <row r="3159">
          <cell r="A3159">
            <v>1500015644</v>
          </cell>
          <cell r="B3159">
            <v>141.541666666667</v>
          </cell>
        </row>
        <row r="3160">
          <cell r="A3160">
            <v>1500015673</v>
          </cell>
          <cell r="B3160">
            <v>0</v>
          </cell>
        </row>
        <row r="3161">
          <cell r="A3161">
            <v>1500015674</v>
          </cell>
          <cell r="B3161">
            <v>0</v>
          </cell>
        </row>
        <row r="3162">
          <cell r="A3162">
            <v>1500015676</v>
          </cell>
          <cell r="B3162">
            <v>0</v>
          </cell>
        </row>
        <row r="3163">
          <cell r="A3163">
            <v>1500015677</v>
          </cell>
          <cell r="B3163">
            <v>14.3333333333333</v>
          </cell>
        </row>
        <row r="3164">
          <cell r="A3164">
            <v>1500015714</v>
          </cell>
          <cell r="B3164">
            <v>24.6666666666667</v>
          </cell>
        </row>
        <row r="3165">
          <cell r="A3165">
            <v>1500015678</v>
          </cell>
          <cell r="B3165">
            <v>16.0833333333333</v>
          </cell>
        </row>
        <row r="3166">
          <cell r="A3166">
            <v>1500015679</v>
          </cell>
          <cell r="B3166">
            <v>31.0833333333333</v>
          </cell>
        </row>
        <row r="3167">
          <cell r="A3167">
            <v>1500015680</v>
          </cell>
          <cell r="B3167">
            <v>1.6666666666666701</v>
          </cell>
        </row>
        <row r="3168">
          <cell r="A3168">
            <v>1500015682</v>
          </cell>
          <cell r="B3168">
            <v>0</v>
          </cell>
        </row>
        <row r="3169">
          <cell r="A3169">
            <v>1500015683</v>
          </cell>
          <cell r="B3169">
            <v>0</v>
          </cell>
        </row>
        <row r="3170">
          <cell r="A3170">
            <v>1500015595</v>
          </cell>
          <cell r="B3170">
            <v>0</v>
          </cell>
        </row>
        <row r="3171">
          <cell r="A3171">
            <v>1500015618</v>
          </cell>
          <cell r="B3171">
            <v>69.6666666666667</v>
          </cell>
        </row>
        <row r="3172">
          <cell r="A3172">
            <v>1500015637</v>
          </cell>
          <cell r="B3172">
            <v>10</v>
          </cell>
        </row>
        <row r="3173">
          <cell r="A3173">
            <v>1500015729</v>
          </cell>
          <cell r="B3173">
            <v>67.5</v>
          </cell>
        </row>
        <row r="3174">
          <cell r="A3174">
            <v>1500015730</v>
          </cell>
          <cell r="B3174">
            <v>0</v>
          </cell>
        </row>
        <row r="3175">
          <cell r="A3175">
            <v>1500015731</v>
          </cell>
          <cell r="B3175">
            <v>0</v>
          </cell>
        </row>
        <row r="3176">
          <cell r="A3176">
            <v>1500015767</v>
          </cell>
          <cell r="B3176">
            <v>0</v>
          </cell>
        </row>
        <row r="3177">
          <cell r="A3177">
            <v>1500015768</v>
          </cell>
          <cell r="B3177">
            <v>0.83333333333333304</v>
          </cell>
        </row>
        <row r="3178">
          <cell r="A3178">
            <v>1500015769</v>
          </cell>
          <cell r="B3178">
            <v>77.8333333333333</v>
          </cell>
        </row>
        <row r="3179">
          <cell r="A3179">
            <v>1500015770</v>
          </cell>
          <cell r="B3179">
            <v>20</v>
          </cell>
        </row>
        <row r="3180">
          <cell r="A3180">
            <v>1500015771</v>
          </cell>
          <cell r="B3180">
            <v>45.5833333333333</v>
          </cell>
        </row>
        <row r="3181">
          <cell r="A3181">
            <v>1500015833</v>
          </cell>
          <cell r="B3181">
            <v>0</v>
          </cell>
        </row>
        <row r="3182">
          <cell r="A3182">
            <v>1500015834</v>
          </cell>
          <cell r="B3182">
            <v>19.8333333333333</v>
          </cell>
        </row>
        <row r="3183">
          <cell r="A3183">
            <v>1500015892</v>
          </cell>
          <cell r="B3183">
            <v>0</v>
          </cell>
        </row>
        <row r="3184">
          <cell r="A3184">
            <v>1500015893</v>
          </cell>
          <cell r="B3184">
            <v>50</v>
          </cell>
        </row>
        <row r="3185">
          <cell r="A3185">
            <v>1500015867</v>
          </cell>
          <cell r="B3185">
            <v>47.5</v>
          </cell>
        </row>
        <row r="3186">
          <cell r="A3186">
            <v>1500015868</v>
          </cell>
          <cell r="B3186">
            <v>6.6666666666666696</v>
          </cell>
        </row>
        <row r="3187">
          <cell r="A3187">
            <v>1500015869</v>
          </cell>
          <cell r="B3187">
            <v>0</v>
          </cell>
        </row>
        <row r="3188">
          <cell r="A3188">
            <v>1500015870</v>
          </cell>
          <cell r="B3188">
            <v>31.6666666666667</v>
          </cell>
        </row>
        <row r="3189">
          <cell r="A3189">
            <v>1500015736</v>
          </cell>
          <cell r="B3189">
            <v>27.691666666666698</v>
          </cell>
        </row>
        <row r="3190">
          <cell r="A3190">
            <v>1500015806</v>
          </cell>
          <cell r="B3190">
            <v>0</v>
          </cell>
        </row>
        <row r="3191">
          <cell r="A3191">
            <v>1500015904</v>
          </cell>
          <cell r="B3191">
            <v>49.5</v>
          </cell>
        </row>
        <row r="3192">
          <cell r="A3192">
            <v>1500015905</v>
          </cell>
          <cell r="B3192">
            <v>0</v>
          </cell>
        </row>
        <row r="3193">
          <cell r="A3193">
            <v>1500015906</v>
          </cell>
          <cell r="B3193">
            <v>55</v>
          </cell>
        </row>
        <row r="3194">
          <cell r="A3194">
            <v>1500015101</v>
          </cell>
          <cell r="B3194">
            <v>313.8</v>
          </cell>
        </row>
        <row r="3195">
          <cell r="A3195">
            <v>1500015961</v>
          </cell>
          <cell r="B3195">
            <v>3.75</v>
          </cell>
        </row>
        <row r="3196">
          <cell r="A3196">
            <v>1500015962</v>
          </cell>
          <cell r="B3196">
            <v>9.8333333333333304</v>
          </cell>
        </row>
        <row r="3197">
          <cell r="A3197">
            <v>1500015963</v>
          </cell>
          <cell r="B3197">
            <v>171.666666666667</v>
          </cell>
        </row>
        <row r="3198">
          <cell r="A3198">
            <v>1500015959</v>
          </cell>
          <cell r="B3198">
            <v>11.6666666666667</v>
          </cell>
        </row>
        <row r="3199">
          <cell r="A3199">
            <v>1500015960</v>
          </cell>
          <cell r="B3199">
            <v>0.83333333333333304</v>
          </cell>
        </row>
        <row r="3200">
          <cell r="A3200">
            <v>1500015965</v>
          </cell>
          <cell r="B3200">
            <v>4.75</v>
          </cell>
        </row>
        <row r="3201">
          <cell r="A3201">
            <v>1500016062</v>
          </cell>
          <cell r="B3201">
            <v>69.75</v>
          </cell>
        </row>
        <row r="3202">
          <cell r="A3202">
            <v>1500016063</v>
          </cell>
          <cell r="B3202">
            <v>179.166666666667</v>
          </cell>
        </row>
        <row r="3203">
          <cell r="A3203">
            <v>1500016085</v>
          </cell>
          <cell r="B3203">
            <v>7.0833333333333304</v>
          </cell>
        </row>
        <row r="3204">
          <cell r="A3204">
            <v>1500016086</v>
          </cell>
          <cell r="B3204">
            <v>0</v>
          </cell>
        </row>
        <row r="3205">
          <cell r="A3205">
            <v>1500016087</v>
          </cell>
          <cell r="B3205">
            <v>0</v>
          </cell>
        </row>
        <row r="3206">
          <cell r="A3206">
            <v>1500016088</v>
          </cell>
          <cell r="B3206">
            <v>0</v>
          </cell>
        </row>
        <row r="3207">
          <cell r="A3207">
            <v>1500016089</v>
          </cell>
          <cell r="B3207">
            <v>61.5416666666667</v>
          </cell>
        </row>
        <row r="3208">
          <cell r="A3208">
            <v>1500016125</v>
          </cell>
          <cell r="B3208">
            <v>0</v>
          </cell>
        </row>
        <row r="3209">
          <cell r="A3209">
            <v>1500016124</v>
          </cell>
          <cell r="B3209">
            <v>0</v>
          </cell>
        </row>
        <row r="3210">
          <cell r="A3210">
            <v>1500016126</v>
          </cell>
          <cell r="B3210">
            <v>0</v>
          </cell>
        </row>
        <row r="3211">
          <cell r="A3211">
            <v>1500016127</v>
          </cell>
          <cell r="B3211">
            <v>5.8333333333333304</v>
          </cell>
        </row>
        <row r="3212">
          <cell r="A3212">
            <v>1500016130</v>
          </cell>
          <cell r="B3212">
            <v>3.3333333333333299</v>
          </cell>
        </row>
        <row r="3213">
          <cell r="A3213">
            <v>1500016131</v>
          </cell>
          <cell r="B3213">
            <v>8</v>
          </cell>
        </row>
        <row r="3214">
          <cell r="A3214">
            <v>1500016132</v>
          </cell>
          <cell r="B3214">
            <v>5</v>
          </cell>
        </row>
        <row r="3215">
          <cell r="A3215">
            <v>1500016133</v>
          </cell>
          <cell r="B3215">
            <v>0</v>
          </cell>
        </row>
        <row r="3216">
          <cell r="A3216">
            <v>1500016134</v>
          </cell>
          <cell r="B3216">
            <v>62.2083333333333</v>
          </cell>
        </row>
        <row r="3217">
          <cell r="A3217">
            <v>1500016168</v>
          </cell>
          <cell r="B3217">
            <v>69.3333333333333</v>
          </cell>
        </row>
        <row r="3218">
          <cell r="A3218">
            <v>1500016169</v>
          </cell>
          <cell r="B3218">
            <v>22.5</v>
          </cell>
        </row>
        <row r="3219">
          <cell r="A3219">
            <v>1500016170</v>
          </cell>
          <cell r="B3219">
            <v>10</v>
          </cell>
        </row>
        <row r="3220">
          <cell r="A3220">
            <v>1500016171</v>
          </cell>
          <cell r="B3220">
            <v>229.5</v>
          </cell>
        </row>
        <row r="3221">
          <cell r="A3221">
            <v>1500016197</v>
          </cell>
          <cell r="B3221">
            <v>125.833333333333</v>
          </cell>
        </row>
        <row r="3222">
          <cell r="A3222">
            <v>1500016214</v>
          </cell>
          <cell r="B3222">
            <v>128.59166666666701</v>
          </cell>
        </row>
        <row r="3223">
          <cell r="A3223">
            <v>1500016215</v>
          </cell>
          <cell r="B3223">
            <v>0</v>
          </cell>
        </row>
        <row r="3224">
          <cell r="A3224">
            <v>1500016216</v>
          </cell>
          <cell r="B3224">
            <v>68.5</v>
          </cell>
        </row>
        <row r="3225">
          <cell r="A3225">
            <v>1500016217</v>
          </cell>
          <cell r="B3225">
            <v>39.1666666666667</v>
          </cell>
        </row>
        <row r="3226">
          <cell r="A3226">
            <v>1500016022</v>
          </cell>
          <cell r="B3226">
            <v>0</v>
          </cell>
        </row>
        <row r="3227">
          <cell r="A3227">
            <v>1500016023</v>
          </cell>
          <cell r="B3227">
            <v>8.8333333333333304</v>
          </cell>
        </row>
        <row r="3228">
          <cell r="A3228">
            <v>1500016167</v>
          </cell>
          <cell r="B3228">
            <v>101.333333333333</v>
          </cell>
        </row>
        <row r="3229">
          <cell r="A3229">
            <v>1500016304</v>
          </cell>
          <cell r="B3229">
            <v>8.6666666666666696</v>
          </cell>
        </row>
        <row r="3230">
          <cell r="A3230">
            <v>1500016305</v>
          </cell>
          <cell r="B3230">
            <v>0</v>
          </cell>
        </row>
        <row r="3231">
          <cell r="A3231">
            <v>1500016306</v>
          </cell>
          <cell r="B3231">
            <v>91.6666666666667</v>
          </cell>
        </row>
        <row r="3232">
          <cell r="A3232">
            <v>1500016307</v>
          </cell>
          <cell r="B3232">
            <v>46.6666666666667</v>
          </cell>
        </row>
        <row r="3233">
          <cell r="A3233">
            <v>1500016311</v>
          </cell>
          <cell r="B3233">
            <v>18.0416666666667</v>
          </cell>
        </row>
        <row r="3234">
          <cell r="A3234">
            <v>1500016312</v>
          </cell>
          <cell r="B3234">
            <v>10.216666666666701</v>
          </cell>
        </row>
        <row r="3235">
          <cell r="A3235">
            <v>1500016356</v>
          </cell>
          <cell r="B3235">
            <v>23.6666666666667</v>
          </cell>
        </row>
        <row r="3236">
          <cell r="A3236">
            <v>1500016357</v>
          </cell>
          <cell r="B3236">
            <v>62.5833333333333</v>
          </cell>
        </row>
        <row r="3237">
          <cell r="A3237">
            <v>1500016390</v>
          </cell>
          <cell r="B3237">
            <v>10.1666666666667</v>
          </cell>
        </row>
        <row r="3238">
          <cell r="A3238">
            <v>1500016391</v>
          </cell>
          <cell r="B3238">
            <v>0</v>
          </cell>
        </row>
        <row r="3239">
          <cell r="A3239">
            <v>1500016393</v>
          </cell>
          <cell r="B3239">
            <v>0</v>
          </cell>
        </row>
        <row r="3240">
          <cell r="A3240">
            <v>1500016394</v>
          </cell>
          <cell r="B3240">
            <v>6.6666666666666696</v>
          </cell>
        </row>
        <row r="3241">
          <cell r="A3241">
            <v>1500016395</v>
          </cell>
          <cell r="B3241">
            <v>57.1666666666667</v>
          </cell>
        </row>
        <row r="3242">
          <cell r="A3242">
            <v>1500016414</v>
          </cell>
          <cell r="B3242">
            <v>33</v>
          </cell>
        </row>
        <row r="3243">
          <cell r="A3243">
            <v>1500016415</v>
          </cell>
          <cell r="B3243">
            <v>0</v>
          </cell>
        </row>
        <row r="3244">
          <cell r="A3244">
            <v>1500016416</v>
          </cell>
          <cell r="B3244">
            <v>21.5</v>
          </cell>
        </row>
        <row r="3245">
          <cell r="A3245">
            <v>1500016251</v>
          </cell>
          <cell r="B3245">
            <v>12.5</v>
          </cell>
        </row>
        <row r="3246">
          <cell r="A3246">
            <v>1500016308</v>
          </cell>
          <cell r="B3246">
            <v>41.1666666666667</v>
          </cell>
        </row>
        <row r="3247">
          <cell r="A3247">
            <v>1500016361</v>
          </cell>
          <cell r="B3247">
            <v>89.1666666666667</v>
          </cell>
        </row>
        <row r="3248">
          <cell r="A3248">
            <v>1500016452</v>
          </cell>
          <cell r="B3248">
            <v>0</v>
          </cell>
        </row>
        <row r="3249">
          <cell r="A3249">
            <v>1500016481</v>
          </cell>
          <cell r="B3249">
            <v>0</v>
          </cell>
        </row>
        <row r="3250">
          <cell r="A3250">
            <v>1500016492</v>
          </cell>
          <cell r="B3250">
            <v>0</v>
          </cell>
        </row>
        <row r="3251">
          <cell r="A3251">
            <v>1500016493</v>
          </cell>
          <cell r="B3251">
            <v>118</v>
          </cell>
        </row>
        <row r="3252">
          <cell r="A3252">
            <v>1500016494</v>
          </cell>
          <cell r="B3252">
            <v>68</v>
          </cell>
        </row>
        <row r="3253">
          <cell r="A3253">
            <v>1500016495</v>
          </cell>
          <cell r="B3253">
            <v>17.2083333333333</v>
          </cell>
        </row>
        <row r="3254">
          <cell r="A3254">
            <v>1500016533</v>
          </cell>
          <cell r="B3254">
            <v>16.5</v>
          </cell>
        </row>
        <row r="3255">
          <cell r="A3255">
            <v>1500016534</v>
          </cell>
          <cell r="B3255">
            <v>3.3333333333333299</v>
          </cell>
        </row>
        <row r="3256">
          <cell r="A3256">
            <v>1500016535</v>
          </cell>
          <cell r="B3256">
            <v>35.8333333333333</v>
          </cell>
        </row>
        <row r="3257">
          <cell r="A3257">
            <v>1500016536</v>
          </cell>
          <cell r="B3257">
            <v>15.8333333333333</v>
          </cell>
        </row>
        <row r="3258">
          <cell r="A3258">
            <v>1500016537</v>
          </cell>
          <cell r="B3258">
            <v>26.3333333333333</v>
          </cell>
        </row>
        <row r="3259">
          <cell r="A3259">
            <v>1500016538</v>
          </cell>
          <cell r="B3259">
            <v>0</v>
          </cell>
        </row>
        <row r="3260">
          <cell r="A3260">
            <v>1500016539</v>
          </cell>
          <cell r="B3260">
            <v>0</v>
          </cell>
        </row>
        <row r="3261">
          <cell r="A3261">
            <v>1500016542</v>
          </cell>
          <cell r="B3261">
            <v>29.3333333333333</v>
          </cell>
        </row>
        <row r="3262">
          <cell r="A3262">
            <v>1500016584</v>
          </cell>
          <cell r="B3262">
            <v>32.9166666666667</v>
          </cell>
        </row>
        <row r="3263">
          <cell r="A3263">
            <v>1500016585</v>
          </cell>
          <cell r="B3263">
            <v>103.166666666667</v>
          </cell>
        </row>
        <row r="3264">
          <cell r="A3264">
            <v>1500016586</v>
          </cell>
          <cell r="B3264">
            <v>22.3333333333333</v>
          </cell>
        </row>
        <row r="3265">
          <cell r="A3265">
            <v>1500016423</v>
          </cell>
          <cell r="B3265">
            <v>30.5</v>
          </cell>
        </row>
        <row r="3266">
          <cell r="A3266">
            <v>1500016424</v>
          </cell>
          <cell r="B3266">
            <v>127.375</v>
          </cell>
        </row>
        <row r="3267">
          <cell r="A3267">
            <v>1500016482</v>
          </cell>
          <cell r="B3267">
            <v>0</v>
          </cell>
        </row>
        <row r="3268">
          <cell r="A3268">
            <v>1500016484</v>
          </cell>
          <cell r="B3268">
            <v>3.25</v>
          </cell>
        </row>
        <row r="3269">
          <cell r="A3269">
            <v>1500016485</v>
          </cell>
          <cell r="B3269">
            <v>0</v>
          </cell>
        </row>
        <row r="3270">
          <cell r="A3270">
            <v>1500016486</v>
          </cell>
          <cell r="B3270">
            <v>62.241666666666703</v>
          </cell>
        </row>
        <row r="3271">
          <cell r="A3271">
            <v>1500016497</v>
          </cell>
          <cell r="B3271">
            <v>28.4166666666667</v>
          </cell>
        </row>
        <row r="3272">
          <cell r="A3272">
            <v>1500016587</v>
          </cell>
          <cell r="B3272">
            <v>16.6666666666667</v>
          </cell>
        </row>
        <row r="3273">
          <cell r="A3273">
            <v>1500016634</v>
          </cell>
          <cell r="B3273">
            <v>33.75</v>
          </cell>
        </row>
        <row r="3274">
          <cell r="A3274">
            <v>1500016635</v>
          </cell>
          <cell r="B3274">
            <v>0</v>
          </cell>
        </row>
        <row r="3275">
          <cell r="A3275">
            <v>1500016636</v>
          </cell>
          <cell r="B3275">
            <v>0</v>
          </cell>
        </row>
        <row r="3276">
          <cell r="A3276">
            <v>1500016720</v>
          </cell>
          <cell r="B3276">
            <v>9.6666666666666696</v>
          </cell>
        </row>
        <row r="3277">
          <cell r="A3277">
            <v>1500016721</v>
          </cell>
          <cell r="B3277">
            <v>36.6666666666667</v>
          </cell>
        </row>
        <row r="3278">
          <cell r="A3278">
            <v>1500016725</v>
          </cell>
          <cell r="B3278">
            <v>10.8333333333333</v>
          </cell>
        </row>
        <row r="3279">
          <cell r="A3279">
            <v>1500016726</v>
          </cell>
          <cell r="B3279">
            <v>91.3333333333333</v>
          </cell>
        </row>
        <row r="3280">
          <cell r="A3280">
            <v>1500016727</v>
          </cell>
          <cell r="B3280">
            <v>18</v>
          </cell>
        </row>
        <row r="3281">
          <cell r="A3281">
            <v>1500016728</v>
          </cell>
          <cell r="B3281">
            <v>0</v>
          </cell>
        </row>
        <row r="3282">
          <cell r="A3282">
            <v>1500016729</v>
          </cell>
          <cell r="B3282">
            <v>22</v>
          </cell>
        </row>
        <row r="3283">
          <cell r="A3283">
            <v>1500016730</v>
          </cell>
          <cell r="B3283">
            <v>131.5</v>
          </cell>
        </row>
        <row r="3284">
          <cell r="A3284">
            <v>1500016731</v>
          </cell>
          <cell r="B3284">
            <v>44</v>
          </cell>
        </row>
        <row r="3285">
          <cell r="A3285">
            <v>1500016732</v>
          </cell>
          <cell r="B3285">
            <v>0.5</v>
          </cell>
        </row>
        <row r="3286">
          <cell r="A3286">
            <v>1500016736</v>
          </cell>
          <cell r="B3286">
            <v>0.83333333333333304</v>
          </cell>
        </row>
        <row r="3287">
          <cell r="A3287">
            <v>1500016737</v>
          </cell>
          <cell r="B3287">
            <v>26.9166666666667</v>
          </cell>
        </row>
        <row r="3288">
          <cell r="A3288">
            <v>1500016738</v>
          </cell>
          <cell r="B3288">
            <v>34.1666666666667</v>
          </cell>
        </row>
        <row r="3289">
          <cell r="A3289">
            <v>1500016739</v>
          </cell>
          <cell r="B3289">
            <v>0</v>
          </cell>
        </row>
        <row r="3290">
          <cell r="A3290">
            <v>1500016637</v>
          </cell>
          <cell r="B3290">
            <v>169.833333333333</v>
          </cell>
        </row>
        <row r="3291">
          <cell r="A3291">
            <v>1500016641</v>
          </cell>
          <cell r="B3291">
            <v>0</v>
          </cell>
        </row>
        <row r="3292">
          <cell r="A3292">
            <v>1500016722</v>
          </cell>
          <cell r="B3292">
            <v>0</v>
          </cell>
        </row>
        <row r="3293">
          <cell r="A3293">
            <v>1500016723</v>
          </cell>
          <cell r="B3293">
            <v>91.6666666666667</v>
          </cell>
        </row>
        <row r="3294">
          <cell r="A3294">
            <v>1500016724</v>
          </cell>
          <cell r="B3294">
            <v>0</v>
          </cell>
        </row>
        <row r="3295">
          <cell r="A3295">
            <v>1500016740</v>
          </cell>
          <cell r="B3295">
            <v>28.3333333333333</v>
          </cell>
        </row>
        <row r="3296">
          <cell r="A3296">
            <v>1500016788</v>
          </cell>
          <cell r="B3296">
            <v>38.5</v>
          </cell>
        </row>
        <row r="3297">
          <cell r="A3297">
            <v>1500016789</v>
          </cell>
          <cell r="B3297">
            <v>68.4166666666667</v>
          </cell>
        </row>
        <row r="3298">
          <cell r="A3298">
            <v>1500016830</v>
          </cell>
          <cell r="B3298">
            <v>18.3333333333333</v>
          </cell>
        </row>
        <row r="3299">
          <cell r="A3299">
            <v>1500016831</v>
          </cell>
          <cell r="B3299">
            <v>7.4583333333333304</v>
          </cell>
        </row>
        <row r="3300">
          <cell r="A3300">
            <v>1500016832</v>
          </cell>
          <cell r="B3300">
            <v>23.3333333333333</v>
          </cell>
        </row>
        <row r="3301">
          <cell r="A3301">
            <v>1500016853</v>
          </cell>
          <cell r="B3301">
            <v>10.0833333333333</v>
          </cell>
        </row>
        <row r="3302">
          <cell r="A3302">
            <v>1500016855</v>
          </cell>
          <cell r="B3302">
            <v>0</v>
          </cell>
        </row>
        <row r="3303">
          <cell r="A3303">
            <v>1500016893</v>
          </cell>
          <cell r="B3303">
            <v>201.666666666667</v>
          </cell>
        </row>
        <row r="3304">
          <cell r="A3304">
            <v>1500016894</v>
          </cell>
          <cell r="B3304">
            <v>0</v>
          </cell>
        </row>
        <row r="3305">
          <cell r="A3305">
            <v>1500016895</v>
          </cell>
          <cell r="B3305">
            <v>113.916666666667</v>
          </cell>
        </row>
        <row r="3306">
          <cell r="A3306">
            <v>1500016896</v>
          </cell>
          <cell r="B3306">
            <v>22.5</v>
          </cell>
        </row>
        <row r="3307">
          <cell r="A3307">
            <v>1500016897</v>
          </cell>
          <cell r="B3307">
            <v>99.1666666666667</v>
          </cell>
        </row>
        <row r="3308">
          <cell r="A3308">
            <v>1500016898</v>
          </cell>
          <cell r="B3308">
            <v>25.5</v>
          </cell>
        </row>
        <row r="3309">
          <cell r="A3309">
            <v>1500016899</v>
          </cell>
          <cell r="B3309">
            <v>215.416666666667</v>
          </cell>
        </row>
        <row r="3310">
          <cell r="A3310">
            <v>1500016900</v>
          </cell>
          <cell r="B3310">
            <v>70.3333333333333</v>
          </cell>
        </row>
        <row r="3311">
          <cell r="A3311">
            <v>1500016945</v>
          </cell>
          <cell r="B3311">
            <v>0</v>
          </cell>
        </row>
        <row r="3312">
          <cell r="A3312">
            <v>1500016975</v>
          </cell>
          <cell r="B3312">
            <v>136.666666666667</v>
          </cell>
        </row>
        <row r="3313">
          <cell r="A3313">
            <v>1500016976</v>
          </cell>
          <cell r="B3313">
            <v>229.166666666667</v>
          </cell>
        </row>
        <row r="3314">
          <cell r="A3314">
            <v>1500016977</v>
          </cell>
          <cell r="B3314">
            <v>20.375</v>
          </cell>
        </row>
        <row r="3315">
          <cell r="A3315">
            <v>1500016998</v>
          </cell>
          <cell r="B3315">
            <v>39.8333333333333</v>
          </cell>
        </row>
        <row r="3316">
          <cell r="A3316">
            <v>1500016999</v>
          </cell>
          <cell r="B3316">
            <v>0</v>
          </cell>
        </row>
        <row r="3317">
          <cell r="A3317">
            <v>1500017040</v>
          </cell>
          <cell r="B3317">
            <v>84.1666666666667</v>
          </cell>
        </row>
        <row r="3318">
          <cell r="A3318">
            <v>1500017044</v>
          </cell>
          <cell r="B3318">
            <v>145.083333333333</v>
          </cell>
        </row>
        <row r="3319">
          <cell r="A3319">
            <v>1500017045</v>
          </cell>
          <cell r="B3319">
            <v>37.3333333333333</v>
          </cell>
        </row>
        <row r="3320">
          <cell r="A3320">
            <v>1500017046</v>
          </cell>
          <cell r="B3320">
            <v>17.5</v>
          </cell>
        </row>
        <row r="3321">
          <cell r="A3321">
            <v>1500017083</v>
          </cell>
          <cell r="B3321">
            <v>4.1666666666666696</v>
          </cell>
        </row>
        <row r="3322">
          <cell r="A3322">
            <v>1500017084</v>
          </cell>
          <cell r="B3322">
            <v>26</v>
          </cell>
        </row>
        <row r="3323">
          <cell r="A3323">
            <v>1500017095</v>
          </cell>
          <cell r="B3323">
            <v>74.9166666666667</v>
          </cell>
        </row>
        <row r="3324">
          <cell r="A3324">
            <v>1500017096</v>
          </cell>
          <cell r="B3324">
            <v>8.6666666666666696</v>
          </cell>
        </row>
        <row r="3325">
          <cell r="A3325">
            <v>1500017097</v>
          </cell>
          <cell r="B3325">
            <v>0</v>
          </cell>
        </row>
        <row r="3326">
          <cell r="A3326">
            <v>1500017098</v>
          </cell>
          <cell r="B3326">
            <v>94.3333333333333</v>
          </cell>
        </row>
        <row r="3327">
          <cell r="A3327">
            <v>1500017106</v>
          </cell>
          <cell r="B3327">
            <v>0</v>
          </cell>
        </row>
        <row r="3328">
          <cell r="A3328">
            <v>1500017107</v>
          </cell>
          <cell r="B3328">
            <v>0</v>
          </cell>
        </row>
        <row r="3329">
          <cell r="A3329">
            <v>1500017112</v>
          </cell>
          <cell r="B3329">
            <v>68.3333333333333</v>
          </cell>
        </row>
        <row r="3330">
          <cell r="A3330">
            <v>1500017113</v>
          </cell>
          <cell r="B3330">
            <v>41.8333333333333</v>
          </cell>
        </row>
        <row r="3331">
          <cell r="A3331">
            <v>1500017114</v>
          </cell>
          <cell r="B3331">
            <v>142.333333333333</v>
          </cell>
        </row>
        <row r="3332">
          <cell r="A3332">
            <v>1500017115</v>
          </cell>
          <cell r="B3332">
            <v>76.875</v>
          </cell>
        </row>
        <row r="3333">
          <cell r="A3333">
            <v>1500017116</v>
          </cell>
          <cell r="B3333">
            <v>50.258333333333297</v>
          </cell>
        </row>
        <row r="3334">
          <cell r="A3334">
            <v>1500017117</v>
          </cell>
          <cell r="B3334">
            <v>57</v>
          </cell>
        </row>
        <row r="3335">
          <cell r="A3335">
            <v>1500017099</v>
          </cell>
          <cell r="B3335">
            <v>7.8333333333333304</v>
          </cell>
        </row>
        <row r="3336">
          <cell r="A3336">
            <v>1500017100</v>
          </cell>
          <cell r="B3336">
            <v>27.5</v>
          </cell>
        </row>
        <row r="3337">
          <cell r="A3337">
            <v>1500017101</v>
          </cell>
          <cell r="B3337">
            <v>0</v>
          </cell>
        </row>
        <row r="3338">
          <cell r="A3338">
            <v>1500016858</v>
          </cell>
          <cell r="B3338">
            <v>81</v>
          </cell>
        </row>
        <row r="3339">
          <cell r="A3339">
            <v>1500017189</v>
          </cell>
          <cell r="B3339">
            <v>0</v>
          </cell>
        </row>
        <row r="3340">
          <cell r="A3340">
            <v>1500017190</v>
          </cell>
          <cell r="B3340">
            <v>140.583333333333</v>
          </cell>
        </row>
        <row r="3341">
          <cell r="A3341">
            <v>1500017191</v>
          </cell>
          <cell r="B3341">
            <v>15.658333333333299</v>
          </cell>
        </row>
        <row r="3342">
          <cell r="A3342">
            <v>1500017301</v>
          </cell>
          <cell r="B3342">
            <v>57.1666666666667</v>
          </cell>
        </row>
        <row r="3343">
          <cell r="A3343">
            <v>1500017262</v>
          </cell>
          <cell r="B3343">
            <v>60.8333333333333</v>
          </cell>
        </row>
        <row r="3344">
          <cell r="A3344">
            <v>1500017263</v>
          </cell>
          <cell r="B3344">
            <v>0</v>
          </cell>
        </row>
        <row r="3345">
          <cell r="A3345">
            <v>1500017265</v>
          </cell>
          <cell r="B3345">
            <v>46.8333333333333</v>
          </cell>
        </row>
        <row r="3346">
          <cell r="A3346">
            <v>1500017314</v>
          </cell>
          <cell r="B3346">
            <v>4.3333333333333304</v>
          </cell>
        </row>
        <row r="3347">
          <cell r="A3347">
            <v>1500017315</v>
          </cell>
          <cell r="B3347">
            <v>314.66666666666703</v>
          </cell>
        </row>
        <row r="3348">
          <cell r="A3348">
            <v>1500017316</v>
          </cell>
          <cell r="B3348">
            <v>26</v>
          </cell>
        </row>
        <row r="3349">
          <cell r="A3349">
            <v>1500017317</v>
          </cell>
          <cell r="B3349">
            <v>30.8333333333333</v>
          </cell>
        </row>
        <row r="3350">
          <cell r="A3350">
            <v>1500017318</v>
          </cell>
          <cell r="B3350">
            <v>2.5</v>
          </cell>
        </row>
        <row r="3351">
          <cell r="A3351">
            <v>1500017338</v>
          </cell>
          <cell r="B3351">
            <v>14.3333333333333</v>
          </cell>
        </row>
        <row r="3352">
          <cell r="A3352">
            <v>1500017339</v>
          </cell>
          <cell r="B3352">
            <v>35.75</v>
          </cell>
        </row>
        <row r="3353">
          <cell r="A3353">
            <v>1500017340</v>
          </cell>
          <cell r="B3353">
            <v>51.25</v>
          </cell>
        </row>
        <row r="3354">
          <cell r="A3354">
            <v>1500017341</v>
          </cell>
          <cell r="B3354">
            <v>0</v>
          </cell>
        </row>
        <row r="3355">
          <cell r="A3355">
            <v>1500017364</v>
          </cell>
          <cell r="B3355">
            <v>15.1666666666667</v>
          </cell>
        </row>
        <row r="3356">
          <cell r="A3356">
            <v>1500017365</v>
          </cell>
          <cell r="B3356">
            <v>0</v>
          </cell>
        </row>
        <row r="3357">
          <cell r="A3357">
            <v>1500017375</v>
          </cell>
          <cell r="B3357">
            <v>6.25</v>
          </cell>
        </row>
        <row r="3358">
          <cell r="A3358">
            <v>1500017386</v>
          </cell>
          <cell r="B3358">
            <v>7.7</v>
          </cell>
        </row>
        <row r="3359">
          <cell r="A3359">
            <v>1500017389</v>
          </cell>
          <cell r="B3359">
            <v>170.416666666667</v>
          </cell>
        </row>
        <row r="3360">
          <cell r="A3360">
            <v>1500017391</v>
          </cell>
          <cell r="B3360">
            <v>2</v>
          </cell>
        </row>
        <row r="3361">
          <cell r="A3361">
            <v>1500017433</v>
          </cell>
          <cell r="B3361">
            <v>70.75</v>
          </cell>
        </row>
        <row r="3362">
          <cell r="A3362">
            <v>1500017434</v>
          </cell>
          <cell r="B3362">
            <v>125</v>
          </cell>
        </row>
        <row r="3363">
          <cell r="A3363">
            <v>1500017435</v>
          </cell>
          <cell r="B3363">
            <v>12</v>
          </cell>
        </row>
        <row r="3364">
          <cell r="A3364">
            <v>1500017436</v>
          </cell>
          <cell r="B3364">
            <v>1</v>
          </cell>
        </row>
        <row r="3365">
          <cell r="A3365">
            <v>1500017420</v>
          </cell>
          <cell r="B3365">
            <v>42.5833333333333</v>
          </cell>
        </row>
        <row r="3366">
          <cell r="A3366">
            <v>1500017421</v>
          </cell>
          <cell r="B3366">
            <v>81.6666666666667</v>
          </cell>
        </row>
        <row r="3367">
          <cell r="A3367">
            <v>1500017483</v>
          </cell>
          <cell r="B3367">
            <v>0</v>
          </cell>
        </row>
        <row r="3368">
          <cell r="A3368">
            <v>1500017532</v>
          </cell>
          <cell r="B3368">
            <v>13.5</v>
          </cell>
        </row>
        <row r="3369">
          <cell r="A3369">
            <v>1500017549</v>
          </cell>
          <cell r="B3369">
            <v>175.75</v>
          </cell>
        </row>
        <row r="3370">
          <cell r="A3370">
            <v>1500017553</v>
          </cell>
          <cell r="B3370">
            <v>7.6666666666666696</v>
          </cell>
        </row>
        <row r="3371">
          <cell r="A3371">
            <v>1500017515</v>
          </cell>
          <cell r="B3371">
            <v>28.2916666666667</v>
          </cell>
        </row>
        <row r="3372">
          <cell r="A3372">
            <v>1500017516</v>
          </cell>
          <cell r="B3372">
            <v>25.6666666666667</v>
          </cell>
        </row>
        <row r="3373">
          <cell r="A3373">
            <v>1500017517</v>
          </cell>
          <cell r="B3373">
            <v>41.75</v>
          </cell>
        </row>
        <row r="3374">
          <cell r="A3374">
            <v>1500017550</v>
          </cell>
          <cell r="B3374">
            <v>0</v>
          </cell>
        </row>
        <row r="3375">
          <cell r="A3375">
            <v>1500017551</v>
          </cell>
          <cell r="B3375">
            <v>108.333333333333</v>
          </cell>
        </row>
        <row r="3376">
          <cell r="A3376">
            <v>1500017552</v>
          </cell>
          <cell r="B3376">
            <v>4.1666666666666696</v>
          </cell>
        </row>
        <row r="3377">
          <cell r="A3377">
            <v>1500017557</v>
          </cell>
          <cell r="B3377">
            <v>11.8333333333333</v>
          </cell>
        </row>
        <row r="3378">
          <cell r="A3378">
            <v>1500017572</v>
          </cell>
          <cell r="B3378">
            <v>3.3333333333333299</v>
          </cell>
        </row>
        <row r="3379">
          <cell r="A3379">
            <v>1500017573</v>
          </cell>
          <cell r="B3379">
            <v>184.875</v>
          </cell>
        </row>
        <row r="3380">
          <cell r="A3380">
            <v>1500017510</v>
          </cell>
          <cell r="B3380">
            <v>0</v>
          </cell>
        </row>
        <row r="3381">
          <cell r="A3381">
            <v>1500017576</v>
          </cell>
          <cell r="B3381">
            <v>42.3333333333333</v>
          </cell>
        </row>
        <row r="3382">
          <cell r="A3382">
            <v>1500017673</v>
          </cell>
          <cell r="B3382">
            <v>53.8333333333333</v>
          </cell>
        </row>
        <row r="3383">
          <cell r="A3383">
            <v>1500017674</v>
          </cell>
          <cell r="B3383">
            <v>15.5</v>
          </cell>
        </row>
        <row r="3384">
          <cell r="A3384">
            <v>1500017683</v>
          </cell>
          <cell r="B3384">
            <v>95.1666666666667</v>
          </cell>
        </row>
        <row r="3385">
          <cell r="A3385">
            <v>1500017613</v>
          </cell>
          <cell r="B3385">
            <v>43.4166666666667</v>
          </cell>
        </row>
        <row r="3386">
          <cell r="A3386">
            <v>1500017675</v>
          </cell>
          <cell r="B3386">
            <v>0.83333333333333304</v>
          </cell>
        </row>
        <row r="3387">
          <cell r="A3387">
            <v>1500017719</v>
          </cell>
          <cell r="B3387">
            <v>40.8333333333333</v>
          </cell>
        </row>
        <row r="3388">
          <cell r="A3388">
            <v>1500017743</v>
          </cell>
          <cell r="B3388">
            <v>69.6666666666667</v>
          </cell>
        </row>
        <row r="3389">
          <cell r="A3389">
            <v>1500017744</v>
          </cell>
          <cell r="B3389">
            <v>12.0833333333333</v>
          </cell>
        </row>
        <row r="3390">
          <cell r="A3390">
            <v>1500017763</v>
          </cell>
          <cell r="B3390">
            <v>21.3333333333333</v>
          </cell>
        </row>
        <row r="3391">
          <cell r="A3391">
            <v>1500017764</v>
          </cell>
          <cell r="B3391">
            <v>11.3333333333333</v>
          </cell>
        </row>
        <row r="3392">
          <cell r="A3392">
            <v>1500017765</v>
          </cell>
          <cell r="B3392">
            <v>21.9583333333333</v>
          </cell>
        </row>
        <row r="3393">
          <cell r="A3393">
            <v>1500017766</v>
          </cell>
          <cell r="B3393">
            <v>99.3333333333333</v>
          </cell>
        </row>
        <row r="3394">
          <cell r="A3394">
            <v>1500017767</v>
          </cell>
          <cell r="B3394">
            <v>21.9166666666667</v>
          </cell>
        </row>
        <row r="3395">
          <cell r="A3395">
            <v>1500017749</v>
          </cell>
          <cell r="B3395">
            <v>33</v>
          </cell>
        </row>
        <row r="3396">
          <cell r="A3396">
            <v>1500017750</v>
          </cell>
          <cell r="B3396">
            <v>327.54166666666703</v>
          </cell>
        </row>
        <row r="3397">
          <cell r="A3397">
            <v>1500017751</v>
          </cell>
          <cell r="B3397">
            <v>30.7916666666667</v>
          </cell>
        </row>
        <row r="3398">
          <cell r="A3398">
            <v>1500017748</v>
          </cell>
          <cell r="B3398">
            <v>0</v>
          </cell>
        </row>
        <row r="3399">
          <cell r="A3399">
            <v>1500017843</v>
          </cell>
          <cell r="B3399">
            <v>19.3333333333333</v>
          </cell>
        </row>
        <row r="3400">
          <cell r="A3400">
            <v>1500017799</v>
          </cell>
          <cell r="B3400">
            <v>62.5</v>
          </cell>
        </row>
        <row r="3401">
          <cell r="A3401">
            <v>1500017800</v>
          </cell>
          <cell r="B3401">
            <v>0</v>
          </cell>
        </row>
        <row r="3402">
          <cell r="A3402">
            <v>1500017801</v>
          </cell>
          <cell r="B3402">
            <v>0</v>
          </cell>
        </row>
        <row r="3403">
          <cell r="A3403">
            <v>1500017862</v>
          </cell>
          <cell r="B3403">
            <v>21.8333333333333</v>
          </cell>
        </row>
        <row r="3404">
          <cell r="A3404">
            <v>1500017915</v>
          </cell>
          <cell r="B3404">
            <v>88.3333333333333</v>
          </cell>
        </row>
        <row r="3405">
          <cell r="A3405">
            <v>1500017905</v>
          </cell>
          <cell r="B3405">
            <v>14.1666666666667</v>
          </cell>
        </row>
        <row r="3406">
          <cell r="A3406">
            <v>1500017906</v>
          </cell>
          <cell r="B3406">
            <v>10</v>
          </cell>
        </row>
        <row r="3407">
          <cell r="A3407">
            <v>1500017942</v>
          </cell>
          <cell r="B3407">
            <v>48</v>
          </cell>
        </row>
        <row r="3408">
          <cell r="A3408">
            <v>1500017954</v>
          </cell>
          <cell r="B3408">
            <v>35.5</v>
          </cell>
        </row>
        <row r="3409">
          <cell r="A3409">
            <v>1500017955</v>
          </cell>
          <cell r="B3409">
            <v>21.3333333333333</v>
          </cell>
        </row>
        <row r="3410">
          <cell r="A3410">
            <v>1500017956</v>
          </cell>
          <cell r="B3410">
            <v>73.9166666666667</v>
          </cell>
        </row>
        <row r="3411">
          <cell r="A3411">
            <v>1500017957</v>
          </cell>
          <cell r="B3411">
            <v>34.5</v>
          </cell>
        </row>
        <row r="3412">
          <cell r="A3412">
            <v>1500017975</v>
          </cell>
          <cell r="B3412">
            <v>49.6666666666667</v>
          </cell>
        </row>
        <row r="3413">
          <cell r="A3413">
            <v>1500017976</v>
          </cell>
          <cell r="B3413">
            <v>42.475000000000001</v>
          </cell>
        </row>
        <row r="3414">
          <cell r="A3414">
            <v>1500017990</v>
          </cell>
          <cell r="B3414">
            <v>150</v>
          </cell>
        </row>
        <row r="3415">
          <cell r="A3415">
            <v>1500017991</v>
          </cell>
          <cell r="B3415">
            <v>56</v>
          </cell>
        </row>
        <row r="3416">
          <cell r="A3416">
            <v>1500017856</v>
          </cell>
          <cell r="B3416">
            <v>0</v>
          </cell>
        </row>
        <row r="3417">
          <cell r="A3417">
            <v>1500017904</v>
          </cell>
          <cell r="B3417">
            <v>0</v>
          </cell>
        </row>
        <row r="3418">
          <cell r="A3418">
            <v>1500017977</v>
          </cell>
          <cell r="B3418">
            <v>88.5</v>
          </cell>
        </row>
        <row r="3419">
          <cell r="A3419">
            <v>1500017978</v>
          </cell>
          <cell r="B3419">
            <v>23.75</v>
          </cell>
        </row>
        <row r="3420">
          <cell r="A3420">
            <v>1500018031</v>
          </cell>
          <cell r="B3420">
            <v>34.6666666666667</v>
          </cell>
        </row>
        <row r="3421">
          <cell r="A3421">
            <v>1500018032</v>
          </cell>
          <cell r="B3421">
            <v>89.3333333333333</v>
          </cell>
        </row>
        <row r="3422">
          <cell r="A3422">
            <v>1500018100</v>
          </cell>
          <cell r="B3422">
            <v>42.1666666666667</v>
          </cell>
        </row>
        <row r="3423">
          <cell r="A3423">
            <v>1500018101</v>
          </cell>
          <cell r="B3423">
            <v>20</v>
          </cell>
        </row>
        <row r="3424">
          <cell r="A3424">
            <v>1500018112</v>
          </cell>
          <cell r="B3424">
            <v>67.9166666666667</v>
          </cell>
        </row>
        <row r="3425">
          <cell r="A3425">
            <v>1500018113</v>
          </cell>
          <cell r="B3425">
            <v>16.5416666666667</v>
          </cell>
        </row>
        <row r="3426">
          <cell r="A3426">
            <v>1500018115</v>
          </cell>
          <cell r="B3426">
            <v>42.9583333333333</v>
          </cell>
        </row>
        <row r="3427">
          <cell r="A3427">
            <v>1500018116</v>
          </cell>
          <cell r="B3427">
            <v>25.5833333333333</v>
          </cell>
        </row>
        <row r="3428">
          <cell r="A3428">
            <v>1500018117</v>
          </cell>
          <cell r="B3428">
            <v>34.9166666666667</v>
          </cell>
        </row>
        <row r="3429">
          <cell r="A3429">
            <v>1500018118</v>
          </cell>
          <cell r="B3429">
            <v>29.5</v>
          </cell>
        </row>
        <row r="3430">
          <cell r="A3430">
            <v>1500018126</v>
          </cell>
          <cell r="B3430">
            <v>135.833333333333</v>
          </cell>
        </row>
        <row r="3431">
          <cell r="A3431">
            <v>1500018127</v>
          </cell>
          <cell r="B3431">
            <v>105.5</v>
          </cell>
        </row>
        <row r="3432">
          <cell r="A3432">
            <v>1500018128</v>
          </cell>
          <cell r="B3432">
            <v>41.5</v>
          </cell>
        </row>
        <row r="3433">
          <cell r="A3433">
            <v>1500018138</v>
          </cell>
          <cell r="B3433">
            <v>16.6666666666667</v>
          </cell>
        </row>
        <row r="3434">
          <cell r="A3434">
            <v>1500018139</v>
          </cell>
          <cell r="B3434">
            <v>5.1666666666666696</v>
          </cell>
        </row>
        <row r="3435">
          <cell r="A3435">
            <v>1500018140</v>
          </cell>
          <cell r="B3435">
            <v>13.3333333333333</v>
          </cell>
        </row>
        <row r="3436">
          <cell r="A3436">
            <v>1500018029</v>
          </cell>
          <cell r="B3436">
            <v>39.3333333333333</v>
          </cell>
        </row>
        <row r="3437">
          <cell r="A3437">
            <v>1500018030</v>
          </cell>
          <cell r="B3437">
            <v>3.3333333333333299</v>
          </cell>
        </row>
        <row r="3438">
          <cell r="A3438">
            <v>1500018085</v>
          </cell>
          <cell r="B3438">
            <v>25.024999999999999</v>
          </cell>
        </row>
        <row r="3439">
          <cell r="A3439">
            <v>1500018086</v>
          </cell>
          <cell r="B3439">
            <v>16.1666666666667</v>
          </cell>
        </row>
        <row r="3440">
          <cell r="A3440">
            <v>1500018087</v>
          </cell>
          <cell r="B3440">
            <v>26.3333333333333</v>
          </cell>
        </row>
        <row r="3441">
          <cell r="A3441">
            <v>1500018141</v>
          </cell>
          <cell r="B3441">
            <v>25.8333333333333</v>
          </cell>
        </row>
        <row r="3442">
          <cell r="A3442">
            <v>1500018142</v>
          </cell>
          <cell r="B3442">
            <v>97</v>
          </cell>
        </row>
        <row r="3443">
          <cell r="A3443">
            <v>1500018143</v>
          </cell>
          <cell r="B3443">
            <v>133.958333333333</v>
          </cell>
        </row>
        <row r="3444">
          <cell r="A3444">
            <v>1500018144</v>
          </cell>
          <cell r="B3444">
            <v>151.59166666666701</v>
          </cell>
        </row>
        <row r="3445">
          <cell r="A3445">
            <v>1500018198</v>
          </cell>
          <cell r="B3445">
            <v>106.816666666667</v>
          </cell>
        </row>
        <row r="3446">
          <cell r="A3446">
            <v>1500018199</v>
          </cell>
          <cell r="B3446">
            <v>38.75</v>
          </cell>
        </row>
        <row r="3447">
          <cell r="A3447">
            <v>1500018277</v>
          </cell>
          <cell r="B3447">
            <v>94.2083333333333</v>
          </cell>
        </row>
        <row r="3448">
          <cell r="A3448">
            <v>1500018284</v>
          </cell>
          <cell r="B3448">
            <v>112.9</v>
          </cell>
        </row>
        <row r="3449">
          <cell r="A3449">
            <v>1500018285</v>
          </cell>
          <cell r="B3449">
            <v>137</v>
          </cell>
        </row>
        <row r="3450">
          <cell r="A3450">
            <v>1500018204</v>
          </cell>
          <cell r="B3450">
            <v>43</v>
          </cell>
        </row>
        <row r="3451">
          <cell r="A3451">
            <v>1500018205</v>
          </cell>
          <cell r="B3451">
            <v>12.25</v>
          </cell>
        </row>
        <row r="3452">
          <cell r="A3452">
            <v>1500018206</v>
          </cell>
          <cell r="B3452">
            <v>34.5833333333333</v>
          </cell>
        </row>
        <row r="3453">
          <cell r="A3453">
            <v>1500018186</v>
          </cell>
          <cell r="B3453">
            <v>14.4166666666667</v>
          </cell>
        </row>
        <row r="3454">
          <cell r="A3454">
            <v>1500018187</v>
          </cell>
          <cell r="B3454">
            <v>103</v>
          </cell>
        </row>
        <row r="3455">
          <cell r="A3455">
            <v>1500018261</v>
          </cell>
          <cell r="B3455">
            <v>258.72500000000002</v>
          </cell>
        </row>
        <row r="3456">
          <cell r="A3456">
            <v>1500018262</v>
          </cell>
          <cell r="B3456">
            <v>62.4166666666667</v>
          </cell>
        </row>
        <row r="3457">
          <cell r="A3457">
            <v>1500018263</v>
          </cell>
          <cell r="B3457">
            <v>33.5</v>
          </cell>
        </row>
        <row r="3458">
          <cell r="A3458">
            <v>1500018264</v>
          </cell>
          <cell r="B3458">
            <v>11.6666666666667</v>
          </cell>
        </row>
        <row r="3459">
          <cell r="A3459">
            <v>1500018265</v>
          </cell>
          <cell r="B3459">
            <v>46.1666666666667</v>
          </cell>
        </row>
        <row r="3460">
          <cell r="A3460">
            <v>1500018280</v>
          </cell>
          <cell r="B3460">
            <v>6.8333333333333304</v>
          </cell>
        </row>
        <row r="3461">
          <cell r="A3461">
            <v>1500018312</v>
          </cell>
          <cell r="B3461">
            <v>10</v>
          </cell>
        </row>
        <row r="3462">
          <cell r="A3462">
            <v>1500018313</v>
          </cell>
          <cell r="B3462">
            <v>58.3333333333333</v>
          </cell>
        </row>
        <row r="3463">
          <cell r="A3463">
            <v>1500018339</v>
          </cell>
          <cell r="B3463">
            <v>225.96666666666701</v>
          </cell>
        </row>
        <row r="3464">
          <cell r="A3464">
            <v>1500018340</v>
          </cell>
          <cell r="B3464">
            <v>79.4166666666667</v>
          </cell>
        </row>
        <row r="3465">
          <cell r="A3465">
            <v>1500018341</v>
          </cell>
          <cell r="B3465">
            <v>194.74166666666699</v>
          </cell>
        </row>
        <row r="3466">
          <cell r="A3466">
            <v>1500018342</v>
          </cell>
          <cell r="B3466">
            <v>47.0833333333333</v>
          </cell>
        </row>
        <row r="3467">
          <cell r="A3467">
            <v>1500018343</v>
          </cell>
          <cell r="B3467">
            <v>103.333333333333</v>
          </cell>
        </row>
        <row r="3468">
          <cell r="A3468">
            <v>1500018344</v>
          </cell>
          <cell r="B3468">
            <v>45.3333333333333</v>
          </cell>
        </row>
        <row r="3469">
          <cell r="A3469">
            <v>1500018345</v>
          </cell>
          <cell r="B3469">
            <v>30.5</v>
          </cell>
        </row>
        <row r="3470">
          <cell r="A3470">
            <v>1500018382</v>
          </cell>
          <cell r="B3470">
            <v>198.25</v>
          </cell>
        </row>
        <row r="3471">
          <cell r="A3471">
            <v>1500018383</v>
          </cell>
          <cell r="B3471">
            <v>141.75</v>
          </cell>
        </row>
        <row r="3472">
          <cell r="A3472">
            <v>1500018385</v>
          </cell>
          <cell r="B3472">
            <v>65.6666666666667</v>
          </cell>
        </row>
        <row r="3473">
          <cell r="A3473">
            <v>1500018386</v>
          </cell>
          <cell r="B3473">
            <v>52.5833333333333</v>
          </cell>
        </row>
        <row r="3474">
          <cell r="A3474">
            <v>1500018387</v>
          </cell>
          <cell r="B3474">
            <v>40.75</v>
          </cell>
        </row>
        <row r="3475">
          <cell r="A3475">
            <v>1500018388</v>
          </cell>
          <cell r="B3475">
            <v>142.083333333333</v>
          </cell>
        </row>
        <row r="3476">
          <cell r="A3476">
            <v>1500018390</v>
          </cell>
          <cell r="B3476">
            <v>20.8333333333333</v>
          </cell>
        </row>
        <row r="3477">
          <cell r="A3477">
            <v>1500018444</v>
          </cell>
          <cell r="B3477">
            <v>193.67500000000001</v>
          </cell>
        </row>
        <row r="3478">
          <cell r="A3478">
            <v>1500018445</v>
          </cell>
          <cell r="B3478">
            <v>37.8333333333333</v>
          </cell>
        </row>
        <row r="3479">
          <cell r="A3479">
            <v>1500018446</v>
          </cell>
          <cell r="B3479">
            <v>113.5</v>
          </cell>
        </row>
        <row r="3480">
          <cell r="A3480">
            <v>1500018293</v>
          </cell>
          <cell r="B3480">
            <v>13.5</v>
          </cell>
        </row>
        <row r="3481">
          <cell r="A3481">
            <v>1500018384</v>
          </cell>
          <cell r="B3481">
            <v>4.4166666666666696</v>
          </cell>
        </row>
        <row r="3482">
          <cell r="A3482">
            <v>1500018451</v>
          </cell>
          <cell r="B3482">
            <v>26.5</v>
          </cell>
        </row>
        <row r="3483">
          <cell r="A3483">
            <v>1500018452</v>
          </cell>
          <cell r="B3483">
            <v>0</v>
          </cell>
        </row>
        <row r="3484">
          <cell r="A3484">
            <v>1500018413</v>
          </cell>
          <cell r="B3484">
            <v>0</v>
          </cell>
        </row>
        <row r="3485">
          <cell r="A3485">
            <v>1500018454</v>
          </cell>
          <cell r="B3485">
            <v>20.1666666666667</v>
          </cell>
        </row>
        <row r="3486">
          <cell r="A3486">
            <v>1500018455</v>
          </cell>
          <cell r="B3486">
            <v>66.5</v>
          </cell>
        </row>
        <row r="3487">
          <cell r="A3487">
            <v>1500018507</v>
          </cell>
          <cell r="B3487">
            <v>0</v>
          </cell>
        </row>
        <row r="3488">
          <cell r="A3488">
            <v>1500018508</v>
          </cell>
          <cell r="B3488">
            <v>0</v>
          </cell>
        </row>
        <row r="3489">
          <cell r="A3489">
            <v>1500018509</v>
          </cell>
          <cell r="B3489">
            <v>36.5</v>
          </cell>
        </row>
        <row r="3490">
          <cell r="A3490">
            <v>1500018510</v>
          </cell>
          <cell r="B3490">
            <v>11</v>
          </cell>
        </row>
        <row r="3491">
          <cell r="A3491">
            <v>1500018511</v>
          </cell>
          <cell r="B3491">
            <v>25.6666666666667</v>
          </cell>
        </row>
        <row r="3492">
          <cell r="A3492">
            <v>1500018521</v>
          </cell>
          <cell r="B3492">
            <v>97.5</v>
          </cell>
        </row>
        <row r="3493">
          <cell r="A3493">
            <v>1500018522</v>
          </cell>
          <cell r="B3493">
            <v>26.75</v>
          </cell>
        </row>
        <row r="3494">
          <cell r="A3494">
            <v>1500018523</v>
          </cell>
          <cell r="B3494">
            <v>18.3333333333333</v>
          </cell>
        </row>
        <row r="3495">
          <cell r="A3495">
            <v>1500018524</v>
          </cell>
          <cell r="B3495">
            <v>24.8333333333333</v>
          </cell>
        </row>
        <row r="3496">
          <cell r="A3496">
            <v>1500018527</v>
          </cell>
          <cell r="B3496">
            <v>4</v>
          </cell>
        </row>
        <row r="3497">
          <cell r="A3497">
            <v>1500018528</v>
          </cell>
          <cell r="B3497">
            <v>18</v>
          </cell>
        </row>
        <row r="3498">
          <cell r="A3498">
            <v>1500018529</v>
          </cell>
          <cell r="B3498">
            <v>0</v>
          </cell>
        </row>
        <row r="3499">
          <cell r="A3499">
            <v>1500018557</v>
          </cell>
          <cell r="B3499">
            <v>27.25</v>
          </cell>
        </row>
        <row r="3500">
          <cell r="A3500">
            <v>1500018554</v>
          </cell>
          <cell r="B3500">
            <v>258.66666666666703</v>
          </cell>
        </row>
        <row r="3501">
          <cell r="A3501">
            <v>1500018555</v>
          </cell>
          <cell r="B3501">
            <v>17.6666666666667</v>
          </cell>
        </row>
        <row r="3502">
          <cell r="A3502">
            <v>1500018556</v>
          </cell>
          <cell r="B3502">
            <v>34.2916666666667</v>
          </cell>
        </row>
        <row r="3503">
          <cell r="A3503">
            <v>1500018562</v>
          </cell>
          <cell r="B3503">
            <v>51.3333333333333</v>
          </cell>
        </row>
        <row r="3504">
          <cell r="A3504">
            <v>1500018563</v>
          </cell>
          <cell r="B3504">
            <v>23.75</v>
          </cell>
        </row>
        <row r="3505">
          <cell r="A3505">
            <v>1500018564</v>
          </cell>
          <cell r="B3505">
            <v>38.3333333333333</v>
          </cell>
        </row>
        <row r="3506">
          <cell r="A3506">
            <v>1500018477</v>
          </cell>
          <cell r="B3506">
            <v>0</v>
          </cell>
        </row>
        <row r="3507">
          <cell r="A3507">
            <v>1500018520</v>
          </cell>
          <cell r="B3507">
            <v>20.3333333333333</v>
          </cell>
        </row>
        <row r="3508">
          <cell r="A3508">
            <v>1500018530</v>
          </cell>
          <cell r="B3508">
            <v>9</v>
          </cell>
        </row>
        <row r="3509">
          <cell r="A3509">
            <v>1500018531</v>
          </cell>
          <cell r="B3509">
            <v>60.3333333333333</v>
          </cell>
        </row>
        <row r="3510">
          <cell r="A3510">
            <v>1500018553</v>
          </cell>
          <cell r="B3510">
            <v>0</v>
          </cell>
        </row>
        <row r="3511">
          <cell r="A3511">
            <v>1500018584</v>
          </cell>
          <cell r="B3511">
            <v>17.6666666666667</v>
          </cell>
        </row>
        <row r="3512">
          <cell r="A3512">
            <v>1500018585</v>
          </cell>
          <cell r="B3512">
            <v>0</v>
          </cell>
        </row>
        <row r="3513">
          <cell r="A3513">
            <v>1500018587</v>
          </cell>
          <cell r="B3513">
            <v>41.4166666666667</v>
          </cell>
        </row>
        <row r="3514">
          <cell r="A3514">
            <v>1500018588</v>
          </cell>
          <cell r="B3514">
            <v>62.75</v>
          </cell>
        </row>
        <row r="3515">
          <cell r="A3515">
            <v>1500018589</v>
          </cell>
          <cell r="B3515">
            <v>65.5</v>
          </cell>
        </row>
        <row r="3516">
          <cell r="A3516">
            <v>1500018623</v>
          </cell>
          <cell r="B3516">
            <v>177.808333333333</v>
          </cell>
        </row>
        <row r="3517">
          <cell r="A3517">
            <v>1500018671</v>
          </cell>
          <cell r="B3517">
            <v>25.3333333333333</v>
          </cell>
        </row>
        <row r="3518">
          <cell r="A3518">
            <v>1500018682</v>
          </cell>
          <cell r="B3518">
            <v>93.4166666666667</v>
          </cell>
        </row>
        <row r="3519">
          <cell r="A3519">
            <v>1500018629</v>
          </cell>
          <cell r="B3519">
            <v>0</v>
          </cell>
        </row>
        <row r="3520">
          <cell r="A3520">
            <v>1500018630</v>
          </cell>
          <cell r="B3520">
            <v>4</v>
          </cell>
        </row>
        <row r="3521">
          <cell r="A3521">
            <v>1500018631</v>
          </cell>
          <cell r="B3521">
            <v>75.8333333333333</v>
          </cell>
        </row>
        <row r="3522">
          <cell r="A3522">
            <v>1500018652</v>
          </cell>
          <cell r="B3522">
            <v>27</v>
          </cell>
        </row>
        <row r="3523">
          <cell r="A3523">
            <v>1500018654</v>
          </cell>
          <cell r="B3523">
            <v>36.6</v>
          </cell>
        </row>
        <row r="3524">
          <cell r="A3524">
            <v>1500018660</v>
          </cell>
          <cell r="B3524">
            <v>144.73333333333301</v>
          </cell>
        </row>
        <row r="3525">
          <cell r="A3525">
            <v>1500018665</v>
          </cell>
          <cell r="B3525">
            <v>0</v>
          </cell>
        </row>
        <row r="3526">
          <cell r="A3526">
            <v>1500018683</v>
          </cell>
          <cell r="B3526">
            <v>82.5</v>
          </cell>
        </row>
        <row r="3527">
          <cell r="A3527">
            <v>1500018684</v>
          </cell>
          <cell r="B3527">
            <v>45.1666666666667</v>
          </cell>
        </row>
        <row r="3528">
          <cell r="A3528">
            <v>1500018711</v>
          </cell>
          <cell r="B3528">
            <v>76.5</v>
          </cell>
        </row>
        <row r="3529">
          <cell r="A3529">
            <v>1500018734</v>
          </cell>
          <cell r="B3529">
            <v>10.8333333333333</v>
          </cell>
        </row>
        <row r="3530">
          <cell r="A3530">
            <v>1500018723</v>
          </cell>
          <cell r="B3530">
            <v>169.166666666667</v>
          </cell>
        </row>
        <row r="3531">
          <cell r="A3531">
            <v>1500018765</v>
          </cell>
          <cell r="B3531">
            <v>43.3333333333333</v>
          </cell>
        </row>
        <row r="3532">
          <cell r="A3532">
            <v>1500018766</v>
          </cell>
          <cell r="B3532">
            <v>51.1666666666667</v>
          </cell>
        </row>
        <row r="3533">
          <cell r="A3533">
            <v>1500018767</v>
          </cell>
          <cell r="B3533">
            <v>65.8333333333333</v>
          </cell>
        </row>
        <row r="3534">
          <cell r="A3534">
            <v>1500018758</v>
          </cell>
          <cell r="B3534">
            <v>10</v>
          </cell>
        </row>
        <row r="3535">
          <cell r="A3535">
            <v>1500018778</v>
          </cell>
          <cell r="B3535">
            <v>163.75</v>
          </cell>
        </row>
        <row r="3536">
          <cell r="A3536">
            <v>1500018740</v>
          </cell>
          <cell r="B3536">
            <v>17.6666666666667</v>
          </cell>
        </row>
        <row r="3537">
          <cell r="A3537">
            <v>1500018745</v>
          </cell>
          <cell r="B3537">
            <v>19</v>
          </cell>
        </row>
        <row r="3538">
          <cell r="A3538">
            <v>1500018750</v>
          </cell>
          <cell r="B3538">
            <v>24.941666666666698</v>
          </cell>
        </row>
        <row r="3539">
          <cell r="A3539">
            <v>1500018755</v>
          </cell>
          <cell r="B3539">
            <v>338.16666666666703</v>
          </cell>
        </row>
        <row r="3540">
          <cell r="A3540">
            <v>1500018782</v>
          </cell>
          <cell r="B3540">
            <v>18.3333333333333</v>
          </cell>
        </row>
        <row r="3541">
          <cell r="A3541">
            <v>1500018726</v>
          </cell>
          <cell r="B3541">
            <v>166.916666666667</v>
          </cell>
        </row>
        <row r="3542">
          <cell r="A3542">
            <v>1500018728</v>
          </cell>
          <cell r="B3542">
            <v>99.1666666666667</v>
          </cell>
        </row>
        <row r="3543">
          <cell r="A3543">
            <v>1500018790</v>
          </cell>
          <cell r="B3543">
            <v>0</v>
          </cell>
        </row>
        <row r="3544">
          <cell r="A3544">
            <v>1500018934</v>
          </cell>
          <cell r="B3544">
            <v>187.00833333333301</v>
          </cell>
        </row>
        <row r="3545">
          <cell r="A3545">
            <v>1500018915</v>
          </cell>
          <cell r="B3545">
            <v>143.833333333333</v>
          </cell>
        </row>
        <row r="3546">
          <cell r="A3546">
            <v>1500018919</v>
          </cell>
          <cell r="B3546">
            <v>8.25</v>
          </cell>
        </row>
        <row r="3547">
          <cell r="A3547">
            <v>1500018914</v>
          </cell>
          <cell r="B3547">
            <v>187.833333333333</v>
          </cell>
        </row>
        <row r="3548">
          <cell r="A3548">
            <v>1500018920</v>
          </cell>
          <cell r="B3548">
            <v>33.375</v>
          </cell>
        </row>
        <row r="3549">
          <cell r="A3549">
            <v>1500018874</v>
          </cell>
          <cell r="B3549">
            <v>65.8333333333333</v>
          </cell>
        </row>
        <row r="3550">
          <cell r="A3550">
            <v>1500018873</v>
          </cell>
          <cell r="B3550">
            <v>40</v>
          </cell>
        </row>
        <row r="3551">
          <cell r="A3551">
            <v>1500018875</v>
          </cell>
          <cell r="B3551">
            <v>15.6666666666667</v>
          </cell>
        </row>
        <row r="3552">
          <cell r="A3552">
            <v>1500018836</v>
          </cell>
          <cell r="B3552">
            <v>30.3333333333333</v>
          </cell>
        </row>
        <row r="3553">
          <cell r="A3553">
            <v>1500018839</v>
          </cell>
          <cell r="B3553">
            <v>10.8333333333333</v>
          </cell>
        </row>
        <row r="3554">
          <cell r="A3554">
            <v>1500018845</v>
          </cell>
          <cell r="B3554">
            <v>54.3333333333333</v>
          </cell>
        </row>
        <row r="3555">
          <cell r="A3555">
            <v>1500018846</v>
          </cell>
          <cell r="B3555">
            <v>47.0833333333333</v>
          </cell>
        </row>
        <row r="3556">
          <cell r="A3556">
            <v>1500018843</v>
          </cell>
          <cell r="B3556">
            <v>22.9166666666667</v>
          </cell>
        </row>
        <row r="3557">
          <cell r="A3557">
            <v>1500018844</v>
          </cell>
          <cell r="B3557">
            <v>0.83333333333333304</v>
          </cell>
        </row>
        <row r="3558">
          <cell r="A3558">
            <v>1500018829</v>
          </cell>
          <cell r="B3558">
            <v>43.3333333333333</v>
          </cell>
        </row>
        <row r="3559">
          <cell r="A3559">
            <v>1500018837</v>
          </cell>
          <cell r="B3559">
            <v>77.8333333333333</v>
          </cell>
        </row>
        <row r="3560">
          <cell r="A3560">
            <v>1500018830</v>
          </cell>
          <cell r="B3560">
            <v>93.5</v>
          </cell>
        </row>
        <row r="3561">
          <cell r="A3561">
            <v>1500018821</v>
          </cell>
          <cell r="B3561">
            <v>43.1666666666667</v>
          </cell>
        </row>
        <row r="3562">
          <cell r="A3562">
            <v>1500018866</v>
          </cell>
          <cell r="B3562">
            <v>40.8333333333333</v>
          </cell>
        </row>
        <row r="3563">
          <cell r="A3563">
            <v>1500018842</v>
          </cell>
          <cell r="B3563">
            <v>8.4166666666666696</v>
          </cell>
        </row>
        <row r="3564">
          <cell r="A3564">
            <v>1500019025</v>
          </cell>
          <cell r="B3564">
            <v>35.058333333333302</v>
          </cell>
        </row>
        <row r="3565">
          <cell r="A3565">
            <v>1500019023</v>
          </cell>
          <cell r="B3565">
            <v>29.6666666666667</v>
          </cell>
        </row>
        <row r="3566">
          <cell r="A3566">
            <v>1500019021</v>
          </cell>
          <cell r="B3566">
            <v>43.8333333333333</v>
          </cell>
        </row>
        <row r="3567">
          <cell r="A3567">
            <v>1500018993</v>
          </cell>
          <cell r="B3567">
            <v>20</v>
          </cell>
        </row>
        <row r="3568">
          <cell r="A3568">
            <v>1500019010</v>
          </cell>
          <cell r="B3568">
            <v>29.6666666666667</v>
          </cell>
        </row>
        <row r="3569">
          <cell r="A3569">
            <v>1500019015</v>
          </cell>
          <cell r="B3569">
            <v>28.3333333333333</v>
          </cell>
        </row>
        <row r="3570">
          <cell r="A3570">
            <v>1500018965</v>
          </cell>
          <cell r="B3570">
            <v>5.75</v>
          </cell>
        </row>
        <row r="3571">
          <cell r="A3571">
            <v>1500018947</v>
          </cell>
          <cell r="B3571">
            <v>47.266666666666701</v>
          </cell>
        </row>
        <row r="3572">
          <cell r="A3572">
            <v>1500018936</v>
          </cell>
          <cell r="B3572">
            <v>72.1666666666667</v>
          </cell>
        </row>
        <row r="3573">
          <cell r="A3573">
            <v>1500018946</v>
          </cell>
          <cell r="B3573">
            <v>129.208333333333</v>
          </cell>
        </row>
        <row r="3574">
          <cell r="A3574">
            <v>1500019153</v>
          </cell>
          <cell r="B3574">
            <v>43.3333333333333</v>
          </cell>
        </row>
        <row r="3575">
          <cell r="A3575">
            <v>1500019137</v>
          </cell>
          <cell r="B3575">
            <v>45.6666666666667</v>
          </cell>
        </row>
        <row r="3576">
          <cell r="A3576">
            <v>1500019162</v>
          </cell>
          <cell r="B3576">
            <v>108.175</v>
          </cell>
        </row>
        <row r="3577">
          <cell r="A3577">
            <v>1500019059</v>
          </cell>
          <cell r="B3577">
            <v>13.3333333333333</v>
          </cell>
        </row>
        <row r="3578">
          <cell r="A3578">
            <v>1500019067</v>
          </cell>
          <cell r="B3578">
            <v>103.833333333333</v>
          </cell>
        </row>
        <row r="3579">
          <cell r="A3579">
            <v>1500019068</v>
          </cell>
          <cell r="B3579">
            <v>41.9583333333333</v>
          </cell>
        </row>
        <row r="3580">
          <cell r="A3580">
            <v>1500019154</v>
          </cell>
          <cell r="B3580">
            <v>26</v>
          </cell>
        </row>
        <row r="3581">
          <cell r="A3581">
            <v>1500019111</v>
          </cell>
          <cell r="B3581">
            <v>8.3333333333333304</v>
          </cell>
        </row>
        <row r="3582">
          <cell r="A3582">
            <v>1500019060</v>
          </cell>
          <cell r="B3582">
            <v>55.8333333333333</v>
          </cell>
        </row>
        <row r="3583">
          <cell r="A3583">
            <v>1500019244</v>
          </cell>
          <cell r="B3583">
            <v>14.1666666666667</v>
          </cell>
        </row>
        <row r="3584">
          <cell r="A3584">
            <v>1500019273</v>
          </cell>
          <cell r="B3584">
            <v>11.6666666666667</v>
          </cell>
        </row>
        <row r="3585">
          <cell r="A3585">
            <v>1500019219</v>
          </cell>
          <cell r="B3585">
            <v>55.5</v>
          </cell>
        </row>
        <row r="3586">
          <cell r="A3586">
            <v>1500019270</v>
          </cell>
          <cell r="B3586">
            <v>13.3333333333333</v>
          </cell>
        </row>
        <row r="3587">
          <cell r="A3587">
            <v>1500019224</v>
          </cell>
          <cell r="B3587">
            <v>10.5</v>
          </cell>
        </row>
        <row r="3588">
          <cell r="A3588">
            <v>1500019222</v>
          </cell>
          <cell r="B3588">
            <v>33.5</v>
          </cell>
        </row>
        <row r="3589">
          <cell r="A3589">
            <v>1500019211</v>
          </cell>
          <cell r="B3589">
            <v>47.6666666666667</v>
          </cell>
        </row>
        <row r="3590">
          <cell r="A3590">
            <v>1500019181</v>
          </cell>
          <cell r="B3590">
            <v>85.1666666666667</v>
          </cell>
        </row>
        <row r="3591">
          <cell r="A3591">
            <v>1500019206</v>
          </cell>
          <cell r="B3591">
            <v>10</v>
          </cell>
        </row>
        <row r="3592">
          <cell r="A3592">
            <v>1500019220</v>
          </cell>
          <cell r="B3592">
            <v>6.6666666666666696</v>
          </cell>
        </row>
        <row r="3593">
          <cell r="A3593">
            <v>1500019192</v>
          </cell>
          <cell r="B3593">
            <v>9.3333333333333304</v>
          </cell>
        </row>
        <row r="3594">
          <cell r="A3594">
            <v>1500019179</v>
          </cell>
          <cell r="B3594">
            <v>15.0583333333333</v>
          </cell>
        </row>
        <row r="3595">
          <cell r="A3595">
            <v>1500019223</v>
          </cell>
          <cell r="B3595">
            <v>32.8333333333333</v>
          </cell>
        </row>
        <row r="3596">
          <cell r="A3596">
            <v>1500019309</v>
          </cell>
          <cell r="B3596">
            <v>0</v>
          </cell>
        </row>
        <row r="3597">
          <cell r="A3597">
            <v>1500019310</v>
          </cell>
          <cell r="B3597">
            <v>0</v>
          </cell>
        </row>
        <row r="3598">
          <cell r="A3598">
            <v>1500019300</v>
          </cell>
          <cell r="B3598">
            <v>0</v>
          </cell>
        </row>
        <row r="3599">
          <cell r="A3599">
            <v>1500019301</v>
          </cell>
          <cell r="B3599">
            <v>16.7916666666667</v>
          </cell>
        </row>
        <row r="3600">
          <cell r="A3600">
            <v>1500019303</v>
          </cell>
          <cell r="B3600">
            <v>1</v>
          </cell>
        </row>
        <row r="3601">
          <cell r="A3601">
            <v>1500019293</v>
          </cell>
          <cell r="B3601">
            <v>2</v>
          </cell>
        </row>
        <row r="3602">
          <cell r="A3602">
            <v>1500019302</v>
          </cell>
          <cell r="B3602">
            <v>14.3333333333333</v>
          </cell>
        </row>
        <row r="3603">
          <cell r="A3603">
            <v>1500019275</v>
          </cell>
          <cell r="B3603">
            <v>9.75</v>
          </cell>
        </row>
        <row r="3604">
          <cell r="A3604">
            <v>1500019294</v>
          </cell>
          <cell r="B3604">
            <v>5.1666666666666696</v>
          </cell>
        </row>
        <row r="3605">
          <cell r="A3605">
            <v>1500019292</v>
          </cell>
          <cell r="B3605">
            <v>8.3333333333333304</v>
          </cell>
        </row>
        <row r="3606">
          <cell r="A3606">
            <v>1500019316</v>
          </cell>
          <cell r="B3606">
            <v>0</v>
          </cell>
        </row>
        <row r="3607">
          <cell r="A3607">
            <v>1500019313</v>
          </cell>
          <cell r="B3607">
            <v>0</v>
          </cell>
        </row>
        <row r="3608">
          <cell r="A3608">
            <v>1500019319</v>
          </cell>
          <cell r="B3608">
            <v>0</v>
          </cell>
        </row>
        <row r="3609">
          <cell r="A3609">
            <v>1500019320</v>
          </cell>
          <cell r="B3609">
            <v>0</v>
          </cell>
        </row>
        <row r="3610">
          <cell r="A3610">
            <v>1500019315</v>
          </cell>
          <cell r="B3610">
            <v>0</v>
          </cell>
        </row>
        <row r="3611">
          <cell r="A3611">
            <v>1500019485</v>
          </cell>
          <cell r="B3611">
            <v>0</v>
          </cell>
        </row>
        <row r="3612">
          <cell r="A3612">
            <v>1500019490</v>
          </cell>
          <cell r="B3612">
            <v>0</v>
          </cell>
        </row>
        <row r="3613">
          <cell r="A3613">
            <v>1500019484</v>
          </cell>
          <cell r="B3613">
            <v>0</v>
          </cell>
        </row>
        <row r="3614">
          <cell r="A3614">
            <v>1500019500</v>
          </cell>
          <cell r="B3614">
            <v>0</v>
          </cell>
        </row>
        <row r="3615">
          <cell r="A3615">
            <v>1500019473</v>
          </cell>
          <cell r="B3615">
            <v>0</v>
          </cell>
        </row>
        <row r="3616">
          <cell r="A3616">
            <v>1500019463</v>
          </cell>
          <cell r="B3616">
            <v>0</v>
          </cell>
        </row>
        <row r="3617">
          <cell r="A3617">
            <v>1500019442</v>
          </cell>
          <cell r="B3617">
            <v>0</v>
          </cell>
        </row>
        <row r="3618">
          <cell r="A3618">
            <v>1500019499</v>
          </cell>
          <cell r="B3618">
            <v>0</v>
          </cell>
        </row>
        <row r="3619">
          <cell r="A3619">
            <v>1500019444</v>
          </cell>
          <cell r="B3619">
            <v>0</v>
          </cell>
        </row>
        <row r="3620">
          <cell r="A3620">
            <v>1500019445</v>
          </cell>
          <cell r="B3620">
            <v>0</v>
          </cell>
        </row>
        <row r="3621">
          <cell r="A3621">
            <v>1500019443</v>
          </cell>
          <cell r="B3621">
            <v>0</v>
          </cell>
        </row>
        <row r="3622">
          <cell r="A3622">
            <v>1500019441</v>
          </cell>
          <cell r="B3622">
            <v>0</v>
          </cell>
        </row>
        <row r="3623">
          <cell r="A3623">
            <v>1500019398</v>
          </cell>
          <cell r="B3623">
            <v>0</v>
          </cell>
        </row>
        <row r="3624">
          <cell r="A3624">
            <v>1500019465</v>
          </cell>
          <cell r="B3624">
            <v>0</v>
          </cell>
        </row>
        <row r="3625">
          <cell r="A3625">
            <v>1500019395</v>
          </cell>
          <cell r="B3625">
            <v>0</v>
          </cell>
        </row>
        <row r="3626">
          <cell r="A3626">
            <v>1500019381</v>
          </cell>
          <cell r="B3626">
            <v>0</v>
          </cell>
        </row>
        <row r="3627">
          <cell r="A3627">
            <v>1500019392</v>
          </cell>
          <cell r="B3627">
            <v>0</v>
          </cell>
        </row>
        <row r="3628">
          <cell r="A3628">
            <v>1500019394</v>
          </cell>
          <cell r="B3628">
            <v>0</v>
          </cell>
        </row>
        <row r="3629">
          <cell r="A3629">
            <v>1500019397</v>
          </cell>
          <cell r="B3629">
            <v>0</v>
          </cell>
        </row>
        <row r="3630">
          <cell r="A3630">
            <v>1500019429</v>
          </cell>
          <cell r="B3630">
            <v>0</v>
          </cell>
        </row>
        <row r="3631">
          <cell r="A3631">
            <v>1500019393</v>
          </cell>
          <cell r="B3631">
            <v>0</v>
          </cell>
        </row>
        <row r="3632">
          <cell r="A3632">
            <v>1500019411</v>
          </cell>
          <cell r="B3632">
            <v>0</v>
          </cell>
        </row>
        <row r="3633">
          <cell r="A3633">
            <v>1500019396</v>
          </cell>
          <cell r="B3633">
            <v>0</v>
          </cell>
        </row>
        <row r="3634">
          <cell r="A3634">
            <v>1500019356</v>
          </cell>
          <cell r="B3634">
            <v>0</v>
          </cell>
        </row>
        <row r="3635">
          <cell r="A3635">
            <v>1500019410</v>
          </cell>
          <cell r="B3635">
            <v>0</v>
          </cell>
        </row>
        <row r="3636">
          <cell r="A3636">
            <v>1500019355</v>
          </cell>
          <cell r="B3636">
            <v>0</v>
          </cell>
        </row>
        <row r="3637">
          <cell r="A3637">
            <v>1500019343</v>
          </cell>
          <cell r="B3637">
            <v>0</v>
          </cell>
        </row>
        <row r="3638">
          <cell r="A3638">
            <v>1500019351</v>
          </cell>
          <cell r="B3638">
            <v>0</v>
          </cell>
        </row>
        <row r="3639">
          <cell r="A3639">
            <v>1500019342</v>
          </cell>
          <cell r="B3639">
            <v>0</v>
          </cell>
        </row>
        <row r="3640">
          <cell r="A3640">
            <v>1500019340</v>
          </cell>
          <cell r="B3640">
            <v>0</v>
          </cell>
        </row>
        <row r="3641">
          <cell r="A3641">
            <v>1500019385</v>
          </cell>
          <cell r="B3641">
            <v>0</v>
          </cell>
        </row>
        <row r="3642">
          <cell r="A3642">
            <v>1500019352</v>
          </cell>
          <cell r="B3642">
            <v>0</v>
          </cell>
        </row>
        <row r="3643">
          <cell r="A3643">
            <v>1500019464</v>
          </cell>
          <cell r="B3643">
            <v>0</v>
          </cell>
        </row>
        <row r="3644">
          <cell r="A3644">
            <v>1500001580</v>
          </cell>
          <cell r="B3644">
            <v>23.3333333333333</v>
          </cell>
        </row>
        <row r="3645">
          <cell r="A3645">
            <v>1500001621</v>
          </cell>
          <cell r="B3645">
            <v>303</v>
          </cell>
        </row>
        <row r="3646">
          <cell r="A3646">
            <v>1500001039</v>
          </cell>
          <cell r="B3646">
            <v>0</v>
          </cell>
        </row>
        <row r="3647">
          <cell r="A3647">
            <v>1500000870</v>
          </cell>
          <cell r="B3647">
            <v>16.6666666666667</v>
          </cell>
        </row>
        <row r="3648">
          <cell r="A3648">
            <v>1500001051</v>
          </cell>
          <cell r="B3648">
            <v>0</v>
          </cell>
        </row>
        <row r="3649">
          <cell r="A3649">
            <v>1500000647</v>
          </cell>
          <cell r="B3649">
            <v>1.6666666666666701</v>
          </cell>
        </row>
        <row r="3650">
          <cell r="A3650">
            <v>1500012065</v>
          </cell>
          <cell r="B3650">
            <v>0</v>
          </cell>
        </row>
        <row r="3651">
          <cell r="A3651">
            <v>1500000648</v>
          </cell>
          <cell r="B3651">
            <v>27</v>
          </cell>
        </row>
        <row r="3652">
          <cell r="A3652">
            <v>1500000649</v>
          </cell>
          <cell r="B3652">
            <v>60.5</v>
          </cell>
        </row>
        <row r="3653">
          <cell r="A3653">
            <v>1500001596</v>
          </cell>
          <cell r="B3653">
            <v>81.6666666666667</v>
          </cell>
        </row>
        <row r="3654">
          <cell r="A3654">
            <v>1500001385</v>
          </cell>
          <cell r="B3654">
            <v>45.25</v>
          </cell>
        </row>
        <row r="3655">
          <cell r="A3655">
            <v>1500000339</v>
          </cell>
          <cell r="B3655">
            <v>50.591666666666697</v>
          </cell>
        </row>
        <row r="3656">
          <cell r="A3656">
            <v>1500000677</v>
          </cell>
          <cell r="B3656">
            <v>101.5</v>
          </cell>
        </row>
        <row r="3657">
          <cell r="A3657">
            <v>1500000340</v>
          </cell>
          <cell r="B3657">
            <v>4.0416666666666696</v>
          </cell>
        </row>
        <row r="3658">
          <cell r="A3658">
            <v>1500000869</v>
          </cell>
          <cell r="B3658">
            <v>0</v>
          </cell>
        </row>
        <row r="3659">
          <cell r="A3659">
            <v>1500001074</v>
          </cell>
          <cell r="B3659">
            <v>0</v>
          </cell>
        </row>
        <row r="3660">
          <cell r="A3660">
            <v>1500000168</v>
          </cell>
          <cell r="B3660">
            <v>1.6666666666666701</v>
          </cell>
        </row>
        <row r="3661">
          <cell r="A3661">
            <v>1500000169</v>
          </cell>
          <cell r="B3661">
            <v>30.8333333333333</v>
          </cell>
        </row>
        <row r="3662">
          <cell r="A3662">
            <v>1500000952</v>
          </cell>
          <cell r="B3662">
            <v>33.183333333333302</v>
          </cell>
        </row>
        <row r="3663">
          <cell r="A3663">
            <v>1500000341</v>
          </cell>
          <cell r="B3663">
            <v>56.1666666666667</v>
          </cell>
        </row>
        <row r="3664">
          <cell r="A3664">
            <v>1500000342</v>
          </cell>
          <cell r="B3664">
            <v>44.6666666666667</v>
          </cell>
        </row>
        <row r="3665">
          <cell r="A3665">
            <v>1500000953</v>
          </cell>
          <cell r="B3665">
            <v>0</v>
          </cell>
        </row>
        <row r="3666">
          <cell r="A3666">
            <v>1500001014</v>
          </cell>
          <cell r="B3666">
            <v>56.575000000000003</v>
          </cell>
        </row>
        <row r="3667">
          <cell r="A3667">
            <v>1500001715</v>
          </cell>
          <cell r="B3667">
            <v>51.3333333333333</v>
          </cell>
        </row>
        <row r="3668">
          <cell r="A3668">
            <v>1500001081</v>
          </cell>
          <cell r="B3668">
            <v>2.8333333333333299</v>
          </cell>
        </row>
        <row r="3669">
          <cell r="A3669">
            <v>1500000123</v>
          </cell>
          <cell r="B3669">
            <v>49.1666666666667</v>
          </cell>
        </row>
        <row r="3670">
          <cell r="A3670">
            <v>1500000892</v>
          </cell>
          <cell r="B3670">
            <v>12</v>
          </cell>
        </row>
        <row r="3671">
          <cell r="A3671">
            <v>1500011667</v>
          </cell>
          <cell r="B3671">
            <v>6.8333333333333304</v>
          </cell>
        </row>
        <row r="3672">
          <cell r="A3672">
            <v>1500012055</v>
          </cell>
          <cell r="B3672">
            <v>0</v>
          </cell>
        </row>
        <row r="3673">
          <cell r="A3673">
            <v>1500000200</v>
          </cell>
          <cell r="B3673">
            <v>22.5</v>
          </cell>
        </row>
        <row r="3674">
          <cell r="A3674">
            <v>1500000284</v>
          </cell>
          <cell r="B3674">
            <v>1.6666666666666701</v>
          </cell>
        </row>
        <row r="3675">
          <cell r="A3675">
            <v>1500012057</v>
          </cell>
          <cell r="B3675">
            <v>0</v>
          </cell>
        </row>
        <row r="3676">
          <cell r="A3676">
            <v>1500000201</v>
          </cell>
          <cell r="B3676">
            <v>75.1666666666667</v>
          </cell>
        </row>
        <row r="3677">
          <cell r="A3677">
            <v>1500000279</v>
          </cell>
          <cell r="B3677">
            <v>0</v>
          </cell>
        </row>
        <row r="3678">
          <cell r="A3678">
            <v>1500000345</v>
          </cell>
          <cell r="B3678">
            <v>0</v>
          </cell>
        </row>
        <row r="3679">
          <cell r="A3679">
            <v>1500001015</v>
          </cell>
          <cell r="B3679">
            <v>0</v>
          </cell>
        </row>
        <row r="3680">
          <cell r="A3680">
            <v>1500001394</v>
          </cell>
          <cell r="B3680">
            <v>0</v>
          </cell>
        </row>
        <row r="3681">
          <cell r="A3681">
            <v>1500000124</v>
          </cell>
          <cell r="B3681">
            <v>71.4166666666667</v>
          </cell>
        </row>
        <row r="3682">
          <cell r="A3682">
            <v>1500000125</v>
          </cell>
          <cell r="B3682">
            <v>0</v>
          </cell>
        </row>
        <row r="3683">
          <cell r="A3683">
            <v>1500001130</v>
          </cell>
          <cell r="B3683">
            <v>151.25</v>
          </cell>
        </row>
        <row r="3684">
          <cell r="A3684">
            <v>1500000126</v>
          </cell>
          <cell r="B3684">
            <v>0</v>
          </cell>
        </row>
        <row r="3685">
          <cell r="A3685">
            <v>1500000053</v>
          </cell>
          <cell r="B3685">
            <v>20.8333333333333</v>
          </cell>
        </row>
        <row r="3686">
          <cell r="A3686">
            <v>1500012754</v>
          </cell>
          <cell r="B3686">
            <v>0</v>
          </cell>
        </row>
        <row r="3687">
          <cell r="A3687">
            <v>1500000017</v>
          </cell>
          <cell r="B3687">
            <v>36</v>
          </cell>
        </row>
        <row r="3688">
          <cell r="A3688">
            <v>1500000128</v>
          </cell>
          <cell r="B3688">
            <v>40.3333333333333</v>
          </cell>
        </row>
        <row r="3689">
          <cell r="A3689">
            <v>1500000280</v>
          </cell>
          <cell r="B3689">
            <v>91.6666666666667</v>
          </cell>
        </row>
        <row r="3690">
          <cell r="A3690">
            <v>1500001018</v>
          </cell>
          <cell r="B3690">
            <v>115.125</v>
          </cell>
        </row>
        <row r="3691">
          <cell r="A3691">
            <v>1500001040</v>
          </cell>
          <cell r="B3691">
            <v>55.2916666666667</v>
          </cell>
        </row>
        <row r="3692">
          <cell r="A3692">
            <v>1500001041</v>
          </cell>
          <cell r="B3692">
            <v>0</v>
          </cell>
        </row>
        <row r="3693">
          <cell r="A3693">
            <v>1500001019</v>
          </cell>
          <cell r="B3693">
            <v>22.8333333333333</v>
          </cell>
        </row>
        <row r="3694">
          <cell r="A3694">
            <v>1500000871</v>
          </cell>
          <cell r="B3694">
            <v>5.1666666666666696</v>
          </cell>
        </row>
        <row r="3695">
          <cell r="A3695">
            <v>1500000757</v>
          </cell>
          <cell r="B3695">
            <v>55.9166666666667</v>
          </cell>
        </row>
        <row r="3696">
          <cell r="A3696">
            <v>1500001086</v>
          </cell>
          <cell r="B3696">
            <v>1.3333333333333299</v>
          </cell>
        </row>
        <row r="3697">
          <cell r="A3697">
            <v>1500000573</v>
          </cell>
          <cell r="B3697">
            <v>13.3333333333333</v>
          </cell>
        </row>
        <row r="3698">
          <cell r="A3698">
            <v>1500000611</v>
          </cell>
          <cell r="B3698">
            <v>19.6666666666667</v>
          </cell>
        </row>
        <row r="3699">
          <cell r="A3699">
            <v>1500000361</v>
          </cell>
          <cell r="B3699">
            <v>0</v>
          </cell>
        </row>
        <row r="3700">
          <cell r="A3700">
            <v>1500001604</v>
          </cell>
          <cell r="B3700">
            <v>16.8333333333333</v>
          </cell>
        </row>
        <row r="3701">
          <cell r="A3701">
            <v>1500001021</v>
          </cell>
          <cell r="B3701">
            <v>83</v>
          </cell>
        </row>
        <row r="3702">
          <cell r="A3702">
            <v>1500001022</v>
          </cell>
          <cell r="B3702">
            <v>4.3333333333333304</v>
          </cell>
        </row>
        <row r="3703">
          <cell r="A3703">
            <v>1500001622</v>
          </cell>
          <cell r="B3703">
            <v>155.833333333333</v>
          </cell>
        </row>
        <row r="3704">
          <cell r="A3704">
            <v>1500001623</v>
          </cell>
          <cell r="B3704">
            <v>24.4166666666667</v>
          </cell>
        </row>
        <row r="3705">
          <cell r="A3705">
            <v>1500001023</v>
          </cell>
          <cell r="B3705">
            <v>0</v>
          </cell>
        </row>
        <row r="3706">
          <cell r="A3706">
            <v>1500001401</v>
          </cell>
          <cell r="B3706">
            <v>0</v>
          </cell>
        </row>
        <row r="3707">
          <cell r="A3707">
            <v>1500011652</v>
          </cell>
          <cell r="B3707">
            <v>0</v>
          </cell>
        </row>
        <row r="3708">
          <cell r="A3708">
            <v>1500001026</v>
          </cell>
          <cell r="B3708">
            <v>67.9166666666667</v>
          </cell>
        </row>
        <row r="3709">
          <cell r="A3709">
            <v>1500000281</v>
          </cell>
          <cell r="B3709">
            <v>72.6666666666667</v>
          </cell>
        </row>
        <row r="3710">
          <cell r="A3710">
            <v>1500001027</v>
          </cell>
          <cell r="B3710">
            <v>38</v>
          </cell>
        </row>
        <row r="3711">
          <cell r="A3711">
            <v>1500000872</v>
          </cell>
          <cell r="B3711">
            <v>2.6666666666666701</v>
          </cell>
        </row>
        <row r="3712">
          <cell r="A3712">
            <v>1500000285</v>
          </cell>
          <cell r="B3712">
            <v>0</v>
          </cell>
        </row>
        <row r="3713">
          <cell r="A3713">
            <v>1500000130</v>
          </cell>
          <cell r="B3713">
            <v>0</v>
          </cell>
        </row>
        <row r="3714">
          <cell r="A3714">
            <v>1500000054</v>
          </cell>
          <cell r="B3714">
            <v>22.0833333333333</v>
          </cell>
        </row>
        <row r="3715">
          <cell r="A3715">
            <v>1500000131</v>
          </cell>
          <cell r="B3715">
            <v>89.5</v>
          </cell>
        </row>
        <row r="3716">
          <cell r="A3716">
            <v>1500001624</v>
          </cell>
          <cell r="B3716">
            <v>0.83333333333333304</v>
          </cell>
        </row>
        <row r="3717">
          <cell r="A3717">
            <v>1500001625</v>
          </cell>
          <cell r="B3717">
            <v>0</v>
          </cell>
        </row>
        <row r="3718">
          <cell r="A3718">
            <v>1500001131</v>
          </cell>
          <cell r="B3718">
            <v>0</v>
          </cell>
        </row>
        <row r="3719">
          <cell r="A3719">
            <v>1500000916</v>
          </cell>
          <cell r="B3719">
            <v>75.0833333333333</v>
          </cell>
        </row>
        <row r="3720">
          <cell r="A3720">
            <v>1500000565</v>
          </cell>
          <cell r="B3720">
            <v>0</v>
          </cell>
        </row>
        <row r="3721">
          <cell r="A3721">
            <v>1500001075</v>
          </cell>
          <cell r="B3721">
            <v>0</v>
          </cell>
        </row>
        <row r="3722">
          <cell r="A3722">
            <v>1500001335</v>
          </cell>
          <cell r="B3722">
            <v>0</v>
          </cell>
        </row>
        <row r="3723">
          <cell r="A3723">
            <v>1500000346</v>
          </cell>
          <cell r="B3723">
            <v>108.625</v>
          </cell>
        </row>
        <row r="3724">
          <cell r="A3724">
            <v>1500000282</v>
          </cell>
          <cell r="B3724">
            <v>14.9166666666667</v>
          </cell>
        </row>
        <row r="3725">
          <cell r="A3725">
            <v>1500001336</v>
          </cell>
          <cell r="B3725">
            <v>0</v>
          </cell>
        </row>
        <row r="3726">
          <cell r="A3726">
            <v>1500000347</v>
          </cell>
          <cell r="B3726">
            <v>64.6666666666667</v>
          </cell>
        </row>
        <row r="3727">
          <cell r="A3727">
            <v>1500001344</v>
          </cell>
          <cell r="B3727">
            <v>38.8333333333333</v>
          </cell>
        </row>
        <row r="3728">
          <cell r="A3728">
            <v>1500000203</v>
          </cell>
          <cell r="B3728">
            <v>3.1666666666666701</v>
          </cell>
        </row>
        <row r="3729">
          <cell r="A3729">
            <v>1500000873</v>
          </cell>
          <cell r="B3729">
            <v>56.75</v>
          </cell>
        </row>
        <row r="3730">
          <cell r="A3730">
            <v>1500000954</v>
          </cell>
          <cell r="B3730">
            <v>35.8333333333333</v>
          </cell>
        </row>
        <row r="3731">
          <cell r="A3731">
            <v>1500001029</v>
          </cell>
          <cell r="B3731">
            <v>37.3333333333333</v>
          </cell>
        </row>
        <row r="3732">
          <cell r="A3732">
            <v>1500001044</v>
          </cell>
          <cell r="B3732">
            <v>35.6666666666667</v>
          </cell>
        </row>
        <row r="3733">
          <cell r="A3733">
            <v>1500001045</v>
          </cell>
          <cell r="B3733">
            <v>26.3333333333333</v>
          </cell>
        </row>
        <row r="3734">
          <cell r="A3734">
            <v>1500000133</v>
          </cell>
          <cell r="B3734">
            <v>128.583333333333</v>
          </cell>
        </row>
        <row r="3735">
          <cell r="A3735">
            <v>1500001627</v>
          </cell>
          <cell r="B3735">
            <v>0</v>
          </cell>
        </row>
        <row r="3736">
          <cell r="A3736">
            <v>1500000135</v>
          </cell>
          <cell r="B3736">
            <v>52.8333333333333</v>
          </cell>
        </row>
        <row r="3737">
          <cell r="A3737">
            <v>1500001046</v>
          </cell>
          <cell r="B3737">
            <v>129.333333333333</v>
          </cell>
        </row>
        <row r="3738">
          <cell r="A3738">
            <v>1500001345</v>
          </cell>
          <cell r="B3738">
            <v>50</v>
          </cell>
        </row>
        <row r="3739">
          <cell r="A3739">
            <v>1500000170</v>
          </cell>
          <cell r="B3739">
            <v>45</v>
          </cell>
        </row>
        <row r="3740">
          <cell r="A3740">
            <v>1500001351</v>
          </cell>
          <cell r="B3740">
            <v>0</v>
          </cell>
        </row>
        <row r="3741">
          <cell r="A3741">
            <v>1500011599</v>
          </cell>
          <cell r="B3741">
            <v>0</v>
          </cell>
        </row>
        <row r="3742">
          <cell r="A3742">
            <v>1500012050</v>
          </cell>
          <cell r="B3742">
            <v>0</v>
          </cell>
        </row>
        <row r="3743">
          <cell r="A3743">
            <v>1500012580</v>
          </cell>
          <cell r="B3743">
            <v>0</v>
          </cell>
        </row>
        <row r="3744">
          <cell r="A3744">
            <v>1500012582</v>
          </cell>
          <cell r="B3744">
            <v>0</v>
          </cell>
        </row>
        <row r="3745">
          <cell r="A3745">
            <v>1500013039</v>
          </cell>
          <cell r="B3745">
            <v>0</v>
          </cell>
        </row>
        <row r="3746">
          <cell r="A3746">
            <v>1500013316</v>
          </cell>
          <cell r="B3746">
            <v>0</v>
          </cell>
        </row>
        <row r="3747">
          <cell r="A3747">
            <v>1500000136</v>
          </cell>
          <cell r="B3747">
            <v>79.95</v>
          </cell>
        </row>
        <row r="3748">
          <cell r="A3748">
            <v>1500000137</v>
          </cell>
          <cell r="B3748">
            <v>15.0833333333333</v>
          </cell>
        </row>
        <row r="3749">
          <cell r="A3749">
            <v>1500001337</v>
          </cell>
          <cell r="B3749">
            <v>0</v>
          </cell>
        </row>
        <row r="3750">
          <cell r="A3750">
            <v>1500000055</v>
          </cell>
          <cell r="B3750">
            <v>8.375</v>
          </cell>
        </row>
        <row r="3751">
          <cell r="A3751">
            <v>1500001346</v>
          </cell>
          <cell r="B3751">
            <v>1.8333333333333299</v>
          </cell>
        </row>
        <row r="3752">
          <cell r="A3752">
            <v>1500000574</v>
          </cell>
          <cell r="B3752">
            <v>97.0833333333333</v>
          </cell>
        </row>
        <row r="3753">
          <cell r="A3753">
            <v>1500000204</v>
          </cell>
          <cell r="B3753">
            <v>18.1666666666667</v>
          </cell>
        </row>
        <row r="3754">
          <cell r="A3754">
            <v>1500001311</v>
          </cell>
          <cell r="B3754">
            <v>10.3333333333333</v>
          </cell>
        </row>
        <row r="3755">
          <cell r="A3755">
            <v>1500000205</v>
          </cell>
          <cell r="B3755">
            <v>0</v>
          </cell>
        </row>
        <row r="3756">
          <cell r="A3756">
            <v>1500000138</v>
          </cell>
          <cell r="B3756">
            <v>91.6666666666667</v>
          </cell>
        </row>
        <row r="3757">
          <cell r="A3757">
            <v>1500000029</v>
          </cell>
          <cell r="B3757">
            <v>38.75</v>
          </cell>
        </row>
        <row r="3758">
          <cell r="A3758">
            <v>1500001030</v>
          </cell>
          <cell r="B3758">
            <v>11.4166666666667</v>
          </cell>
        </row>
        <row r="3759">
          <cell r="A3759">
            <v>1500012537</v>
          </cell>
          <cell r="B3759">
            <v>61.5833333333333</v>
          </cell>
        </row>
        <row r="3760">
          <cell r="A3760">
            <v>1500010859</v>
          </cell>
          <cell r="B3760">
            <v>329.178333333333</v>
          </cell>
        </row>
        <row r="3761">
          <cell r="A3761">
            <v>1500001395</v>
          </cell>
          <cell r="B3761">
            <v>0</v>
          </cell>
        </row>
        <row r="3762">
          <cell r="A3762">
            <v>1500000198</v>
          </cell>
          <cell r="B3762">
            <v>0</v>
          </cell>
        </row>
        <row r="3763">
          <cell r="A3763">
            <v>1500000955</v>
          </cell>
          <cell r="B3763">
            <v>27.5</v>
          </cell>
        </row>
        <row r="3764">
          <cell r="A3764">
            <v>1500000956</v>
          </cell>
          <cell r="B3764">
            <v>74.3333333333333</v>
          </cell>
        </row>
        <row r="3765">
          <cell r="A3765">
            <v>1500011579</v>
          </cell>
          <cell r="B3765">
            <v>0</v>
          </cell>
        </row>
        <row r="3766">
          <cell r="A3766">
            <v>1500001339</v>
          </cell>
          <cell r="B3766">
            <v>3.3333333333333299</v>
          </cell>
        </row>
        <row r="3767">
          <cell r="A3767">
            <v>1500012544</v>
          </cell>
          <cell r="B3767">
            <v>0</v>
          </cell>
        </row>
        <row r="3768">
          <cell r="A3768">
            <v>1500013813</v>
          </cell>
          <cell r="B3768">
            <v>0</v>
          </cell>
        </row>
        <row r="3769">
          <cell r="A3769">
            <v>1500000893</v>
          </cell>
          <cell r="B3769">
            <v>0</v>
          </cell>
        </row>
        <row r="3770">
          <cell r="A3770">
            <v>1500001630</v>
          </cell>
          <cell r="B3770">
            <v>0</v>
          </cell>
        </row>
        <row r="3771">
          <cell r="A3771">
            <v>1500011651</v>
          </cell>
          <cell r="B3771">
            <v>0</v>
          </cell>
        </row>
        <row r="3772">
          <cell r="A3772">
            <v>1500001025</v>
          </cell>
          <cell r="B3772">
            <v>0</v>
          </cell>
        </row>
        <row r="3773">
          <cell r="A3773">
            <v>1500001060</v>
          </cell>
          <cell r="B3773">
            <v>0</v>
          </cell>
        </row>
        <row r="3774">
          <cell r="A3774">
            <v>1500000140</v>
          </cell>
          <cell r="B3774">
            <v>41.4166666666667</v>
          </cell>
        </row>
        <row r="3775">
          <cell r="A3775">
            <v>1500001340</v>
          </cell>
          <cell r="B3775">
            <v>0</v>
          </cell>
        </row>
        <row r="3776">
          <cell r="A3776">
            <v>1500001090</v>
          </cell>
          <cell r="B3776">
            <v>16.9166666666667</v>
          </cell>
        </row>
        <row r="3777">
          <cell r="A3777">
            <v>1500001047</v>
          </cell>
          <cell r="B3777">
            <v>104.916666666667</v>
          </cell>
        </row>
        <row r="3778">
          <cell r="A3778">
            <v>1500000142</v>
          </cell>
          <cell r="B3778">
            <v>25</v>
          </cell>
        </row>
        <row r="3779">
          <cell r="A3779">
            <v>1500001031</v>
          </cell>
          <cell r="B3779">
            <v>0</v>
          </cell>
        </row>
        <row r="3780">
          <cell r="A3780">
            <v>1500000575</v>
          </cell>
          <cell r="B3780">
            <v>13.75</v>
          </cell>
        </row>
        <row r="3781">
          <cell r="A3781">
            <v>1500000957</v>
          </cell>
          <cell r="B3781">
            <v>16</v>
          </cell>
        </row>
        <row r="3782">
          <cell r="A3782">
            <v>1500000750</v>
          </cell>
          <cell r="B3782">
            <v>106.833333333333</v>
          </cell>
        </row>
        <row r="3783">
          <cell r="A3783">
            <v>1500000958</v>
          </cell>
          <cell r="B3783">
            <v>34.158333333333303</v>
          </cell>
        </row>
        <row r="3784">
          <cell r="A3784">
            <v>1500010888</v>
          </cell>
          <cell r="B3784">
            <v>0</v>
          </cell>
        </row>
        <row r="3785">
          <cell r="A3785">
            <v>1500000895</v>
          </cell>
          <cell r="B3785">
            <v>46.5</v>
          </cell>
        </row>
        <row r="3786">
          <cell r="A3786">
            <v>1500001076</v>
          </cell>
          <cell r="B3786">
            <v>0</v>
          </cell>
        </row>
        <row r="3787">
          <cell r="A3787">
            <v>1500000678</v>
          </cell>
          <cell r="B3787">
            <v>38.4166666666667</v>
          </cell>
        </row>
        <row r="3788">
          <cell r="A3788">
            <v>1500000366</v>
          </cell>
          <cell r="B3788">
            <v>0</v>
          </cell>
        </row>
        <row r="3789">
          <cell r="A3789">
            <v>1500000143</v>
          </cell>
          <cell r="B3789">
            <v>47.3333333333333</v>
          </cell>
        </row>
        <row r="3790">
          <cell r="A3790">
            <v>1500000896</v>
          </cell>
          <cell r="B3790">
            <v>67</v>
          </cell>
        </row>
        <row r="3791">
          <cell r="A3791">
            <v>1500000144</v>
          </cell>
          <cell r="B3791">
            <v>16.6666666666667</v>
          </cell>
        </row>
        <row r="3792">
          <cell r="A3792">
            <v>1500001061</v>
          </cell>
          <cell r="B3792">
            <v>75.25</v>
          </cell>
        </row>
        <row r="3793">
          <cell r="A3793">
            <v>1500000897</v>
          </cell>
          <cell r="B3793">
            <v>0</v>
          </cell>
        </row>
        <row r="3794">
          <cell r="A3794">
            <v>1500001327</v>
          </cell>
          <cell r="B3794">
            <v>5</v>
          </cell>
        </row>
        <row r="3795">
          <cell r="A3795">
            <v>1500001328</v>
          </cell>
          <cell r="B3795">
            <v>92.1666666666667</v>
          </cell>
        </row>
        <row r="3796">
          <cell r="A3796">
            <v>1500000898</v>
          </cell>
          <cell r="B3796">
            <v>19.1666666666667</v>
          </cell>
        </row>
        <row r="3797">
          <cell r="A3797">
            <v>1500000056</v>
          </cell>
          <cell r="B3797">
            <v>16.6666666666667</v>
          </cell>
        </row>
        <row r="3798">
          <cell r="A3798">
            <v>1500001397</v>
          </cell>
          <cell r="B3798">
            <v>15.8333333333333</v>
          </cell>
        </row>
        <row r="3799">
          <cell r="A3799">
            <v>1500001032</v>
          </cell>
          <cell r="B3799">
            <v>0</v>
          </cell>
        </row>
        <row r="3800">
          <cell r="A3800">
            <v>1500001070</v>
          </cell>
          <cell r="B3800">
            <v>34.3333333333333</v>
          </cell>
        </row>
        <row r="3801">
          <cell r="A3801">
            <v>1500001398</v>
          </cell>
          <cell r="B3801">
            <v>20</v>
          </cell>
        </row>
        <row r="3802">
          <cell r="A3802">
            <v>1500000960</v>
          </cell>
          <cell r="B3802">
            <v>29.8333333333333</v>
          </cell>
        </row>
        <row r="3803">
          <cell r="A3803">
            <v>1500011536</v>
          </cell>
          <cell r="B3803">
            <v>3.75</v>
          </cell>
        </row>
        <row r="3804">
          <cell r="A3804">
            <v>1500001631</v>
          </cell>
          <cell r="B3804">
            <v>215.041666666667</v>
          </cell>
        </row>
        <row r="3805">
          <cell r="A3805">
            <v>1500001341</v>
          </cell>
          <cell r="B3805">
            <v>66.4166666666667</v>
          </cell>
        </row>
        <row r="3806">
          <cell r="A3806">
            <v>1500000566</v>
          </cell>
          <cell r="B3806">
            <v>0</v>
          </cell>
        </row>
        <row r="3807">
          <cell r="A3807">
            <v>1500000900</v>
          </cell>
          <cell r="B3807">
            <v>0</v>
          </cell>
        </row>
        <row r="3808">
          <cell r="A3808">
            <v>1500000901</v>
          </cell>
          <cell r="B3808">
            <v>204</v>
          </cell>
        </row>
        <row r="3809">
          <cell r="A3809">
            <v>1500000919</v>
          </cell>
          <cell r="B3809">
            <v>12.0833333333333</v>
          </cell>
        </row>
        <row r="3810">
          <cell r="A3810">
            <v>1500000057</v>
          </cell>
          <cell r="B3810">
            <v>9.1666666666666696</v>
          </cell>
        </row>
        <row r="3811">
          <cell r="A3811">
            <v>1500000119</v>
          </cell>
          <cell r="B3811">
            <v>0</v>
          </cell>
        </row>
        <row r="3812">
          <cell r="A3812">
            <v>1500000172</v>
          </cell>
          <cell r="B3812">
            <v>0</v>
          </cell>
        </row>
        <row r="3813">
          <cell r="A3813">
            <v>1500000965</v>
          </cell>
          <cell r="B3813">
            <v>55.8333333333333</v>
          </cell>
        </row>
        <row r="3814">
          <cell r="A3814">
            <v>1500000567</v>
          </cell>
          <cell r="B3814">
            <v>0</v>
          </cell>
        </row>
        <row r="3815">
          <cell r="A3815">
            <v>1500000568</v>
          </cell>
          <cell r="B3815">
            <v>1</v>
          </cell>
        </row>
        <row r="3816">
          <cell r="A3816">
            <v>1500000174</v>
          </cell>
          <cell r="B3816">
            <v>0</v>
          </cell>
        </row>
        <row r="3817">
          <cell r="A3817">
            <v>1500001033</v>
          </cell>
          <cell r="B3817">
            <v>13.8333333333333</v>
          </cell>
        </row>
        <row r="3818">
          <cell r="A3818">
            <v>1500001048</v>
          </cell>
          <cell r="B3818">
            <v>32.9166666666667</v>
          </cell>
        </row>
        <row r="3819">
          <cell r="A3819">
            <v>1500001049</v>
          </cell>
          <cell r="B3819">
            <v>189.25</v>
          </cell>
        </row>
        <row r="3820">
          <cell r="A3820">
            <v>1500001050</v>
          </cell>
          <cell r="B3820">
            <v>133.25</v>
          </cell>
        </row>
        <row r="3821">
          <cell r="A3821">
            <v>1500000959</v>
          </cell>
          <cell r="B3821">
            <v>0</v>
          </cell>
        </row>
        <row r="3822">
          <cell r="A3822">
            <v>1500000344</v>
          </cell>
          <cell r="B3822">
            <v>0</v>
          </cell>
        </row>
        <row r="3823">
          <cell r="A3823">
            <v>1500000902</v>
          </cell>
          <cell r="B3823">
            <v>0</v>
          </cell>
        </row>
        <row r="3824">
          <cell r="A3824">
            <v>1500000903</v>
          </cell>
          <cell r="B3824">
            <v>56.8333333333333</v>
          </cell>
        </row>
        <row r="3825">
          <cell r="A3825">
            <v>1500000904</v>
          </cell>
          <cell r="B3825">
            <v>0</v>
          </cell>
        </row>
        <row r="3826">
          <cell r="A3826">
            <v>1500001034</v>
          </cell>
          <cell r="B3826">
            <v>13.3333333333333</v>
          </cell>
        </row>
        <row r="3827">
          <cell r="A3827">
            <v>1500000918</v>
          </cell>
          <cell r="B3827">
            <v>0</v>
          </cell>
        </row>
        <row r="3828">
          <cell r="A3828">
            <v>1500000034</v>
          </cell>
          <cell r="B3828">
            <v>132.666666666667</v>
          </cell>
        </row>
        <row r="3829">
          <cell r="A3829">
            <v>1500000917</v>
          </cell>
          <cell r="B3829">
            <v>8</v>
          </cell>
        </row>
        <row r="3830">
          <cell r="A3830">
            <v>1500001348</v>
          </cell>
          <cell r="B3830">
            <v>0</v>
          </cell>
        </row>
        <row r="3831">
          <cell r="A3831">
            <v>1500011574</v>
          </cell>
          <cell r="B3831">
            <v>0</v>
          </cell>
        </row>
        <row r="3832">
          <cell r="A3832">
            <v>1500001402</v>
          </cell>
          <cell r="B3832">
            <v>71.5</v>
          </cell>
        </row>
        <row r="3833">
          <cell r="A3833">
            <v>1500001377</v>
          </cell>
          <cell r="B3833">
            <v>0</v>
          </cell>
        </row>
        <row r="3834">
          <cell r="A3834">
            <v>1500001633</v>
          </cell>
          <cell r="B3834">
            <v>35.5833333333333</v>
          </cell>
        </row>
        <row r="3835">
          <cell r="A3835">
            <v>1500001329</v>
          </cell>
          <cell r="B3835">
            <v>0</v>
          </cell>
        </row>
        <row r="3836">
          <cell r="A3836">
            <v>1500000018</v>
          </cell>
          <cell r="B3836">
            <v>4</v>
          </cell>
        </row>
        <row r="3837">
          <cell r="A3837">
            <v>1500000176</v>
          </cell>
          <cell r="B3837">
            <v>13.3333333333333</v>
          </cell>
        </row>
        <row r="3838">
          <cell r="A3838">
            <v>1500001399</v>
          </cell>
          <cell r="B3838">
            <v>0</v>
          </cell>
        </row>
        <row r="3839">
          <cell r="A3839">
            <v>1500001400</v>
          </cell>
          <cell r="B3839">
            <v>0</v>
          </cell>
        </row>
        <row r="3840">
          <cell r="A3840">
            <v>1500000041</v>
          </cell>
          <cell r="B3840">
            <v>0</v>
          </cell>
        </row>
        <row r="3841">
          <cell r="A3841">
            <v>1500001062</v>
          </cell>
          <cell r="B3841">
            <v>0</v>
          </cell>
        </row>
        <row r="3842">
          <cell r="A3842">
            <v>1500001035</v>
          </cell>
          <cell r="B3842">
            <v>0</v>
          </cell>
        </row>
        <row r="3843">
          <cell r="A3843">
            <v>1500012035</v>
          </cell>
          <cell r="B3843">
            <v>0</v>
          </cell>
        </row>
        <row r="3844">
          <cell r="A3844">
            <v>1500012041</v>
          </cell>
          <cell r="B3844">
            <v>0</v>
          </cell>
        </row>
        <row r="3845">
          <cell r="A3845">
            <v>1500012521</v>
          </cell>
          <cell r="B3845">
            <v>129.833333333333</v>
          </cell>
        </row>
        <row r="3846">
          <cell r="A3846">
            <v>1500000905</v>
          </cell>
          <cell r="B3846">
            <v>0</v>
          </cell>
        </row>
        <row r="3847">
          <cell r="A3847">
            <v>1500001064</v>
          </cell>
          <cell r="B3847">
            <v>29.1666666666667</v>
          </cell>
        </row>
        <row r="3848">
          <cell r="A3848">
            <v>1500012861</v>
          </cell>
          <cell r="B3848">
            <v>0</v>
          </cell>
        </row>
        <row r="3849">
          <cell r="A3849">
            <v>1500013278</v>
          </cell>
          <cell r="B3849">
            <v>0</v>
          </cell>
        </row>
        <row r="3850">
          <cell r="A3850">
            <v>1500013315</v>
          </cell>
          <cell r="B3850">
            <v>0</v>
          </cell>
        </row>
        <row r="3851">
          <cell r="A3851">
            <v>1500013364</v>
          </cell>
          <cell r="B3851">
            <v>0</v>
          </cell>
        </row>
        <row r="3852">
          <cell r="A3852">
            <v>1500013409</v>
          </cell>
          <cell r="B3852">
            <v>0</v>
          </cell>
        </row>
        <row r="3853">
          <cell r="A3853">
            <v>1500000058</v>
          </cell>
          <cell r="B3853">
            <v>8.3333333333333304</v>
          </cell>
        </row>
        <row r="3854">
          <cell r="A3854">
            <v>1500001342</v>
          </cell>
          <cell r="B3854">
            <v>68.5416666666667</v>
          </cell>
        </row>
        <row r="3855">
          <cell r="A3855">
            <v>1500013506</v>
          </cell>
          <cell r="B3855">
            <v>0</v>
          </cell>
        </row>
        <row r="3856">
          <cell r="A3856">
            <v>1500013509</v>
          </cell>
          <cell r="B3856">
            <v>0</v>
          </cell>
        </row>
        <row r="3857">
          <cell r="A3857">
            <v>1500000117</v>
          </cell>
          <cell r="B3857">
            <v>17.0833333333333</v>
          </cell>
        </row>
        <row r="3858">
          <cell r="A3858">
            <v>1500001036</v>
          </cell>
          <cell r="B3858">
            <v>1.8333333333333299</v>
          </cell>
        </row>
        <row r="3859">
          <cell r="A3859">
            <v>1500001192</v>
          </cell>
          <cell r="B3859">
            <v>4.1666666666666696</v>
          </cell>
        </row>
        <row r="3860">
          <cell r="A3860">
            <v>1500001352</v>
          </cell>
          <cell r="B3860">
            <v>13.766666666666699</v>
          </cell>
        </row>
        <row r="3861">
          <cell r="A3861">
            <v>1500013803</v>
          </cell>
          <cell r="B3861">
            <v>0</v>
          </cell>
        </row>
        <row r="3862">
          <cell r="A3862">
            <v>1500013848</v>
          </cell>
          <cell r="B3862">
            <v>0</v>
          </cell>
        </row>
        <row r="3863">
          <cell r="A3863">
            <v>1500014180</v>
          </cell>
          <cell r="B3863">
            <v>13.5416666666667</v>
          </cell>
        </row>
        <row r="3864">
          <cell r="A3864">
            <v>1500015156</v>
          </cell>
          <cell r="B3864">
            <v>21.75</v>
          </cell>
        </row>
        <row r="3865">
          <cell r="A3865">
            <v>1500015238</v>
          </cell>
          <cell r="B3865">
            <v>43.7916666666667</v>
          </cell>
        </row>
        <row r="3866">
          <cell r="A3866">
            <v>1500015253</v>
          </cell>
          <cell r="B3866">
            <v>0</v>
          </cell>
        </row>
        <row r="3867">
          <cell r="A3867">
            <v>1500011537</v>
          </cell>
          <cell r="B3867">
            <v>25</v>
          </cell>
        </row>
        <row r="3868">
          <cell r="A3868">
            <v>1500011538</v>
          </cell>
          <cell r="B3868">
            <v>48.3333333333333</v>
          </cell>
        </row>
        <row r="3869">
          <cell r="A3869">
            <v>1500011540</v>
          </cell>
          <cell r="B3869">
            <v>220.755</v>
          </cell>
        </row>
        <row r="3870">
          <cell r="A3870">
            <v>1500011542</v>
          </cell>
          <cell r="B3870">
            <v>9.4166666666666696</v>
          </cell>
        </row>
        <row r="3871">
          <cell r="A3871">
            <v>1500011545</v>
          </cell>
          <cell r="B3871">
            <v>75.1666666666667</v>
          </cell>
        </row>
        <row r="3872">
          <cell r="A3872">
            <v>1500011546</v>
          </cell>
          <cell r="B3872">
            <v>76.1666666666667</v>
          </cell>
        </row>
        <row r="3873">
          <cell r="A3873">
            <v>1500011547</v>
          </cell>
          <cell r="B3873">
            <v>0</v>
          </cell>
        </row>
        <row r="3874">
          <cell r="A3874">
            <v>1500011548</v>
          </cell>
          <cell r="B3874">
            <v>0</v>
          </cell>
        </row>
        <row r="3875">
          <cell r="A3875">
            <v>1500011553</v>
          </cell>
          <cell r="B3875">
            <v>0</v>
          </cell>
        </row>
        <row r="3876">
          <cell r="A3876">
            <v>1500011561</v>
          </cell>
          <cell r="B3876">
            <v>0</v>
          </cell>
        </row>
        <row r="3877">
          <cell r="A3877">
            <v>1500011555</v>
          </cell>
          <cell r="B3877">
            <v>19.9166666666667</v>
          </cell>
        </row>
        <row r="3878">
          <cell r="A3878">
            <v>1500011556</v>
          </cell>
          <cell r="B3878">
            <v>31.8333333333333</v>
          </cell>
        </row>
        <row r="3879">
          <cell r="A3879">
            <v>1500011559</v>
          </cell>
          <cell r="B3879">
            <v>0</v>
          </cell>
        </row>
        <row r="3880">
          <cell r="A3880">
            <v>1500011562</v>
          </cell>
          <cell r="B3880">
            <v>11.25</v>
          </cell>
        </row>
        <row r="3881">
          <cell r="A3881">
            <v>1500011563</v>
          </cell>
          <cell r="B3881">
            <v>47.6666666666667</v>
          </cell>
        </row>
        <row r="3882">
          <cell r="A3882">
            <v>1500011566</v>
          </cell>
          <cell r="B3882">
            <v>0</v>
          </cell>
        </row>
        <row r="3883">
          <cell r="A3883">
            <v>1500011570</v>
          </cell>
          <cell r="B3883">
            <v>0</v>
          </cell>
        </row>
        <row r="3884">
          <cell r="A3884">
            <v>1500011571</v>
          </cell>
          <cell r="B3884">
            <v>42.4166666666667</v>
          </cell>
        </row>
        <row r="3885">
          <cell r="A3885">
            <v>1500011572</v>
          </cell>
          <cell r="B3885">
            <v>222.958333333333</v>
          </cell>
        </row>
        <row r="3886">
          <cell r="A3886">
            <v>1500011573</v>
          </cell>
          <cell r="B3886">
            <v>0</v>
          </cell>
        </row>
        <row r="3887">
          <cell r="A3887">
            <v>1500011575</v>
          </cell>
          <cell r="B3887">
            <v>54.8333333333333</v>
          </cell>
        </row>
        <row r="3888">
          <cell r="A3888">
            <v>1500011576</v>
          </cell>
          <cell r="B3888">
            <v>0</v>
          </cell>
        </row>
        <row r="3889">
          <cell r="A3889">
            <v>1500001059</v>
          </cell>
          <cell r="B3889">
            <v>0</v>
          </cell>
        </row>
        <row r="3890">
          <cell r="A3890">
            <v>1500011578</v>
          </cell>
          <cell r="B3890">
            <v>0</v>
          </cell>
        </row>
        <row r="3891">
          <cell r="A3891">
            <v>1500011433</v>
          </cell>
          <cell r="B3891">
            <v>24.5</v>
          </cell>
        </row>
        <row r="3892">
          <cell r="A3892">
            <v>1500011583</v>
          </cell>
          <cell r="B3892">
            <v>69.1666666666667</v>
          </cell>
        </row>
        <row r="3893">
          <cell r="A3893">
            <v>1500011584</v>
          </cell>
          <cell r="B3893">
            <v>0</v>
          </cell>
        </row>
        <row r="3894">
          <cell r="A3894">
            <v>1500011585</v>
          </cell>
          <cell r="B3894">
            <v>56.8333333333333</v>
          </cell>
        </row>
        <row r="3895">
          <cell r="A3895">
            <v>1500011434</v>
          </cell>
          <cell r="B3895">
            <v>0</v>
          </cell>
        </row>
        <row r="3896">
          <cell r="A3896">
            <v>1500011435</v>
          </cell>
          <cell r="B3896">
            <v>0</v>
          </cell>
        </row>
        <row r="3897">
          <cell r="A3897">
            <v>1500011586</v>
          </cell>
          <cell r="B3897">
            <v>0</v>
          </cell>
        </row>
        <row r="3898">
          <cell r="A3898">
            <v>1500011437</v>
          </cell>
          <cell r="B3898">
            <v>0</v>
          </cell>
        </row>
        <row r="3899">
          <cell r="A3899">
            <v>1500011588</v>
          </cell>
          <cell r="B3899">
            <v>52.9166666666667</v>
          </cell>
        </row>
        <row r="3900">
          <cell r="A3900">
            <v>1500011589</v>
          </cell>
          <cell r="B3900">
            <v>0</v>
          </cell>
        </row>
        <row r="3901">
          <cell r="A3901">
            <v>1500011590</v>
          </cell>
          <cell r="B3901">
            <v>24.3333333333333</v>
          </cell>
        </row>
        <row r="3902">
          <cell r="A3902">
            <v>1500011592</v>
          </cell>
          <cell r="B3902">
            <v>0</v>
          </cell>
        </row>
        <row r="3903">
          <cell r="A3903">
            <v>1500011594</v>
          </cell>
          <cell r="B3903">
            <v>40.6666666666667</v>
          </cell>
        </row>
        <row r="3904">
          <cell r="A3904">
            <v>1500011598</v>
          </cell>
          <cell r="B3904">
            <v>0</v>
          </cell>
        </row>
        <row r="3905">
          <cell r="A3905">
            <v>1500011601</v>
          </cell>
          <cell r="B3905">
            <v>24.1666666666667</v>
          </cell>
        </row>
        <row r="3906">
          <cell r="A3906">
            <v>1500011602</v>
          </cell>
          <cell r="B3906">
            <v>4.5833333333333304</v>
          </cell>
        </row>
        <row r="3907">
          <cell r="A3907">
            <v>1500011603</v>
          </cell>
          <cell r="B3907">
            <v>0</v>
          </cell>
        </row>
        <row r="3908">
          <cell r="A3908">
            <v>1500011605</v>
          </cell>
          <cell r="B3908">
            <v>1.6666666666666701</v>
          </cell>
        </row>
        <row r="3909">
          <cell r="A3909">
            <v>1500011606</v>
          </cell>
          <cell r="B3909">
            <v>64.1666666666667</v>
          </cell>
        </row>
        <row r="3910">
          <cell r="A3910">
            <v>1500011608</v>
          </cell>
          <cell r="B3910">
            <v>0</v>
          </cell>
        </row>
        <row r="3911">
          <cell r="A3911">
            <v>1500011609</v>
          </cell>
          <cell r="B3911">
            <v>29.0833333333333</v>
          </cell>
        </row>
        <row r="3912">
          <cell r="A3912">
            <v>1500011610</v>
          </cell>
          <cell r="B3912">
            <v>31</v>
          </cell>
        </row>
        <row r="3913">
          <cell r="A3913">
            <v>1500011611</v>
          </cell>
          <cell r="B3913">
            <v>5.5</v>
          </cell>
        </row>
        <row r="3914">
          <cell r="A3914">
            <v>1500011613</v>
          </cell>
          <cell r="B3914">
            <v>3.5</v>
          </cell>
        </row>
        <row r="3915">
          <cell r="A3915">
            <v>1500011615</v>
          </cell>
          <cell r="B3915">
            <v>32.1666666666667</v>
          </cell>
        </row>
        <row r="3916">
          <cell r="A3916">
            <v>1500011661</v>
          </cell>
          <cell r="B3916">
            <v>5.8333333333333304</v>
          </cell>
        </row>
        <row r="3917">
          <cell r="A3917">
            <v>1500011664</v>
          </cell>
          <cell r="B3917">
            <v>0</v>
          </cell>
        </row>
        <row r="3918">
          <cell r="A3918">
            <v>1500011665</v>
          </cell>
          <cell r="B3918">
            <v>10</v>
          </cell>
        </row>
        <row r="3919">
          <cell r="A3919">
            <v>1500011668</v>
          </cell>
          <cell r="B3919">
            <v>14.4166666666667</v>
          </cell>
        </row>
        <row r="3920">
          <cell r="A3920">
            <v>1500011669</v>
          </cell>
          <cell r="B3920">
            <v>28.5</v>
          </cell>
        </row>
        <row r="3921">
          <cell r="A3921">
            <v>1500011399</v>
          </cell>
          <cell r="B3921">
            <v>23.8333333333333</v>
          </cell>
        </row>
        <row r="3922">
          <cell r="A3922">
            <v>1500011400</v>
          </cell>
          <cell r="B3922">
            <v>9.3333333333333304</v>
          </cell>
        </row>
        <row r="3923">
          <cell r="A3923">
            <v>1500011401</v>
          </cell>
          <cell r="B3923">
            <v>48.6666666666667</v>
          </cell>
        </row>
        <row r="3924">
          <cell r="A3924">
            <v>1500011402</v>
          </cell>
          <cell r="B3924">
            <v>4.3333333333333304</v>
          </cell>
        </row>
        <row r="3925">
          <cell r="A3925">
            <v>1500011406</v>
          </cell>
          <cell r="B3925">
            <v>0</v>
          </cell>
        </row>
        <row r="3926">
          <cell r="A3926">
            <v>1500011407</v>
          </cell>
          <cell r="B3926">
            <v>15</v>
          </cell>
        </row>
        <row r="3927">
          <cell r="A3927">
            <v>1500011554</v>
          </cell>
          <cell r="B3927">
            <v>0</v>
          </cell>
        </row>
        <row r="3928">
          <cell r="A3928">
            <v>1500011560</v>
          </cell>
          <cell r="B3928">
            <v>0</v>
          </cell>
        </row>
        <row r="3929">
          <cell r="A3929">
            <v>1500011410</v>
          </cell>
          <cell r="B3929">
            <v>101.166666666667</v>
          </cell>
        </row>
        <row r="3930">
          <cell r="A3930">
            <v>1500011411</v>
          </cell>
          <cell r="B3930">
            <v>47.5</v>
          </cell>
        </row>
        <row r="3931">
          <cell r="A3931">
            <v>1500011412</v>
          </cell>
          <cell r="B3931">
            <v>58.3333333333333</v>
          </cell>
        </row>
        <row r="3932">
          <cell r="A3932">
            <v>1500011413</v>
          </cell>
          <cell r="B3932">
            <v>0</v>
          </cell>
        </row>
        <row r="3933">
          <cell r="A3933">
            <v>1500011414</v>
          </cell>
          <cell r="B3933">
            <v>1.6666666666666701</v>
          </cell>
        </row>
        <row r="3934">
          <cell r="A3934">
            <v>1500011415</v>
          </cell>
          <cell r="B3934">
            <v>17.5</v>
          </cell>
        </row>
        <row r="3935">
          <cell r="A3935">
            <v>1500011416</v>
          </cell>
          <cell r="B3935">
            <v>16.6666666666667</v>
          </cell>
        </row>
        <row r="3936">
          <cell r="A3936">
            <v>1500011417</v>
          </cell>
          <cell r="B3936">
            <v>16</v>
          </cell>
        </row>
        <row r="3937">
          <cell r="A3937">
            <v>1500011419</v>
          </cell>
          <cell r="B3937">
            <v>4.1666666666666696</v>
          </cell>
        </row>
        <row r="3938">
          <cell r="A3938">
            <v>1500011420</v>
          </cell>
          <cell r="B3938">
            <v>0</v>
          </cell>
        </row>
        <row r="3939">
          <cell r="A3939">
            <v>1500011421</v>
          </cell>
          <cell r="B3939">
            <v>0</v>
          </cell>
        </row>
        <row r="3940">
          <cell r="A3940">
            <v>1500013486</v>
          </cell>
          <cell r="B3940">
            <v>0</v>
          </cell>
        </row>
        <row r="3941">
          <cell r="A3941">
            <v>1500013789</v>
          </cell>
          <cell r="B3941">
            <v>0</v>
          </cell>
        </row>
        <row r="3942">
          <cell r="A3942">
            <v>1500011424</v>
          </cell>
          <cell r="B3942">
            <v>9.3333333333333304</v>
          </cell>
        </row>
        <row r="3943">
          <cell r="A3943">
            <v>1500015243</v>
          </cell>
          <cell r="B3943">
            <v>0</v>
          </cell>
        </row>
        <row r="3944">
          <cell r="A3944">
            <v>1500015334</v>
          </cell>
          <cell r="B3944">
            <v>4.5833333333333304</v>
          </cell>
        </row>
        <row r="3945">
          <cell r="A3945">
            <v>1500011429</v>
          </cell>
          <cell r="B3945">
            <v>3.75</v>
          </cell>
        </row>
        <row r="3946">
          <cell r="A3946">
            <v>1500011430</v>
          </cell>
          <cell r="B3946">
            <v>31.8333333333333</v>
          </cell>
        </row>
        <row r="3947">
          <cell r="A3947">
            <v>1500012831</v>
          </cell>
          <cell r="B3947">
            <v>45.716666666666697</v>
          </cell>
        </row>
        <row r="3948">
          <cell r="A3948">
            <v>1500013790</v>
          </cell>
          <cell r="B3948">
            <v>5</v>
          </cell>
        </row>
        <row r="3949">
          <cell r="A3949">
            <v>1500015305</v>
          </cell>
          <cell r="B3949">
            <v>5</v>
          </cell>
        </row>
        <row r="3950">
          <cell r="A3950">
            <v>1500012010</v>
          </cell>
          <cell r="B3950">
            <v>13.3333333333333</v>
          </cell>
        </row>
        <row r="3951">
          <cell r="A3951">
            <v>1500012011</v>
          </cell>
          <cell r="B3951">
            <v>0</v>
          </cell>
        </row>
        <row r="3952">
          <cell r="A3952">
            <v>1500012012</v>
          </cell>
          <cell r="B3952">
            <v>0</v>
          </cell>
        </row>
        <row r="3953">
          <cell r="A3953">
            <v>1500012013</v>
          </cell>
          <cell r="B3953">
            <v>0</v>
          </cell>
        </row>
        <row r="3954">
          <cell r="A3954">
            <v>1500012015</v>
          </cell>
          <cell r="B3954">
            <v>0</v>
          </cell>
        </row>
        <row r="3955">
          <cell r="A3955">
            <v>1500012016</v>
          </cell>
          <cell r="B3955">
            <v>0</v>
          </cell>
        </row>
        <row r="3956">
          <cell r="A3956">
            <v>1500012017</v>
          </cell>
          <cell r="B3956">
            <v>7.5833333333333304</v>
          </cell>
        </row>
        <row r="3957">
          <cell r="A3957">
            <v>1500012018</v>
          </cell>
          <cell r="B3957">
            <v>14.1666666666667</v>
          </cell>
        </row>
        <row r="3958">
          <cell r="A3958">
            <v>1500012019</v>
          </cell>
          <cell r="B3958">
            <v>42.5</v>
          </cell>
        </row>
        <row r="3959">
          <cell r="A3959">
            <v>1500012024</v>
          </cell>
          <cell r="B3959">
            <v>0</v>
          </cell>
        </row>
        <row r="3960">
          <cell r="A3960">
            <v>1500012026</v>
          </cell>
          <cell r="B3960">
            <v>0</v>
          </cell>
        </row>
        <row r="3961">
          <cell r="A3961">
            <v>1500012027</v>
          </cell>
          <cell r="B3961">
            <v>0</v>
          </cell>
        </row>
        <row r="3962">
          <cell r="A3962">
            <v>1500012029</v>
          </cell>
          <cell r="B3962">
            <v>15</v>
          </cell>
        </row>
        <row r="3963">
          <cell r="A3963">
            <v>1500012036</v>
          </cell>
          <cell r="B3963">
            <v>5.6666666666666696</v>
          </cell>
        </row>
        <row r="3964">
          <cell r="A3964">
            <v>1500012039</v>
          </cell>
          <cell r="B3964">
            <v>15</v>
          </cell>
        </row>
        <row r="3965">
          <cell r="A3965">
            <v>1500012043</v>
          </cell>
          <cell r="B3965">
            <v>20</v>
          </cell>
        </row>
        <row r="3966">
          <cell r="A3966">
            <v>1500012045</v>
          </cell>
          <cell r="B3966">
            <v>0</v>
          </cell>
        </row>
        <row r="3967">
          <cell r="A3967">
            <v>1500012048</v>
          </cell>
          <cell r="B3967">
            <v>5.3333333333333304</v>
          </cell>
        </row>
        <row r="3968">
          <cell r="A3968">
            <v>1500012049</v>
          </cell>
          <cell r="B3968">
            <v>21.6666666666667</v>
          </cell>
        </row>
        <row r="3969">
          <cell r="A3969">
            <v>1500012051</v>
          </cell>
          <cell r="B3969">
            <v>15.8333333333333</v>
          </cell>
        </row>
        <row r="3970">
          <cell r="A3970">
            <v>1500012052</v>
          </cell>
          <cell r="B3970">
            <v>29.1666666666667</v>
          </cell>
        </row>
        <row r="3971">
          <cell r="A3971">
            <v>1500012056</v>
          </cell>
          <cell r="B3971">
            <v>0</v>
          </cell>
        </row>
        <row r="3972">
          <cell r="A3972">
            <v>1500012058</v>
          </cell>
          <cell r="B3972">
            <v>0</v>
          </cell>
        </row>
        <row r="3973">
          <cell r="A3973">
            <v>1500012059</v>
          </cell>
          <cell r="B3973">
            <v>0</v>
          </cell>
        </row>
        <row r="3974">
          <cell r="A3974">
            <v>1500012063</v>
          </cell>
          <cell r="B3974">
            <v>0</v>
          </cell>
        </row>
        <row r="3975">
          <cell r="A3975">
            <v>1500012066</v>
          </cell>
          <cell r="B3975">
            <v>0</v>
          </cell>
        </row>
        <row r="3976">
          <cell r="A3976">
            <v>1500012068</v>
          </cell>
          <cell r="B3976">
            <v>0</v>
          </cell>
        </row>
        <row r="3977">
          <cell r="A3977">
            <v>1500012069</v>
          </cell>
          <cell r="B3977">
            <v>0</v>
          </cell>
        </row>
        <row r="3978">
          <cell r="A3978">
            <v>1500012070</v>
          </cell>
          <cell r="B3978">
            <v>16.25</v>
          </cell>
        </row>
        <row r="3979">
          <cell r="A3979">
            <v>1500011432</v>
          </cell>
          <cell r="B3979">
            <v>0</v>
          </cell>
        </row>
        <row r="3980">
          <cell r="A3980">
            <v>1500012072</v>
          </cell>
          <cell r="B3980">
            <v>0</v>
          </cell>
        </row>
        <row r="3981">
          <cell r="A3981">
            <v>1500012073</v>
          </cell>
          <cell r="B3981">
            <v>0</v>
          </cell>
        </row>
        <row r="3982">
          <cell r="A3982">
            <v>1500012074</v>
          </cell>
          <cell r="B3982">
            <v>0</v>
          </cell>
        </row>
        <row r="3983">
          <cell r="A3983">
            <v>1500012076</v>
          </cell>
          <cell r="B3983">
            <v>50.3333333333333</v>
          </cell>
        </row>
        <row r="3984">
          <cell r="A3984">
            <v>1500012517</v>
          </cell>
          <cell r="B3984">
            <v>5.0833333333333304</v>
          </cell>
        </row>
        <row r="3985">
          <cell r="A3985">
            <v>1500015291</v>
          </cell>
          <cell r="B3985">
            <v>22.5</v>
          </cell>
        </row>
        <row r="3986">
          <cell r="A3986">
            <v>1500001017</v>
          </cell>
          <cell r="B3986">
            <v>0</v>
          </cell>
        </row>
        <row r="3987">
          <cell r="A3987">
            <v>1500000610</v>
          </cell>
          <cell r="B3987">
            <v>0</v>
          </cell>
        </row>
        <row r="3988">
          <cell r="A3988">
            <v>1500001071</v>
          </cell>
          <cell r="B3988">
            <v>21</v>
          </cell>
        </row>
        <row r="3989">
          <cell r="A3989">
            <v>1500012314</v>
          </cell>
          <cell r="B3989">
            <v>69.1666666666667</v>
          </cell>
        </row>
        <row r="3990">
          <cell r="A3990">
            <v>1500012318</v>
          </cell>
          <cell r="B3990">
            <v>0</v>
          </cell>
        </row>
        <row r="3991">
          <cell r="A3991">
            <v>1500012319</v>
          </cell>
          <cell r="B3991">
            <v>0</v>
          </cell>
        </row>
        <row r="3992">
          <cell r="A3992">
            <v>1500012320</v>
          </cell>
          <cell r="B3992">
            <v>0</v>
          </cell>
        </row>
        <row r="3993">
          <cell r="A3993">
            <v>1500012321</v>
          </cell>
          <cell r="B3993">
            <v>4.1666666666666696</v>
          </cell>
        </row>
        <row r="3994">
          <cell r="A3994">
            <v>1500011422</v>
          </cell>
          <cell r="B3994">
            <v>0</v>
          </cell>
        </row>
        <row r="3995">
          <cell r="A3995">
            <v>1500012047</v>
          </cell>
          <cell r="B3995">
            <v>0</v>
          </cell>
        </row>
        <row r="3996">
          <cell r="A3996">
            <v>1500012064</v>
          </cell>
          <cell r="B3996">
            <v>0</v>
          </cell>
        </row>
        <row r="3997">
          <cell r="A3997">
            <v>1500012860</v>
          </cell>
          <cell r="B3997">
            <v>0</v>
          </cell>
        </row>
        <row r="3998">
          <cell r="A3998">
            <v>1500012862</v>
          </cell>
          <cell r="B3998">
            <v>0</v>
          </cell>
        </row>
        <row r="3999">
          <cell r="A3999">
            <v>1500013276</v>
          </cell>
          <cell r="B3999">
            <v>0</v>
          </cell>
        </row>
        <row r="4000">
          <cell r="A4000">
            <v>1500013314</v>
          </cell>
          <cell r="B4000">
            <v>14.1666666666667</v>
          </cell>
        </row>
        <row r="4001">
          <cell r="A4001">
            <v>1500013317</v>
          </cell>
          <cell r="B4001">
            <v>5</v>
          </cell>
        </row>
        <row r="4002">
          <cell r="A4002">
            <v>1500012375</v>
          </cell>
          <cell r="B4002">
            <v>2.9166666666666701</v>
          </cell>
        </row>
        <row r="4003">
          <cell r="A4003">
            <v>1500012422</v>
          </cell>
          <cell r="B4003">
            <v>16.0416666666667</v>
          </cell>
        </row>
        <row r="4004">
          <cell r="A4004">
            <v>1500013503</v>
          </cell>
          <cell r="B4004">
            <v>0</v>
          </cell>
        </row>
        <row r="4005">
          <cell r="A4005">
            <v>1500013504</v>
          </cell>
          <cell r="B4005">
            <v>0</v>
          </cell>
        </row>
        <row r="4006">
          <cell r="A4006">
            <v>1500014528</v>
          </cell>
          <cell r="B4006">
            <v>0</v>
          </cell>
        </row>
        <row r="4007">
          <cell r="A4007">
            <v>1500012471</v>
          </cell>
          <cell r="B4007">
            <v>14.8333333333333</v>
          </cell>
        </row>
        <row r="4008">
          <cell r="A4008">
            <v>1500012490</v>
          </cell>
          <cell r="B4008">
            <v>2.5</v>
          </cell>
        </row>
        <row r="4009">
          <cell r="A4009">
            <v>1500012491</v>
          </cell>
          <cell r="B4009">
            <v>0</v>
          </cell>
        </row>
        <row r="4010">
          <cell r="A4010">
            <v>1500012493</v>
          </cell>
          <cell r="B4010">
            <v>0</v>
          </cell>
        </row>
        <row r="4011">
          <cell r="A4011">
            <v>1500012543</v>
          </cell>
          <cell r="B4011">
            <v>15.3333333333333</v>
          </cell>
        </row>
        <row r="4012">
          <cell r="A4012">
            <v>1500012545</v>
          </cell>
          <cell r="B4012">
            <v>0.58333333333333304</v>
          </cell>
        </row>
        <row r="4013">
          <cell r="A4013">
            <v>1500012547</v>
          </cell>
          <cell r="B4013">
            <v>216.816666666667</v>
          </cell>
        </row>
        <row r="4014">
          <cell r="A4014">
            <v>1500012548</v>
          </cell>
          <cell r="B4014">
            <v>13</v>
          </cell>
        </row>
        <row r="4015">
          <cell r="A4015">
            <v>1500012549</v>
          </cell>
          <cell r="B4015">
            <v>269.79166666666703</v>
          </cell>
        </row>
        <row r="4016">
          <cell r="A4016">
            <v>1500012550</v>
          </cell>
          <cell r="B4016">
            <v>5.1666666666666696</v>
          </cell>
        </row>
        <row r="4017">
          <cell r="A4017">
            <v>1500012551</v>
          </cell>
          <cell r="B4017">
            <v>0</v>
          </cell>
        </row>
        <row r="4018">
          <cell r="A4018">
            <v>1500012581</v>
          </cell>
          <cell r="B4018">
            <v>0</v>
          </cell>
        </row>
        <row r="4019">
          <cell r="A4019">
            <v>1500012600</v>
          </cell>
          <cell r="B4019">
            <v>5</v>
          </cell>
        </row>
        <row r="4020">
          <cell r="A4020">
            <v>1500012601</v>
          </cell>
          <cell r="B4020">
            <v>52.25</v>
          </cell>
        </row>
        <row r="4021">
          <cell r="A4021">
            <v>1500012583</v>
          </cell>
          <cell r="B4021">
            <v>0</v>
          </cell>
        </row>
        <row r="4022">
          <cell r="A4022">
            <v>1500000961</v>
          </cell>
          <cell r="B4022">
            <v>0</v>
          </cell>
        </row>
        <row r="4023">
          <cell r="A4023">
            <v>1500012617</v>
          </cell>
          <cell r="B4023">
            <v>5.8333333333333304</v>
          </cell>
        </row>
        <row r="4024">
          <cell r="A4024">
            <v>1500012618</v>
          </cell>
          <cell r="B4024">
            <v>2.6666666666666701</v>
          </cell>
        </row>
        <row r="4025">
          <cell r="A4025">
            <v>1500012620</v>
          </cell>
          <cell r="B4025">
            <v>0</v>
          </cell>
        </row>
        <row r="4026">
          <cell r="A4026">
            <v>1500012621</v>
          </cell>
          <cell r="B4026">
            <v>0</v>
          </cell>
        </row>
        <row r="4027">
          <cell r="A4027">
            <v>1500012622</v>
          </cell>
          <cell r="B4027">
            <v>0</v>
          </cell>
        </row>
        <row r="4028">
          <cell r="A4028">
            <v>1500010849</v>
          </cell>
          <cell r="B4028">
            <v>0</v>
          </cell>
        </row>
        <row r="4029">
          <cell r="A4029">
            <v>1500012673</v>
          </cell>
          <cell r="B4029">
            <v>26.625</v>
          </cell>
        </row>
        <row r="4030">
          <cell r="A4030">
            <v>1500012640</v>
          </cell>
          <cell r="B4030">
            <v>11.741666666666699</v>
          </cell>
        </row>
        <row r="4031">
          <cell r="A4031">
            <v>1500012641</v>
          </cell>
          <cell r="B4031">
            <v>83.25</v>
          </cell>
        </row>
        <row r="4032">
          <cell r="A4032">
            <v>1500012642</v>
          </cell>
          <cell r="B4032">
            <v>16.1666666666667</v>
          </cell>
        </row>
        <row r="4033">
          <cell r="A4033">
            <v>1500012688</v>
          </cell>
          <cell r="B4033">
            <v>9.8333333333333304</v>
          </cell>
        </row>
        <row r="4034">
          <cell r="A4034">
            <v>1500012751</v>
          </cell>
          <cell r="B4034">
            <v>0</v>
          </cell>
        </row>
        <row r="4035">
          <cell r="A4035">
            <v>1500012753</v>
          </cell>
          <cell r="B4035">
            <v>31.9166666666667</v>
          </cell>
        </row>
        <row r="4036">
          <cell r="A4036">
            <v>1500012785</v>
          </cell>
          <cell r="B4036">
            <v>16.6666666666667</v>
          </cell>
        </row>
        <row r="4037">
          <cell r="A4037">
            <v>1500012786</v>
          </cell>
          <cell r="B4037">
            <v>0</v>
          </cell>
        </row>
        <row r="4038">
          <cell r="A4038">
            <v>1500012787</v>
          </cell>
          <cell r="B4038">
            <v>50.5</v>
          </cell>
        </row>
        <row r="4039">
          <cell r="A4039">
            <v>1500012788</v>
          </cell>
          <cell r="B4039">
            <v>16.6666666666667</v>
          </cell>
        </row>
        <row r="4040">
          <cell r="A4040">
            <v>1500012740</v>
          </cell>
          <cell r="B4040">
            <v>70.6666666666667</v>
          </cell>
        </row>
        <row r="4041">
          <cell r="A4041">
            <v>1500012714</v>
          </cell>
          <cell r="B4041">
            <v>13.8333333333333</v>
          </cell>
        </row>
        <row r="4042">
          <cell r="A4042">
            <v>1500012761</v>
          </cell>
          <cell r="B4042">
            <v>49.5416666666667</v>
          </cell>
        </row>
        <row r="4043">
          <cell r="A4043">
            <v>1500012762</v>
          </cell>
          <cell r="B4043">
            <v>9.3333333333333304</v>
          </cell>
        </row>
        <row r="4044">
          <cell r="A4044">
            <v>1500012763</v>
          </cell>
          <cell r="B4044">
            <v>15.133333333333301</v>
          </cell>
        </row>
        <row r="4045">
          <cell r="A4045">
            <v>1500012742</v>
          </cell>
          <cell r="B4045">
            <v>2.4166666666666701</v>
          </cell>
        </row>
        <row r="4046">
          <cell r="A4046">
            <v>1500012764</v>
          </cell>
          <cell r="B4046">
            <v>23.3333333333333</v>
          </cell>
        </row>
        <row r="4047">
          <cell r="A4047">
            <v>1500012765</v>
          </cell>
          <cell r="B4047">
            <v>0</v>
          </cell>
        </row>
        <row r="4048">
          <cell r="A4048">
            <v>1500012743</v>
          </cell>
          <cell r="B4048">
            <v>8.3333333333333304</v>
          </cell>
        </row>
        <row r="4049">
          <cell r="A4049">
            <v>1500012744</v>
          </cell>
          <cell r="B4049">
            <v>1.3333333333333299</v>
          </cell>
        </row>
        <row r="4050">
          <cell r="A4050">
            <v>1500001072</v>
          </cell>
          <cell r="B4050">
            <v>0</v>
          </cell>
        </row>
        <row r="4051">
          <cell r="A4051">
            <v>1500011557</v>
          </cell>
          <cell r="B4051">
            <v>0</v>
          </cell>
        </row>
        <row r="4052">
          <cell r="A4052">
            <v>1500012028</v>
          </cell>
          <cell r="B4052">
            <v>0</v>
          </cell>
        </row>
        <row r="4053">
          <cell r="A4053">
            <v>1500012825</v>
          </cell>
          <cell r="B4053">
            <v>0</v>
          </cell>
        </row>
        <row r="4054">
          <cell r="A4054">
            <v>1500012830</v>
          </cell>
          <cell r="B4054">
            <v>23.3333333333333</v>
          </cell>
        </row>
        <row r="4055">
          <cell r="A4055">
            <v>1500012992</v>
          </cell>
          <cell r="B4055">
            <v>0</v>
          </cell>
        </row>
        <row r="4056">
          <cell r="A4056">
            <v>1500012840</v>
          </cell>
          <cell r="B4056">
            <v>30.8333333333333</v>
          </cell>
        </row>
        <row r="4057">
          <cell r="A4057">
            <v>1500013332</v>
          </cell>
          <cell r="B4057">
            <v>0</v>
          </cell>
        </row>
        <row r="4058">
          <cell r="A4058">
            <v>1500015245</v>
          </cell>
          <cell r="B4058">
            <v>46.625</v>
          </cell>
        </row>
        <row r="4059">
          <cell r="A4059">
            <v>1500012863</v>
          </cell>
          <cell r="B4059">
            <v>0</v>
          </cell>
        </row>
        <row r="4060">
          <cell r="A4060">
            <v>1500012864</v>
          </cell>
          <cell r="B4060">
            <v>0</v>
          </cell>
        </row>
        <row r="4061">
          <cell r="A4061">
            <v>1500012865</v>
          </cell>
          <cell r="B4061">
            <v>30</v>
          </cell>
        </row>
        <row r="4062">
          <cell r="A4062">
            <v>1500012867</v>
          </cell>
          <cell r="B4062">
            <v>43.1666666666667</v>
          </cell>
        </row>
        <row r="4063">
          <cell r="A4063">
            <v>1500012870</v>
          </cell>
          <cell r="B4063">
            <v>0</v>
          </cell>
        </row>
        <row r="4064">
          <cell r="A4064">
            <v>1500012872</v>
          </cell>
          <cell r="B4064">
            <v>0</v>
          </cell>
        </row>
        <row r="4065">
          <cell r="A4065">
            <v>1500015336</v>
          </cell>
          <cell r="B4065">
            <v>29.9166666666667</v>
          </cell>
        </row>
        <row r="4066">
          <cell r="A4066">
            <v>1500012874</v>
          </cell>
          <cell r="B4066">
            <v>46.8333333333333</v>
          </cell>
        </row>
        <row r="4067">
          <cell r="A4067">
            <v>1500012875</v>
          </cell>
          <cell r="B4067">
            <v>70.3333333333333</v>
          </cell>
        </row>
        <row r="4068">
          <cell r="A4068">
            <v>1500012880</v>
          </cell>
          <cell r="B4068">
            <v>23.975000000000001</v>
          </cell>
        </row>
        <row r="4069">
          <cell r="A4069">
            <v>1500012881</v>
          </cell>
          <cell r="B4069">
            <v>20.1666666666667</v>
          </cell>
        </row>
        <row r="4070">
          <cell r="A4070">
            <v>1500012882</v>
          </cell>
          <cell r="B4070">
            <v>77</v>
          </cell>
        </row>
        <row r="4071">
          <cell r="A4071">
            <v>1500012883</v>
          </cell>
          <cell r="B4071">
            <v>0</v>
          </cell>
        </row>
        <row r="4072">
          <cell r="A4072">
            <v>1500012891</v>
          </cell>
          <cell r="B4072">
            <v>0</v>
          </cell>
        </row>
        <row r="4073">
          <cell r="A4073">
            <v>1500012892</v>
          </cell>
          <cell r="B4073">
            <v>9.1666666666666696</v>
          </cell>
        </row>
        <row r="4074">
          <cell r="A4074">
            <v>1500012893</v>
          </cell>
          <cell r="B4074">
            <v>0</v>
          </cell>
        </row>
        <row r="4075">
          <cell r="A4075">
            <v>1500000175</v>
          </cell>
          <cell r="B4075">
            <v>0</v>
          </cell>
        </row>
        <row r="4076">
          <cell r="A4076">
            <v>1500012991</v>
          </cell>
          <cell r="B4076">
            <v>0</v>
          </cell>
        </row>
        <row r="4077">
          <cell r="A4077">
            <v>1500012993</v>
          </cell>
          <cell r="B4077">
            <v>0</v>
          </cell>
        </row>
        <row r="4078">
          <cell r="A4078">
            <v>1500000145</v>
          </cell>
          <cell r="B4078">
            <v>0</v>
          </cell>
        </row>
        <row r="4079">
          <cell r="A4079">
            <v>1500013067</v>
          </cell>
          <cell r="B4079">
            <v>25.1666666666667</v>
          </cell>
        </row>
        <row r="4080">
          <cell r="A4080">
            <v>1500013086</v>
          </cell>
          <cell r="B4080">
            <v>0</v>
          </cell>
        </row>
        <row r="4081">
          <cell r="A4081">
            <v>1500013087</v>
          </cell>
          <cell r="B4081">
            <v>21.25</v>
          </cell>
        </row>
        <row r="4082">
          <cell r="A4082">
            <v>1500013088</v>
          </cell>
          <cell r="B4082">
            <v>5.4166666666666696</v>
          </cell>
        </row>
        <row r="4083">
          <cell r="A4083">
            <v>1500013089</v>
          </cell>
          <cell r="B4083">
            <v>5.6666666666666696</v>
          </cell>
        </row>
        <row r="4084">
          <cell r="A4084">
            <v>1500013090</v>
          </cell>
          <cell r="B4084">
            <v>0</v>
          </cell>
        </row>
        <row r="4085">
          <cell r="A4085">
            <v>1500013097</v>
          </cell>
          <cell r="B4085">
            <v>2.5</v>
          </cell>
        </row>
        <row r="4086">
          <cell r="A4086">
            <v>1500013116</v>
          </cell>
          <cell r="B4086">
            <v>0</v>
          </cell>
        </row>
        <row r="4087">
          <cell r="A4087">
            <v>1500013128</v>
          </cell>
          <cell r="B4087">
            <v>0</v>
          </cell>
        </row>
        <row r="4088">
          <cell r="A4088">
            <v>1500013165</v>
          </cell>
          <cell r="B4088">
            <v>6.6666666666666696</v>
          </cell>
        </row>
        <row r="4089">
          <cell r="A4089">
            <v>1500013167</v>
          </cell>
          <cell r="B4089">
            <v>0</v>
          </cell>
        </row>
        <row r="4090">
          <cell r="A4090">
            <v>1500013169</v>
          </cell>
          <cell r="B4090">
            <v>54.4166666666667</v>
          </cell>
        </row>
        <row r="4091">
          <cell r="A4091">
            <v>1500013177</v>
          </cell>
          <cell r="B4091">
            <v>28.1666666666667</v>
          </cell>
        </row>
        <row r="4092">
          <cell r="A4092">
            <v>1500013178</v>
          </cell>
          <cell r="B4092">
            <v>46.6666666666667</v>
          </cell>
        </row>
        <row r="4093">
          <cell r="A4093">
            <v>1500013179</v>
          </cell>
          <cell r="B4093">
            <v>0</v>
          </cell>
        </row>
        <row r="4094">
          <cell r="A4094">
            <v>1500013170</v>
          </cell>
          <cell r="B4094">
            <v>41.0833333333333</v>
          </cell>
        </row>
        <row r="4095">
          <cell r="A4095">
            <v>1500013172</v>
          </cell>
          <cell r="B4095">
            <v>0</v>
          </cell>
        </row>
        <row r="4096">
          <cell r="A4096">
            <v>1500013173</v>
          </cell>
          <cell r="B4096">
            <v>6.6666666666666696</v>
          </cell>
        </row>
        <row r="4097">
          <cell r="A4097">
            <v>1500013175</v>
          </cell>
          <cell r="B4097">
            <v>0</v>
          </cell>
        </row>
        <row r="4098">
          <cell r="A4098">
            <v>1500013180</v>
          </cell>
          <cell r="B4098">
            <v>16.6666666666667</v>
          </cell>
        </row>
        <row r="4099">
          <cell r="A4099">
            <v>1500012062</v>
          </cell>
          <cell r="B4099">
            <v>0</v>
          </cell>
        </row>
        <row r="4100">
          <cell r="A4100">
            <v>1500013242</v>
          </cell>
          <cell r="B4100">
            <v>0</v>
          </cell>
        </row>
        <row r="4101">
          <cell r="A4101">
            <v>1500013213</v>
          </cell>
          <cell r="B4101">
            <v>0</v>
          </cell>
        </row>
        <row r="4102">
          <cell r="A4102">
            <v>1500013249</v>
          </cell>
          <cell r="B4102">
            <v>0</v>
          </cell>
        </row>
        <row r="4103">
          <cell r="A4103">
            <v>1500013277</v>
          </cell>
          <cell r="B4103">
            <v>0</v>
          </cell>
        </row>
        <row r="4104">
          <cell r="A4104">
            <v>1500013279</v>
          </cell>
          <cell r="B4104">
            <v>15.8333333333333</v>
          </cell>
        </row>
        <row r="4105">
          <cell r="A4105">
            <v>1500013280</v>
          </cell>
          <cell r="B4105">
            <v>13.3333333333333</v>
          </cell>
        </row>
        <row r="4106">
          <cell r="A4106">
            <v>1500013284</v>
          </cell>
          <cell r="B4106">
            <v>0</v>
          </cell>
        </row>
        <row r="4107">
          <cell r="A4107">
            <v>1500013312</v>
          </cell>
          <cell r="B4107">
            <v>0</v>
          </cell>
        </row>
        <row r="4108">
          <cell r="A4108">
            <v>1500013313</v>
          </cell>
          <cell r="B4108">
            <v>0</v>
          </cell>
        </row>
        <row r="4109">
          <cell r="A4109">
            <v>1500012523</v>
          </cell>
          <cell r="B4109">
            <v>0</v>
          </cell>
        </row>
        <row r="4110">
          <cell r="A4110">
            <v>1500013318</v>
          </cell>
          <cell r="B4110">
            <v>7.5</v>
          </cell>
        </row>
        <row r="4111">
          <cell r="A4111">
            <v>1500012538</v>
          </cell>
          <cell r="B4111">
            <v>10</v>
          </cell>
        </row>
        <row r="4112">
          <cell r="A4112">
            <v>1500013321</v>
          </cell>
          <cell r="B4112">
            <v>17.5</v>
          </cell>
        </row>
        <row r="4113">
          <cell r="A4113">
            <v>1500013322</v>
          </cell>
          <cell r="B4113">
            <v>16.6666666666667</v>
          </cell>
        </row>
        <row r="4114">
          <cell r="A4114">
            <v>1500001128</v>
          </cell>
          <cell r="B4114">
            <v>0</v>
          </cell>
        </row>
        <row r="4115">
          <cell r="A4115">
            <v>1500013335</v>
          </cell>
          <cell r="B4115">
            <v>15.25</v>
          </cell>
        </row>
        <row r="4116">
          <cell r="A4116">
            <v>1500013336</v>
          </cell>
          <cell r="B4116">
            <v>0</v>
          </cell>
        </row>
        <row r="4117">
          <cell r="A4117">
            <v>1500013337</v>
          </cell>
          <cell r="B4117">
            <v>0</v>
          </cell>
        </row>
        <row r="4118">
          <cell r="A4118">
            <v>1500013338</v>
          </cell>
          <cell r="B4118">
            <v>10.1666666666667</v>
          </cell>
        </row>
        <row r="4119">
          <cell r="A4119">
            <v>1500013339</v>
          </cell>
          <cell r="B4119">
            <v>0</v>
          </cell>
        </row>
        <row r="4120">
          <cell r="A4120">
            <v>1500013413</v>
          </cell>
          <cell r="B4120">
            <v>12.6666666666667</v>
          </cell>
        </row>
        <row r="4121">
          <cell r="A4121">
            <v>1500013341</v>
          </cell>
          <cell r="B4121">
            <v>34.8333333333333</v>
          </cell>
        </row>
        <row r="4122">
          <cell r="A4122">
            <v>1500013340</v>
          </cell>
          <cell r="B4122">
            <v>37.5</v>
          </cell>
        </row>
        <row r="4123">
          <cell r="A4123">
            <v>1500013363</v>
          </cell>
          <cell r="B4123">
            <v>0</v>
          </cell>
        </row>
        <row r="4124">
          <cell r="A4124">
            <v>1500013366</v>
          </cell>
          <cell r="B4124">
            <v>95.8333333333333</v>
          </cell>
        </row>
        <row r="4125">
          <cell r="A4125">
            <v>1500013367</v>
          </cell>
          <cell r="B4125">
            <v>14.5833333333333</v>
          </cell>
        </row>
        <row r="4126">
          <cell r="A4126">
            <v>1500013374</v>
          </cell>
          <cell r="B4126">
            <v>5.8333333333333304</v>
          </cell>
        </row>
        <row r="4127">
          <cell r="A4127">
            <v>1500013376</v>
          </cell>
          <cell r="B4127">
            <v>0</v>
          </cell>
        </row>
        <row r="4128">
          <cell r="A4128">
            <v>1500013377</v>
          </cell>
          <cell r="B4128">
            <v>0</v>
          </cell>
        </row>
        <row r="4129">
          <cell r="A4129">
            <v>1500013378</v>
          </cell>
          <cell r="B4129">
            <v>0</v>
          </cell>
        </row>
        <row r="4130">
          <cell r="A4130">
            <v>1500013384</v>
          </cell>
          <cell r="B4130">
            <v>0</v>
          </cell>
        </row>
        <row r="4131">
          <cell r="A4131">
            <v>1500013385</v>
          </cell>
          <cell r="B4131">
            <v>19.1666666666667</v>
          </cell>
        </row>
        <row r="4132">
          <cell r="A4132">
            <v>1500013402</v>
          </cell>
          <cell r="B4132">
            <v>0</v>
          </cell>
        </row>
        <row r="4133">
          <cell r="A4133">
            <v>1500013403</v>
          </cell>
          <cell r="B4133">
            <v>0</v>
          </cell>
        </row>
        <row r="4134">
          <cell r="A4134">
            <v>1500013410</v>
          </cell>
          <cell r="B4134">
            <v>0</v>
          </cell>
        </row>
        <row r="4135">
          <cell r="A4135">
            <v>1500013411</v>
          </cell>
          <cell r="B4135">
            <v>27.25</v>
          </cell>
        </row>
        <row r="4136">
          <cell r="A4136">
            <v>1500013404</v>
          </cell>
          <cell r="B4136">
            <v>3.75</v>
          </cell>
        </row>
        <row r="4137">
          <cell r="A4137">
            <v>1500013412</v>
          </cell>
          <cell r="B4137">
            <v>36.3333333333333</v>
          </cell>
        </row>
        <row r="4138">
          <cell r="A4138">
            <v>1500013421</v>
          </cell>
          <cell r="B4138">
            <v>63.3333333333333</v>
          </cell>
        </row>
        <row r="4139">
          <cell r="A4139">
            <v>1500013422</v>
          </cell>
          <cell r="B4139">
            <v>0</v>
          </cell>
        </row>
        <row r="4140">
          <cell r="A4140">
            <v>1500013432</v>
          </cell>
          <cell r="B4140">
            <v>0</v>
          </cell>
        </row>
        <row r="4141">
          <cell r="A4141">
            <v>1500013435</v>
          </cell>
          <cell r="B4141">
            <v>5</v>
          </cell>
        </row>
        <row r="4142">
          <cell r="A4142">
            <v>1500013436</v>
          </cell>
          <cell r="B4142">
            <v>17.5</v>
          </cell>
        </row>
        <row r="4143">
          <cell r="A4143">
            <v>1500013470</v>
          </cell>
          <cell r="B4143">
            <v>0</v>
          </cell>
        </row>
        <row r="4144">
          <cell r="A4144">
            <v>1500013472</v>
          </cell>
          <cell r="B4144">
            <v>7.5</v>
          </cell>
        </row>
        <row r="4145">
          <cell r="A4145">
            <v>1500013482</v>
          </cell>
          <cell r="B4145">
            <v>52.5</v>
          </cell>
        </row>
        <row r="4146">
          <cell r="A4146">
            <v>1500013483</v>
          </cell>
          <cell r="B4146">
            <v>59.25</v>
          </cell>
        </row>
        <row r="4147">
          <cell r="A4147">
            <v>1500013487</v>
          </cell>
          <cell r="B4147">
            <v>0</v>
          </cell>
        </row>
        <row r="4148">
          <cell r="A4148">
            <v>1500013488</v>
          </cell>
          <cell r="B4148">
            <v>0</v>
          </cell>
        </row>
        <row r="4149">
          <cell r="A4149">
            <v>1500013505</v>
          </cell>
          <cell r="B4149">
            <v>0</v>
          </cell>
        </row>
        <row r="4150">
          <cell r="A4150">
            <v>1500013508</v>
          </cell>
          <cell r="B4150">
            <v>0</v>
          </cell>
        </row>
        <row r="4151">
          <cell r="A4151">
            <v>1500013510</v>
          </cell>
          <cell r="B4151">
            <v>70.75</v>
          </cell>
        </row>
        <row r="4152">
          <cell r="A4152">
            <v>1500013524</v>
          </cell>
          <cell r="B4152">
            <v>7.8333333333333304</v>
          </cell>
        </row>
        <row r="4153">
          <cell r="A4153">
            <v>1500013512</v>
          </cell>
          <cell r="B4153">
            <v>0</v>
          </cell>
        </row>
        <row r="4154">
          <cell r="A4154">
            <v>1500013532</v>
          </cell>
          <cell r="B4154">
            <v>46.6666666666667</v>
          </cell>
        </row>
        <row r="4155">
          <cell r="A4155">
            <v>1500013573</v>
          </cell>
          <cell r="B4155">
            <v>18.9166666666667</v>
          </cell>
        </row>
        <row r="4156">
          <cell r="A4156">
            <v>1500013608</v>
          </cell>
          <cell r="B4156">
            <v>0</v>
          </cell>
        </row>
        <row r="4157">
          <cell r="A4157">
            <v>1500013611</v>
          </cell>
          <cell r="B4157">
            <v>65.0833333333333</v>
          </cell>
        </row>
        <row r="4158">
          <cell r="A4158">
            <v>1500013613</v>
          </cell>
          <cell r="B4158">
            <v>15.4166666666667</v>
          </cell>
        </row>
        <row r="4159">
          <cell r="A4159">
            <v>1500013614</v>
          </cell>
          <cell r="B4159">
            <v>49.5</v>
          </cell>
        </row>
        <row r="4160">
          <cell r="A4160">
            <v>1500000219</v>
          </cell>
          <cell r="B4160">
            <v>0</v>
          </cell>
        </row>
        <row r="4161">
          <cell r="A4161">
            <v>1500001092</v>
          </cell>
          <cell r="B4161">
            <v>0</v>
          </cell>
        </row>
        <row r="4162">
          <cell r="A4162">
            <v>1500001063</v>
          </cell>
          <cell r="B4162">
            <v>0</v>
          </cell>
        </row>
        <row r="4163">
          <cell r="A4163">
            <v>1500001429</v>
          </cell>
          <cell r="B4163">
            <v>0</v>
          </cell>
        </row>
        <row r="4164">
          <cell r="A4164">
            <v>1500013632</v>
          </cell>
          <cell r="B4164">
            <v>0</v>
          </cell>
        </row>
        <row r="4165">
          <cell r="A4165">
            <v>1500013635</v>
          </cell>
          <cell r="B4165">
            <v>94.1666666666667</v>
          </cell>
        </row>
        <row r="4166">
          <cell r="A4166">
            <v>1500013636</v>
          </cell>
          <cell r="B4166">
            <v>0</v>
          </cell>
        </row>
        <row r="4167">
          <cell r="A4167">
            <v>1500013662</v>
          </cell>
          <cell r="B4167">
            <v>0</v>
          </cell>
        </row>
        <row r="4168">
          <cell r="A4168">
            <v>1500013663</v>
          </cell>
          <cell r="B4168">
            <v>31.6666666666667</v>
          </cell>
        </row>
        <row r="4169">
          <cell r="A4169">
            <v>1500013664</v>
          </cell>
          <cell r="B4169">
            <v>76.625</v>
          </cell>
        </row>
        <row r="4170">
          <cell r="A4170">
            <v>1500013673</v>
          </cell>
          <cell r="B4170">
            <v>0</v>
          </cell>
        </row>
        <row r="4171">
          <cell r="A4171">
            <v>1500013674</v>
          </cell>
          <cell r="B4171">
            <v>0</v>
          </cell>
        </row>
        <row r="4172">
          <cell r="A4172">
            <v>1500013675</v>
          </cell>
          <cell r="B4172">
            <v>39.8333333333333</v>
          </cell>
        </row>
        <row r="4173">
          <cell r="A4173">
            <v>1500013676</v>
          </cell>
          <cell r="B4173">
            <v>64.3333333333333</v>
          </cell>
        </row>
        <row r="4174">
          <cell r="A4174">
            <v>1500013665</v>
          </cell>
          <cell r="B4174">
            <v>0</v>
          </cell>
        </row>
        <row r="4175">
          <cell r="A4175">
            <v>1500013668</v>
          </cell>
          <cell r="B4175">
            <v>0</v>
          </cell>
        </row>
        <row r="4176">
          <cell r="A4176">
            <v>1500013701</v>
          </cell>
          <cell r="B4176">
            <v>0</v>
          </cell>
        </row>
        <row r="4177">
          <cell r="A4177">
            <v>1500013742</v>
          </cell>
          <cell r="B4177">
            <v>0</v>
          </cell>
        </row>
        <row r="4178">
          <cell r="A4178">
            <v>1500011654</v>
          </cell>
          <cell r="B4178">
            <v>12.5</v>
          </cell>
        </row>
        <row r="4179">
          <cell r="A4179">
            <v>1500011593</v>
          </cell>
          <cell r="B4179">
            <v>0</v>
          </cell>
        </row>
        <row r="4180">
          <cell r="A4180">
            <v>1500011408</v>
          </cell>
          <cell r="B4180">
            <v>3.3333333333333299</v>
          </cell>
        </row>
        <row r="4181">
          <cell r="A4181">
            <v>1500012528</v>
          </cell>
          <cell r="B4181">
            <v>0</v>
          </cell>
        </row>
        <row r="4182">
          <cell r="A4182">
            <v>1500013786</v>
          </cell>
          <cell r="B4182">
            <v>0</v>
          </cell>
        </row>
        <row r="4183">
          <cell r="A4183">
            <v>1500013788</v>
          </cell>
          <cell r="B4183">
            <v>13.3333333333333</v>
          </cell>
        </row>
        <row r="4184">
          <cell r="A4184">
            <v>1500013801</v>
          </cell>
          <cell r="B4184">
            <v>45.066666666666698</v>
          </cell>
        </row>
        <row r="4185">
          <cell r="A4185">
            <v>1500013802</v>
          </cell>
          <cell r="B4185">
            <v>46.0416666666667</v>
          </cell>
        </row>
        <row r="4186">
          <cell r="A4186">
            <v>1500013820</v>
          </cell>
          <cell r="B4186">
            <v>0</v>
          </cell>
        </row>
        <row r="4187">
          <cell r="A4187">
            <v>1500013804</v>
          </cell>
          <cell r="B4187">
            <v>91.8333333333333</v>
          </cell>
        </row>
        <row r="4188">
          <cell r="A4188">
            <v>1500013805</v>
          </cell>
          <cell r="B4188">
            <v>0</v>
          </cell>
        </row>
        <row r="4189">
          <cell r="A4189">
            <v>1500013806</v>
          </cell>
          <cell r="B4189">
            <v>0</v>
          </cell>
        </row>
        <row r="4190">
          <cell r="A4190">
            <v>1500013812</v>
          </cell>
          <cell r="B4190">
            <v>0</v>
          </cell>
        </row>
        <row r="4191">
          <cell r="A4191">
            <v>1500013814</v>
          </cell>
          <cell r="B4191">
            <v>5</v>
          </cell>
        </row>
        <row r="4192">
          <cell r="A4192">
            <v>1500013815</v>
          </cell>
          <cell r="B4192">
            <v>0</v>
          </cell>
        </row>
        <row r="4193">
          <cell r="A4193">
            <v>1500013816</v>
          </cell>
          <cell r="B4193">
            <v>1.6666666666666701</v>
          </cell>
        </row>
        <row r="4194">
          <cell r="A4194">
            <v>1500013818</v>
          </cell>
          <cell r="B4194">
            <v>15.8333333333333</v>
          </cell>
        </row>
        <row r="4195">
          <cell r="A4195">
            <v>1500013819</v>
          </cell>
          <cell r="B4195">
            <v>9.1666666666666696</v>
          </cell>
        </row>
        <row r="4196">
          <cell r="A4196">
            <v>1500013823</v>
          </cell>
          <cell r="B4196">
            <v>26</v>
          </cell>
        </row>
        <row r="4197">
          <cell r="A4197">
            <v>1500013825</v>
          </cell>
          <cell r="B4197">
            <v>13.3333333333333</v>
          </cell>
        </row>
        <row r="4198">
          <cell r="A4198">
            <v>1500013826</v>
          </cell>
          <cell r="B4198">
            <v>18</v>
          </cell>
        </row>
        <row r="4199">
          <cell r="A4199">
            <v>1500013827</v>
          </cell>
          <cell r="B4199">
            <v>7.5833333333333304</v>
          </cell>
        </row>
        <row r="4200">
          <cell r="A4200">
            <v>1500013824</v>
          </cell>
          <cell r="B4200">
            <v>0</v>
          </cell>
        </row>
        <row r="4201">
          <cell r="A4201">
            <v>1500013925</v>
          </cell>
          <cell r="B4201">
            <v>0</v>
          </cell>
        </row>
        <row r="4202">
          <cell r="A4202">
            <v>1500013862</v>
          </cell>
          <cell r="B4202">
            <v>20.1666666666667</v>
          </cell>
        </row>
        <row r="4203">
          <cell r="A4203">
            <v>1500013865</v>
          </cell>
          <cell r="B4203">
            <v>0</v>
          </cell>
        </row>
        <row r="4204">
          <cell r="A4204">
            <v>1500013869</v>
          </cell>
          <cell r="B4204">
            <v>60.3333333333333</v>
          </cell>
        </row>
        <row r="4205">
          <cell r="A4205">
            <v>1500013922</v>
          </cell>
          <cell r="B4205">
            <v>12.75</v>
          </cell>
        </row>
        <row r="4206">
          <cell r="A4206">
            <v>1500015306</v>
          </cell>
          <cell r="B4206">
            <v>41.6666666666667</v>
          </cell>
        </row>
        <row r="4207">
          <cell r="A4207">
            <v>1500015337</v>
          </cell>
          <cell r="B4207">
            <v>13.8333333333333</v>
          </cell>
        </row>
        <row r="4208">
          <cell r="A4208">
            <v>1500013982</v>
          </cell>
          <cell r="B4208">
            <v>20</v>
          </cell>
        </row>
        <row r="4209">
          <cell r="A4209">
            <v>1500013984</v>
          </cell>
          <cell r="B4209">
            <v>0</v>
          </cell>
        </row>
        <row r="4210">
          <cell r="A4210">
            <v>1500014022</v>
          </cell>
          <cell r="B4210">
            <v>0</v>
          </cell>
        </row>
        <row r="4211">
          <cell r="A4211">
            <v>1500014012</v>
          </cell>
          <cell r="B4211">
            <v>0</v>
          </cell>
        </row>
        <row r="4212">
          <cell r="A4212">
            <v>1500014013</v>
          </cell>
          <cell r="B4212">
            <v>14.1666666666667</v>
          </cell>
        </row>
        <row r="4213">
          <cell r="A4213">
            <v>1500014025</v>
          </cell>
          <cell r="B4213">
            <v>27.5</v>
          </cell>
        </row>
        <row r="4214">
          <cell r="A4214">
            <v>1500014075</v>
          </cell>
          <cell r="B4214">
            <v>3.75</v>
          </cell>
        </row>
        <row r="4215">
          <cell r="A4215">
            <v>1500014064</v>
          </cell>
          <cell r="B4215">
            <v>0</v>
          </cell>
        </row>
        <row r="4216">
          <cell r="A4216">
            <v>1500011591</v>
          </cell>
          <cell r="B4216">
            <v>0</v>
          </cell>
        </row>
        <row r="4217">
          <cell r="A4217">
            <v>1500011423</v>
          </cell>
          <cell r="B4217">
            <v>0</v>
          </cell>
        </row>
        <row r="4218">
          <cell r="A4218">
            <v>1500014084</v>
          </cell>
          <cell r="B4218">
            <v>15.8333333333333</v>
          </cell>
        </row>
        <row r="4219">
          <cell r="A4219">
            <v>1500014173</v>
          </cell>
          <cell r="B4219">
            <v>35.8333333333333</v>
          </cell>
        </row>
        <row r="4220">
          <cell r="A4220">
            <v>1500014177</v>
          </cell>
          <cell r="B4220">
            <v>32.5</v>
          </cell>
        </row>
        <row r="4221">
          <cell r="A4221">
            <v>1500014178</v>
          </cell>
          <cell r="B4221">
            <v>0</v>
          </cell>
        </row>
        <row r="4222">
          <cell r="A4222">
            <v>1500014179</v>
          </cell>
          <cell r="B4222">
            <v>32.5833333333333</v>
          </cell>
        </row>
        <row r="4223">
          <cell r="A4223">
            <v>1500015332</v>
          </cell>
          <cell r="B4223">
            <v>40.1666666666667</v>
          </cell>
        </row>
        <row r="4224">
          <cell r="A4224">
            <v>1500014181</v>
          </cell>
          <cell r="B4224">
            <v>29.5833333333333</v>
          </cell>
        </row>
        <row r="4225">
          <cell r="A4225">
            <v>1500014212</v>
          </cell>
          <cell r="B4225">
            <v>0.83333333333333304</v>
          </cell>
        </row>
        <row r="4226">
          <cell r="A4226">
            <v>1500014219</v>
          </cell>
          <cell r="B4226">
            <v>1.6666666666666701</v>
          </cell>
        </row>
        <row r="4227">
          <cell r="A4227">
            <v>1500014220</v>
          </cell>
          <cell r="B4227">
            <v>0</v>
          </cell>
        </row>
        <row r="4228">
          <cell r="A4228">
            <v>1500014229</v>
          </cell>
          <cell r="B4228">
            <v>0</v>
          </cell>
        </row>
        <row r="4229">
          <cell r="A4229">
            <v>1500014221</v>
          </cell>
          <cell r="B4229">
            <v>53.9166666666667</v>
          </cell>
        </row>
        <row r="4230">
          <cell r="A4230">
            <v>1500014222</v>
          </cell>
          <cell r="B4230">
            <v>12.5</v>
          </cell>
        </row>
        <row r="4231">
          <cell r="A4231">
            <v>1500014223</v>
          </cell>
          <cell r="B4231">
            <v>0</v>
          </cell>
        </row>
        <row r="4232">
          <cell r="A4232">
            <v>1500014224</v>
          </cell>
          <cell r="B4232">
            <v>0</v>
          </cell>
        </row>
        <row r="4233">
          <cell r="A4233">
            <v>1500014225</v>
          </cell>
          <cell r="B4233">
            <v>0</v>
          </cell>
        </row>
        <row r="4234">
          <cell r="A4234">
            <v>1500014226</v>
          </cell>
          <cell r="B4234">
            <v>6.25</v>
          </cell>
        </row>
        <row r="4235">
          <cell r="A4235">
            <v>1500015333</v>
          </cell>
          <cell r="B4235">
            <v>16.6666666666667</v>
          </cell>
        </row>
        <row r="4236">
          <cell r="A4236">
            <v>1500000030</v>
          </cell>
          <cell r="B4236">
            <v>0</v>
          </cell>
        </row>
        <row r="4237">
          <cell r="A4237">
            <v>1500014234</v>
          </cell>
          <cell r="B4237">
            <v>0</v>
          </cell>
        </row>
        <row r="4238">
          <cell r="A4238">
            <v>1500014275</v>
          </cell>
          <cell r="B4238">
            <v>16.6666666666667</v>
          </cell>
        </row>
        <row r="4239">
          <cell r="A4239">
            <v>1500014277</v>
          </cell>
          <cell r="B4239">
            <v>0</v>
          </cell>
        </row>
        <row r="4240">
          <cell r="A4240">
            <v>1500014278</v>
          </cell>
          <cell r="B4240">
            <v>25.4166666666667</v>
          </cell>
        </row>
        <row r="4241">
          <cell r="A4241">
            <v>1500014392</v>
          </cell>
          <cell r="B4241">
            <v>0</v>
          </cell>
        </row>
        <row r="4242">
          <cell r="A4242">
            <v>1500014276</v>
          </cell>
          <cell r="B4242">
            <v>36.6666666666667</v>
          </cell>
        </row>
        <row r="4243">
          <cell r="A4243">
            <v>1500014411</v>
          </cell>
          <cell r="B4243">
            <v>16.6666666666667</v>
          </cell>
        </row>
        <row r="4244">
          <cell r="A4244">
            <v>1500014422</v>
          </cell>
          <cell r="B4244">
            <v>0</v>
          </cell>
        </row>
        <row r="4245">
          <cell r="A4245">
            <v>1500014452</v>
          </cell>
          <cell r="B4245">
            <v>10</v>
          </cell>
        </row>
        <row r="4246">
          <cell r="A4246">
            <v>1500014444</v>
          </cell>
          <cell r="B4246">
            <v>0</v>
          </cell>
        </row>
        <row r="4247">
          <cell r="A4247">
            <v>1500014445</v>
          </cell>
          <cell r="B4247">
            <v>0</v>
          </cell>
        </row>
        <row r="4248">
          <cell r="A4248">
            <v>1500014446</v>
          </cell>
          <cell r="B4248">
            <v>0</v>
          </cell>
        </row>
        <row r="4249">
          <cell r="A4249">
            <v>1500014447</v>
          </cell>
          <cell r="B4249">
            <v>0</v>
          </cell>
        </row>
        <row r="4250">
          <cell r="A4250">
            <v>1500014431</v>
          </cell>
          <cell r="B4250">
            <v>35</v>
          </cell>
        </row>
        <row r="4251">
          <cell r="A4251">
            <v>1500014453</v>
          </cell>
          <cell r="B4251">
            <v>16.6666666666667</v>
          </cell>
        </row>
        <row r="4252">
          <cell r="A4252">
            <v>1500014454</v>
          </cell>
          <cell r="B4252">
            <v>45.25</v>
          </cell>
        </row>
        <row r="4253">
          <cell r="A4253">
            <v>1500014456</v>
          </cell>
          <cell r="B4253">
            <v>85</v>
          </cell>
        </row>
        <row r="4254">
          <cell r="A4254">
            <v>1500014457</v>
          </cell>
          <cell r="B4254">
            <v>0</v>
          </cell>
        </row>
        <row r="4255">
          <cell r="A4255">
            <v>1500014459</v>
          </cell>
          <cell r="B4255">
            <v>0</v>
          </cell>
        </row>
        <row r="4256">
          <cell r="A4256">
            <v>1500014484</v>
          </cell>
          <cell r="B4256">
            <v>66.6666666666667</v>
          </cell>
        </row>
        <row r="4257">
          <cell r="A4257">
            <v>1500014485</v>
          </cell>
          <cell r="B4257">
            <v>9</v>
          </cell>
        </row>
        <row r="4258">
          <cell r="A4258">
            <v>1500014487</v>
          </cell>
          <cell r="B4258">
            <v>77.3333333333333</v>
          </cell>
        </row>
        <row r="4259">
          <cell r="A4259">
            <v>1500014489</v>
          </cell>
          <cell r="B4259">
            <v>0</v>
          </cell>
        </row>
        <row r="4260">
          <cell r="A4260">
            <v>1500014490</v>
          </cell>
          <cell r="B4260">
            <v>5</v>
          </cell>
        </row>
        <row r="4261">
          <cell r="A4261">
            <v>1500014460</v>
          </cell>
          <cell r="B4261">
            <v>2.5</v>
          </cell>
        </row>
        <row r="4262">
          <cell r="A4262">
            <v>1500014461</v>
          </cell>
          <cell r="B4262">
            <v>3</v>
          </cell>
        </row>
        <row r="4263">
          <cell r="A4263">
            <v>1500014492</v>
          </cell>
          <cell r="B4263">
            <v>20.8333333333333</v>
          </cell>
        </row>
        <row r="4264">
          <cell r="A4264">
            <v>1500014493</v>
          </cell>
          <cell r="B4264">
            <v>0</v>
          </cell>
        </row>
        <row r="4265">
          <cell r="A4265">
            <v>1500014494</v>
          </cell>
          <cell r="B4265">
            <v>0</v>
          </cell>
        </row>
        <row r="4266">
          <cell r="A4266">
            <v>1500014491</v>
          </cell>
          <cell r="B4266">
            <v>2.5</v>
          </cell>
        </row>
        <row r="4267">
          <cell r="A4267">
            <v>1500014499</v>
          </cell>
          <cell r="B4267">
            <v>0.83333333333333304</v>
          </cell>
        </row>
        <row r="4268">
          <cell r="A4268">
            <v>1500014525</v>
          </cell>
          <cell r="B4268">
            <v>13.6666666666667</v>
          </cell>
        </row>
        <row r="4269">
          <cell r="A4269">
            <v>1500014580</v>
          </cell>
          <cell r="B4269">
            <v>0</v>
          </cell>
        </row>
        <row r="4270">
          <cell r="A4270">
            <v>1500014581</v>
          </cell>
          <cell r="B4270">
            <v>0</v>
          </cell>
        </row>
        <row r="4271">
          <cell r="A4271">
            <v>1500014592</v>
          </cell>
          <cell r="B4271">
            <v>0</v>
          </cell>
        </row>
        <row r="4272">
          <cell r="A4272">
            <v>1500014593</v>
          </cell>
          <cell r="B4272">
            <v>0</v>
          </cell>
        </row>
        <row r="4273">
          <cell r="A4273">
            <v>1500014594</v>
          </cell>
          <cell r="B4273">
            <v>76</v>
          </cell>
        </row>
        <row r="4274">
          <cell r="A4274">
            <v>1500014596</v>
          </cell>
          <cell r="B4274">
            <v>0</v>
          </cell>
        </row>
        <row r="4275">
          <cell r="A4275">
            <v>1500014606</v>
          </cell>
          <cell r="B4275">
            <v>0</v>
          </cell>
        </row>
        <row r="4276">
          <cell r="A4276">
            <v>1500014618</v>
          </cell>
          <cell r="B4276">
            <v>0</v>
          </cell>
        </row>
        <row r="4277">
          <cell r="A4277">
            <v>1500014607</v>
          </cell>
          <cell r="B4277">
            <v>15</v>
          </cell>
        </row>
        <row r="4278">
          <cell r="A4278">
            <v>1500014608</v>
          </cell>
          <cell r="B4278">
            <v>0</v>
          </cell>
        </row>
        <row r="4279">
          <cell r="A4279">
            <v>1500014609</v>
          </cell>
          <cell r="B4279">
            <v>28.1</v>
          </cell>
        </row>
        <row r="4280">
          <cell r="A4280">
            <v>1500014610</v>
          </cell>
          <cell r="B4280">
            <v>6.6666666666666696</v>
          </cell>
        </row>
        <row r="4281">
          <cell r="A4281">
            <v>1500014622</v>
          </cell>
          <cell r="B4281">
            <v>52.5833333333333</v>
          </cell>
        </row>
        <row r="4282">
          <cell r="A4282">
            <v>1500014623</v>
          </cell>
          <cell r="B4282">
            <v>0</v>
          </cell>
        </row>
        <row r="4283">
          <cell r="A4283">
            <v>1500014616</v>
          </cell>
          <cell r="B4283">
            <v>50.6666666666667</v>
          </cell>
        </row>
        <row r="4284">
          <cell r="A4284">
            <v>1500014634</v>
          </cell>
          <cell r="B4284">
            <v>0</v>
          </cell>
        </row>
        <row r="4285">
          <cell r="A4285">
            <v>1500014635</v>
          </cell>
          <cell r="B4285">
            <v>5</v>
          </cell>
        </row>
        <row r="4286">
          <cell r="A4286">
            <v>1500014711</v>
          </cell>
          <cell r="B4286">
            <v>0</v>
          </cell>
        </row>
        <row r="4287">
          <cell r="A4287">
            <v>1500014727</v>
          </cell>
          <cell r="B4287">
            <v>3.3333333333333299</v>
          </cell>
        </row>
        <row r="4288">
          <cell r="A4288">
            <v>1500014728</v>
          </cell>
          <cell r="B4288">
            <v>0</v>
          </cell>
        </row>
        <row r="4289">
          <cell r="A4289">
            <v>1500014758</v>
          </cell>
          <cell r="B4289">
            <v>9.1666666666666696</v>
          </cell>
        </row>
        <row r="4290">
          <cell r="A4290">
            <v>1500014759</v>
          </cell>
          <cell r="B4290">
            <v>43.3333333333333</v>
          </cell>
        </row>
        <row r="4291">
          <cell r="A4291">
            <v>1500014760</v>
          </cell>
          <cell r="B4291">
            <v>13.3333333333333</v>
          </cell>
        </row>
        <row r="4292">
          <cell r="A4292">
            <v>1500014761</v>
          </cell>
          <cell r="B4292">
            <v>9.1666666666666696</v>
          </cell>
        </row>
        <row r="4293">
          <cell r="A4293">
            <v>1500014762</v>
          </cell>
          <cell r="B4293">
            <v>0</v>
          </cell>
        </row>
        <row r="4294">
          <cell r="A4294">
            <v>1500014793</v>
          </cell>
          <cell r="B4294">
            <v>4.1666666666666696</v>
          </cell>
        </row>
        <row r="4295">
          <cell r="A4295">
            <v>1500014849</v>
          </cell>
          <cell r="B4295">
            <v>56.625</v>
          </cell>
        </row>
        <row r="4296">
          <cell r="A4296">
            <v>1500014821</v>
          </cell>
          <cell r="B4296">
            <v>30.8333333333333</v>
          </cell>
        </row>
        <row r="4297">
          <cell r="A4297">
            <v>1500014822</v>
          </cell>
          <cell r="B4297">
            <v>3.3333333333333299</v>
          </cell>
        </row>
        <row r="4298">
          <cell r="A4298">
            <v>1500014890</v>
          </cell>
          <cell r="B4298">
            <v>21.9166666666667</v>
          </cell>
        </row>
        <row r="4299">
          <cell r="A4299">
            <v>1500014892</v>
          </cell>
          <cell r="B4299">
            <v>37.5</v>
          </cell>
        </row>
        <row r="4300">
          <cell r="A4300">
            <v>1500014894</v>
          </cell>
          <cell r="B4300">
            <v>0</v>
          </cell>
        </row>
        <row r="4301">
          <cell r="A4301">
            <v>1500014994</v>
          </cell>
          <cell r="B4301">
            <v>0</v>
          </cell>
        </row>
        <row r="4302">
          <cell r="A4302">
            <v>1500014974</v>
          </cell>
          <cell r="B4302">
            <v>0</v>
          </cell>
        </row>
        <row r="4303">
          <cell r="A4303">
            <v>1500015006</v>
          </cell>
          <cell r="B4303">
            <v>6.6666666666666696</v>
          </cell>
        </row>
        <row r="4304">
          <cell r="A4304">
            <v>1500015002</v>
          </cell>
          <cell r="B4304">
            <v>5</v>
          </cell>
        </row>
        <row r="4305">
          <cell r="A4305">
            <v>1500015007</v>
          </cell>
          <cell r="B4305">
            <v>10.1666666666667</v>
          </cell>
        </row>
        <row r="4306">
          <cell r="A4306">
            <v>1500015032</v>
          </cell>
          <cell r="B4306">
            <v>0</v>
          </cell>
        </row>
        <row r="4307">
          <cell r="A4307">
            <v>1500015069</v>
          </cell>
          <cell r="B4307">
            <v>8.1666666666666696</v>
          </cell>
        </row>
        <row r="4308">
          <cell r="A4308">
            <v>1500015098</v>
          </cell>
          <cell r="B4308">
            <v>142.833333333333</v>
          </cell>
        </row>
        <row r="4309">
          <cell r="A4309">
            <v>1500015099</v>
          </cell>
          <cell r="B4309">
            <v>12.5</v>
          </cell>
        </row>
        <row r="4310">
          <cell r="A4310">
            <v>1500011595</v>
          </cell>
          <cell r="B4310">
            <v>0</v>
          </cell>
        </row>
        <row r="4311">
          <cell r="A4311">
            <v>1500015166</v>
          </cell>
          <cell r="B4311">
            <v>8.6666666666666696</v>
          </cell>
        </row>
        <row r="4312">
          <cell r="A4312">
            <v>1500012030</v>
          </cell>
          <cell r="B4312">
            <v>0</v>
          </cell>
        </row>
        <row r="4313">
          <cell r="A4313">
            <v>1500015254</v>
          </cell>
          <cell r="B4313">
            <v>26.6666666666667</v>
          </cell>
        </row>
        <row r="4314">
          <cell r="A4314">
            <v>1500011580</v>
          </cell>
          <cell r="B4314">
            <v>0</v>
          </cell>
        </row>
        <row r="4315">
          <cell r="A4315">
            <v>1500012060</v>
          </cell>
          <cell r="B4315">
            <v>0</v>
          </cell>
        </row>
        <row r="4316">
          <cell r="A4316">
            <v>1500012519</v>
          </cell>
          <cell r="B4316">
            <v>11.6666666666667</v>
          </cell>
        </row>
        <row r="4317">
          <cell r="A4317">
            <v>1500015358</v>
          </cell>
          <cell r="B4317">
            <v>0</v>
          </cell>
        </row>
        <row r="4318">
          <cell r="A4318">
            <v>1500015361</v>
          </cell>
          <cell r="B4318">
            <v>23.3333333333333</v>
          </cell>
        </row>
        <row r="4319">
          <cell r="A4319">
            <v>1500015364</v>
          </cell>
          <cell r="B4319">
            <v>0</v>
          </cell>
        </row>
        <row r="4320">
          <cell r="A4320">
            <v>1500015365</v>
          </cell>
          <cell r="B4320">
            <v>101.833333333333</v>
          </cell>
        </row>
        <row r="4321">
          <cell r="A4321">
            <v>1500015422</v>
          </cell>
          <cell r="B4321">
            <v>28.1666666666667</v>
          </cell>
        </row>
        <row r="4322">
          <cell r="A4322">
            <v>1500015423</v>
          </cell>
          <cell r="B4322">
            <v>24.1666666666667</v>
          </cell>
        </row>
        <row r="4323">
          <cell r="A4323">
            <v>1500015424</v>
          </cell>
          <cell r="B4323">
            <v>0</v>
          </cell>
        </row>
        <row r="4324">
          <cell r="A4324">
            <v>1500015449</v>
          </cell>
          <cell r="B4324">
            <v>0</v>
          </cell>
        </row>
        <row r="4325">
          <cell r="A4325">
            <v>1500015450</v>
          </cell>
          <cell r="B4325">
            <v>3.3333333333333299</v>
          </cell>
        </row>
        <row r="4326">
          <cell r="A4326">
            <v>1500015457</v>
          </cell>
          <cell r="B4326">
            <v>7.9166666666666696</v>
          </cell>
        </row>
        <row r="4327">
          <cell r="A4327">
            <v>1500015458</v>
          </cell>
          <cell r="B4327">
            <v>0</v>
          </cell>
        </row>
        <row r="4328">
          <cell r="A4328">
            <v>1500015461</v>
          </cell>
          <cell r="B4328">
            <v>74.5833333333333</v>
          </cell>
        </row>
        <row r="4329">
          <cell r="A4329">
            <v>1500015482</v>
          </cell>
          <cell r="B4329">
            <v>20.25</v>
          </cell>
        </row>
        <row r="4330">
          <cell r="A4330">
            <v>1500015483</v>
          </cell>
          <cell r="B4330">
            <v>75.25</v>
          </cell>
        </row>
        <row r="4331">
          <cell r="A4331">
            <v>1500015504</v>
          </cell>
          <cell r="B4331">
            <v>75.075000000000003</v>
          </cell>
        </row>
        <row r="4332">
          <cell r="A4332">
            <v>1500015505</v>
          </cell>
          <cell r="B4332">
            <v>15.8333333333333</v>
          </cell>
        </row>
        <row r="4333">
          <cell r="A4333">
            <v>1500015506</v>
          </cell>
          <cell r="B4333">
            <v>0</v>
          </cell>
        </row>
        <row r="4334">
          <cell r="A4334">
            <v>1500015507</v>
          </cell>
          <cell r="B4334">
            <v>15.4166666666667</v>
          </cell>
        </row>
        <row r="4335">
          <cell r="A4335">
            <v>1500015512</v>
          </cell>
          <cell r="B4335">
            <v>0</v>
          </cell>
        </row>
        <row r="4336">
          <cell r="A4336">
            <v>1500015513</v>
          </cell>
          <cell r="B4336">
            <v>0</v>
          </cell>
        </row>
        <row r="4337">
          <cell r="A4337">
            <v>1500015532</v>
          </cell>
          <cell r="B4337">
            <v>6.6666666666666696</v>
          </cell>
        </row>
        <row r="4338">
          <cell r="A4338">
            <v>1500015535</v>
          </cell>
          <cell r="B4338">
            <v>37</v>
          </cell>
        </row>
        <row r="4339">
          <cell r="A4339">
            <v>1500015537</v>
          </cell>
          <cell r="B4339">
            <v>0</v>
          </cell>
        </row>
        <row r="4340">
          <cell r="A4340">
            <v>1500015615</v>
          </cell>
          <cell r="B4340">
            <v>0</v>
          </cell>
        </row>
        <row r="4341">
          <cell r="A4341">
            <v>1500015616</v>
          </cell>
          <cell r="B4341">
            <v>10.75</v>
          </cell>
        </row>
        <row r="4342">
          <cell r="A4342">
            <v>1500015638</v>
          </cell>
          <cell r="B4342">
            <v>69.1666666666667</v>
          </cell>
        </row>
        <row r="4343">
          <cell r="A4343">
            <v>1500015639</v>
          </cell>
          <cell r="B4343">
            <v>0</v>
          </cell>
        </row>
        <row r="4344">
          <cell r="A4344">
            <v>1500015642</v>
          </cell>
          <cell r="B4344">
            <v>7.5</v>
          </cell>
        </row>
        <row r="4345">
          <cell r="A4345">
            <v>1500015643</v>
          </cell>
          <cell r="B4345">
            <v>5.8333333333333304</v>
          </cell>
        </row>
        <row r="4346">
          <cell r="A4346">
            <v>1500015645</v>
          </cell>
          <cell r="B4346">
            <v>7</v>
          </cell>
        </row>
        <row r="4347">
          <cell r="A4347">
            <v>1500015675</v>
          </cell>
          <cell r="B4347">
            <v>0</v>
          </cell>
        </row>
        <row r="4348">
          <cell r="A4348">
            <v>1500015710</v>
          </cell>
          <cell r="B4348">
            <v>30</v>
          </cell>
        </row>
        <row r="4349">
          <cell r="A4349">
            <v>1500015711</v>
          </cell>
          <cell r="B4349">
            <v>11</v>
          </cell>
        </row>
        <row r="4350">
          <cell r="A4350">
            <v>1500015713</v>
          </cell>
          <cell r="B4350">
            <v>47</v>
          </cell>
        </row>
        <row r="4351">
          <cell r="A4351">
            <v>1500015732</v>
          </cell>
          <cell r="B4351">
            <v>0</v>
          </cell>
        </row>
        <row r="4352">
          <cell r="A4352">
            <v>1500015733</v>
          </cell>
          <cell r="B4352">
            <v>120</v>
          </cell>
        </row>
        <row r="4353">
          <cell r="A4353">
            <v>1500015734</v>
          </cell>
          <cell r="B4353">
            <v>53.883333333333297</v>
          </cell>
        </row>
        <row r="4354">
          <cell r="A4354">
            <v>1500015832</v>
          </cell>
          <cell r="B4354">
            <v>0</v>
          </cell>
        </row>
        <row r="4355">
          <cell r="A4355">
            <v>1500015866</v>
          </cell>
          <cell r="B4355">
            <v>18.5</v>
          </cell>
        </row>
        <row r="4356">
          <cell r="A4356">
            <v>1500015894</v>
          </cell>
          <cell r="B4356">
            <v>0</v>
          </cell>
        </row>
        <row r="4357">
          <cell r="A4357">
            <v>1500015964</v>
          </cell>
          <cell r="B4357">
            <v>0</v>
          </cell>
        </row>
        <row r="4358">
          <cell r="A4358">
            <v>1500015966</v>
          </cell>
          <cell r="B4358">
            <v>0</v>
          </cell>
        </row>
        <row r="4359">
          <cell r="A4359">
            <v>1500016064</v>
          </cell>
          <cell r="B4359">
            <v>0</v>
          </cell>
        </row>
        <row r="4360">
          <cell r="A4360">
            <v>1500016090</v>
          </cell>
          <cell r="B4360">
            <v>18.3333333333333</v>
          </cell>
        </row>
        <row r="4361">
          <cell r="A4361">
            <v>1500016091</v>
          </cell>
          <cell r="B4361">
            <v>10.3333333333333</v>
          </cell>
        </row>
        <row r="4362">
          <cell r="A4362">
            <v>1500016128</v>
          </cell>
          <cell r="B4362">
            <v>3.3333333333333299</v>
          </cell>
        </row>
        <row r="4363">
          <cell r="A4363">
            <v>1500016129</v>
          </cell>
          <cell r="B4363">
            <v>116.25</v>
          </cell>
        </row>
        <row r="4364">
          <cell r="A4364">
            <v>1500016195</v>
          </cell>
          <cell r="B4364">
            <v>15.5</v>
          </cell>
        </row>
        <row r="4365">
          <cell r="A4365">
            <v>1500016196</v>
          </cell>
          <cell r="B4365">
            <v>38.5</v>
          </cell>
        </row>
        <row r="4366">
          <cell r="A4366">
            <v>1500016218</v>
          </cell>
          <cell r="B4366">
            <v>24.375</v>
          </cell>
        </row>
        <row r="4367">
          <cell r="A4367">
            <v>1500016221</v>
          </cell>
          <cell r="B4367">
            <v>20.8333333333333</v>
          </cell>
        </row>
        <row r="4368">
          <cell r="A4368">
            <v>1500016315</v>
          </cell>
          <cell r="B4368">
            <v>51.6666666666667</v>
          </cell>
        </row>
        <row r="4369">
          <cell r="A4369">
            <v>1500016250</v>
          </cell>
          <cell r="B4369">
            <v>21.6666666666667</v>
          </cell>
        </row>
        <row r="4370">
          <cell r="A4370">
            <v>1500016309</v>
          </cell>
          <cell r="B4370">
            <v>37.5</v>
          </cell>
        </row>
        <row r="4371">
          <cell r="A4371">
            <v>1500016310</v>
          </cell>
          <cell r="B4371">
            <v>19.75</v>
          </cell>
        </row>
        <row r="4372">
          <cell r="A4372">
            <v>1500016313</v>
          </cell>
          <cell r="B4372">
            <v>16.6666666666667</v>
          </cell>
        </row>
        <row r="4373">
          <cell r="A4373">
            <v>1500016314</v>
          </cell>
          <cell r="B4373">
            <v>94.1666666666667</v>
          </cell>
        </row>
        <row r="4374">
          <cell r="A4374">
            <v>1500016351</v>
          </cell>
          <cell r="B4374">
            <v>23.3333333333333</v>
          </cell>
        </row>
        <row r="4375">
          <cell r="A4375">
            <v>1500016352</v>
          </cell>
          <cell r="B4375">
            <v>19.8333333333333</v>
          </cell>
        </row>
        <row r="4376">
          <cell r="A4376">
            <v>1500016353</v>
          </cell>
          <cell r="B4376">
            <v>5.0833333333333304</v>
          </cell>
        </row>
        <row r="4377">
          <cell r="A4377">
            <v>1500016354</v>
          </cell>
          <cell r="B4377">
            <v>0</v>
          </cell>
        </row>
        <row r="4378">
          <cell r="A4378">
            <v>1500016355</v>
          </cell>
          <cell r="B4378">
            <v>11.6666666666667</v>
          </cell>
        </row>
        <row r="4379">
          <cell r="A4379">
            <v>1500016358</v>
          </cell>
          <cell r="B4379">
            <v>0</v>
          </cell>
        </row>
        <row r="4380">
          <cell r="A4380">
            <v>1500016359</v>
          </cell>
          <cell r="B4380">
            <v>0</v>
          </cell>
        </row>
        <row r="4381">
          <cell r="A4381">
            <v>1500016389</v>
          </cell>
          <cell r="B4381">
            <v>11.6666666666667</v>
          </cell>
        </row>
        <row r="4382">
          <cell r="A4382">
            <v>1500016422</v>
          </cell>
          <cell r="B4382">
            <v>207.208333333333</v>
          </cell>
        </row>
        <row r="4383">
          <cell r="A4383">
            <v>1500016425</v>
          </cell>
          <cell r="B4383">
            <v>18.3333333333333</v>
          </cell>
        </row>
        <row r="4384">
          <cell r="A4384">
            <v>1500016426</v>
          </cell>
          <cell r="B4384">
            <v>29.75</v>
          </cell>
        </row>
        <row r="4385">
          <cell r="A4385">
            <v>1500016448</v>
          </cell>
          <cell r="B4385">
            <v>15</v>
          </cell>
        </row>
        <row r="4386">
          <cell r="A4386">
            <v>1500016449</v>
          </cell>
          <cell r="B4386">
            <v>0</v>
          </cell>
        </row>
        <row r="4387">
          <cell r="A4387">
            <v>1500016450</v>
          </cell>
          <cell r="B4387">
            <v>0</v>
          </cell>
        </row>
        <row r="4388">
          <cell r="A4388">
            <v>1500016451</v>
          </cell>
          <cell r="B4388">
            <v>67.6666666666667</v>
          </cell>
        </row>
        <row r="4389">
          <cell r="A4389">
            <v>1500016483</v>
          </cell>
          <cell r="B4389">
            <v>4</v>
          </cell>
        </row>
        <row r="4390">
          <cell r="A4390">
            <v>1500016496</v>
          </cell>
          <cell r="B4390">
            <v>51</v>
          </cell>
        </row>
        <row r="4391">
          <cell r="A4391">
            <v>1500016540</v>
          </cell>
          <cell r="B4391">
            <v>25</v>
          </cell>
        </row>
        <row r="4392">
          <cell r="A4392">
            <v>1500016541</v>
          </cell>
          <cell r="B4392">
            <v>0</v>
          </cell>
        </row>
        <row r="4393">
          <cell r="A4393">
            <v>1500016545</v>
          </cell>
          <cell r="B4393">
            <v>0</v>
          </cell>
        </row>
        <row r="4394">
          <cell r="A4394">
            <v>1500016583</v>
          </cell>
          <cell r="B4394">
            <v>24.1666666666667</v>
          </cell>
        </row>
        <row r="4395">
          <cell r="A4395">
            <v>1500016589</v>
          </cell>
          <cell r="B4395">
            <v>30.8333333333333</v>
          </cell>
        </row>
        <row r="4396">
          <cell r="A4396">
            <v>1500016592</v>
          </cell>
          <cell r="B4396">
            <v>40.3333333333333</v>
          </cell>
        </row>
        <row r="4397">
          <cell r="A4397">
            <v>1500016593</v>
          </cell>
          <cell r="B4397">
            <v>1.6666666666666701</v>
          </cell>
        </row>
        <row r="4398">
          <cell r="A4398">
            <v>1500016594</v>
          </cell>
          <cell r="B4398">
            <v>89.3333333333333</v>
          </cell>
        </row>
        <row r="4399">
          <cell r="A4399">
            <v>1500016595</v>
          </cell>
          <cell r="B4399">
            <v>147.583333333333</v>
          </cell>
        </row>
        <row r="4400">
          <cell r="A4400">
            <v>1500016638</v>
          </cell>
          <cell r="B4400">
            <v>28.3333333333333</v>
          </cell>
        </row>
        <row r="4401">
          <cell r="A4401">
            <v>1500016639</v>
          </cell>
          <cell r="B4401">
            <v>38.6666666666667</v>
          </cell>
        </row>
        <row r="4402">
          <cell r="A4402">
            <v>1500016733</v>
          </cell>
          <cell r="B4402">
            <v>0</v>
          </cell>
        </row>
        <row r="4403">
          <cell r="A4403">
            <v>1500016734</v>
          </cell>
          <cell r="B4403">
            <v>20.0833333333333</v>
          </cell>
        </row>
        <row r="4404">
          <cell r="A4404">
            <v>1500016787</v>
          </cell>
          <cell r="B4404">
            <v>0</v>
          </cell>
        </row>
        <row r="4405">
          <cell r="A4405">
            <v>1500016833</v>
          </cell>
          <cell r="B4405">
            <v>169.25</v>
          </cell>
        </row>
        <row r="4406">
          <cell r="A4406">
            <v>1500016887</v>
          </cell>
          <cell r="B4406">
            <v>32.3333333333333</v>
          </cell>
        </row>
        <row r="4407">
          <cell r="A4407">
            <v>1500016888</v>
          </cell>
          <cell r="B4407">
            <v>28</v>
          </cell>
        </row>
        <row r="4408">
          <cell r="A4408">
            <v>1500016890</v>
          </cell>
          <cell r="B4408">
            <v>56.6666666666667</v>
          </cell>
        </row>
        <row r="4409">
          <cell r="A4409">
            <v>1500016891</v>
          </cell>
          <cell r="B4409">
            <v>50</v>
          </cell>
        </row>
        <row r="4410">
          <cell r="A4410">
            <v>1500016892</v>
          </cell>
          <cell r="B4410">
            <v>63.8333333333333</v>
          </cell>
        </row>
        <row r="4411">
          <cell r="A4411">
            <v>1500016973</v>
          </cell>
          <cell r="B4411">
            <v>45</v>
          </cell>
        </row>
        <row r="4412">
          <cell r="A4412">
            <v>1500016974</v>
          </cell>
          <cell r="B4412">
            <v>0</v>
          </cell>
        </row>
        <row r="4413">
          <cell r="A4413">
            <v>1500017000</v>
          </cell>
          <cell r="B4413">
            <v>16.4166666666667</v>
          </cell>
        </row>
        <row r="4414">
          <cell r="A4414">
            <v>1500017030</v>
          </cell>
          <cell r="B4414">
            <v>10</v>
          </cell>
        </row>
        <row r="4415">
          <cell r="A4415">
            <v>1500017031</v>
          </cell>
          <cell r="B4415">
            <v>0</v>
          </cell>
        </row>
        <row r="4416">
          <cell r="A4416">
            <v>1500017032</v>
          </cell>
          <cell r="B4416">
            <v>0</v>
          </cell>
        </row>
        <row r="4417">
          <cell r="A4417">
            <v>1500017041</v>
          </cell>
          <cell r="B4417">
            <v>9.1666666666666696</v>
          </cell>
        </row>
        <row r="4418">
          <cell r="A4418">
            <v>1500017042</v>
          </cell>
          <cell r="B4418">
            <v>24.1666666666667</v>
          </cell>
        </row>
        <row r="4419">
          <cell r="A4419">
            <v>1500017063</v>
          </cell>
          <cell r="B4419">
            <v>18.8333333333333</v>
          </cell>
        </row>
        <row r="4420">
          <cell r="A4420">
            <v>1500017064</v>
          </cell>
          <cell r="B4420">
            <v>16.6666666666667</v>
          </cell>
        </row>
        <row r="4421">
          <cell r="A4421">
            <v>1500017065</v>
          </cell>
          <cell r="B4421">
            <v>20.6666666666667</v>
          </cell>
        </row>
        <row r="4422">
          <cell r="A4422">
            <v>1500016856</v>
          </cell>
          <cell r="B4422">
            <v>18.6666666666667</v>
          </cell>
        </row>
        <row r="4423">
          <cell r="A4423">
            <v>1500017103</v>
          </cell>
          <cell r="B4423">
            <v>0</v>
          </cell>
        </row>
        <row r="4424">
          <cell r="A4424">
            <v>1500017104</v>
          </cell>
          <cell r="B4424">
            <v>6.1666666666666696</v>
          </cell>
        </row>
        <row r="4425">
          <cell r="A4425">
            <v>1500017105</v>
          </cell>
          <cell r="B4425">
            <v>0</v>
          </cell>
        </row>
        <row r="4426">
          <cell r="A4426">
            <v>1500017119</v>
          </cell>
          <cell r="B4426">
            <v>34.1666666666667</v>
          </cell>
        </row>
        <row r="4427">
          <cell r="A4427">
            <v>1500017139</v>
          </cell>
          <cell r="B4427">
            <v>58.3333333333333</v>
          </cell>
        </row>
        <row r="4428">
          <cell r="A4428">
            <v>1500017140</v>
          </cell>
          <cell r="B4428">
            <v>47.9166666666667</v>
          </cell>
        </row>
        <row r="4429">
          <cell r="A4429">
            <v>1500017118</v>
          </cell>
          <cell r="B4429">
            <v>61.3333333333333</v>
          </cell>
        </row>
        <row r="4430">
          <cell r="A4430">
            <v>1500017188</v>
          </cell>
          <cell r="B4430">
            <v>0</v>
          </cell>
        </row>
        <row r="4431">
          <cell r="A4431">
            <v>1500017222</v>
          </cell>
          <cell r="B4431">
            <v>5.6666666666666696</v>
          </cell>
        </row>
        <row r="4432">
          <cell r="A4432">
            <v>1500017223</v>
          </cell>
          <cell r="B4432">
            <v>14.6666666666667</v>
          </cell>
        </row>
        <row r="4433">
          <cell r="A4433">
            <v>1500017249</v>
          </cell>
          <cell r="B4433">
            <v>13.8333333333333</v>
          </cell>
        </row>
        <row r="4434">
          <cell r="A4434">
            <v>1500017266</v>
          </cell>
          <cell r="B4434">
            <v>29.25</v>
          </cell>
        </row>
        <row r="4435">
          <cell r="A4435">
            <v>1500017267</v>
          </cell>
          <cell r="B4435">
            <v>0</v>
          </cell>
        </row>
        <row r="4436">
          <cell r="A4436">
            <v>1500017268</v>
          </cell>
          <cell r="B4436">
            <v>4.1666666666666696</v>
          </cell>
        </row>
        <row r="4437">
          <cell r="A4437">
            <v>1500017300</v>
          </cell>
          <cell r="B4437">
            <v>42.6666666666667</v>
          </cell>
        </row>
        <row r="4438">
          <cell r="A4438">
            <v>1500017311</v>
          </cell>
          <cell r="B4438">
            <v>0</v>
          </cell>
        </row>
        <row r="4439">
          <cell r="A4439">
            <v>1500017312</v>
          </cell>
          <cell r="B4439">
            <v>0</v>
          </cell>
        </row>
        <row r="4440">
          <cell r="A4440">
            <v>1500017313</v>
          </cell>
          <cell r="B4440">
            <v>12.5</v>
          </cell>
        </row>
        <row r="4441">
          <cell r="A4441">
            <v>1500017351</v>
          </cell>
          <cell r="B4441">
            <v>19.8333333333333</v>
          </cell>
        </row>
        <row r="4442">
          <cell r="A4442">
            <v>1500017352</v>
          </cell>
          <cell r="B4442">
            <v>58.5</v>
          </cell>
        </row>
        <row r="4443">
          <cell r="A4443">
            <v>1500017354</v>
          </cell>
          <cell r="B4443">
            <v>13.75</v>
          </cell>
        </row>
        <row r="4444">
          <cell r="A4444">
            <v>1500017355</v>
          </cell>
          <cell r="B4444">
            <v>15</v>
          </cell>
        </row>
        <row r="4445">
          <cell r="A4445">
            <v>1500017387</v>
          </cell>
          <cell r="B4445">
            <v>28.3333333333333</v>
          </cell>
        </row>
        <row r="4446">
          <cell r="A4446">
            <v>1500017388</v>
          </cell>
          <cell r="B4446">
            <v>28.3333333333333</v>
          </cell>
        </row>
        <row r="4447">
          <cell r="A4447">
            <v>1500017390</v>
          </cell>
          <cell r="B4447">
            <v>3.3333333333333299</v>
          </cell>
        </row>
        <row r="4448">
          <cell r="A4448">
            <v>1500017432</v>
          </cell>
          <cell r="B4448">
            <v>21.6666666666667</v>
          </cell>
        </row>
        <row r="4449">
          <cell r="A4449">
            <v>1500017452</v>
          </cell>
          <cell r="B4449">
            <v>0</v>
          </cell>
        </row>
        <row r="4450">
          <cell r="A4450">
            <v>1500017454</v>
          </cell>
          <cell r="B4450">
            <v>3.3333333333333299</v>
          </cell>
        </row>
        <row r="4451">
          <cell r="A4451">
            <v>1500017472</v>
          </cell>
          <cell r="B4451">
            <v>69.1666666666667</v>
          </cell>
        </row>
        <row r="4452">
          <cell r="A4452">
            <v>1500017473</v>
          </cell>
          <cell r="B4452">
            <v>86.75</v>
          </cell>
        </row>
        <row r="4453">
          <cell r="A4453">
            <v>1500017474</v>
          </cell>
          <cell r="B4453">
            <v>11.6666666666667</v>
          </cell>
        </row>
        <row r="4454">
          <cell r="A4454">
            <v>1500017475</v>
          </cell>
          <cell r="B4454">
            <v>156.666666666667</v>
          </cell>
        </row>
        <row r="4455">
          <cell r="A4455">
            <v>1500017482</v>
          </cell>
          <cell r="B4455">
            <v>0</v>
          </cell>
        </row>
        <row r="4456">
          <cell r="A4456">
            <v>1500017484</v>
          </cell>
          <cell r="B4456">
            <v>16.5</v>
          </cell>
        </row>
        <row r="4457">
          <cell r="A4457">
            <v>1500017504</v>
          </cell>
          <cell r="B4457">
            <v>20.3333333333333</v>
          </cell>
        </row>
        <row r="4458">
          <cell r="A4458">
            <v>1500017513</v>
          </cell>
          <cell r="B4458">
            <v>9.1666666666666696</v>
          </cell>
        </row>
        <row r="4459">
          <cell r="A4459">
            <v>1500017527</v>
          </cell>
          <cell r="B4459">
            <v>17.0833333333333</v>
          </cell>
        </row>
        <row r="4460">
          <cell r="A4460">
            <v>1500017528</v>
          </cell>
          <cell r="B4460">
            <v>110.333333333333</v>
          </cell>
        </row>
        <row r="4461">
          <cell r="A4461">
            <v>1500017529</v>
          </cell>
          <cell r="B4461">
            <v>6.8333333333333304</v>
          </cell>
        </row>
        <row r="4462">
          <cell r="A4462">
            <v>1500017530</v>
          </cell>
          <cell r="B4462">
            <v>39.6666666666667</v>
          </cell>
        </row>
        <row r="4463">
          <cell r="A4463">
            <v>1500017531</v>
          </cell>
          <cell r="B4463">
            <v>34.1666666666667</v>
          </cell>
        </row>
        <row r="4464">
          <cell r="A4464">
            <v>1500017533</v>
          </cell>
          <cell r="B4464">
            <v>0</v>
          </cell>
        </row>
        <row r="4465">
          <cell r="A4465">
            <v>1500017534</v>
          </cell>
          <cell r="B4465">
            <v>93.1666666666667</v>
          </cell>
        </row>
        <row r="4466">
          <cell r="A4466">
            <v>1500017545</v>
          </cell>
          <cell r="B4466">
            <v>17.5</v>
          </cell>
        </row>
        <row r="4467">
          <cell r="A4467">
            <v>1500017546</v>
          </cell>
          <cell r="B4467">
            <v>0</v>
          </cell>
        </row>
        <row r="4468">
          <cell r="A4468">
            <v>1500017554</v>
          </cell>
          <cell r="B4468">
            <v>30.1666666666667</v>
          </cell>
        </row>
        <row r="4469">
          <cell r="A4469">
            <v>1500017555</v>
          </cell>
          <cell r="B4469">
            <v>78.3333333333333</v>
          </cell>
        </row>
        <row r="4470">
          <cell r="A4470">
            <v>1500017556</v>
          </cell>
          <cell r="B4470">
            <v>47.5</v>
          </cell>
        </row>
        <row r="4471">
          <cell r="A4471">
            <v>1500017574</v>
          </cell>
          <cell r="B4471">
            <v>3.3333333333333299</v>
          </cell>
        </row>
        <row r="4472">
          <cell r="A4472">
            <v>1500017575</v>
          </cell>
          <cell r="B4472">
            <v>27.5</v>
          </cell>
        </row>
        <row r="4473">
          <cell r="A4473">
            <v>1500017614</v>
          </cell>
          <cell r="B4473">
            <v>28.1666666666667</v>
          </cell>
        </row>
        <row r="4474">
          <cell r="A4474">
            <v>1500017615</v>
          </cell>
          <cell r="B4474">
            <v>40</v>
          </cell>
        </row>
        <row r="4475">
          <cell r="A4475">
            <v>1500017652</v>
          </cell>
          <cell r="B4475">
            <v>36.6666666666667</v>
          </cell>
        </row>
        <row r="4476">
          <cell r="A4476">
            <v>1500017653</v>
          </cell>
          <cell r="B4476">
            <v>91.25</v>
          </cell>
        </row>
        <row r="4477">
          <cell r="A4477">
            <v>1500017654</v>
          </cell>
          <cell r="B4477">
            <v>0</v>
          </cell>
        </row>
        <row r="4478">
          <cell r="A4478">
            <v>1500017655</v>
          </cell>
          <cell r="B4478">
            <v>58.3333333333333</v>
          </cell>
        </row>
        <row r="4479">
          <cell r="A4479">
            <v>1500017662</v>
          </cell>
          <cell r="B4479">
            <v>23.75</v>
          </cell>
        </row>
        <row r="4480">
          <cell r="A4480">
            <v>1500017672</v>
          </cell>
          <cell r="B4480">
            <v>0</v>
          </cell>
        </row>
        <row r="4481">
          <cell r="A4481">
            <v>1500017684</v>
          </cell>
          <cell r="B4481">
            <v>7.5</v>
          </cell>
        </row>
        <row r="4482">
          <cell r="A4482">
            <v>1500017720</v>
          </cell>
          <cell r="B4482">
            <v>14.8333333333333</v>
          </cell>
        </row>
        <row r="4483">
          <cell r="A4483">
            <v>1500017836</v>
          </cell>
          <cell r="B4483">
            <v>25</v>
          </cell>
        </row>
        <row r="4484">
          <cell r="A4484">
            <v>1500017837</v>
          </cell>
          <cell r="B4484">
            <v>73.1666666666667</v>
          </cell>
        </row>
        <row r="4485">
          <cell r="A4485">
            <v>1500017772</v>
          </cell>
          <cell r="B4485">
            <v>0</v>
          </cell>
        </row>
        <row r="4486">
          <cell r="A4486">
            <v>1500017745</v>
          </cell>
          <cell r="B4486">
            <v>24.1666666666667</v>
          </cell>
        </row>
        <row r="4487">
          <cell r="A4487">
            <v>1500017747</v>
          </cell>
          <cell r="B4487">
            <v>3.3333333333333299</v>
          </cell>
        </row>
        <row r="4488">
          <cell r="A4488">
            <v>1500017782</v>
          </cell>
          <cell r="B4488">
            <v>22.5</v>
          </cell>
        </row>
        <row r="4489">
          <cell r="A4489">
            <v>1500017783</v>
          </cell>
          <cell r="B4489">
            <v>0</v>
          </cell>
        </row>
        <row r="4490">
          <cell r="A4490">
            <v>1500017784</v>
          </cell>
          <cell r="B4490">
            <v>24</v>
          </cell>
        </row>
        <row r="4491">
          <cell r="A4491">
            <v>1500017785</v>
          </cell>
          <cell r="B4491">
            <v>36.0833333333333</v>
          </cell>
        </row>
        <row r="4492">
          <cell r="A4492">
            <v>1500017798</v>
          </cell>
          <cell r="B4492">
            <v>42.125</v>
          </cell>
        </row>
        <row r="4493">
          <cell r="A4493">
            <v>1500017894</v>
          </cell>
          <cell r="B4493">
            <v>4.3333333333333304</v>
          </cell>
        </row>
        <row r="4494">
          <cell r="A4494">
            <v>1500017914</v>
          </cell>
          <cell r="B4494">
            <v>17.0833333333333</v>
          </cell>
        </row>
        <row r="4495">
          <cell r="A4495">
            <v>1500017952</v>
          </cell>
          <cell r="B4495">
            <v>0</v>
          </cell>
        </row>
        <row r="4496">
          <cell r="A4496">
            <v>1500017953</v>
          </cell>
          <cell r="B4496">
            <v>2</v>
          </cell>
        </row>
        <row r="4497">
          <cell r="A4497">
            <v>1500017951</v>
          </cell>
          <cell r="B4497">
            <v>6.4166666666666696</v>
          </cell>
        </row>
        <row r="4498">
          <cell r="A4498">
            <v>1500017962</v>
          </cell>
          <cell r="B4498">
            <v>12.5</v>
          </cell>
        </row>
        <row r="4499">
          <cell r="A4499">
            <v>1500017979</v>
          </cell>
          <cell r="B4499">
            <v>98.4166666666667</v>
          </cell>
        </row>
        <row r="4500">
          <cell r="A4500">
            <v>1500017981</v>
          </cell>
          <cell r="B4500">
            <v>4.3333333333333304</v>
          </cell>
        </row>
        <row r="4501">
          <cell r="A4501">
            <v>1500018033</v>
          </cell>
          <cell r="B4501">
            <v>35</v>
          </cell>
        </row>
        <row r="4502">
          <cell r="A4502">
            <v>1500018040</v>
          </cell>
          <cell r="B4502">
            <v>27.5</v>
          </cell>
        </row>
        <row r="4503">
          <cell r="A4503">
            <v>1500018041</v>
          </cell>
          <cell r="B4503">
            <v>29.5</v>
          </cell>
        </row>
        <row r="4504">
          <cell r="A4504">
            <v>1500018114</v>
          </cell>
          <cell r="B4504">
            <v>0</v>
          </cell>
        </row>
        <row r="4505">
          <cell r="A4505">
            <v>1500018129</v>
          </cell>
          <cell r="B4505">
            <v>63.358333333333299</v>
          </cell>
        </row>
        <row r="4506">
          <cell r="A4506">
            <v>1500018179</v>
          </cell>
          <cell r="B4506">
            <v>7.5</v>
          </cell>
        </row>
        <row r="4507">
          <cell r="A4507">
            <v>1500018180</v>
          </cell>
          <cell r="B4507">
            <v>9.1666666666666696</v>
          </cell>
        </row>
        <row r="4508">
          <cell r="A4508">
            <v>1500018200</v>
          </cell>
          <cell r="B4508">
            <v>53.316666666666698</v>
          </cell>
        </row>
        <row r="4509">
          <cell r="A4509">
            <v>1500018201</v>
          </cell>
          <cell r="B4509">
            <v>84.25</v>
          </cell>
        </row>
        <row r="4510">
          <cell r="A4510">
            <v>1500018202</v>
          </cell>
          <cell r="B4510">
            <v>35.2083333333333</v>
          </cell>
        </row>
        <row r="4511">
          <cell r="A4511">
            <v>1500018203</v>
          </cell>
          <cell r="B4511">
            <v>9.8333333333333304</v>
          </cell>
        </row>
        <row r="4512">
          <cell r="A4512">
            <v>1500018185</v>
          </cell>
          <cell r="B4512">
            <v>29.5833333333333</v>
          </cell>
        </row>
        <row r="4513">
          <cell r="A4513">
            <v>1500018240</v>
          </cell>
          <cell r="B4513">
            <v>6.8333333333333304</v>
          </cell>
        </row>
        <row r="4514">
          <cell r="A4514">
            <v>1500018241</v>
          </cell>
          <cell r="B4514">
            <v>99.5833333333333</v>
          </cell>
        </row>
        <row r="4515">
          <cell r="A4515">
            <v>1500018252</v>
          </cell>
          <cell r="B4515">
            <v>69.1666666666667</v>
          </cell>
        </row>
        <row r="4516">
          <cell r="A4516">
            <v>1500018253</v>
          </cell>
          <cell r="B4516">
            <v>9.1666666666666696</v>
          </cell>
        </row>
        <row r="4517">
          <cell r="A4517">
            <v>1500018254</v>
          </cell>
          <cell r="B4517">
            <v>4.1666666666666696</v>
          </cell>
        </row>
        <row r="4518">
          <cell r="A4518">
            <v>1500018266</v>
          </cell>
          <cell r="B4518">
            <v>29.1666666666667</v>
          </cell>
        </row>
        <row r="4519">
          <cell r="A4519">
            <v>1500018278</v>
          </cell>
          <cell r="B4519">
            <v>29.1666666666667</v>
          </cell>
        </row>
        <row r="4520">
          <cell r="A4520">
            <v>1500018286</v>
          </cell>
          <cell r="B4520">
            <v>4.5</v>
          </cell>
        </row>
        <row r="4521">
          <cell r="A4521">
            <v>1500018287</v>
          </cell>
          <cell r="B4521">
            <v>23.1666666666667</v>
          </cell>
        </row>
        <row r="4522">
          <cell r="A4522">
            <v>1500018295</v>
          </cell>
          <cell r="B4522">
            <v>40.8333333333333</v>
          </cell>
        </row>
        <row r="4523">
          <cell r="A4523">
            <v>1500018378</v>
          </cell>
          <cell r="B4523">
            <v>27.5</v>
          </cell>
        </row>
        <row r="4524">
          <cell r="A4524">
            <v>1500018379</v>
          </cell>
          <cell r="B4524">
            <v>47.5833333333333</v>
          </cell>
        </row>
        <row r="4525">
          <cell r="A4525">
            <v>1500018361</v>
          </cell>
          <cell r="B4525">
            <v>0</v>
          </cell>
        </row>
        <row r="4526">
          <cell r="A4526">
            <v>1500018380</v>
          </cell>
          <cell r="B4526">
            <v>14.8333333333333</v>
          </cell>
        </row>
        <row r="4527">
          <cell r="A4527">
            <v>1500018381</v>
          </cell>
          <cell r="B4527">
            <v>13.3333333333333</v>
          </cell>
        </row>
        <row r="4528">
          <cell r="A4528">
            <v>1500018447</v>
          </cell>
          <cell r="B4528">
            <v>67.5833333333333</v>
          </cell>
        </row>
        <row r="4529">
          <cell r="A4529">
            <v>1500018448</v>
          </cell>
          <cell r="B4529">
            <v>13.033333333333299</v>
          </cell>
        </row>
        <row r="4530">
          <cell r="A4530">
            <v>1500018449</v>
          </cell>
          <cell r="B4530">
            <v>0</v>
          </cell>
        </row>
        <row r="4531">
          <cell r="A4531">
            <v>1500018450</v>
          </cell>
          <cell r="B4531">
            <v>20.1666666666667</v>
          </cell>
        </row>
        <row r="4532">
          <cell r="A4532">
            <v>1500018419</v>
          </cell>
          <cell r="B4532">
            <v>109</v>
          </cell>
        </row>
        <row r="4533">
          <cell r="A4533">
            <v>1500018420</v>
          </cell>
          <cell r="B4533">
            <v>70.1666666666667</v>
          </cell>
        </row>
        <row r="4534">
          <cell r="A4534">
            <v>1500018500</v>
          </cell>
          <cell r="B4534">
            <v>5</v>
          </cell>
        </row>
        <row r="4535">
          <cell r="A4535">
            <v>1500018539</v>
          </cell>
          <cell r="B4535">
            <v>39.8333333333333</v>
          </cell>
        </row>
        <row r="4536">
          <cell r="A4536">
            <v>1500018565</v>
          </cell>
          <cell r="B4536">
            <v>23.6666666666667</v>
          </cell>
        </row>
        <row r="4537">
          <cell r="A4537">
            <v>1500018566</v>
          </cell>
          <cell r="B4537">
            <v>27</v>
          </cell>
        </row>
        <row r="4538">
          <cell r="A4538">
            <v>1500018567</v>
          </cell>
          <cell r="B4538">
            <v>25</v>
          </cell>
        </row>
        <row r="4539">
          <cell r="A4539">
            <v>1500018586</v>
          </cell>
          <cell r="B4539">
            <v>25.8333333333333</v>
          </cell>
        </row>
        <row r="4540">
          <cell r="A4540">
            <v>1500018624</v>
          </cell>
          <cell r="B4540">
            <v>35</v>
          </cell>
        </row>
        <row r="4541">
          <cell r="A4541">
            <v>1500018569</v>
          </cell>
          <cell r="B4541">
            <v>0</v>
          </cell>
        </row>
        <row r="4542">
          <cell r="A4542">
            <v>1500018599</v>
          </cell>
          <cell r="B4542">
            <v>36.5</v>
          </cell>
        </row>
        <row r="4543">
          <cell r="A4543">
            <v>1500018601</v>
          </cell>
          <cell r="B4543">
            <v>16.6666666666667</v>
          </cell>
        </row>
        <row r="4544">
          <cell r="A4544">
            <v>1500018617</v>
          </cell>
          <cell r="B4544">
            <v>33.8333333333333</v>
          </cell>
        </row>
        <row r="4545">
          <cell r="A4545">
            <v>1500018635</v>
          </cell>
          <cell r="B4545">
            <v>9.3333333333333304</v>
          </cell>
        </row>
        <row r="4546">
          <cell r="A4546">
            <v>1500018638</v>
          </cell>
          <cell r="B4546">
            <v>19.5833333333333</v>
          </cell>
        </row>
        <row r="4547">
          <cell r="A4547">
            <v>1500018664</v>
          </cell>
          <cell r="B4547">
            <v>20</v>
          </cell>
        </row>
        <row r="4548">
          <cell r="A4548">
            <v>1500018666</v>
          </cell>
          <cell r="B4548">
            <v>23.0833333333333</v>
          </cell>
        </row>
        <row r="4549">
          <cell r="A4549">
            <v>1500018716</v>
          </cell>
          <cell r="B4549">
            <v>94.3333333333333</v>
          </cell>
        </row>
        <row r="4550">
          <cell r="A4550">
            <v>1500018717</v>
          </cell>
          <cell r="B4550">
            <v>26.6666666666667</v>
          </cell>
        </row>
        <row r="4551">
          <cell r="A4551">
            <v>1500018763</v>
          </cell>
          <cell r="B4551">
            <v>102.416666666667</v>
          </cell>
        </row>
        <row r="4552">
          <cell r="A4552">
            <v>1500018764</v>
          </cell>
          <cell r="B4552">
            <v>222.25</v>
          </cell>
        </row>
        <row r="4553">
          <cell r="A4553">
            <v>1500018730</v>
          </cell>
          <cell r="B4553">
            <v>118.916666666667</v>
          </cell>
        </row>
        <row r="4554">
          <cell r="A4554">
            <v>1500018933</v>
          </cell>
          <cell r="B4554">
            <v>41.5</v>
          </cell>
        </row>
        <row r="4555">
          <cell r="A4555">
            <v>1500018921</v>
          </cell>
          <cell r="B4555">
            <v>13.8333333333333</v>
          </cell>
        </row>
        <row r="4556">
          <cell r="A4556">
            <v>1500018918</v>
          </cell>
          <cell r="B4556">
            <v>30.8333333333333</v>
          </cell>
        </row>
        <row r="4557">
          <cell r="A4557">
            <v>1500018882</v>
          </cell>
          <cell r="B4557">
            <v>40.8333333333333</v>
          </cell>
        </row>
        <row r="4558">
          <cell r="A4558">
            <v>1500018884</v>
          </cell>
          <cell r="B4558">
            <v>21.6666666666667</v>
          </cell>
        </row>
        <row r="4559">
          <cell r="A4559">
            <v>1500018885</v>
          </cell>
          <cell r="B4559">
            <v>1.25</v>
          </cell>
        </row>
        <row r="4560">
          <cell r="A4560">
            <v>1500019024</v>
          </cell>
          <cell r="B4560">
            <v>19.1666666666667</v>
          </cell>
        </row>
        <row r="4561">
          <cell r="A4561">
            <v>1500018994</v>
          </cell>
          <cell r="B4561">
            <v>4.8333333333333304</v>
          </cell>
        </row>
        <row r="4562">
          <cell r="A4562">
            <v>1500018995</v>
          </cell>
          <cell r="B4562">
            <v>32</v>
          </cell>
        </row>
        <row r="4563">
          <cell r="A4563">
            <v>1500018935</v>
          </cell>
          <cell r="B4563">
            <v>5</v>
          </cell>
        </row>
        <row r="4564">
          <cell r="A4564">
            <v>1500018941</v>
          </cell>
          <cell r="B4564">
            <v>37.741666666666703</v>
          </cell>
        </row>
        <row r="4565">
          <cell r="A4565">
            <v>1500019016</v>
          </cell>
          <cell r="B4565">
            <v>35.1666666666667</v>
          </cell>
        </row>
        <row r="4566">
          <cell r="A4566">
            <v>1500018930</v>
          </cell>
          <cell r="B4566">
            <v>15.6666666666667</v>
          </cell>
        </row>
        <row r="4567">
          <cell r="A4567">
            <v>1500019151</v>
          </cell>
          <cell r="B4567">
            <v>2.6666666666666701</v>
          </cell>
        </row>
        <row r="4568">
          <cell r="A4568">
            <v>1500019152</v>
          </cell>
          <cell r="B4568">
            <v>11.6666666666667</v>
          </cell>
        </row>
        <row r="4569">
          <cell r="A4569">
            <v>1500019134</v>
          </cell>
          <cell r="B4569">
            <v>54.8333333333333</v>
          </cell>
        </row>
        <row r="4570">
          <cell r="A4570">
            <v>1500019112</v>
          </cell>
          <cell r="B4570">
            <v>14.4166666666667</v>
          </cell>
        </row>
        <row r="4571">
          <cell r="A4571">
            <v>1500019069</v>
          </cell>
          <cell r="B4571">
            <v>79.5833333333333</v>
          </cell>
        </row>
        <row r="4572">
          <cell r="A4572">
            <v>1500019113</v>
          </cell>
          <cell r="B4572">
            <v>10</v>
          </cell>
        </row>
        <row r="4573">
          <cell r="A4573">
            <v>1500019221</v>
          </cell>
          <cell r="B4573">
            <v>0</v>
          </cell>
        </row>
        <row r="4574">
          <cell r="A4574">
            <v>1500019245</v>
          </cell>
          <cell r="B4574">
            <v>13.3333333333333</v>
          </cell>
        </row>
        <row r="4575">
          <cell r="A4575">
            <v>1500019243</v>
          </cell>
          <cell r="B4575">
            <v>5.3333333333333304</v>
          </cell>
        </row>
        <row r="4576">
          <cell r="A4576">
            <v>1500019174</v>
          </cell>
          <cell r="B4576">
            <v>97.25</v>
          </cell>
        </row>
        <row r="4577">
          <cell r="A4577">
            <v>1500019170</v>
          </cell>
          <cell r="B4577">
            <v>0</v>
          </cell>
        </row>
        <row r="4578">
          <cell r="A4578">
            <v>1500019312</v>
          </cell>
          <cell r="B4578">
            <v>0</v>
          </cell>
        </row>
        <row r="4579">
          <cell r="A4579">
            <v>1500019311</v>
          </cell>
          <cell r="B4579">
            <v>0</v>
          </cell>
        </row>
        <row r="4580">
          <cell r="A4580">
            <v>1500019308</v>
          </cell>
          <cell r="B4580">
            <v>0</v>
          </cell>
        </row>
        <row r="4581">
          <cell r="A4581">
            <v>1500019279</v>
          </cell>
          <cell r="B4581">
            <v>13.8333333333333</v>
          </cell>
        </row>
        <row r="4582">
          <cell r="A4582">
            <v>1500019321</v>
          </cell>
          <cell r="B4582">
            <v>0</v>
          </cell>
        </row>
        <row r="4583">
          <cell r="A4583">
            <v>1500019317</v>
          </cell>
          <cell r="B4583">
            <v>0</v>
          </cell>
        </row>
        <row r="4584">
          <cell r="A4584">
            <v>1500019318</v>
          </cell>
          <cell r="B4584">
            <v>0</v>
          </cell>
        </row>
        <row r="4585">
          <cell r="A4585">
            <v>1500019474</v>
          </cell>
          <cell r="B4585">
            <v>0</v>
          </cell>
        </row>
        <row r="4586">
          <cell r="A4586">
            <v>1500019501</v>
          </cell>
          <cell r="B4586">
            <v>0</v>
          </cell>
        </row>
        <row r="4587">
          <cell r="A4587">
            <v>1500019475</v>
          </cell>
          <cell r="B4587">
            <v>0</v>
          </cell>
        </row>
        <row r="4588">
          <cell r="A4588">
            <v>1500019389</v>
          </cell>
          <cell r="B4588">
            <v>0</v>
          </cell>
        </row>
        <row r="4589">
          <cell r="A4589">
            <v>1500019390</v>
          </cell>
          <cell r="B4589">
            <v>0</v>
          </cell>
        </row>
        <row r="4590">
          <cell r="A4590">
            <v>1500019380</v>
          </cell>
          <cell r="B4590">
            <v>0</v>
          </cell>
        </row>
        <row r="4591">
          <cell r="A4591">
            <v>1500014216</v>
          </cell>
          <cell r="B4591">
            <v>0</v>
          </cell>
        </row>
        <row r="4592">
          <cell r="A4592">
            <v>1500014217</v>
          </cell>
          <cell r="B4592">
            <v>87.1666666666667</v>
          </cell>
        </row>
        <row r="4593">
          <cell r="A4593">
            <v>1500014303</v>
          </cell>
          <cell r="B4593">
            <v>0</v>
          </cell>
        </row>
        <row r="4594">
          <cell r="A4594">
            <v>1500014280</v>
          </cell>
          <cell r="B4594">
            <v>0</v>
          </cell>
        </row>
        <row r="4595">
          <cell r="A4595">
            <v>1500014281</v>
          </cell>
          <cell r="B4595">
            <v>7.5</v>
          </cell>
        </row>
        <row r="4596">
          <cell r="A4596">
            <v>1500014332</v>
          </cell>
          <cell r="B4596">
            <v>0</v>
          </cell>
        </row>
        <row r="4597">
          <cell r="A4597">
            <v>1500014732</v>
          </cell>
          <cell r="B4597">
            <v>0</v>
          </cell>
        </row>
        <row r="4598">
          <cell r="A4598">
            <v>1500015136</v>
          </cell>
          <cell r="B4598">
            <v>10.8333333333333</v>
          </cell>
        </row>
        <row r="4599">
          <cell r="A4599">
            <v>1500015257</v>
          </cell>
          <cell r="B4599">
            <v>0</v>
          </cell>
        </row>
        <row r="4600">
          <cell r="A4600">
            <v>1500015359</v>
          </cell>
          <cell r="B4600">
            <v>15</v>
          </cell>
        </row>
        <row r="4601">
          <cell r="A4601">
            <v>1500015543</v>
          </cell>
          <cell r="B4601">
            <v>6.1666666666666696</v>
          </cell>
        </row>
        <row r="4602">
          <cell r="A4602">
            <v>1500015613</v>
          </cell>
          <cell r="B4602">
            <v>0</v>
          </cell>
        </row>
        <row r="4603">
          <cell r="A4603">
            <v>1500015614</v>
          </cell>
          <cell r="B4603">
            <v>15</v>
          </cell>
        </row>
        <row r="4604">
          <cell r="A4604">
            <v>1500016543</v>
          </cell>
          <cell r="B4604">
            <v>27.5</v>
          </cell>
        </row>
        <row r="4605">
          <cell r="A4605">
            <v>1500016590</v>
          </cell>
          <cell r="B4605">
            <v>0</v>
          </cell>
        </row>
        <row r="4606">
          <cell r="A4606">
            <v>1500017029</v>
          </cell>
          <cell r="B4606">
            <v>18</v>
          </cell>
        </row>
        <row r="4607">
          <cell r="A4607">
            <v>1500017039</v>
          </cell>
          <cell r="B4607">
            <v>17.5</v>
          </cell>
        </row>
        <row r="4608">
          <cell r="A4608">
            <v>1500017182</v>
          </cell>
          <cell r="B4608">
            <v>62</v>
          </cell>
        </row>
        <row r="4609">
          <cell r="A4609">
            <v>1500017353</v>
          </cell>
          <cell r="B4609">
            <v>82.5</v>
          </cell>
        </row>
        <row r="4610">
          <cell r="A4610">
            <v>1500017547</v>
          </cell>
          <cell r="B4610">
            <v>37.1666666666667</v>
          </cell>
        </row>
        <row r="4611">
          <cell r="A4611">
            <v>1500017548</v>
          </cell>
          <cell r="B4611">
            <v>3.6666666666666701</v>
          </cell>
        </row>
        <row r="4612">
          <cell r="A4612">
            <v>1500017746</v>
          </cell>
          <cell r="B4612">
            <v>34.1666666666667</v>
          </cell>
        </row>
        <row r="4613">
          <cell r="A4613">
            <v>1500018125</v>
          </cell>
          <cell r="B4613">
            <v>17.8333333333333</v>
          </cell>
        </row>
        <row r="4614">
          <cell r="A4614">
            <v>1500018288</v>
          </cell>
          <cell r="B4614">
            <v>5.8333333333333304</v>
          </cell>
        </row>
        <row r="4615">
          <cell r="A4615">
            <v>1500018294</v>
          </cell>
          <cell r="B4615">
            <v>6.1666666666666696</v>
          </cell>
        </row>
        <row r="4616">
          <cell r="A4616">
            <v>1500018389</v>
          </cell>
          <cell r="B4616">
            <v>8.3333333333333304</v>
          </cell>
        </row>
        <row r="4617">
          <cell r="A4617">
            <v>1500018744</v>
          </cell>
          <cell r="B4617">
            <v>35</v>
          </cell>
        </row>
        <row r="4618">
          <cell r="A4618">
            <v>1500018917</v>
          </cell>
          <cell r="B4618">
            <v>21.6666666666667</v>
          </cell>
        </row>
        <row r="4619">
          <cell r="A4619">
            <v>1500019139</v>
          </cell>
          <cell r="B4619">
            <v>0.83333333333333304</v>
          </cell>
        </row>
        <row r="4620">
          <cell r="A4620">
            <v>1500019180</v>
          </cell>
          <cell r="B4620">
            <v>14.1666666666667</v>
          </cell>
        </row>
        <row r="4621">
          <cell r="A4621">
            <v>1500003142</v>
          </cell>
          <cell r="B4621">
            <v>12.25</v>
          </cell>
        </row>
        <row r="4622">
          <cell r="A4622">
            <v>1500005865</v>
          </cell>
          <cell r="B4622">
            <v>0.41666666666666702</v>
          </cell>
        </row>
        <row r="4623">
          <cell r="A4623">
            <v>1500002247</v>
          </cell>
          <cell r="B4623">
            <v>18.75</v>
          </cell>
        </row>
        <row r="4624">
          <cell r="A4624">
            <v>1500005133</v>
          </cell>
          <cell r="B4624">
            <v>0</v>
          </cell>
        </row>
        <row r="4625">
          <cell r="A4625">
            <v>1500002945</v>
          </cell>
          <cell r="B4625">
            <v>0</v>
          </cell>
        </row>
        <row r="4626">
          <cell r="A4626">
            <v>1500004833</v>
          </cell>
          <cell r="B4626">
            <v>35.4166666666667</v>
          </cell>
        </row>
        <row r="4627">
          <cell r="A4627">
            <v>1500003611</v>
          </cell>
          <cell r="B4627">
            <v>34.9166666666667</v>
          </cell>
        </row>
        <row r="4628">
          <cell r="A4628">
            <v>1500005176</v>
          </cell>
          <cell r="B4628">
            <v>0</v>
          </cell>
        </row>
        <row r="4629">
          <cell r="A4629">
            <v>1500003533</v>
          </cell>
          <cell r="B4629">
            <v>58.25</v>
          </cell>
        </row>
        <row r="4630">
          <cell r="A4630">
            <v>1500002152</v>
          </cell>
          <cell r="B4630">
            <v>0.91666666666666696</v>
          </cell>
        </row>
        <row r="4631">
          <cell r="A4631">
            <v>1500005184</v>
          </cell>
          <cell r="B4631">
            <v>0</v>
          </cell>
        </row>
        <row r="4632">
          <cell r="A4632">
            <v>1500003612</v>
          </cell>
          <cell r="B4632">
            <v>0</v>
          </cell>
        </row>
        <row r="4633">
          <cell r="A4633">
            <v>1500002112</v>
          </cell>
          <cell r="B4633">
            <v>0</v>
          </cell>
        </row>
        <row r="4634">
          <cell r="A4634">
            <v>1500002113</v>
          </cell>
          <cell r="B4634">
            <v>12.9166666666667</v>
          </cell>
        </row>
        <row r="4635">
          <cell r="A4635">
            <v>1500002200</v>
          </cell>
          <cell r="B4635">
            <v>0</v>
          </cell>
        </row>
        <row r="4636">
          <cell r="A4636">
            <v>1500005764</v>
          </cell>
          <cell r="B4636">
            <v>2.9166666666666701</v>
          </cell>
        </row>
        <row r="4637">
          <cell r="A4637">
            <v>1500003013</v>
          </cell>
          <cell r="B4637">
            <v>58</v>
          </cell>
        </row>
        <row r="4638">
          <cell r="A4638">
            <v>1500005458</v>
          </cell>
          <cell r="B4638">
            <v>56.3333333333333</v>
          </cell>
        </row>
        <row r="4639">
          <cell r="A4639">
            <v>1500005830</v>
          </cell>
          <cell r="B4639">
            <v>19.25</v>
          </cell>
        </row>
        <row r="4640">
          <cell r="A4640">
            <v>1500002178</v>
          </cell>
          <cell r="B4640">
            <v>8.5</v>
          </cell>
        </row>
        <row r="4641">
          <cell r="A4641">
            <v>1500004591</v>
          </cell>
          <cell r="B4641">
            <v>48.8333333333333</v>
          </cell>
        </row>
        <row r="4642">
          <cell r="A4642">
            <v>1500004592</v>
          </cell>
          <cell r="B4642">
            <v>5.6666666666666696</v>
          </cell>
        </row>
        <row r="4643">
          <cell r="A4643">
            <v>1500004752</v>
          </cell>
          <cell r="B4643">
            <v>56.75</v>
          </cell>
        </row>
        <row r="4644">
          <cell r="A4644">
            <v>1500005080</v>
          </cell>
          <cell r="B4644">
            <v>25.5833333333333</v>
          </cell>
        </row>
        <row r="4645">
          <cell r="A4645">
            <v>1500005081</v>
          </cell>
          <cell r="B4645">
            <v>0</v>
          </cell>
        </row>
        <row r="4646">
          <cell r="A4646">
            <v>1500003091</v>
          </cell>
          <cell r="B4646">
            <v>12.5</v>
          </cell>
        </row>
        <row r="4647">
          <cell r="A4647">
            <v>1500004392</v>
          </cell>
          <cell r="B4647">
            <v>21</v>
          </cell>
        </row>
        <row r="4648">
          <cell r="A4648">
            <v>1500004696</v>
          </cell>
          <cell r="B4648">
            <v>16.25</v>
          </cell>
        </row>
        <row r="4649">
          <cell r="A4649">
            <v>1500001969</v>
          </cell>
          <cell r="B4649">
            <v>33.8333333333333</v>
          </cell>
        </row>
        <row r="4650">
          <cell r="A4650">
            <v>1500001970</v>
          </cell>
          <cell r="B4650">
            <v>8.3333333333333304</v>
          </cell>
        </row>
        <row r="4651">
          <cell r="A4651">
            <v>1500001971</v>
          </cell>
          <cell r="B4651">
            <v>17.5</v>
          </cell>
        </row>
        <row r="4652">
          <cell r="A4652">
            <v>1500003570</v>
          </cell>
          <cell r="B4652">
            <v>13.25</v>
          </cell>
        </row>
        <row r="4653">
          <cell r="A4653">
            <v>1500004266</v>
          </cell>
          <cell r="B4653">
            <v>22.5</v>
          </cell>
        </row>
        <row r="4654">
          <cell r="A4654">
            <v>1500004267</v>
          </cell>
          <cell r="B4654">
            <v>0</v>
          </cell>
        </row>
        <row r="4655">
          <cell r="A4655">
            <v>1500001718</v>
          </cell>
          <cell r="B4655">
            <v>0</v>
          </cell>
        </row>
        <row r="4656">
          <cell r="A4656">
            <v>1500004467</v>
          </cell>
          <cell r="B4656">
            <v>21.6666666666667</v>
          </cell>
        </row>
        <row r="4657">
          <cell r="A4657">
            <v>1500003720</v>
          </cell>
          <cell r="B4657">
            <v>0</v>
          </cell>
        </row>
        <row r="4658">
          <cell r="A4658">
            <v>1500002636</v>
          </cell>
          <cell r="B4658">
            <v>22.5</v>
          </cell>
        </row>
        <row r="4659">
          <cell r="A4659">
            <v>1500002637</v>
          </cell>
          <cell r="B4659">
            <v>0</v>
          </cell>
        </row>
        <row r="4660">
          <cell r="A4660">
            <v>1500002826</v>
          </cell>
          <cell r="B4660">
            <v>11.5</v>
          </cell>
        </row>
        <row r="4661">
          <cell r="A4661">
            <v>1500001766</v>
          </cell>
          <cell r="B4661">
            <v>13.1666666666667</v>
          </cell>
        </row>
        <row r="4662">
          <cell r="A4662">
            <v>1500001981</v>
          </cell>
          <cell r="B4662">
            <v>56.325000000000003</v>
          </cell>
        </row>
        <row r="4663">
          <cell r="A4663">
            <v>1500002883</v>
          </cell>
          <cell r="B4663">
            <v>13.75</v>
          </cell>
        </row>
        <row r="4664">
          <cell r="A4664">
            <v>1500005649</v>
          </cell>
          <cell r="B4664">
            <v>0</v>
          </cell>
        </row>
        <row r="4665">
          <cell r="A4665">
            <v>1500004603</v>
          </cell>
          <cell r="B4665">
            <v>3.3333333333333299</v>
          </cell>
        </row>
        <row r="4666">
          <cell r="A4666">
            <v>1500004883</v>
          </cell>
          <cell r="B4666">
            <v>0</v>
          </cell>
        </row>
        <row r="4667">
          <cell r="A4667">
            <v>1500003347</v>
          </cell>
          <cell r="B4667">
            <v>51.6666666666667</v>
          </cell>
        </row>
        <row r="4668">
          <cell r="A4668">
            <v>1500003392</v>
          </cell>
          <cell r="B4668">
            <v>0</v>
          </cell>
        </row>
        <row r="4669">
          <cell r="A4669">
            <v>1500005083</v>
          </cell>
          <cell r="B4669">
            <v>0</v>
          </cell>
        </row>
        <row r="4670">
          <cell r="A4670">
            <v>1500005574</v>
          </cell>
          <cell r="B4670">
            <v>0</v>
          </cell>
        </row>
        <row r="4671">
          <cell r="A4671">
            <v>1500004292</v>
          </cell>
          <cell r="B4671">
            <v>17.1666666666667</v>
          </cell>
        </row>
        <row r="4672">
          <cell r="A4672">
            <v>1500004879</v>
          </cell>
          <cell r="B4672">
            <v>0</v>
          </cell>
        </row>
        <row r="4673">
          <cell r="A4673">
            <v>1500005273</v>
          </cell>
          <cell r="B4673">
            <v>32.491666666666703</v>
          </cell>
        </row>
        <row r="4674">
          <cell r="A4674">
            <v>1500003164</v>
          </cell>
          <cell r="B4674">
            <v>13.5833333333333</v>
          </cell>
        </row>
        <row r="4675">
          <cell r="A4675">
            <v>1500005244</v>
          </cell>
          <cell r="B4675">
            <v>103.25</v>
          </cell>
        </row>
        <row r="4676">
          <cell r="A4676">
            <v>1500005245</v>
          </cell>
          <cell r="B4676">
            <v>3.3333333333333299</v>
          </cell>
        </row>
        <row r="4677">
          <cell r="A4677">
            <v>1500005817</v>
          </cell>
          <cell r="B4677">
            <v>0.16666666666666699</v>
          </cell>
        </row>
        <row r="4678">
          <cell r="A4678">
            <v>1500002820</v>
          </cell>
          <cell r="B4678">
            <v>20.1666666666667</v>
          </cell>
        </row>
        <row r="4679">
          <cell r="A4679">
            <v>1500005637</v>
          </cell>
          <cell r="B4679">
            <v>24.366666666666699</v>
          </cell>
        </row>
        <row r="4680">
          <cell r="A4680">
            <v>1500002821</v>
          </cell>
          <cell r="B4680">
            <v>12.75</v>
          </cell>
        </row>
        <row r="4681">
          <cell r="A4681">
            <v>1500003613</v>
          </cell>
          <cell r="B4681">
            <v>26.508333333333301</v>
          </cell>
        </row>
        <row r="4682">
          <cell r="A4682">
            <v>1500005818</v>
          </cell>
          <cell r="B4682">
            <v>0.5</v>
          </cell>
        </row>
        <row r="4683">
          <cell r="A4683">
            <v>1500003943</v>
          </cell>
          <cell r="B4683">
            <v>17.6666666666667</v>
          </cell>
        </row>
        <row r="4684">
          <cell r="A4684">
            <v>1500001739</v>
          </cell>
          <cell r="B4684">
            <v>0</v>
          </cell>
        </row>
        <row r="4685">
          <cell r="A4685">
            <v>1500002036</v>
          </cell>
          <cell r="B4685">
            <v>0</v>
          </cell>
        </row>
        <row r="4686">
          <cell r="A4686">
            <v>1500005342</v>
          </cell>
          <cell r="B4686">
            <v>16.25</v>
          </cell>
        </row>
        <row r="4687">
          <cell r="A4687">
            <v>1500001740</v>
          </cell>
          <cell r="B4687">
            <v>0.33333333333333298</v>
          </cell>
        </row>
        <row r="4688">
          <cell r="A4688">
            <v>1500004028</v>
          </cell>
          <cell r="B4688">
            <v>0.41666666666666702</v>
          </cell>
        </row>
        <row r="4689">
          <cell r="A4689">
            <v>1500003614</v>
          </cell>
          <cell r="B4689">
            <v>44.116666666666703</v>
          </cell>
        </row>
        <row r="4690">
          <cell r="A4690">
            <v>1500005264</v>
          </cell>
          <cell r="B4690">
            <v>5.25</v>
          </cell>
        </row>
        <row r="4691">
          <cell r="A4691">
            <v>1500003615</v>
          </cell>
          <cell r="B4691">
            <v>41.683333333333302</v>
          </cell>
        </row>
        <row r="4692">
          <cell r="A4692">
            <v>1500003944</v>
          </cell>
          <cell r="B4692">
            <v>0</v>
          </cell>
        </row>
        <row r="4693">
          <cell r="A4693">
            <v>1500002822</v>
          </cell>
          <cell r="B4693">
            <v>127.8</v>
          </cell>
        </row>
        <row r="4694">
          <cell r="A4694">
            <v>1500003616</v>
          </cell>
          <cell r="B4694">
            <v>11.1666666666667</v>
          </cell>
        </row>
        <row r="4695">
          <cell r="A4695">
            <v>1500003617</v>
          </cell>
          <cell r="B4695">
            <v>27.8333333333333</v>
          </cell>
        </row>
        <row r="4696">
          <cell r="A4696">
            <v>1500003945</v>
          </cell>
          <cell r="B4696">
            <v>2.0833333333333299</v>
          </cell>
        </row>
        <row r="4697">
          <cell r="A4697">
            <v>1500005274</v>
          </cell>
          <cell r="B4697">
            <v>0.68333333333333302</v>
          </cell>
        </row>
        <row r="4698">
          <cell r="A4698">
            <v>1500005638</v>
          </cell>
          <cell r="B4698">
            <v>0.33333333333333298</v>
          </cell>
        </row>
        <row r="4699">
          <cell r="A4699">
            <v>1500005343</v>
          </cell>
          <cell r="B4699">
            <v>20.0416666666667</v>
          </cell>
        </row>
        <row r="4700">
          <cell r="A4700">
            <v>1500005639</v>
          </cell>
          <cell r="B4700">
            <v>2.25</v>
          </cell>
        </row>
        <row r="4701">
          <cell r="A4701">
            <v>1500003946</v>
          </cell>
          <cell r="B4701">
            <v>18.1666666666667</v>
          </cell>
        </row>
        <row r="4702">
          <cell r="A4702">
            <v>1500005640</v>
          </cell>
          <cell r="B4702">
            <v>17.75</v>
          </cell>
        </row>
        <row r="4703">
          <cell r="A4703">
            <v>1500002037</v>
          </cell>
          <cell r="B4703">
            <v>0</v>
          </cell>
        </row>
        <row r="4704">
          <cell r="A4704">
            <v>1500004745</v>
          </cell>
          <cell r="B4704">
            <v>0</v>
          </cell>
        </row>
        <row r="4705">
          <cell r="A4705">
            <v>1500002617</v>
          </cell>
          <cell r="B4705">
            <v>43.9166666666667</v>
          </cell>
        </row>
        <row r="4706">
          <cell r="A4706">
            <v>1500005265</v>
          </cell>
          <cell r="B4706">
            <v>7.55</v>
          </cell>
        </row>
        <row r="4707">
          <cell r="A4707">
            <v>1500002823</v>
          </cell>
          <cell r="B4707">
            <v>1.8333333333333299</v>
          </cell>
        </row>
        <row r="4708">
          <cell r="A4708">
            <v>1500004616</v>
          </cell>
          <cell r="B4708">
            <v>115.833333333333</v>
          </cell>
        </row>
        <row r="4709">
          <cell r="A4709">
            <v>1500005048</v>
          </cell>
          <cell r="B4709">
            <v>13.5</v>
          </cell>
        </row>
        <row r="4710">
          <cell r="A4710">
            <v>1500005777</v>
          </cell>
          <cell r="B4710">
            <v>0</v>
          </cell>
        </row>
        <row r="4711">
          <cell r="A4711">
            <v>1500002747</v>
          </cell>
          <cell r="B4711">
            <v>0</v>
          </cell>
        </row>
        <row r="4712">
          <cell r="A4712">
            <v>1500005049</v>
          </cell>
          <cell r="B4712">
            <v>5.9166666666666696</v>
          </cell>
        </row>
        <row r="4713">
          <cell r="A4713">
            <v>1500003505</v>
          </cell>
          <cell r="B4713">
            <v>7.5</v>
          </cell>
        </row>
        <row r="4714">
          <cell r="A4714">
            <v>1500002427</v>
          </cell>
          <cell r="B4714">
            <v>0</v>
          </cell>
        </row>
        <row r="4715">
          <cell r="A4715">
            <v>1500002748</v>
          </cell>
          <cell r="B4715">
            <v>32.1666666666667</v>
          </cell>
        </row>
        <row r="4716">
          <cell r="A4716">
            <v>1500002428</v>
          </cell>
          <cell r="B4716">
            <v>39</v>
          </cell>
        </row>
        <row r="4717">
          <cell r="A4717">
            <v>1500002429</v>
          </cell>
          <cell r="B4717">
            <v>31.608333333333299</v>
          </cell>
        </row>
        <row r="4718">
          <cell r="A4718">
            <v>1500005779</v>
          </cell>
          <cell r="B4718">
            <v>18.4166666666667</v>
          </cell>
        </row>
        <row r="4719">
          <cell r="A4719">
            <v>1500002430</v>
          </cell>
          <cell r="B4719">
            <v>7.5833333333333304</v>
          </cell>
        </row>
        <row r="4720">
          <cell r="A4720">
            <v>1500002431</v>
          </cell>
          <cell r="B4720">
            <v>19</v>
          </cell>
        </row>
        <row r="4721">
          <cell r="A4721">
            <v>1500002432</v>
          </cell>
          <cell r="B4721">
            <v>94.6666666666667</v>
          </cell>
        </row>
        <row r="4722">
          <cell r="A4722">
            <v>1500005051</v>
          </cell>
          <cell r="B4722">
            <v>13.0833333333333</v>
          </cell>
        </row>
        <row r="4723">
          <cell r="A4723">
            <v>1500005780</v>
          </cell>
          <cell r="B4723">
            <v>15.25</v>
          </cell>
        </row>
        <row r="4724">
          <cell r="A4724">
            <v>1500002749</v>
          </cell>
          <cell r="B4724">
            <v>8.5833333333333304</v>
          </cell>
        </row>
        <row r="4725">
          <cell r="A4725">
            <v>1500004746</v>
          </cell>
          <cell r="B4725">
            <v>0</v>
          </cell>
        </row>
        <row r="4726">
          <cell r="A4726">
            <v>1500004617</v>
          </cell>
          <cell r="B4726">
            <v>24.5833333333333</v>
          </cell>
        </row>
        <row r="4727">
          <cell r="A4727">
            <v>1500004604</v>
          </cell>
          <cell r="B4727">
            <v>17.25</v>
          </cell>
        </row>
        <row r="4728">
          <cell r="A4728">
            <v>1500002433</v>
          </cell>
          <cell r="B4728">
            <v>65</v>
          </cell>
        </row>
        <row r="4729">
          <cell r="A4729">
            <v>1500002750</v>
          </cell>
          <cell r="B4729">
            <v>127.5</v>
          </cell>
        </row>
        <row r="4730">
          <cell r="A4730">
            <v>1500005782</v>
          </cell>
          <cell r="B4730">
            <v>0</v>
          </cell>
        </row>
        <row r="4731">
          <cell r="A4731">
            <v>1500004618</v>
          </cell>
          <cell r="B4731">
            <v>12.4166666666667</v>
          </cell>
        </row>
        <row r="4732">
          <cell r="A4732">
            <v>1500002434</v>
          </cell>
          <cell r="B4732">
            <v>11.25</v>
          </cell>
        </row>
        <row r="4733">
          <cell r="A4733">
            <v>1500004619</v>
          </cell>
          <cell r="B4733">
            <v>16.0833333333333</v>
          </cell>
        </row>
        <row r="4734">
          <cell r="A4734">
            <v>1500002435</v>
          </cell>
          <cell r="B4734">
            <v>8.0833333333333304</v>
          </cell>
        </row>
        <row r="4735">
          <cell r="A4735">
            <v>1500002436</v>
          </cell>
          <cell r="B4735">
            <v>13.5833333333333</v>
          </cell>
        </row>
        <row r="4736">
          <cell r="A4736">
            <v>1500002437</v>
          </cell>
          <cell r="B4736">
            <v>31.9166666666667</v>
          </cell>
        </row>
        <row r="4737">
          <cell r="A4737">
            <v>1500003509</v>
          </cell>
          <cell r="B4737">
            <v>11.3333333333333</v>
          </cell>
        </row>
        <row r="4738">
          <cell r="A4738">
            <v>1500005784</v>
          </cell>
          <cell r="B4738">
            <v>0</v>
          </cell>
        </row>
        <row r="4739">
          <cell r="A4739">
            <v>1500005785</v>
          </cell>
          <cell r="B4739">
            <v>0</v>
          </cell>
        </row>
        <row r="4740">
          <cell r="A4740">
            <v>1500005786</v>
          </cell>
          <cell r="B4740">
            <v>0</v>
          </cell>
        </row>
        <row r="4741">
          <cell r="A4741">
            <v>1500005052</v>
          </cell>
          <cell r="B4741">
            <v>0</v>
          </cell>
        </row>
        <row r="4742">
          <cell r="A4742">
            <v>1500003510</v>
          </cell>
          <cell r="B4742">
            <v>18.25</v>
          </cell>
        </row>
        <row r="4743">
          <cell r="A4743">
            <v>1500005787</v>
          </cell>
          <cell r="B4743">
            <v>0</v>
          </cell>
        </row>
        <row r="4744">
          <cell r="A4744">
            <v>1500002438</v>
          </cell>
          <cell r="B4744">
            <v>0</v>
          </cell>
        </row>
        <row r="4745">
          <cell r="A4745">
            <v>1500002439</v>
          </cell>
          <cell r="B4745">
            <v>18.6666666666667</v>
          </cell>
        </row>
        <row r="4746">
          <cell r="A4746">
            <v>1500002440</v>
          </cell>
          <cell r="B4746">
            <v>0</v>
          </cell>
        </row>
        <row r="4747">
          <cell r="A4747">
            <v>1500003511</v>
          </cell>
          <cell r="B4747">
            <v>17.1666666666667</v>
          </cell>
        </row>
        <row r="4748">
          <cell r="A4748">
            <v>1500004621</v>
          </cell>
          <cell r="B4748">
            <v>25.5833333333333</v>
          </cell>
        </row>
        <row r="4749">
          <cell r="A4749">
            <v>1500003512</v>
          </cell>
          <cell r="B4749">
            <v>0</v>
          </cell>
        </row>
        <row r="4750">
          <cell r="A4750">
            <v>1500003514</v>
          </cell>
          <cell r="B4750">
            <v>14.6666666666667</v>
          </cell>
        </row>
        <row r="4751">
          <cell r="A4751">
            <v>1500002752</v>
          </cell>
          <cell r="B4751">
            <v>5.9166666666666696</v>
          </cell>
        </row>
        <row r="4752">
          <cell r="A4752">
            <v>1500002753</v>
          </cell>
          <cell r="B4752">
            <v>40.6666666666667</v>
          </cell>
        </row>
        <row r="4753">
          <cell r="A4753">
            <v>1500002754</v>
          </cell>
          <cell r="B4753">
            <v>24</v>
          </cell>
        </row>
        <row r="4754">
          <cell r="A4754">
            <v>1500002755</v>
          </cell>
          <cell r="B4754">
            <v>9.25</v>
          </cell>
        </row>
        <row r="4755">
          <cell r="A4755">
            <v>1500002756</v>
          </cell>
          <cell r="B4755">
            <v>9.5</v>
          </cell>
        </row>
        <row r="4756">
          <cell r="A4756">
            <v>1500002757</v>
          </cell>
          <cell r="B4756">
            <v>14.75</v>
          </cell>
        </row>
        <row r="4757">
          <cell r="A4757">
            <v>1500005789</v>
          </cell>
          <cell r="B4757">
            <v>9.8333333333333304</v>
          </cell>
        </row>
        <row r="4758">
          <cell r="A4758">
            <v>1500004622</v>
          </cell>
          <cell r="B4758">
            <v>0</v>
          </cell>
        </row>
        <row r="4759">
          <cell r="A4759">
            <v>1500003534</v>
          </cell>
          <cell r="B4759">
            <v>11.8333333333333</v>
          </cell>
        </row>
        <row r="4760">
          <cell r="A4760">
            <v>1500003536</v>
          </cell>
          <cell r="B4760">
            <v>15.6666666666667</v>
          </cell>
        </row>
        <row r="4761">
          <cell r="A4761">
            <v>1500003537</v>
          </cell>
          <cell r="B4761">
            <v>0</v>
          </cell>
        </row>
        <row r="4762">
          <cell r="A4762">
            <v>1500002336</v>
          </cell>
          <cell r="B4762">
            <v>32.1666666666667</v>
          </cell>
        </row>
        <row r="4763">
          <cell r="A4763">
            <v>1500004834</v>
          </cell>
          <cell r="B4763">
            <v>1.25</v>
          </cell>
        </row>
        <row r="4764">
          <cell r="A4764">
            <v>1500006289</v>
          </cell>
          <cell r="B4764">
            <v>10.9583333333333</v>
          </cell>
        </row>
        <row r="4765">
          <cell r="A4765">
            <v>1500006184</v>
          </cell>
          <cell r="B4765">
            <v>2.3333333333333299</v>
          </cell>
        </row>
        <row r="4766">
          <cell r="A4766">
            <v>1500005120</v>
          </cell>
          <cell r="B4766">
            <v>1.3333333333333299</v>
          </cell>
        </row>
        <row r="4767">
          <cell r="A4767">
            <v>1500006185</v>
          </cell>
          <cell r="B4767">
            <v>8.6666666666666696</v>
          </cell>
        </row>
        <row r="4768">
          <cell r="A4768">
            <v>1500005177</v>
          </cell>
          <cell r="B4768">
            <v>2.5833333333333299</v>
          </cell>
        </row>
        <row r="4769">
          <cell r="A4769">
            <v>1500005588</v>
          </cell>
          <cell r="B4769">
            <v>0.58333333333333304</v>
          </cell>
        </row>
        <row r="4770">
          <cell r="A4770">
            <v>1500002651</v>
          </cell>
          <cell r="B4770">
            <v>0</v>
          </cell>
        </row>
        <row r="4771">
          <cell r="A4771">
            <v>1500002652</v>
          </cell>
          <cell r="B4771">
            <v>0</v>
          </cell>
        </row>
        <row r="4772">
          <cell r="A4772">
            <v>1500005589</v>
          </cell>
          <cell r="B4772">
            <v>0</v>
          </cell>
        </row>
        <row r="4773">
          <cell r="A4773">
            <v>1500002472</v>
          </cell>
          <cell r="B4773">
            <v>108.583333333333</v>
          </cell>
        </row>
        <row r="4774">
          <cell r="A4774">
            <v>1500005590</v>
          </cell>
          <cell r="B4774">
            <v>22.516666666666701</v>
          </cell>
        </row>
        <row r="4775">
          <cell r="A4775">
            <v>1500004758</v>
          </cell>
          <cell r="B4775">
            <v>6.1666666666666696</v>
          </cell>
        </row>
        <row r="4776">
          <cell r="A4776">
            <v>1500005178</v>
          </cell>
          <cell r="B4776">
            <v>0</v>
          </cell>
        </row>
        <row r="4777">
          <cell r="A4777">
            <v>1500002654</v>
          </cell>
          <cell r="B4777">
            <v>1.25</v>
          </cell>
        </row>
        <row r="4778">
          <cell r="A4778">
            <v>1500002655</v>
          </cell>
          <cell r="B4778">
            <v>8.5083333333333293</v>
          </cell>
        </row>
        <row r="4779">
          <cell r="A4779">
            <v>1500005179</v>
          </cell>
          <cell r="B4779">
            <v>57.9166666666667</v>
          </cell>
        </row>
        <row r="4780">
          <cell r="A4780">
            <v>1500005591</v>
          </cell>
          <cell r="B4780">
            <v>0</v>
          </cell>
        </row>
        <row r="4781">
          <cell r="A4781">
            <v>1500002656</v>
          </cell>
          <cell r="B4781">
            <v>17.3333333333333</v>
          </cell>
        </row>
        <row r="4782">
          <cell r="A4782">
            <v>1500005592</v>
          </cell>
          <cell r="B4782">
            <v>0</v>
          </cell>
        </row>
        <row r="4783">
          <cell r="A4783">
            <v>1500005354</v>
          </cell>
          <cell r="B4783">
            <v>6.0833333333333304</v>
          </cell>
        </row>
        <row r="4784">
          <cell r="A4784">
            <v>1500003165</v>
          </cell>
          <cell r="B4784">
            <v>8.8333333333333304</v>
          </cell>
        </row>
        <row r="4785">
          <cell r="A4785">
            <v>1500002571</v>
          </cell>
          <cell r="B4785">
            <v>22.9166666666667</v>
          </cell>
        </row>
        <row r="4786">
          <cell r="A4786">
            <v>1500005355</v>
          </cell>
          <cell r="B4786">
            <v>0.41666666666666702</v>
          </cell>
        </row>
        <row r="4787">
          <cell r="A4787">
            <v>1500005356</v>
          </cell>
          <cell r="B4787">
            <v>14.5833333333333</v>
          </cell>
        </row>
        <row r="4788">
          <cell r="A4788">
            <v>1500005357</v>
          </cell>
          <cell r="B4788">
            <v>16.616666666666699</v>
          </cell>
        </row>
        <row r="4789">
          <cell r="A4789">
            <v>1500003953</v>
          </cell>
          <cell r="B4789">
            <v>5.9166666666666696</v>
          </cell>
        </row>
        <row r="4790">
          <cell r="A4790">
            <v>1500002115</v>
          </cell>
          <cell r="B4790">
            <v>1.9166666666666701</v>
          </cell>
        </row>
        <row r="4791">
          <cell r="A4791">
            <v>1500005358</v>
          </cell>
          <cell r="B4791">
            <v>23.45</v>
          </cell>
        </row>
        <row r="4792">
          <cell r="A4792">
            <v>1500004747</v>
          </cell>
          <cell r="B4792">
            <v>37.9166666666667</v>
          </cell>
        </row>
        <row r="4793">
          <cell r="A4793">
            <v>1500005359</v>
          </cell>
          <cell r="B4793">
            <v>17.5833333333333</v>
          </cell>
        </row>
        <row r="4794">
          <cell r="A4794">
            <v>1500005360</v>
          </cell>
          <cell r="B4794">
            <v>0.5</v>
          </cell>
        </row>
        <row r="4795">
          <cell r="A4795">
            <v>1500003550</v>
          </cell>
          <cell r="B4795">
            <v>22.3333333333333</v>
          </cell>
        </row>
        <row r="4796">
          <cell r="A4796">
            <v>1500005361</v>
          </cell>
          <cell r="B4796">
            <v>14.0833333333333</v>
          </cell>
        </row>
        <row r="4797">
          <cell r="A4797">
            <v>1500002041</v>
          </cell>
          <cell r="B4797">
            <v>1.75</v>
          </cell>
        </row>
        <row r="4798">
          <cell r="A4798">
            <v>1500003551</v>
          </cell>
          <cell r="B4798">
            <v>18.8333333333333</v>
          </cell>
        </row>
        <row r="4799">
          <cell r="A4799">
            <v>1500004029</v>
          </cell>
          <cell r="B4799">
            <v>1.6666666666666701</v>
          </cell>
        </row>
        <row r="4800">
          <cell r="A4800">
            <v>1500003552</v>
          </cell>
          <cell r="B4800">
            <v>10.5833333333333</v>
          </cell>
        </row>
        <row r="4801">
          <cell r="A4801">
            <v>1500002572</v>
          </cell>
          <cell r="B4801">
            <v>21.9583333333333</v>
          </cell>
        </row>
        <row r="4802">
          <cell r="A4802">
            <v>1500002116</v>
          </cell>
          <cell r="B4802">
            <v>15.8333333333333</v>
          </cell>
        </row>
        <row r="4803">
          <cell r="A4803">
            <v>1500005363</v>
          </cell>
          <cell r="B4803">
            <v>110.5</v>
          </cell>
        </row>
        <row r="4804">
          <cell r="A4804">
            <v>1500002042</v>
          </cell>
          <cell r="B4804">
            <v>0</v>
          </cell>
        </row>
        <row r="4805">
          <cell r="A4805">
            <v>1500003166</v>
          </cell>
          <cell r="B4805">
            <v>10.0833333333333</v>
          </cell>
        </row>
        <row r="4806">
          <cell r="A4806">
            <v>1500002117</v>
          </cell>
          <cell r="B4806">
            <v>2.0833333333333299</v>
          </cell>
        </row>
        <row r="4807">
          <cell r="A4807">
            <v>1500003553</v>
          </cell>
          <cell r="B4807">
            <v>36.5</v>
          </cell>
        </row>
        <row r="4808">
          <cell r="A4808">
            <v>1500003954</v>
          </cell>
          <cell r="B4808">
            <v>14.5</v>
          </cell>
        </row>
        <row r="4809">
          <cell r="A4809">
            <v>1500005364</v>
          </cell>
          <cell r="B4809">
            <v>17.658333333333299</v>
          </cell>
        </row>
        <row r="4810">
          <cell r="A4810">
            <v>1500003554</v>
          </cell>
          <cell r="B4810">
            <v>0</v>
          </cell>
        </row>
        <row r="4811">
          <cell r="A4811">
            <v>1500002573</v>
          </cell>
          <cell r="B4811">
            <v>7.2083333333333304</v>
          </cell>
        </row>
        <row r="4812">
          <cell r="A4812">
            <v>1500005366</v>
          </cell>
          <cell r="B4812">
            <v>20.9166666666667</v>
          </cell>
        </row>
        <row r="4813">
          <cell r="A4813">
            <v>1500005367</v>
          </cell>
          <cell r="B4813">
            <v>41.5833333333333</v>
          </cell>
        </row>
        <row r="4814">
          <cell r="A4814">
            <v>1500005368</v>
          </cell>
          <cell r="B4814">
            <v>24.5833333333333</v>
          </cell>
        </row>
        <row r="4815">
          <cell r="A4815">
            <v>1500005369</v>
          </cell>
          <cell r="B4815">
            <v>5.5833333333333304</v>
          </cell>
        </row>
        <row r="4816">
          <cell r="A4816">
            <v>1500002120</v>
          </cell>
          <cell r="B4816">
            <v>12.5833333333333</v>
          </cell>
        </row>
        <row r="4817">
          <cell r="A4817">
            <v>1500005370</v>
          </cell>
          <cell r="B4817">
            <v>18.1666666666667</v>
          </cell>
        </row>
        <row r="4818">
          <cell r="A4818">
            <v>1500002121</v>
          </cell>
          <cell r="B4818">
            <v>89.5</v>
          </cell>
        </row>
        <row r="4819">
          <cell r="A4819">
            <v>1500002574</v>
          </cell>
          <cell r="B4819">
            <v>34.9166666666667</v>
          </cell>
        </row>
        <row r="4820">
          <cell r="A4820">
            <v>1500005371</v>
          </cell>
          <cell r="B4820">
            <v>0</v>
          </cell>
        </row>
        <row r="4821">
          <cell r="A4821">
            <v>1500005372</v>
          </cell>
          <cell r="B4821">
            <v>0.83333333333333304</v>
          </cell>
        </row>
        <row r="4822">
          <cell r="A4822">
            <v>1500005373</v>
          </cell>
          <cell r="B4822">
            <v>38.75</v>
          </cell>
        </row>
        <row r="4823">
          <cell r="A4823">
            <v>1500005374</v>
          </cell>
          <cell r="B4823">
            <v>7</v>
          </cell>
        </row>
        <row r="4824">
          <cell r="A4824">
            <v>1500005375</v>
          </cell>
          <cell r="B4824">
            <v>72.55</v>
          </cell>
        </row>
        <row r="4825">
          <cell r="A4825">
            <v>1500005246</v>
          </cell>
          <cell r="B4825">
            <v>24.4166666666667</v>
          </cell>
        </row>
        <row r="4826">
          <cell r="A4826">
            <v>1500005376</v>
          </cell>
          <cell r="B4826">
            <v>7.8333333333333304</v>
          </cell>
        </row>
        <row r="4827">
          <cell r="A4827">
            <v>1500003538</v>
          </cell>
          <cell r="B4827">
            <v>56.8333333333333</v>
          </cell>
        </row>
        <row r="4828">
          <cell r="A4828">
            <v>1500002201</v>
          </cell>
          <cell r="B4828">
            <v>6</v>
          </cell>
        </row>
        <row r="4829">
          <cell r="A4829">
            <v>1500003539</v>
          </cell>
          <cell r="B4829">
            <v>0</v>
          </cell>
        </row>
        <row r="4830">
          <cell r="A4830">
            <v>1500003861</v>
          </cell>
          <cell r="B4830">
            <v>0</v>
          </cell>
        </row>
        <row r="4831">
          <cell r="A4831">
            <v>1500005661</v>
          </cell>
          <cell r="B4831">
            <v>0</v>
          </cell>
        </row>
        <row r="4832">
          <cell r="A4832">
            <v>1500003862</v>
          </cell>
          <cell r="B4832">
            <v>9.1666666666666696</v>
          </cell>
        </row>
        <row r="4833">
          <cell r="A4833">
            <v>1500004430</v>
          </cell>
          <cell r="B4833">
            <v>0</v>
          </cell>
        </row>
        <row r="4834">
          <cell r="A4834">
            <v>1500003649</v>
          </cell>
          <cell r="B4834">
            <v>17.75</v>
          </cell>
        </row>
        <row r="4835">
          <cell r="A4835">
            <v>1500003650</v>
          </cell>
          <cell r="B4835">
            <v>8.0333333333333297</v>
          </cell>
        </row>
        <row r="4836">
          <cell r="A4836">
            <v>1500004491</v>
          </cell>
          <cell r="B4836">
            <v>19.9166666666667</v>
          </cell>
        </row>
        <row r="4837">
          <cell r="A4837">
            <v>1500004493</v>
          </cell>
          <cell r="B4837">
            <v>17.25</v>
          </cell>
        </row>
        <row r="4838">
          <cell r="A4838">
            <v>1500004494</v>
          </cell>
          <cell r="B4838">
            <v>20.4166666666667</v>
          </cell>
        </row>
        <row r="4839">
          <cell r="A4839">
            <v>1500005662</v>
          </cell>
          <cell r="B4839">
            <v>0</v>
          </cell>
        </row>
        <row r="4840">
          <cell r="A4840">
            <v>1500004495</v>
          </cell>
          <cell r="B4840">
            <v>28.3333333333333</v>
          </cell>
        </row>
        <row r="4841">
          <cell r="A4841">
            <v>1500002202</v>
          </cell>
          <cell r="B4841">
            <v>6.3333333333333304</v>
          </cell>
        </row>
        <row r="4842">
          <cell r="A4842">
            <v>1500002204</v>
          </cell>
          <cell r="B4842">
            <v>72.3333333333333</v>
          </cell>
        </row>
        <row r="4843">
          <cell r="A4843">
            <v>1500002205</v>
          </cell>
          <cell r="B4843">
            <v>14.75</v>
          </cell>
        </row>
        <row r="4844">
          <cell r="A4844">
            <v>1500004496</v>
          </cell>
          <cell r="B4844">
            <v>55.75</v>
          </cell>
        </row>
        <row r="4845">
          <cell r="A4845">
            <v>1500004497</v>
          </cell>
          <cell r="B4845">
            <v>38</v>
          </cell>
        </row>
        <row r="4846">
          <cell r="A4846">
            <v>1500004498</v>
          </cell>
          <cell r="B4846">
            <v>36.75</v>
          </cell>
        </row>
        <row r="4847">
          <cell r="A4847">
            <v>1500004499</v>
          </cell>
          <cell r="B4847">
            <v>111.541666666667</v>
          </cell>
        </row>
        <row r="4848">
          <cell r="A4848">
            <v>1500004500</v>
          </cell>
          <cell r="B4848">
            <v>0</v>
          </cell>
        </row>
        <row r="4849">
          <cell r="A4849">
            <v>1500006329</v>
          </cell>
          <cell r="B4849">
            <v>0.41666666666666702</v>
          </cell>
        </row>
        <row r="4850">
          <cell r="A4850">
            <v>1500004501</v>
          </cell>
          <cell r="B4850">
            <v>24.75</v>
          </cell>
        </row>
        <row r="4851">
          <cell r="A4851">
            <v>1500003540</v>
          </cell>
          <cell r="B4851">
            <v>63.5833333333333</v>
          </cell>
        </row>
        <row r="4852">
          <cell r="A4852">
            <v>1500004138</v>
          </cell>
          <cell r="B4852">
            <v>8.6666666666666696</v>
          </cell>
        </row>
        <row r="4853">
          <cell r="A4853">
            <v>1500005747</v>
          </cell>
          <cell r="B4853">
            <v>52.375</v>
          </cell>
        </row>
        <row r="4854">
          <cell r="A4854">
            <v>1500004139</v>
          </cell>
          <cell r="B4854">
            <v>0</v>
          </cell>
        </row>
        <row r="4855">
          <cell r="A4855">
            <v>1500004140</v>
          </cell>
          <cell r="B4855">
            <v>0</v>
          </cell>
        </row>
        <row r="4856">
          <cell r="A4856">
            <v>1500005267</v>
          </cell>
          <cell r="B4856">
            <v>4.75</v>
          </cell>
        </row>
        <row r="4857">
          <cell r="A4857">
            <v>1500005268</v>
          </cell>
          <cell r="B4857">
            <v>4.1666666666666696</v>
          </cell>
        </row>
        <row r="4858">
          <cell r="A4858">
            <v>1500003658</v>
          </cell>
          <cell r="B4858">
            <v>0.58333333333333304</v>
          </cell>
        </row>
        <row r="4859">
          <cell r="A4859">
            <v>1500005269</v>
          </cell>
          <cell r="B4859">
            <v>1.5416666666666701</v>
          </cell>
        </row>
        <row r="4860">
          <cell r="A4860">
            <v>1500005765</v>
          </cell>
          <cell r="B4860">
            <v>55.75</v>
          </cell>
        </row>
        <row r="4861">
          <cell r="A4861">
            <v>1500004142</v>
          </cell>
          <cell r="B4861">
            <v>0</v>
          </cell>
        </row>
        <row r="4862">
          <cell r="A4862">
            <v>1500003721</v>
          </cell>
          <cell r="B4862">
            <v>62.0833333333333</v>
          </cell>
        </row>
        <row r="4863">
          <cell r="A4863">
            <v>1500005766</v>
          </cell>
          <cell r="B4863">
            <v>13.25</v>
          </cell>
        </row>
        <row r="4864">
          <cell r="A4864">
            <v>1500004143</v>
          </cell>
          <cell r="B4864">
            <v>40.5</v>
          </cell>
        </row>
        <row r="4865">
          <cell r="A4865">
            <v>1500003979</v>
          </cell>
          <cell r="B4865">
            <v>0</v>
          </cell>
        </row>
        <row r="4866">
          <cell r="A4866">
            <v>1500002195</v>
          </cell>
          <cell r="B4866">
            <v>0</v>
          </cell>
        </row>
        <row r="4867">
          <cell r="A4867">
            <v>1500003014</v>
          </cell>
          <cell r="B4867">
            <v>0</v>
          </cell>
        </row>
        <row r="4868">
          <cell r="A4868">
            <v>1500003015</v>
          </cell>
          <cell r="B4868">
            <v>54.8333333333333</v>
          </cell>
        </row>
        <row r="4869">
          <cell r="A4869">
            <v>1500005180</v>
          </cell>
          <cell r="B4869">
            <v>10.6666666666667</v>
          </cell>
        </row>
        <row r="4870">
          <cell r="A4870">
            <v>1500003980</v>
          </cell>
          <cell r="B4870">
            <v>0</v>
          </cell>
        </row>
        <row r="4871">
          <cell r="A4871">
            <v>1500003763</v>
          </cell>
          <cell r="B4871">
            <v>0</v>
          </cell>
        </row>
        <row r="4872">
          <cell r="A4872">
            <v>1500006114</v>
          </cell>
          <cell r="B4872">
            <v>8.6666666666666696</v>
          </cell>
        </row>
        <row r="4873">
          <cell r="A4873">
            <v>1500003016</v>
          </cell>
          <cell r="B4873">
            <v>24.625</v>
          </cell>
        </row>
        <row r="4874">
          <cell r="A4874">
            <v>1500003017</v>
          </cell>
          <cell r="B4874">
            <v>45.25</v>
          </cell>
        </row>
        <row r="4875">
          <cell r="A4875">
            <v>1500002060</v>
          </cell>
          <cell r="B4875">
            <v>0</v>
          </cell>
        </row>
        <row r="4876">
          <cell r="A4876">
            <v>1500002061</v>
          </cell>
          <cell r="B4876">
            <v>23.9166666666667</v>
          </cell>
        </row>
        <row r="4877">
          <cell r="A4877">
            <v>1500002081</v>
          </cell>
          <cell r="B4877">
            <v>11.1666666666667</v>
          </cell>
        </row>
        <row r="4878">
          <cell r="A4878">
            <v>1500002064</v>
          </cell>
          <cell r="B4878">
            <v>15</v>
          </cell>
        </row>
        <row r="4879">
          <cell r="A4879">
            <v>1500002072</v>
          </cell>
          <cell r="B4879">
            <v>7.0833333333333304</v>
          </cell>
        </row>
        <row r="4880">
          <cell r="A4880">
            <v>1500002074</v>
          </cell>
          <cell r="B4880">
            <v>17.3333333333333</v>
          </cell>
        </row>
        <row r="4881">
          <cell r="A4881">
            <v>1500002082</v>
          </cell>
          <cell r="B4881">
            <v>5.75</v>
          </cell>
        </row>
        <row r="4882">
          <cell r="A4882">
            <v>1500002083</v>
          </cell>
          <cell r="B4882">
            <v>38.4583333333333</v>
          </cell>
        </row>
        <row r="4883">
          <cell r="A4883">
            <v>1500002084</v>
          </cell>
          <cell r="B4883">
            <v>0</v>
          </cell>
        </row>
        <row r="4884">
          <cell r="A4884">
            <v>1500002649</v>
          </cell>
          <cell r="B4884">
            <v>0</v>
          </cell>
        </row>
        <row r="4885">
          <cell r="A4885">
            <v>1500002650</v>
          </cell>
          <cell r="B4885">
            <v>8.75</v>
          </cell>
        </row>
        <row r="4886">
          <cell r="A4886">
            <v>1500003698</v>
          </cell>
          <cell r="B4886">
            <v>0</v>
          </cell>
        </row>
        <row r="4887">
          <cell r="A4887">
            <v>1500004671</v>
          </cell>
          <cell r="B4887">
            <v>10.75</v>
          </cell>
        </row>
        <row r="4888">
          <cell r="A4888">
            <v>1500004672</v>
          </cell>
          <cell r="B4888">
            <v>8.0833333333333304</v>
          </cell>
        </row>
        <row r="4889">
          <cell r="A4889">
            <v>1500004673</v>
          </cell>
          <cell r="B4889">
            <v>3.1666666666666701</v>
          </cell>
        </row>
        <row r="4890">
          <cell r="A4890">
            <v>1500003699</v>
          </cell>
          <cell r="B4890">
            <v>0</v>
          </cell>
        </row>
        <row r="4891">
          <cell r="A4891">
            <v>1500005478</v>
          </cell>
          <cell r="B4891">
            <v>0</v>
          </cell>
        </row>
        <row r="4892">
          <cell r="A4892">
            <v>1500005479</v>
          </cell>
          <cell r="B4892">
            <v>0</v>
          </cell>
        </row>
        <row r="4893">
          <cell r="A4893">
            <v>1500005480</v>
          </cell>
          <cell r="B4893">
            <v>0</v>
          </cell>
        </row>
        <row r="4894">
          <cell r="A4894">
            <v>1500005481</v>
          </cell>
          <cell r="B4894">
            <v>25.4166666666667</v>
          </cell>
        </row>
        <row r="4895">
          <cell r="A4895">
            <v>1500005499</v>
          </cell>
          <cell r="B4895">
            <v>0</v>
          </cell>
        </row>
        <row r="4896">
          <cell r="A4896">
            <v>1500005500</v>
          </cell>
          <cell r="B4896">
            <v>0</v>
          </cell>
        </row>
        <row r="4897">
          <cell r="A4897">
            <v>1500005501</v>
          </cell>
          <cell r="B4897">
            <v>84.75</v>
          </cell>
        </row>
        <row r="4898">
          <cell r="A4898">
            <v>1500005502</v>
          </cell>
          <cell r="B4898">
            <v>0</v>
          </cell>
        </row>
        <row r="4899">
          <cell r="A4899">
            <v>1500001761</v>
          </cell>
          <cell r="B4899">
            <v>0</v>
          </cell>
        </row>
        <row r="4900">
          <cell r="A4900">
            <v>1500002163</v>
          </cell>
          <cell r="B4900">
            <v>142.5</v>
          </cell>
        </row>
        <row r="4901">
          <cell r="A4901">
            <v>1500002164</v>
          </cell>
          <cell r="B4901">
            <v>8.4166666666666696</v>
          </cell>
        </row>
        <row r="4902">
          <cell r="A4902">
            <v>1500002165</v>
          </cell>
          <cell r="B4902">
            <v>3.6666666666666701</v>
          </cell>
        </row>
        <row r="4903">
          <cell r="A4903">
            <v>1500002180</v>
          </cell>
          <cell r="B4903">
            <v>0</v>
          </cell>
        </row>
        <row r="4904">
          <cell r="A4904">
            <v>1500002181</v>
          </cell>
          <cell r="B4904">
            <v>0</v>
          </cell>
        </row>
        <row r="4905">
          <cell r="A4905">
            <v>1500002182</v>
          </cell>
          <cell r="B4905">
            <v>0.41666666666666702</v>
          </cell>
        </row>
        <row r="4906">
          <cell r="A4906">
            <v>1500002184</v>
          </cell>
          <cell r="B4906">
            <v>13.4166666666667</v>
          </cell>
        </row>
        <row r="4907">
          <cell r="A4907">
            <v>1500003327</v>
          </cell>
          <cell r="B4907">
            <v>48.658333333333303</v>
          </cell>
        </row>
        <row r="4908">
          <cell r="A4908">
            <v>1500003328</v>
          </cell>
          <cell r="B4908">
            <v>29.4166666666667</v>
          </cell>
        </row>
        <row r="4909">
          <cell r="A4909">
            <v>1500003329</v>
          </cell>
          <cell r="B4909">
            <v>20.1666666666667</v>
          </cell>
        </row>
        <row r="4910">
          <cell r="A4910">
            <v>1500003330</v>
          </cell>
          <cell r="B4910">
            <v>83.683333333333294</v>
          </cell>
        </row>
        <row r="4911">
          <cell r="A4911">
            <v>1500011751</v>
          </cell>
          <cell r="B4911">
            <v>3.4166666666666701</v>
          </cell>
        </row>
        <row r="4912">
          <cell r="A4912">
            <v>1500003712</v>
          </cell>
          <cell r="B4912">
            <v>0</v>
          </cell>
        </row>
        <row r="4913">
          <cell r="A4913">
            <v>1500003713</v>
          </cell>
          <cell r="B4913">
            <v>12.5</v>
          </cell>
        </row>
        <row r="4914">
          <cell r="A4914">
            <v>1500005291</v>
          </cell>
          <cell r="B4914">
            <v>5.0833333333333304</v>
          </cell>
        </row>
        <row r="4915">
          <cell r="A4915">
            <v>1500003971</v>
          </cell>
          <cell r="B4915">
            <v>9.4166666666666696</v>
          </cell>
        </row>
        <row r="4916">
          <cell r="A4916">
            <v>1500004593</v>
          </cell>
          <cell r="B4916">
            <v>17.9166666666667</v>
          </cell>
        </row>
        <row r="4917">
          <cell r="A4917">
            <v>1500004594</v>
          </cell>
          <cell r="B4917">
            <v>12.3333333333333</v>
          </cell>
        </row>
        <row r="4918">
          <cell r="A4918">
            <v>1500004595</v>
          </cell>
          <cell r="B4918">
            <v>30.9166666666667</v>
          </cell>
        </row>
        <row r="4919">
          <cell r="A4919">
            <v>1500004596</v>
          </cell>
          <cell r="B4919">
            <v>27</v>
          </cell>
        </row>
        <row r="4920">
          <cell r="A4920">
            <v>1500004597</v>
          </cell>
          <cell r="B4920">
            <v>2</v>
          </cell>
        </row>
        <row r="4921">
          <cell r="A4921">
            <v>1500004938</v>
          </cell>
          <cell r="B4921">
            <v>12.6666666666667</v>
          </cell>
        </row>
        <row r="4922">
          <cell r="A4922">
            <v>1500011854</v>
          </cell>
          <cell r="B4922">
            <v>10</v>
          </cell>
        </row>
        <row r="4923">
          <cell r="A4923">
            <v>1500012211</v>
          </cell>
          <cell r="B4923">
            <v>35</v>
          </cell>
        </row>
        <row r="4924">
          <cell r="A4924">
            <v>1500004939</v>
          </cell>
          <cell r="B4924">
            <v>2.1666666666666701</v>
          </cell>
        </row>
        <row r="4925">
          <cell r="A4925">
            <v>1500012212</v>
          </cell>
          <cell r="B4925">
            <v>0</v>
          </cell>
        </row>
        <row r="4926">
          <cell r="A4926">
            <v>1500005014</v>
          </cell>
          <cell r="B4926">
            <v>5.6333333333333302</v>
          </cell>
        </row>
        <row r="4927">
          <cell r="A4927">
            <v>1500005015</v>
          </cell>
          <cell r="B4927">
            <v>21.5833333333333</v>
          </cell>
        </row>
        <row r="4928">
          <cell r="A4928">
            <v>1500011703</v>
          </cell>
          <cell r="B4928">
            <v>0</v>
          </cell>
        </row>
        <row r="4929">
          <cell r="A4929">
            <v>1500005378</v>
          </cell>
          <cell r="B4929">
            <v>0</v>
          </cell>
        </row>
        <row r="4930">
          <cell r="A4930">
            <v>1500005292</v>
          </cell>
          <cell r="B4930">
            <v>21.9166666666667</v>
          </cell>
        </row>
        <row r="4931">
          <cell r="A4931">
            <v>1500005293</v>
          </cell>
          <cell r="B4931">
            <v>0</v>
          </cell>
        </row>
        <row r="4932">
          <cell r="A4932">
            <v>1500005748</v>
          </cell>
          <cell r="B4932">
            <v>0</v>
          </cell>
        </row>
        <row r="4933">
          <cell r="A4933">
            <v>1500002270</v>
          </cell>
          <cell r="B4933">
            <v>1.6666666666666701</v>
          </cell>
        </row>
        <row r="4934">
          <cell r="A4934">
            <v>1500005954</v>
          </cell>
          <cell r="B4934">
            <v>1.4166666666666701</v>
          </cell>
        </row>
        <row r="4935">
          <cell r="A4935">
            <v>1500005955</v>
          </cell>
          <cell r="B4935">
            <v>29.966666666666701</v>
          </cell>
        </row>
        <row r="4936">
          <cell r="A4936">
            <v>1500005956</v>
          </cell>
          <cell r="B4936">
            <v>8.3333333333333304</v>
          </cell>
        </row>
        <row r="4937">
          <cell r="A4937">
            <v>1500003092</v>
          </cell>
          <cell r="B4937">
            <v>19.8333333333333</v>
          </cell>
        </row>
        <row r="4938">
          <cell r="A4938">
            <v>1500003093</v>
          </cell>
          <cell r="B4938">
            <v>5.1666666666666696</v>
          </cell>
        </row>
        <row r="4939">
          <cell r="A4939">
            <v>1500003094</v>
          </cell>
          <cell r="B4939">
            <v>63.6666666666667</v>
          </cell>
        </row>
        <row r="4940">
          <cell r="A4940">
            <v>1500003096</v>
          </cell>
          <cell r="B4940">
            <v>12.75</v>
          </cell>
        </row>
        <row r="4941">
          <cell r="A4941">
            <v>1500003097</v>
          </cell>
          <cell r="B4941">
            <v>5.75</v>
          </cell>
        </row>
        <row r="4942">
          <cell r="A4942">
            <v>1500003099</v>
          </cell>
          <cell r="B4942">
            <v>16.25</v>
          </cell>
        </row>
        <row r="4943">
          <cell r="A4943">
            <v>1500003102</v>
          </cell>
          <cell r="B4943">
            <v>29.4166666666667</v>
          </cell>
        </row>
        <row r="4944">
          <cell r="A4944">
            <v>1500003103</v>
          </cell>
          <cell r="B4944">
            <v>12.25</v>
          </cell>
        </row>
        <row r="4945">
          <cell r="A4945">
            <v>1500003346</v>
          </cell>
          <cell r="B4945">
            <v>14.0416666666667</v>
          </cell>
        </row>
        <row r="4946">
          <cell r="A4946">
            <v>1500003341</v>
          </cell>
          <cell r="B4946">
            <v>0</v>
          </cell>
        </row>
        <row r="4947">
          <cell r="A4947">
            <v>1500006254</v>
          </cell>
          <cell r="B4947">
            <v>15.4166666666667</v>
          </cell>
        </row>
        <row r="4948">
          <cell r="A4948">
            <v>1500003382</v>
          </cell>
          <cell r="B4948">
            <v>12.0833333333333</v>
          </cell>
        </row>
        <row r="4949">
          <cell r="A4949">
            <v>1500004036</v>
          </cell>
          <cell r="B4949">
            <v>31.75</v>
          </cell>
        </row>
        <row r="4950">
          <cell r="A4950">
            <v>1500003748</v>
          </cell>
          <cell r="B4950">
            <v>34.524999999999999</v>
          </cell>
        </row>
        <row r="4951">
          <cell r="A4951">
            <v>1500004039</v>
          </cell>
          <cell r="B4951">
            <v>22.6666666666667</v>
          </cell>
        </row>
        <row r="4952">
          <cell r="A4952">
            <v>1500004040</v>
          </cell>
          <cell r="B4952">
            <v>0.91666666666666696</v>
          </cell>
        </row>
        <row r="4953">
          <cell r="A4953">
            <v>1500004069</v>
          </cell>
          <cell r="B4953">
            <v>44.85</v>
          </cell>
        </row>
        <row r="4954">
          <cell r="A4954">
            <v>1500004070</v>
          </cell>
          <cell r="B4954">
            <v>29.3333333333333</v>
          </cell>
        </row>
        <row r="4955">
          <cell r="A4955">
            <v>1500004071</v>
          </cell>
          <cell r="B4955">
            <v>0</v>
          </cell>
        </row>
        <row r="4956">
          <cell r="A4956">
            <v>1500004393</v>
          </cell>
          <cell r="B4956">
            <v>3</v>
          </cell>
        </row>
        <row r="4957">
          <cell r="A4957">
            <v>1500004394</v>
          </cell>
          <cell r="B4957">
            <v>37.133333333333297</v>
          </cell>
        </row>
        <row r="4958">
          <cell r="A4958">
            <v>1500004395</v>
          </cell>
          <cell r="B4958">
            <v>16.1666666666667</v>
          </cell>
        </row>
        <row r="4959">
          <cell r="A4959">
            <v>1500003057</v>
          </cell>
          <cell r="B4959">
            <v>55.066666666666698</v>
          </cell>
        </row>
        <row r="4960">
          <cell r="A4960">
            <v>1500004396</v>
          </cell>
          <cell r="B4960">
            <v>10.25</v>
          </cell>
        </row>
        <row r="4961">
          <cell r="A4961">
            <v>1500004761</v>
          </cell>
          <cell r="B4961">
            <v>25.5833333333333</v>
          </cell>
        </row>
        <row r="4962">
          <cell r="A4962">
            <v>1500004762</v>
          </cell>
          <cell r="B4962">
            <v>4.9166666666666696</v>
          </cell>
        </row>
        <row r="4963">
          <cell r="A4963">
            <v>1500004764</v>
          </cell>
          <cell r="B4963">
            <v>7.5833333333333304</v>
          </cell>
        </row>
        <row r="4964">
          <cell r="A4964">
            <v>1500004932</v>
          </cell>
          <cell r="B4964">
            <v>2.5</v>
          </cell>
        </row>
        <row r="4965">
          <cell r="A4965">
            <v>1500004933</v>
          </cell>
          <cell r="B4965">
            <v>1.3333333333333299</v>
          </cell>
        </row>
        <row r="4966">
          <cell r="A4966">
            <v>1500004934</v>
          </cell>
          <cell r="B4966">
            <v>39.549999999999997</v>
          </cell>
        </row>
        <row r="4967">
          <cell r="A4967">
            <v>1500005409</v>
          </cell>
          <cell r="B4967">
            <v>7.4166666666666696</v>
          </cell>
        </row>
        <row r="4968">
          <cell r="A4968">
            <v>1500005411</v>
          </cell>
          <cell r="B4968">
            <v>0</v>
          </cell>
        </row>
        <row r="4969">
          <cell r="A4969">
            <v>1500005412</v>
          </cell>
          <cell r="B4969">
            <v>9.6666666666666696</v>
          </cell>
        </row>
        <row r="4970">
          <cell r="A4970">
            <v>1500005413</v>
          </cell>
          <cell r="B4970">
            <v>29.75</v>
          </cell>
        </row>
        <row r="4971">
          <cell r="A4971">
            <v>1500005414</v>
          </cell>
          <cell r="B4971">
            <v>17</v>
          </cell>
        </row>
        <row r="4972">
          <cell r="A4972">
            <v>1500005434</v>
          </cell>
          <cell r="B4972">
            <v>5.1666666666666696</v>
          </cell>
        </row>
        <row r="4973">
          <cell r="A4973">
            <v>1500006336</v>
          </cell>
          <cell r="B4973">
            <v>30.766666666666701</v>
          </cell>
        </row>
        <row r="4974">
          <cell r="A4974">
            <v>1500004547</v>
          </cell>
          <cell r="B4974">
            <v>50.8333333333333</v>
          </cell>
        </row>
        <row r="4975">
          <cell r="A4975">
            <v>1500004548</v>
          </cell>
          <cell r="B4975">
            <v>38.3333333333333</v>
          </cell>
        </row>
        <row r="4976">
          <cell r="A4976">
            <v>1500004549</v>
          </cell>
          <cell r="B4976">
            <v>4.1666666666666696</v>
          </cell>
        </row>
        <row r="4977">
          <cell r="A4977">
            <v>1500002348</v>
          </cell>
          <cell r="B4977">
            <v>5.4166666666666696</v>
          </cell>
        </row>
        <row r="4978">
          <cell r="A4978">
            <v>1500002691</v>
          </cell>
          <cell r="B4978">
            <v>0</v>
          </cell>
        </row>
        <row r="4979">
          <cell r="A4979">
            <v>1500002692</v>
          </cell>
          <cell r="B4979">
            <v>0</v>
          </cell>
        </row>
        <row r="4980">
          <cell r="A4980">
            <v>1500002663</v>
          </cell>
          <cell r="B4980">
            <v>29.75</v>
          </cell>
        </row>
        <row r="4981">
          <cell r="A4981">
            <v>1500002664</v>
          </cell>
          <cell r="B4981">
            <v>0</v>
          </cell>
        </row>
        <row r="4982">
          <cell r="A4982">
            <v>1500002694</v>
          </cell>
          <cell r="B4982">
            <v>29.1666666666667</v>
          </cell>
        </row>
        <row r="4983">
          <cell r="A4983">
            <v>1500002665</v>
          </cell>
          <cell r="B4983">
            <v>0</v>
          </cell>
        </row>
        <row r="4984">
          <cell r="A4984">
            <v>1500002666</v>
          </cell>
          <cell r="B4984">
            <v>9.1666666666666696</v>
          </cell>
        </row>
        <row r="4985">
          <cell r="A4985">
            <v>1500002695</v>
          </cell>
          <cell r="B4985">
            <v>15</v>
          </cell>
        </row>
        <row r="4986">
          <cell r="A4986">
            <v>1500003046</v>
          </cell>
          <cell r="B4986">
            <v>47.1666666666667</v>
          </cell>
        </row>
        <row r="4987">
          <cell r="A4987">
            <v>1500003047</v>
          </cell>
          <cell r="B4987">
            <v>16.6666666666667</v>
          </cell>
        </row>
        <row r="4988">
          <cell r="A4988">
            <v>1500003049</v>
          </cell>
          <cell r="B4988">
            <v>0.41666666666666702</v>
          </cell>
        </row>
        <row r="4989">
          <cell r="A4989">
            <v>1500003050</v>
          </cell>
          <cell r="B4989">
            <v>57.6666666666667</v>
          </cell>
        </row>
        <row r="4990">
          <cell r="A4990">
            <v>1500003051</v>
          </cell>
          <cell r="B4990">
            <v>3.3333333333333299</v>
          </cell>
        </row>
        <row r="4991">
          <cell r="A4991">
            <v>1500003052</v>
          </cell>
          <cell r="B4991">
            <v>3.3333333333333299</v>
          </cell>
        </row>
        <row r="4992">
          <cell r="A4992">
            <v>1500003058</v>
          </cell>
          <cell r="B4992">
            <v>20.3333333333333</v>
          </cell>
        </row>
        <row r="4993">
          <cell r="A4993">
            <v>1500003059</v>
          </cell>
          <cell r="B4993">
            <v>0</v>
          </cell>
        </row>
        <row r="4994">
          <cell r="A4994">
            <v>1500003061</v>
          </cell>
          <cell r="B4994">
            <v>39.4166666666667</v>
          </cell>
        </row>
        <row r="4995">
          <cell r="A4995">
            <v>1500003062</v>
          </cell>
          <cell r="B4995">
            <v>38.75</v>
          </cell>
        </row>
        <row r="4996">
          <cell r="A4996">
            <v>1500003064</v>
          </cell>
          <cell r="B4996">
            <v>18.0833333333333</v>
          </cell>
        </row>
        <row r="4997">
          <cell r="A4997">
            <v>1500003087</v>
          </cell>
          <cell r="B4997">
            <v>14.158333333333299</v>
          </cell>
        </row>
        <row r="4998">
          <cell r="A4998">
            <v>1500003463</v>
          </cell>
          <cell r="B4998">
            <v>7.9166666666666696</v>
          </cell>
        </row>
        <row r="4999">
          <cell r="A4999">
            <v>1500003480</v>
          </cell>
          <cell r="B4999">
            <v>12.3333333333333</v>
          </cell>
        </row>
        <row r="5000">
          <cell r="A5000">
            <v>1500003470</v>
          </cell>
          <cell r="B5000">
            <v>103.333333333333</v>
          </cell>
        </row>
        <row r="5001">
          <cell r="A5001">
            <v>1500003471</v>
          </cell>
          <cell r="B5001">
            <v>16.6666666666667</v>
          </cell>
        </row>
        <row r="5002">
          <cell r="A5002">
            <v>1500003472</v>
          </cell>
          <cell r="B5002">
            <v>13.75</v>
          </cell>
        </row>
        <row r="5003">
          <cell r="A5003">
            <v>1500003481</v>
          </cell>
          <cell r="B5003">
            <v>19.1666666666667</v>
          </cell>
        </row>
        <row r="5004">
          <cell r="A5004">
            <v>1500003484</v>
          </cell>
          <cell r="B5004">
            <v>16.25</v>
          </cell>
        </row>
        <row r="5005">
          <cell r="A5005">
            <v>1500005831</v>
          </cell>
          <cell r="B5005">
            <v>23.95</v>
          </cell>
        </row>
        <row r="5006">
          <cell r="A5006">
            <v>1500004529</v>
          </cell>
          <cell r="B5006">
            <v>38.75</v>
          </cell>
        </row>
        <row r="5007">
          <cell r="A5007">
            <v>1500004530</v>
          </cell>
          <cell r="B5007">
            <v>9.5833333333333304</v>
          </cell>
        </row>
        <row r="5008">
          <cell r="A5008">
            <v>1500004531</v>
          </cell>
          <cell r="B5008">
            <v>11.1666666666667</v>
          </cell>
        </row>
        <row r="5009">
          <cell r="A5009">
            <v>1500004698</v>
          </cell>
          <cell r="B5009">
            <v>9.1666666666666696</v>
          </cell>
        </row>
        <row r="5010">
          <cell r="A5010">
            <v>1500004699</v>
          </cell>
          <cell r="B5010">
            <v>0</v>
          </cell>
        </row>
        <row r="5011">
          <cell r="A5011">
            <v>1500004701</v>
          </cell>
          <cell r="B5011">
            <v>0</v>
          </cell>
        </row>
        <row r="5012">
          <cell r="A5012">
            <v>1500004702</v>
          </cell>
          <cell r="B5012">
            <v>20.8333333333333</v>
          </cell>
        </row>
        <row r="5013">
          <cell r="A5013">
            <v>1500004703</v>
          </cell>
          <cell r="B5013">
            <v>51.25</v>
          </cell>
        </row>
        <row r="5014">
          <cell r="A5014">
            <v>1500004704</v>
          </cell>
          <cell r="B5014">
            <v>2.5</v>
          </cell>
        </row>
        <row r="5015">
          <cell r="A5015">
            <v>1500004705</v>
          </cell>
          <cell r="B5015">
            <v>10.8333333333333</v>
          </cell>
        </row>
        <row r="5016">
          <cell r="A5016">
            <v>1500004706</v>
          </cell>
          <cell r="B5016">
            <v>34.25</v>
          </cell>
        </row>
        <row r="5017">
          <cell r="A5017">
            <v>1500005459</v>
          </cell>
          <cell r="B5017">
            <v>0</v>
          </cell>
        </row>
        <row r="5018">
          <cell r="A5018">
            <v>1500005460</v>
          </cell>
          <cell r="B5018">
            <v>13.8333333333333</v>
          </cell>
        </row>
        <row r="5019">
          <cell r="A5019">
            <v>1500004550</v>
          </cell>
          <cell r="B5019">
            <v>2.0833333333333299</v>
          </cell>
        </row>
        <row r="5020">
          <cell r="A5020">
            <v>1500001972</v>
          </cell>
          <cell r="B5020">
            <v>9.1666666666666696</v>
          </cell>
        </row>
        <row r="5021">
          <cell r="A5021">
            <v>1500002101</v>
          </cell>
          <cell r="B5021">
            <v>8.3333333333333304</v>
          </cell>
        </row>
        <row r="5022">
          <cell r="A5022">
            <v>1500002102</v>
          </cell>
          <cell r="B5022">
            <v>27.8333333333333</v>
          </cell>
        </row>
        <row r="5023">
          <cell r="A5023">
            <v>1500002103</v>
          </cell>
          <cell r="B5023">
            <v>1.25</v>
          </cell>
        </row>
        <row r="5024">
          <cell r="A5024">
            <v>1500002287</v>
          </cell>
          <cell r="B5024">
            <v>15.1666666666667</v>
          </cell>
        </row>
        <row r="5025">
          <cell r="A5025">
            <v>1500002289</v>
          </cell>
          <cell r="B5025">
            <v>17.0833333333333</v>
          </cell>
        </row>
        <row r="5026">
          <cell r="A5026">
            <v>1500002405</v>
          </cell>
          <cell r="B5026">
            <v>20.8333333333333</v>
          </cell>
        </row>
        <row r="5027">
          <cell r="A5027">
            <v>1500002290</v>
          </cell>
          <cell r="B5027">
            <v>0</v>
          </cell>
        </row>
        <row r="5028">
          <cell r="A5028">
            <v>1500004237</v>
          </cell>
          <cell r="B5028">
            <v>34.8333333333333</v>
          </cell>
        </row>
        <row r="5029">
          <cell r="A5029">
            <v>1500005547</v>
          </cell>
          <cell r="B5029">
            <v>26.25</v>
          </cell>
        </row>
        <row r="5030">
          <cell r="A5030">
            <v>1500002667</v>
          </cell>
          <cell r="B5030">
            <v>58.3333333333333</v>
          </cell>
        </row>
        <row r="5031">
          <cell r="A5031">
            <v>1500002406</v>
          </cell>
          <cell r="B5031">
            <v>3.75</v>
          </cell>
        </row>
        <row r="5032">
          <cell r="A5032">
            <v>1500002478</v>
          </cell>
          <cell r="B5032">
            <v>69.5</v>
          </cell>
        </row>
        <row r="5033">
          <cell r="A5033">
            <v>1500002597</v>
          </cell>
          <cell r="B5033">
            <v>0</v>
          </cell>
        </row>
        <row r="5034">
          <cell r="A5034">
            <v>1500002598</v>
          </cell>
          <cell r="B5034">
            <v>11.8333333333333</v>
          </cell>
        </row>
        <row r="5035">
          <cell r="A5035">
            <v>1500002599</v>
          </cell>
          <cell r="B5035">
            <v>14.75</v>
          </cell>
        </row>
        <row r="5036">
          <cell r="A5036">
            <v>1500002600</v>
          </cell>
          <cell r="B5036">
            <v>30.3333333333333</v>
          </cell>
        </row>
        <row r="5037">
          <cell r="A5037">
            <v>1500002601</v>
          </cell>
          <cell r="B5037">
            <v>2.5</v>
          </cell>
        </row>
        <row r="5038">
          <cell r="A5038">
            <v>1500003368</v>
          </cell>
          <cell r="B5038">
            <v>52.9166666666667</v>
          </cell>
        </row>
        <row r="5039">
          <cell r="A5039">
            <v>1500004268</v>
          </cell>
          <cell r="B5039">
            <v>32</v>
          </cell>
        </row>
        <row r="5040">
          <cell r="A5040">
            <v>1500003370</v>
          </cell>
          <cell r="B5040">
            <v>30</v>
          </cell>
        </row>
        <row r="5041">
          <cell r="A5041">
            <v>1500002479</v>
          </cell>
          <cell r="B5041">
            <v>29.6666666666667</v>
          </cell>
        </row>
        <row r="5042">
          <cell r="A5042">
            <v>1500003845</v>
          </cell>
          <cell r="B5042">
            <v>0</v>
          </cell>
        </row>
        <row r="5043">
          <cell r="A5043">
            <v>1500003847</v>
          </cell>
          <cell r="B5043">
            <v>52.658333333333303</v>
          </cell>
        </row>
        <row r="5044">
          <cell r="A5044">
            <v>1500003849</v>
          </cell>
          <cell r="B5044">
            <v>2.5</v>
          </cell>
        </row>
        <row r="5045">
          <cell r="A5045">
            <v>1500005192</v>
          </cell>
          <cell r="B5045">
            <v>25.75</v>
          </cell>
        </row>
        <row r="5046">
          <cell r="A5046">
            <v>1500004238</v>
          </cell>
          <cell r="B5046">
            <v>30</v>
          </cell>
        </row>
        <row r="5047">
          <cell r="A5047">
            <v>1500004239</v>
          </cell>
          <cell r="B5047">
            <v>17.3333333333333</v>
          </cell>
        </row>
        <row r="5048">
          <cell r="A5048">
            <v>1500004240</v>
          </cell>
          <cell r="B5048">
            <v>0</v>
          </cell>
        </row>
        <row r="5049">
          <cell r="A5049">
            <v>1500004242</v>
          </cell>
          <cell r="B5049">
            <v>24.5833333333333</v>
          </cell>
        </row>
        <row r="5050">
          <cell r="A5050">
            <v>1500004269</v>
          </cell>
          <cell r="B5050">
            <v>14.5833333333333</v>
          </cell>
        </row>
        <row r="5051">
          <cell r="A5051">
            <v>1500004678</v>
          </cell>
          <cell r="B5051">
            <v>9.25</v>
          </cell>
        </row>
        <row r="5052">
          <cell r="A5052">
            <v>1500004679</v>
          </cell>
          <cell r="B5052">
            <v>15.9166666666667</v>
          </cell>
        </row>
        <row r="5053">
          <cell r="A5053">
            <v>1500004680</v>
          </cell>
          <cell r="B5053">
            <v>17.3333333333333</v>
          </cell>
        </row>
        <row r="5054">
          <cell r="A5054">
            <v>1500004682</v>
          </cell>
          <cell r="B5054">
            <v>10.4166666666667</v>
          </cell>
        </row>
        <row r="5055">
          <cell r="A5055">
            <v>1500004683</v>
          </cell>
          <cell r="B5055">
            <v>31.6666666666667</v>
          </cell>
        </row>
        <row r="5056">
          <cell r="A5056">
            <v>1500005193</v>
          </cell>
          <cell r="B5056">
            <v>21.4166666666667</v>
          </cell>
        </row>
        <row r="5057">
          <cell r="A5057">
            <v>1500005194</v>
          </cell>
          <cell r="B5057">
            <v>5.3333333333333304</v>
          </cell>
        </row>
        <row r="5058">
          <cell r="A5058">
            <v>1500005196</v>
          </cell>
          <cell r="B5058">
            <v>7.0833333333333304</v>
          </cell>
        </row>
        <row r="5059">
          <cell r="A5059">
            <v>1500005197</v>
          </cell>
          <cell r="B5059">
            <v>0</v>
          </cell>
        </row>
        <row r="5060">
          <cell r="A5060">
            <v>1500004270</v>
          </cell>
          <cell r="B5060">
            <v>7.9166666666666696</v>
          </cell>
        </row>
        <row r="5061">
          <cell r="A5061">
            <v>1500001719</v>
          </cell>
          <cell r="B5061">
            <v>32.5416666666667</v>
          </cell>
        </row>
        <row r="5062">
          <cell r="A5062">
            <v>1500001720</v>
          </cell>
          <cell r="B5062">
            <v>43.3333333333333</v>
          </cell>
        </row>
        <row r="5063">
          <cell r="A5063">
            <v>1500001721</v>
          </cell>
          <cell r="B5063">
            <v>15.3333333333333</v>
          </cell>
        </row>
        <row r="5064">
          <cell r="A5064">
            <v>1500001722</v>
          </cell>
          <cell r="B5064">
            <v>0</v>
          </cell>
        </row>
        <row r="5065">
          <cell r="A5065">
            <v>1500001723</v>
          </cell>
          <cell r="B5065">
            <v>12.8333333333333</v>
          </cell>
        </row>
        <row r="5066">
          <cell r="A5066">
            <v>1500004469</v>
          </cell>
          <cell r="B5066">
            <v>26.6666666666667</v>
          </cell>
        </row>
        <row r="5067">
          <cell r="A5067">
            <v>1500004470</v>
          </cell>
          <cell r="B5067">
            <v>0</v>
          </cell>
        </row>
        <row r="5068">
          <cell r="A5068">
            <v>1500004471</v>
          </cell>
          <cell r="B5068">
            <v>1.6666666666666701</v>
          </cell>
        </row>
        <row r="5069">
          <cell r="A5069">
            <v>1500004472</v>
          </cell>
          <cell r="B5069">
            <v>53.75</v>
          </cell>
        </row>
        <row r="5070">
          <cell r="A5070">
            <v>1500003656</v>
          </cell>
          <cell r="B5070">
            <v>222.566666666667</v>
          </cell>
        </row>
        <row r="5071">
          <cell r="A5071">
            <v>1500003662</v>
          </cell>
          <cell r="B5071">
            <v>0</v>
          </cell>
        </row>
        <row r="5072">
          <cell r="A5072">
            <v>1500003663</v>
          </cell>
          <cell r="B5072">
            <v>15.5</v>
          </cell>
        </row>
        <row r="5073">
          <cell r="A5073">
            <v>1500004317</v>
          </cell>
          <cell r="B5073">
            <v>9.1666666666666696</v>
          </cell>
        </row>
        <row r="5074">
          <cell r="A5074">
            <v>1500004841</v>
          </cell>
          <cell r="B5074">
            <v>12.5</v>
          </cell>
        </row>
        <row r="5075">
          <cell r="A5075">
            <v>1500004842</v>
          </cell>
          <cell r="B5075">
            <v>31.8333333333333</v>
          </cell>
        </row>
        <row r="5076">
          <cell r="A5076">
            <v>1500002709</v>
          </cell>
          <cell r="B5076">
            <v>18.3333333333333</v>
          </cell>
        </row>
        <row r="5077">
          <cell r="A5077">
            <v>1500004891</v>
          </cell>
          <cell r="B5077">
            <v>0</v>
          </cell>
        </row>
        <row r="5078">
          <cell r="A5078">
            <v>1500004844</v>
          </cell>
          <cell r="B5078">
            <v>5.1666666666666696</v>
          </cell>
        </row>
        <row r="5079">
          <cell r="A5079">
            <v>1500005322</v>
          </cell>
          <cell r="B5079">
            <v>24.25</v>
          </cell>
        </row>
        <row r="5080">
          <cell r="A5080">
            <v>1500005323</v>
          </cell>
          <cell r="B5080">
            <v>17.0833333333333</v>
          </cell>
        </row>
        <row r="5081">
          <cell r="A5081">
            <v>1500003571</v>
          </cell>
          <cell r="B5081">
            <v>32.5</v>
          </cell>
        </row>
        <row r="5082">
          <cell r="A5082">
            <v>1500003572</v>
          </cell>
          <cell r="B5082">
            <v>0</v>
          </cell>
        </row>
        <row r="5083">
          <cell r="A5083">
            <v>1500003573</v>
          </cell>
          <cell r="B5083">
            <v>0</v>
          </cell>
        </row>
        <row r="5084">
          <cell r="A5084">
            <v>1500003574</v>
          </cell>
          <cell r="B5084">
            <v>0</v>
          </cell>
        </row>
        <row r="5085">
          <cell r="A5085">
            <v>1500003575</v>
          </cell>
          <cell r="B5085">
            <v>26.524999999999999</v>
          </cell>
        </row>
        <row r="5086">
          <cell r="A5086">
            <v>1500004509</v>
          </cell>
          <cell r="B5086">
            <v>0</v>
          </cell>
        </row>
        <row r="5087">
          <cell r="A5087">
            <v>1500004510</v>
          </cell>
          <cell r="B5087">
            <v>1.25</v>
          </cell>
        </row>
        <row r="5088">
          <cell r="A5088">
            <v>1500004511</v>
          </cell>
          <cell r="B5088">
            <v>0</v>
          </cell>
        </row>
        <row r="5089">
          <cell r="A5089">
            <v>1500004568</v>
          </cell>
          <cell r="B5089">
            <v>30</v>
          </cell>
        </row>
        <row r="5090">
          <cell r="A5090">
            <v>1500004570</v>
          </cell>
          <cell r="B5090">
            <v>0</v>
          </cell>
        </row>
        <row r="5091">
          <cell r="A5091">
            <v>1500002638</v>
          </cell>
          <cell r="B5091">
            <v>15.8333333333333</v>
          </cell>
        </row>
        <row r="5092">
          <cell r="A5092">
            <v>1500002248</v>
          </cell>
          <cell r="B5092">
            <v>17.8333333333333</v>
          </cell>
        </row>
        <row r="5093">
          <cell r="A5093">
            <v>1500002376</v>
          </cell>
          <cell r="B5093">
            <v>52.9166666666667</v>
          </cell>
        </row>
        <row r="5094">
          <cell r="A5094">
            <v>1500005811</v>
          </cell>
          <cell r="B5094">
            <v>45.6666666666667</v>
          </cell>
        </row>
        <row r="5095">
          <cell r="A5095">
            <v>1500005282</v>
          </cell>
          <cell r="B5095">
            <v>12</v>
          </cell>
        </row>
        <row r="5096">
          <cell r="A5096">
            <v>1500002639</v>
          </cell>
          <cell r="B5096">
            <v>3.75</v>
          </cell>
        </row>
        <row r="5097">
          <cell r="A5097">
            <v>1500002249</v>
          </cell>
          <cell r="B5097">
            <v>56.4166666666667</v>
          </cell>
        </row>
        <row r="5098">
          <cell r="A5098">
            <v>1500002250</v>
          </cell>
          <cell r="B5098">
            <v>50.3333333333333</v>
          </cell>
        </row>
        <row r="5099">
          <cell r="A5099">
            <v>1500002640</v>
          </cell>
          <cell r="B5099">
            <v>11.4166666666667</v>
          </cell>
        </row>
        <row r="5100">
          <cell r="A5100">
            <v>1500005017</v>
          </cell>
          <cell r="B5100">
            <v>0</v>
          </cell>
        </row>
        <row r="5101">
          <cell r="A5101">
            <v>1500002251</v>
          </cell>
          <cell r="B5101">
            <v>40.8333333333333</v>
          </cell>
        </row>
        <row r="5102">
          <cell r="A5102">
            <v>1500005283</v>
          </cell>
          <cell r="B5102">
            <v>0</v>
          </cell>
        </row>
        <row r="5103">
          <cell r="A5103">
            <v>1500004162</v>
          </cell>
          <cell r="B5103">
            <v>15.4166666666667</v>
          </cell>
        </row>
        <row r="5104">
          <cell r="A5104">
            <v>1500003437</v>
          </cell>
          <cell r="B5104">
            <v>8.3333333333333304</v>
          </cell>
        </row>
        <row r="5105">
          <cell r="A5105">
            <v>1500002253</v>
          </cell>
          <cell r="B5105">
            <v>103.25</v>
          </cell>
        </row>
        <row r="5106">
          <cell r="A5106">
            <v>1500005018</v>
          </cell>
          <cell r="B5106">
            <v>27.9166666666667</v>
          </cell>
        </row>
        <row r="5107">
          <cell r="A5107">
            <v>1500002379</v>
          </cell>
          <cell r="B5107">
            <v>30.5833333333333</v>
          </cell>
        </row>
        <row r="5108">
          <cell r="A5108">
            <v>1500002641</v>
          </cell>
          <cell r="B5108">
            <v>80.5833333333333</v>
          </cell>
        </row>
        <row r="5109">
          <cell r="A5109">
            <v>1500002642</v>
          </cell>
          <cell r="B5109">
            <v>0</v>
          </cell>
        </row>
        <row r="5110">
          <cell r="A5110">
            <v>1500005019</v>
          </cell>
          <cell r="B5110">
            <v>25</v>
          </cell>
        </row>
        <row r="5111">
          <cell r="A5111">
            <v>1500002380</v>
          </cell>
          <cell r="B5111">
            <v>35.8333333333333</v>
          </cell>
        </row>
        <row r="5112">
          <cell r="A5112">
            <v>1500005020</v>
          </cell>
          <cell r="B5112">
            <v>10.8333333333333</v>
          </cell>
        </row>
        <row r="5113">
          <cell r="A5113">
            <v>1500002381</v>
          </cell>
          <cell r="B5113">
            <v>15.5</v>
          </cell>
        </row>
        <row r="5114">
          <cell r="A5114">
            <v>1500002254</v>
          </cell>
          <cell r="B5114">
            <v>39.5833333333333</v>
          </cell>
        </row>
        <row r="5115">
          <cell r="A5115">
            <v>1500005021</v>
          </cell>
          <cell r="B5115">
            <v>25.5833333333333</v>
          </cell>
        </row>
        <row r="5116">
          <cell r="A5116">
            <v>1500005812</v>
          </cell>
          <cell r="B5116">
            <v>11.25</v>
          </cell>
        </row>
        <row r="5117">
          <cell r="A5117">
            <v>1500003439</v>
          </cell>
          <cell r="B5117">
            <v>15.4166666666667</v>
          </cell>
        </row>
        <row r="5118">
          <cell r="A5118">
            <v>1500002025</v>
          </cell>
          <cell r="B5118">
            <v>11.6666666666667</v>
          </cell>
        </row>
        <row r="5119">
          <cell r="A5119">
            <v>1500005284</v>
          </cell>
          <cell r="B5119">
            <v>14.6666666666667</v>
          </cell>
        </row>
        <row r="5120">
          <cell r="A5120">
            <v>1500005285</v>
          </cell>
          <cell r="B5120">
            <v>16.5833333333333</v>
          </cell>
        </row>
        <row r="5121">
          <cell r="A5121">
            <v>1500005022</v>
          </cell>
          <cell r="B5121">
            <v>0</v>
          </cell>
        </row>
        <row r="5122">
          <cell r="A5122">
            <v>1500005023</v>
          </cell>
          <cell r="B5122">
            <v>23.3333333333333</v>
          </cell>
        </row>
        <row r="5123">
          <cell r="A5123">
            <v>1500003440</v>
          </cell>
          <cell r="B5123">
            <v>7.9166666666666696</v>
          </cell>
        </row>
        <row r="5124">
          <cell r="A5124">
            <v>1500005286</v>
          </cell>
          <cell r="B5124">
            <v>0</v>
          </cell>
        </row>
        <row r="5125">
          <cell r="A5125">
            <v>1500003441</v>
          </cell>
          <cell r="B5125">
            <v>1.25</v>
          </cell>
        </row>
        <row r="5126">
          <cell r="A5126">
            <v>1500002255</v>
          </cell>
          <cell r="B5126">
            <v>99.4166666666667</v>
          </cell>
        </row>
        <row r="5127">
          <cell r="A5127">
            <v>1500002644</v>
          </cell>
          <cell r="B5127">
            <v>0.83333333333333304</v>
          </cell>
        </row>
        <row r="5128">
          <cell r="A5128">
            <v>1500005024</v>
          </cell>
          <cell r="B5128">
            <v>21</v>
          </cell>
        </row>
        <row r="5129">
          <cell r="A5129">
            <v>1500002828</v>
          </cell>
          <cell r="B5129">
            <v>0</v>
          </cell>
        </row>
        <row r="5130">
          <cell r="A5130">
            <v>1500005439</v>
          </cell>
          <cell r="B5130">
            <v>50.1666666666667</v>
          </cell>
        </row>
        <row r="5131">
          <cell r="A5131">
            <v>1500004085</v>
          </cell>
          <cell r="B5131">
            <v>3.25</v>
          </cell>
        </row>
        <row r="5132">
          <cell r="A5132">
            <v>1500005440</v>
          </cell>
          <cell r="B5132">
            <v>46.25</v>
          </cell>
        </row>
        <row r="5133">
          <cell r="A5133">
            <v>1500001767</v>
          </cell>
          <cell r="B5133">
            <v>37.4166666666667</v>
          </cell>
        </row>
        <row r="5134">
          <cell r="A5134">
            <v>1500005913</v>
          </cell>
          <cell r="B5134">
            <v>1.0833333333333299</v>
          </cell>
        </row>
        <row r="5135">
          <cell r="A5135">
            <v>1500004648</v>
          </cell>
          <cell r="B5135">
            <v>0.83333333333333304</v>
          </cell>
        </row>
        <row r="5136">
          <cell r="A5136">
            <v>1500002545</v>
          </cell>
          <cell r="B5136">
            <v>0</v>
          </cell>
        </row>
        <row r="5137">
          <cell r="A5137">
            <v>1500005705</v>
          </cell>
          <cell r="B5137">
            <v>0</v>
          </cell>
        </row>
        <row r="5138">
          <cell r="A5138">
            <v>1500005294</v>
          </cell>
          <cell r="B5138">
            <v>14.9166666666667</v>
          </cell>
        </row>
        <row r="5139">
          <cell r="A5139">
            <v>1500004649</v>
          </cell>
          <cell r="B5139">
            <v>0</v>
          </cell>
        </row>
        <row r="5140">
          <cell r="A5140">
            <v>1500002546</v>
          </cell>
          <cell r="B5140">
            <v>4.4833333333333298</v>
          </cell>
        </row>
        <row r="5141">
          <cell r="A5141">
            <v>1500003319</v>
          </cell>
          <cell r="B5141">
            <v>1.25</v>
          </cell>
        </row>
        <row r="5142">
          <cell r="A5142">
            <v>1500003883</v>
          </cell>
          <cell r="B5142">
            <v>0.16666666666666699</v>
          </cell>
        </row>
        <row r="5143">
          <cell r="A5143">
            <v>1500002547</v>
          </cell>
          <cell r="B5143">
            <v>7.1333333333333302</v>
          </cell>
        </row>
        <row r="5144">
          <cell r="A5144">
            <v>1500002548</v>
          </cell>
          <cell r="B5144">
            <v>15.508333333333301</v>
          </cell>
        </row>
        <row r="5145">
          <cell r="A5145">
            <v>1500002550</v>
          </cell>
          <cell r="B5145">
            <v>6.2416666666666698</v>
          </cell>
        </row>
        <row r="5146">
          <cell r="A5146">
            <v>1500003884</v>
          </cell>
          <cell r="B5146">
            <v>0.16666666666666699</v>
          </cell>
        </row>
        <row r="5147">
          <cell r="A5147">
            <v>1500002551</v>
          </cell>
          <cell r="B5147">
            <v>19.066666666666698</v>
          </cell>
        </row>
        <row r="5148">
          <cell r="A5148">
            <v>1500002552</v>
          </cell>
          <cell r="B5148">
            <v>55.15</v>
          </cell>
        </row>
        <row r="5149">
          <cell r="A5149">
            <v>1500001769</v>
          </cell>
          <cell r="B5149">
            <v>0</v>
          </cell>
        </row>
        <row r="5150">
          <cell r="A5150">
            <v>1500005706</v>
          </cell>
          <cell r="B5150">
            <v>1.25</v>
          </cell>
        </row>
        <row r="5151">
          <cell r="A5151">
            <v>1500002554</v>
          </cell>
          <cell r="B5151">
            <v>10.4166666666667</v>
          </cell>
        </row>
        <row r="5152">
          <cell r="A5152">
            <v>1500005707</v>
          </cell>
          <cell r="B5152">
            <v>3.5416666666666701</v>
          </cell>
        </row>
        <row r="5153">
          <cell r="A5153">
            <v>1500005709</v>
          </cell>
          <cell r="B5153">
            <v>0</v>
          </cell>
        </row>
        <row r="5154">
          <cell r="A5154">
            <v>1500005710</v>
          </cell>
          <cell r="B5154">
            <v>19.274999999999999</v>
          </cell>
        </row>
        <row r="5155">
          <cell r="A5155">
            <v>1500005711</v>
          </cell>
          <cell r="B5155">
            <v>0</v>
          </cell>
        </row>
        <row r="5156">
          <cell r="A5156">
            <v>1500004650</v>
          </cell>
          <cell r="B5156">
            <v>0</v>
          </cell>
        </row>
        <row r="5157">
          <cell r="A5157">
            <v>1500005712</v>
          </cell>
          <cell r="B5157">
            <v>7.4166666666666696</v>
          </cell>
        </row>
        <row r="5158">
          <cell r="A5158">
            <v>1500004651</v>
          </cell>
          <cell r="B5158">
            <v>15.016666666666699</v>
          </cell>
        </row>
        <row r="5159">
          <cell r="A5159">
            <v>1500004652</v>
          </cell>
          <cell r="B5159">
            <v>5.9166666666666696</v>
          </cell>
        </row>
        <row r="5160">
          <cell r="A5160">
            <v>1500005925</v>
          </cell>
          <cell r="B5160">
            <v>12.9166666666667</v>
          </cell>
        </row>
        <row r="5161">
          <cell r="A5161">
            <v>1500005926</v>
          </cell>
          <cell r="B5161">
            <v>0.83333333333333304</v>
          </cell>
        </row>
        <row r="5162">
          <cell r="A5162">
            <v>1500002138</v>
          </cell>
          <cell r="B5162">
            <v>12.0833333333333</v>
          </cell>
        </row>
        <row r="5163">
          <cell r="A5163">
            <v>1500004163</v>
          </cell>
          <cell r="B5163">
            <v>43.4166666666667</v>
          </cell>
        </row>
        <row r="5164">
          <cell r="A5164">
            <v>1500004164</v>
          </cell>
          <cell r="B5164">
            <v>0</v>
          </cell>
        </row>
        <row r="5165">
          <cell r="A5165">
            <v>1500005927</v>
          </cell>
          <cell r="B5165">
            <v>58.4166666666667</v>
          </cell>
        </row>
        <row r="5166">
          <cell r="A5166">
            <v>1500004165</v>
          </cell>
          <cell r="B5166">
            <v>8.75</v>
          </cell>
        </row>
        <row r="5167">
          <cell r="A5167">
            <v>1500005878</v>
          </cell>
          <cell r="B5167">
            <v>2.4166666666666701</v>
          </cell>
        </row>
        <row r="5168">
          <cell r="A5168">
            <v>1500005879</v>
          </cell>
          <cell r="B5168">
            <v>0</v>
          </cell>
        </row>
        <row r="5169">
          <cell r="A5169">
            <v>1500002139</v>
          </cell>
          <cell r="B5169">
            <v>35.8333333333333</v>
          </cell>
        </row>
        <row r="5170">
          <cell r="A5170">
            <v>1500002127</v>
          </cell>
          <cell r="B5170">
            <v>0</v>
          </cell>
        </row>
        <row r="5171">
          <cell r="A5171">
            <v>1500004167</v>
          </cell>
          <cell r="B5171">
            <v>0</v>
          </cell>
        </row>
        <row r="5172">
          <cell r="A5172">
            <v>1500005881</v>
          </cell>
          <cell r="B5172">
            <v>0</v>
          </cell>
        </row>
        <row r="5173">
          <cell r="A5173">
            <v>1500002315</v>
          </cell>
          <cell r="B5173">
            <v>16.6666666666667</v>
          </cell>
        </row>
        <row r="5174">
          <cell r="A5174">
            <v>1500002142</v>
          </cell>
          <cell r="B5174">
            <v>8.0833333333333304</v>
          </cell>
        </row>
        <row r="5175">
          <cell r="A5175">
            <v>1500002316</v>
          </cell>
          <cell r="B5175">
            <v>0</v>
          </cell>
        </row>
        <row r="5176">
          <cell r="A5176">
            <v>1500002143</v>
          </cell>
          <cell r="B5176">
            <v>5.3333333333333304</v>
          </cell>
        </row>
        <row r="5177">
          <cell r="A5177">
            <v>1500002144</v>
          </cell>
          <cell r="B5177">
            <v>0</v>
          </cell>
        </row>
        <row r="5178">
          <cell r="A5178">
            <v>1500002317</v>
          </cell>
          <cell r="B5178">
            <v>0</v>
          </cell>
        </row>
        <row r="5179">
          <cell r="A5179">
            <v>1500002318</v>
          </cell>
          <cell r="B5179">
            <v>0</v>
          </cell>
        </row>
        <row r="5180">
          <cell r="A5180">
            <v>1500004168</v>
          </cell>
          <cell r="B5180">
            <v>14.5833333333333</v>
          </cell>
        </row>
        <row r="5181">
          <cell r="A5181">
            <v>1500006135</v>
          </cell>
          <cell r="B5181">
            <v>14.7916666666667</v>
          </cell>
        </row>
        <row r="5182">
          <cell r="A5182">
            <v>1500004169</v>
          </cell>
          <cell r="B5182">
            <v>36.3333333333333</v>
          </cell>
        </row>
        <row r="5183">
          <cell r="A5183">
            <v>1500002320</v>
          </cell>
          <cell r="B5183">
            <v>0</v>
          </cell>
        </row>
        <row r="5184">
          <cell r="A5184">
            <v>1500006136</v>
          </cell>
          <cell r="B5184">
            <v>0</v>
          </cell>
        </row>
        <row r="5185">
          <cell r="A5185">
            <v>1500005883</v>
          </cell>
          <cell r="B5185">
            <v>0</v>
          </cell>
        </row>
        <row r="5186">
          <cell r="A5186">
            <v>1500005884</v>
          </cell>
          <cell r="B5186">
            <v>0</v>
          </cell>
        </row>
        <row r="5187">
          <cell r="A5187">
            <v>1500002145</v>
          </cell>
          <cell r="B5187">
            <v>19.0833333333333</v>
          </cell>
        </row>
        <row r="5188">
          <cell r="A5188">
            <v>1500005886</v>
          </cell>
          <cell r="B5188">
            <v>0</v>
          </cell>
        </row>
        <row r="5189">
          <cell r="A5189">
            <v>1500006137</v>
          </cell>
          <cell r="B5189">
            <v>2.5</v>
          </cell>
        </row>
        <row r="5190">
          <cell r="A5190">
            <v>1500002128</v>
          </cell>
          <cell r="B5190">
            <v>7.6666666666666696</v>
          </cell>
        </row>
        <row r="5191">
          <cell r="A5191">
            <v>1500002492</v>
          </cell>
          <cell r="B5191">
            <v>130.11666666666699</v>
          </cell>
        </row>
        <row r="5192">
          <cell r="A5192">
            <v>1500002493</v>
          </cell>
          <cell r="B5192">
            <v>87.3333333333333</v>
          </cell>
        </row>
        <row r="5193">
          <cell r="A5193">
            <v>1500002494</v>
          </cell>
          <cell r="B5193">
            <v>0</v>
          </cell>
        </row>
        <row r="5194">
          <cell r="A5194">
            <v>1500002495</v>
          </cell>
          <cell r="B5194">
            <v>4.1666666666666696</v>
          </cell>
        </row>
        <row r="5195">
          <cell r="A5195">
            <v>1500002497</v>
          </cell>
          <cell r="B5195">
            <v>0</v>
          </cell>
        </row>
        <row r="5196">
          <cell r="A5196">
            <v>1500002925</v>
          </cell>
          <cell r="B5196">
            <v>12.5</v>
          </cell>
        </row>
        <row r="5197">
          <cell r="A5197">
            <v>1500002926</v>
          </cell>
          <cell r="B5197">
            <v>14.1666666666667</v>
          </cell>
        </row>
        <row r="5198">
          <cell r="A5198">
            <v>1500002927</v>
          </cell>
          <cell r="B5198">
            <v>10.4166666666667</v>
          </cell>
        </row>
        <row r="5199">
          <cell r="A5199">
            <v>1500002928</v>
          </cell>
          <cell r="B5199">
            <v>15</v>
          </cell>
        </row>
        <row r="5200">
          <cell r="A5200">
            <v>1500002929</v>
          </cell>
          <cell r="B5200">
            <v>45</v>
          </cell>
        </row>
        <row r="5201">
          <cell r="A5201">
            <v>1500002930</v>
          </cell>
          <cell r="B5201">
            <v>19.1666666666667</v>
          </cell>
        </row>
        <row r="5202">
          <cell r="A5202">
            <v>1500002935</v>
          </cell>
          <cell r="B5202">
            <v>0</v>
          </cell>
        </row>
        <row r="5203">
          <cell r="A5203">
            <v>1500002936</v>
          </cell>
          <cell r="B5203">
            <v>0</v>
          </cell>
        </row>
        <row r="5204">
          <cell r="A5204">
            <v>1500003029</v>
          </cell>
          <cell r="B5204">
            <v>0</v>
          </cell>
        </row>
        <row r="5205">
          <cell r="A5205">
            <v>1500003030</v>
          </cell>
          <cell r="B5205">
            <v>0</v>
          </cell>
        </row>
        <row r="5206">
          <cell r="A5206">
            <v>1500003032</v>
          </cell>
          <cell r="B5206">
            <v>0</v>
          </cell>
        </row>
        <row r="5207">
          <cell r="A5207">
            <v>1500005208</v>
          </cell>
          <cell r="B5207">
            <v>8.25</v>
          </cell>
        </row>
        <row r="5208">
          <cell r="A5208">
            <v>1500005209</v>
          </cell>
          <cell r="B5208">
            <v>0</v>
          </cell>
        </row>
        <row r="5209">
          <cell r="A5209">
            <v>1500005210</v>
          </cell>
          <cell r="B5209">
            <v>37.8333333333333</v>
          </cell>
        </row>
        <row r="5210">
          <cell r="A5210">
            <v>1500005212</v>
          </cell>
          <cell r="B5210">
            <v>4.1666666666666696</v>
          </cell>
        </row>
        <row r="5211">
          <cell r="A5211">
            <v>1500005213</v>
          </cell>
          <cell r="B5211">
            <v>124.583333333333</v>
          </cell>
        </row>
        <row r="5212">
          <cell r="A5212">
            <v>1500005214</v>
          </cell>
          <cell r="B5212">
            <v>166.083333333333</v>
          </cell>
        </row>
        <row r="5213">
          <cell r="A5213">
            <v>1500005215</v>
          </cell>
          <cell r="B5213">
            <v>13.3333333333333</v>
          </cell>
        </row>
        <row r="5214">
          <cell r="A5214">
            <v>1500005216</v>
          </cell>
          <cell r="B5214">
            <v>15.8333333333333</v>
          </cell>
        </row>
        <row r="5215">
          <cell r="A5215">
            <v>1500005217</v>
          </cell>
          <cell r="B5215">
            <v>66.6666666666667</v>
          </cell>
        </row>
        <row r="5216">
          <cell r="A5216">
            <v>1500005218</v>
          </cell>
          <cell r="B5216">
            <v>12.5</v>
          </cell>
        </row>
        <row r="5217">
          <cell r="A5217">
            <v>1500005219</v>
          </cell>
          <cell r="B5217">
            <v>142.816666666667</v>
          </cell>
        </row>
        <row r="5218">
          <cell r="A5218">
            <v>1500005220</v>
          </cell>
          <cell r="B5218">
            <v>59.883333333333297</v>
          </cell>
        </row>
        <row r="5219">
          <cell r="A5219">
            <v>1500002531</v>
          </cell>
          <cell r="B5219">
            <v>27.5</v>
          </cell>
        </row>
        <row r="5220">
          <cell r="A5220">
            <v>1500002623</v>
          </cell>
          <cell r="B5220">
            <v>6.6666666666666696</v>
          </cell>
        </row>
        <row r="5221">
          <cell r="A5221">
            <v>1500002949</v>
          </cell>
          <cell r="B5221">
            <v>15.8333333333333</v>
          </cell>
        </row>
        <row r="5222">
          <cell r="A5222">
            <v>1500002950</v>
          </cell>
          <cell r="B5222">
            <v>22.283333333333299</v>
          </cell>
        </row>
        <row r="5223">
          <cell r="A5223">
            <v>1500002952</v>
          </cell>
          <cell r="B5223">
            <v>0</v>
          </cell>
        </row>
        <row r="5224">
          <cell r="A5224">
            <v>1500002980</v>
          </cell>
          <cell r="B5224">
            <v>2.0833333333333299</v>
          </cell>
        </row>
        <row r="5225">
          <cell r="A5225">
            <v>1500002981</v>
          </cell>
          <cell r="B5225">
            <v>67.141666666666694</v>
          </cell>
        </row>
        <row r="5226">
          <cell r="A5226">
            <v>1500002982</v>
          </cell>
          <cell r="B5226">
            <v>0</v>
          </cell>
        </row>
        <row r="5227">
          <cell r="A5227">
            <v>1500002983</v>
          </cell>
          <cell r="B5227">
            <v>0</v>
          </cell>
        </row>
        <row r="5228">
          <cell r="A5228">
            <v>1500002984</v>
          </cell>
          <cell r="B5228">
            <v>106.541666666667</v>
          </cell>
        </row>
        <row r="5229">
          <cell r="A5229">
            <v>1500002985</v>
          </cell>
          <cell r="B5229">
            <v>33.808333333333302</v>
          </cell>
        </row>
        <row r="5230">
          <cell r="A5230">
            <v>1500004514</v>
          </cell>
          <cell r="B5230">
            <v>15.341666666666701</v>
          </cell>
        </row>
        <row r="5231">
          <cell r="A5231">
            <v>1500004516</v>
          </cell>
          <cell r="B5231">
            <v>24.3333333333333</v>
          </cell>
        </row>
        <row r="5232">
          <cell r="A5232">
            <v>1500004517</v>
          </cell>
          <cell r="B5232">
            <v>203.07499999999999</v>
          </cell>
        </row>
        <row r="5233">
          <cell r="A5233">
            <v>1500004518</v>
          </cell>
          <cell r="B5233">
            <v>25.5833333333333</v>
          </cell>
        </row>
        <row r="5234">
          <cell r="A5234">
            <v>1500004887</v>
          </cell>
          <cell r="B5234">
            <v>22.5</v>
          </cell>
        </row>
        <row r="5235">
          <cell r="A5235">
            <v>1500004888</v>
          </cell>
          <cell r="B5235">
            <v>28.5</v>
          </cell>
        </row>
        <row r="5236">
          <cell r="A5236">
            <v>1500004889</v>
          </cell>
          <cell r="B5236">
            <v>4.1666666666666696</v>
          </cell>
        </row>
        <row r="5237">
          <cell r="A5237">
            <v>1500005613</v>
          </cell>
          <cell r="B5237">
            <v>28.5</v>
          </cell>
        </row>
        <row r="5238">
          <cell r="A5238">
            <v>1500004957</v>
          </cell>
          <cell r="B5238">
            <v>0</v>
          </cell>
        </row>
        <row r="5239">
          <cell r="A5239">
            <v>1500005615</v>
          </cell>
          <cell r="B5239">
            <v>14.5833333333333</v>
          </cell>
        </row>
        <row r="5240">
          <cell r="A5240">
            <v>1500005616</v>
          </cell>
          <cell r="B5240">
            <v>0</v>
          </cell>
        </row>
        <row r="5241">
          <cell r="A5241">
            <v>1500005668</v>
          </cell>
          <cell r="B5241">
            <v>0</v>
          </cell>
        </row>
        <row r="5242">
          <cell r="A5242">
            <v>1500002395</v>
          </cell>
          <cell r="B5242">
            <v>135.708333333333</v>
          </cell>
        </row>
        <row r="5243">
          <cell r="A5243">
            <v>1500002396</v>
          </cell>
          <cell r="B5243">
            <v>36.6666666666667</v>
          </cell>
        </row>
        <row r="5244">
          <cell r="A5244">
            <v>1500002398</v>
          </cell>
          <cell r="B5244">
            <v>18.25</v>
          </cell>
        </row>
        <row r="5245">
          <cell r="A5245">
            <v>1500002921</v>
          </cell>
          <cell r="B5245">
            <v>27.35</v>
          </cell>
        </row>
        <row r="5246">
          <cell r="A5246">
            <v>1500003414</v>
          </cell>
          <cell r="B5246">
            <v>33.75</v>
          </cell>
        </row>
        <row r="5247">
          <cell r="A5247">
            <v>1500003417</v>
          </cell>
          <cell r="B5247">
            <v>169.26666666666699</v>
          </cell>
        </row>
        <row r="5248">
          <cell r="A5248">
            <v>1500003641</v>
          </cell>
          <cell r="B5248">
            <v>18.8333333333333</v>
          </cell>
        </row>
        <row r="5249">
          <cell r="A5249">
            <v>1500004385</v>
          </cell>
          <cell r="B5249">
            <v>12.0833333333333</v>
          </cell>
        </row>
        <row r="5250">
          <cell r="A5250">
            <v>1500004434</v>
          </cell>
          <cell r="B5250">
            <v>25.3333333333333</v>
          </cell>
        </row>
        <row r="5251">
          <cell r="A5251">
            <v>1500004435</v>
          </cell>
          <cell r="B5251">
            <v>0</v>
          </cell>
        </row>
        <row r="5252">
          <cell r="A5252">
            <v>1500004436</v>
          </cell>
          <cell r="B5252">
            <v>12</v>
          </cell>
        </row>
        <row r="5253">
          <cell r="A5253">
            <v>1500004519</v>
          </cell>
          <cell r="B5253">
            <v>25</v>
          </cell>
        </row>
        <row r="5254">
          <cell r="A5254">
            <v>1500005257</v>
          </cell>
          <cell r="B5254">
            <v>7.5</v>
          </cell>
        </row>
        <row r="5255">
          <cell r="A5255">
            <v>1500005258</v>
          </cell>
          <cell r="B5255">
            <v>21.191666666666698</v>
          </cell>
        </row>
        <row r="5256">
          <cell r="A5256">
            <v>1500005259</v>
          </cell>
          <cell r="B5256">
            <v>53.6</v>
          </cell>
        </row>
        <row r="5257">
          <cell r="A5257">
            <v>1500005260</v>
          </cell>
          <cell r="B5257">
            <v>96.641666666666694</v>
          </cell>
        </row>
        <row r="5258">
          <cell r="A5258">
            <v>1500005261</v>
          </cell>
          <cell r="B5258">
            <v>12.8333333333333</v>
          </cell>
        </row>
        <row r="5259">
          <cell r="A5259">
            <v>1500005262</v>
          </cell>
          <cell r="B5259">
            <v>6.6666666666666696</v>
          </cell>
        </row>
        <row r="5260">
          <cell r="A5260">
            <v>1500005073</v>
          </cell>
          <cell r="B5260">
            <v>0</v>
          </cell>
        </row>
        <row r="5261">
          <cell r="A5261">
            <v>1500002861</v>
          </cell>
          <cell r="B5261">
            <v>4.25</v>
          </cell>
        </row>
        <row r="5262">
          <cell r="A5262">
            <v>1500004578</v>
          </cell>
          <cell r="B5262">
            <v>10</v>
          </cell>
        </row>
        <row r="5263">
          <cell r="A5263">
            <v>1500005604</v>
          </cell>
          <cell r="B5263">
            <v>0</v>
          </cell>
        </row>
        <row r="5264">
          <cell r="A5264">
            <v>1500001982</v>
          </cell>
          <cell r="B5264">
            <v>39.5833333333333</v>
          </cell>
        </row>
        <row r="5265">
          <cell r="A5265">
            <v>1500002879</v>
          </cell>
          <cell r="B5265">
            <v>0</v>
          </cell>
        </row>
        <row r="5266">
          <cell r="A5266">
            <v>1500003633</v>
          </cell>
          <cell r="B5266">
            <v>55.3333333333333</v>
          </cell>
        </row>
        <row r="5267">
          <cell r="A5267">
            <v>1500003920</v>
          </cell>
          <cell r="B5267">
            <v>0</v>
          </cell>
        </row>
        <row r="5268">
          <cell r="A5268">
            <v>1500003921</v>
          </cell>
          <cell r="B5268">
            <v>51.6666666666667</v>
          </cell>
        </row>
        <row r="5269">
          <cell r="A5269">
            <v>1500005605</v>
          </cell>
          <cell r="B5269">
            <v>22.9166666666667</v>
          </cell>
        </row>
        <row r="5270">
          <cell r="A5270">
            <v>1500002414</v>
          </cell>
          <cell r="B5270">
            <v>5.1666666666666696</v>
          </cell>
        </row>
        <row r="5271">
          <cell r="A5271">
            <v>1500002418</v>
          </cell>
          <cell r="B5271">
            <v>44.5833333333333</v>
          </cell>
        </row>
        <row r="5272">
          <cell r="A5272">
            <v>1500002911</v>
          </cell>
          <cell r="B5272">
            <v>0</v>
          </cell>
        </row>
        <row r="5273">
          <cell r="A5273">
            <v>1500002912</v>
          </cell>
          <cell r="B5273">
            <v>10.5</v>
          </cell>
        </row>
        <row r="5274">
          <cell r="A5274">
            <v>1500002913</v>
          </cell>
          <cell r="B5274">
            <v>0</v>
          </cell>
        </row>
        <row r="5275">
          <cell r="A5275">
            <v>1500002419</v>
          </cell>
          <cell r="B5275">
            <v>34.6666666666667</v>
          </cell>
        </row>
        <row r="5276">
          <cell r="A5276">
            <v>1500002914</v>
          </cell>
          <cell r="B5276">
            <v>4.1666666666666696</v>
          </cell>
        </row>
        <row r="5277">
          <cell r="A5277">
            <v>1500002415</v>
          </cell>
          <cell r="B5277">
            <v>13.75</v>
          </cell>
        </row>
        <row r="5278">
          <cell r="A5278">
            <v>1500002416</v>
          </cell>
          <cell r="B5278">
            <v>34.6666666666667</v>
          </cell>
        </row>
        <row r="5279">
          <cell r="A5279">
            <v>1500001983</v>
          </cell>
          <cell r="B5279">
            <v>4.5</v>
          </cell>
        </row>
        <row r="5280">
          <cell r="A5280">
            <v>1500001984</v>
          </cell>
          <cell r="B5280">
            <v>0</v>
          </cell>
        </row>
        <row r="5281">
          <cell r="A5281">
            <v>1500001985</v>
          </cell>
          <cell r="B5281">
            <v>114.083333333333</v>
          </cell>
        </row>
        <row r="5282">
          <cell r="A5282">
            <v>1500005251</v>
          </cell>
          <cell r="B5282">
            <v>15.5833333333333</v>
          </cell>
        </row>
        <row r="5283">
          <cell r="A5283">
            <v>1500002245</v>
          </cell>
          <cell r="B5283">
            <v>30</v>
          </cell>
        </row>
        <row r="5284">
          <cell r="A5284">
            <v>1500002246</v>
          </cell>
          <cell r="B5284">
            <v>18.3333333333333</v>
          </cell>
        </row>
        <row r="5285">
          <cell r="A5285">
            <v>1500002884</v>
          </cell>
          <cell r="B5285">
            <v>8.3333333333333304</v>
          </cell>
        </row>
        <row r="5286">
          <cell r="A5286">
            <v>1500002885</v>
          </cell>
          <cell r="B5286">
            <v>13.3333333333333</v>
          </cell>
        </row>
        <row r="5287">
          <cell r="A5287">
            <v>1500002886</v>
          </cell>
          <cell r="B5287">
            <v>23.3333333333333</v>
          </cell>
        </row>
        <row r="5288">
          <cell r="A5288">
            <v>1500002887</v>
          </cell>
          <cell r="B5288">
            <v>0</v>
          </cell>
        </row>
        <row r="5289">
          <cell r="A5289">
            <v>1500002888</v>
          </cell>
          <cell r="B5289">
            <v>34.1666666666667</v>
          </cell>
        </row>
        <row r="5290">
          <cell r="A5290">
            <v>1500005157</v>
          </cell>
          <cell r="B5290">
            <v>5</v>
          </cell>
        </row>
        <row r="5291">
          <cell r="A5291">
            <v>1500002889</v>
          </cell>
          <cell r="B5291">
            <v>0</v>
          </cell>
        </row>
        <row r="5292">
          <cell r="A5292">
            <v>1500003393</v>
          </cell>
          <cell r="B5292">
            <v>3.75</v>
          </cell>
        </row>
        <row r="5293">
          <cell r="A5293">
            <v>1500003394</v>
          </cell>
          <cell r="B5293">
            <v>1.8333333333333299</v>
          </cell>
        </row>
        <row r="5294">
          <cell r="A5294">
            <v>1500003401</v>
          </cell>
          <cell r="B5294">
            <v>20</v>
          </cell>
        </row>
        <row r="5295">
          <cell r="A5295">
            <v>1500003402</v>
          </cell>
          <cell r="B5295">
            <v>34.1666666666667</v>
          </cell>
        </row>
        <row r="5296">
          <cell r="A5296">
            <v>1500003403</v>
          </cell>
          <cell r="B5296">
            <v>31.6666666666667</v>
          </cell>
        </row>
        <row r="5297">
          <cell r="A5297">
            <v>1500005650</v>
          </cell>
          <cell r="B5297">
            <v>15</v>
          </cell>
        </row>
        <row r="5298">
          <cell r="A5298">
            <v>1500005651</v>
          </cell>
          <cell r="B5298">
            <v>0</v>
          </cell>
        </row>
        <row r="5299">
          <cell r="A5299">
            <v>1500002308</v>
          </cell>
          <cell r="B5299">
            <v>3.3333333333333299</v>
          </cell>
        </row>
        <row r="5300">
          <cell r="A5300">
            <v>1500005824</v>
          </cell>
          <cell r="B5300">
            <v>0</v>
          </cell>
        </row>
        <row r="5301">
          <cell r="A5301">
            <v>1500002629</v>
          </cell>
          <cell r="B5301">
            <v>48.6666666666667</v>
          </cell>
        </row>
        <row r="5302">
          <cell r="A5302">
            <v>1500004350</v>
          </cell>
          <cell r="B5302">
            <v>0</v>
          </cell>
        </row>
        <row r="5303">
          <cell r="A5303">
            <v>1500002161</v>
          </cell>
          <cell r="B5303">
            <v>0</v>
          </cell>
        </row>
        <row r="5304">
          <cell r="A5304">
            <v>1500002538</v>
          </cell>
          <cell r="B5304">
            <v>13.75</v>
          </cell>
        </row>
        <row r="5305">
          <cell r="A5305">
            <v>1500003318</v>
          </cell>
          <cell r="B5305">
            <v>5</v>
          </cell>
        </row>
        <row r="5306">
          <cell r="A5306">
            <v>1500004605</v>
          </cell>
          <cell r="B5306">
            <v>5</v>
          </cell>
        </row>
        <row r="5307">
          <cell r="A5307">
            <v>1500003875</v>
          </cell>
          <cell r="B5307">
            <v>0</v>
          </cell>
        </row>
        <row r="5308">
          <cell r="A5308">
            <v>1500003876</v>
          </cell>
          <cell r="B5308">
            <v>15</v>
          </cell>
        </row>
        <row r="5309">
          <cell r="A5309">
            <v>1500003967</v>
          </cell>
          <cell r="B5309">
            <v>133</v>
          </cell>
        </row>
        <row r="5310">
          <cell r="A5310">
            <v>1500004606</v>
          </cell>
          <cell r="B5310">
            <v>100.5</v>
          </cell>
        </row>
        <row r="5311">
          <cell r="A5311">
            <v>1500005983</v>
          </cell>
          <cell r="B5311">
            <v>0</v>
          </cell>
        </row>
        <row r="5312">
          <cell r="A5312">
            <v>1500005985</v>
          </cell>
          <cell r="B5312">
            <v>3.3333333333333299</v>
          </cell>
        </row>
        <row r="5313">
          <cell r="A5313">
            <v>1500005982</v>
          </cell>
          <cell r="B5313">
            <v>13.75</v>
          </cell>
        </row>
        <row r="5314">
          <cell r="A5314">
            <v>1500004219</v>
          </cell>
          <cell r="B5314">
            <v>1.6666666666666701</v>
          </cell>
        </row>
        <row r="5315">
          <cell r="A5315">
            <v>1500005336</v>
          </cell>
          <cell r="B5315">
            <v>0</v>
          </cell>
        </row>
        <row r="5316">
          <cell r="A5316">
            <v>1500001757</v>
          </cell>
          <cell r="B5316">
            <v>7.25</v>
          </cell>
        </row>
        <row r="5317">
          <cell r="A5317">
            <v>1500001758</v>
          </cell>
          <cell r="B5317">
            <v>65</v>
          </cell>
        </row>
        <row r="5318">
          <cell r="A5318">
            <v>1500003348</v>
          </cell>
          <cell r="B5318">
            <v>22.0833333333333</v>
          </cell>
        </row>
        <row r="5319">
          <cell r="A5319">
            <v>1500002154</v>
          </cell>
          <cell r="B5319">
            <v>0</v>
          </cell>
        </row>
        <row r="5320">
          <cell r="A5320">
            <v>1500003838</v>
          </cell>
          <cell r="B5320">
            <v>134.47499999999999</v>
          </cell>
        </row>
        <row r="5321">
          <cell r="A5321">
            <v>1500003739</v>
          </cell>
          <cell r="B5321">
            <v>67.5</v>
          </cell>
        </row>
        <row r="5322">
          <cell r="A5322">
            <v>1500005967</v>
          </cell>
          <cell r="B5322">
            <v>44.1666666666667</v>
          </cell>
        </row>
        <row r="5323">
          <cell r="A5323">
            <v>1500005584</v>
          </cell>
          <cell r="B5323">
            <v>52.0833333333333</v>
          </cell>
        </row>
        <row r="5324">
          <cell r="A5324">
            <v>1500005976</v>
          </cell>
          <cell r="B5324">
            <v>7.9166666666666696</v>
          </cell>
        </row>
        <row r="5325">
          <cell r="A5325">
            <v>1500005866</v>
          </cell>
          <cell r="B5325">
            <v>0</v>
          </cell>
        </row>
        <row r="5326">
          <cell r="A5326">
            <v>1500005968</v>
          </cell>
          <cell r="B5326">
            <v>19.1666666666667</v>
          </cell>
        </row>
        <row r="5327">
          <cell r="A5327">
            <v>1500001994</v>
          </cell>
          <cell r="B5327">
            <v>0</v>
          </cell>
        </row>
        <row r="5328">
          <cell r="A5328">
            <v>1500002526</v>
          </cell>
          <cell r="B5328">
            <v>92.25</v>
          </cell>
        </row>
        <row r="5329">
          <cell r="A5329">
            <v>1500002819</v>
          </cell>
          <cell r="B5329">
            <v>0</v>
          </cell>
        </row>
        <row r="5330">
          <cell r="A5330">
            <v>1500003151</v>
          </cell>
          <cell r="B5330">
            <v>26.7916666666667</v>
          </cell>
        </row>
        <row r="5331">
          <cell r="A5331">
            <v>1500004347</v>
          </cell>
          <cell r="B5331">
            <v>0</v>
          </cell>
        </row>
        <row r="5332">
          <cell r="A5332">
            <v>1500004838</v>
          </cell>
          <cell r="B5332">
            <v>2.75</v>
          </cell>
        </row>
        <row r="5333">
          <cell r="A5333">
            <v>1500005084</v>
          </cell>
          <cell r="B5333">
            <v>14.9</v>
          </cell>
        </row>
        <row r="5334">
          <cell r="A5334">
            <v>1500005085</v>
          </cell>
          <cell r="B5334">
            <v>0</v>
          </cell>
        </row>
        <row r="5335">
          <cell r="A5335">
            <v>1500001995</v>
          </cell>
          <cell r="B5335">
            <v>154.166666666667</v>
          </cell>
        </row>
        <row r="5336">
          <cell r="A5336">
            <v>1500005911</v>
          </cell>
          <cell r="B5336">
            <v>0</v>
          </cell>
        </row>
        <row r="5337">
          <cell r="A5337">
            <v>1500006173</v>
          </cell>
          <cell r="B5337">
            <v>70.4166666666667</v>
          </cell>
        </row>
        <row r="5338">
          <cell r="A5338">
            <v>1500003349</v>
          </cell>
          <cell r="B5338">
            <v>0</v>
          </cell>
        </row>
        <row r="5339">
          <cell r="A5339">
            <v>1500003350</v>
          </cell>
          <cell r="B5339">
            <v>11.6666666666667</v>
          </cell>
        </row>
        <row r="5340">
          <cell r="A5340">
            <v>1500002468</v>
          </cell>
          <cell r="B5340">
            <v>20</v>
          </cell>
        </row>
        <row r="5341">
          <cell r="A5341">
            <v>1500003351</v>
          </cell>
          <cell r="B5341">
            <v>12.0833333333333</v>
          </cell>
        </row>
        <row r="5342">
          <cell r="A5342">
            <v>1500004937</v>
          </cell>
          <cell r="B5342">
            <v>56.1666666666667</v>
          </cell>
        </row>
        <row r="5343">
          <cell r="A5343">
            <v>1500005969</v>
          </cell>
          <cell r="B5343">
            <v>0</v>
          </cell>
        </row>
        <row r="5344">
          <cell r="A5344">
            <v>1500002499</v>
          </cell>
          <cell r="B5344">
            <v>174.583333333333</v>
          </cell>
        </row>
        <row r="5345">
          <cell r="A5345">
            <v>1500002307</v>
          </cell>
          <cell r="B5345">
            <v>139.19999999999999</v>
          </cell>
        </row>
        <row r="5346">
          <cell r="A5346">
            <v>1500005221</v>
          </cell>
          <cell r="B5346">
            <v>188.583333333333</v>
          </cell>
        </row>
        <row r="5347">
          <cell r="A5347">
            <v>1500004885</v>
          </cell>
          <cell r="B5347">
            <v>0</v>
          </cell>
        </row>
        <row r="5348">
          <cell r="A5348">
            <v>1500005025</v>
          </cell>
          <cell r="B5348">
            <v>39.25</v>
          </cell>
        </row>
        <row r="5349">
          <cell r="A5349">
            <v>1500002322</v>
          </cell>
          <cell r="B5349">
            <v>0</v>
          </cell>
        </row>
        <row r="5350">
          <cell r="A5350">
            <v>1500006138</v>
          </cell>
          <cell r="B5350">
            <v>10</v>
          </cell>
        </row>
        <row r="5351">
          <cell r="A5351">
            <v>1500004171</v>
          </cell>
          <cell r="B5351">
            <v>17.6666666666667</v>
          </cell>
        </row>
        <row r="5352">
          <cell r="A5352">
            <v>1500006139</v>
          </cell>
          <cell r="B5352">
            <v>0</v>
          </cell>
        </row>
        <row r="5353">
          <cell r="A5353">
            <v>1500004173</v>
          </cell>
          <cell r="B5353">
            <v>22.5</v>
          </cell>
        </row>
        <row r="5354">
          <cell r="A5354">
            <v>1500005930</v>
          </cell>
          <cell r="B5354">
            <v>0</v>
          </cell>
        </row>
        <row r="5355">
          <cell r="A5355">
            <v>1500002146</v>
          </cell>
          <cell r="B5355">
            <v>0</v>
          </cell>
        </row>
        <row r="5356">
          <cell r="A5356">
            <v>1500001954</v>
          </cell>
          <cell r="B5356">
            <v>9.1666666666666696</v>
          </cell>
        </row>
        <row r="5357">
          <cell r="A5357">
            <v>1500001955</v>
          </cell>
          <cell r="B5357">
            <v>0</v>
          </cell>
        </row>
        <row r="5358">
          <cell r="A5358">
            <v>1500001956</v>
          </cell>
          <cell r="B5358">
            <v>18.3333333333333</v>
          </cell>
        </row>
        <row r="5359">
          <cell r="A5359">
            <v>1500001957</v>
          </cell>
          <cell r="B5359">
            <v>30</v>
          </cell>
        </row>
        <row r="5360">
          <cell r="A5360">
            <v>1500001986</v>
          </cell>
          <cell r="B5360">
            <v>198.26666666666699</v>
          </cell>
        </row>
        <row r="5361">
          <cell r="A5361">
            <v>1500003922</v>
          </cell>
          <cell r="B5361">
            <v>0</v>
          </cell>
        </row>
        <row r="5362">
          <cell r="A5362">
            <v>1500004607</v>
          </cell>
          <cell r="B5362">
            <v>18.3333333333333</v>
          </cell>
        </row>
        <row r="5363">
          <cell r="A5363">
            <v>1500004446</v>
          </cell>
          <cell r="B5363">
            <v>0</v>
          </cell>
        </row>
        <row r="5364">
          <cell r="A5364">
            <v>1500004462</v>
          </cell>
          <cell r="B5364">
            <v>0</v>
          </cell>
        </row>
        <row r="5365">
          <cell r="A5365">
            <v>1500004447</v>
          </cell>
          <cell r="B5365">
            <v>0</v>
          </cell>
        </row>
        <row r="5366">
          <cell r="A5366">
            <v>1500004448</v>
          </cell>
          <cell r="B5366">
            <v>0</v>
          </cell>
        </row>
        <row r="5367">
          <cell r="A5367">
            <v>1500003788</v>
          </cell>
          <cell r="B5367">
            <v>0</v>
          </cell>
        </row>
        <row r="5368">
          <cell r="A5368">
            <v>1500004450</v>
          </cell>
          <cell r="B5368">
            <v>2.5</v>
          </cell>
        </row>
        <row r="5369">
          <cell r="A5369">
            <v>1500004451</v>
          </cell>
          <cell r="B5369">
            <v>0</v>
          </cell>
        </row>
        <row r="5370">
          <cell r="A5370">
            <v>1500003306</v>
          </cell>
          <cell r="B5370">
            <v>2.5</v>
          </cell>
        </row>
        <row r="5371">
          <cell r="A5371">
            <v>1500003771</v>
          </cell>
          <cell r="B5371">
            <v>0</v>
          </cell>
        </row>
        <row r="5372">
          <cell r="A5372">
            <v>1500003695</v>
          </cell>
          <cell r="B5372">
            <v>0</v>
          </cell>
        </row>
        <row r="5373">
          <cell r="A5373">
            <v>1500002854</v>
          </cell>
          <cell r="B5373">
            <v>6.6666666666666696</v>
          </cell>
        </row>
        <row r="5374">
          <cell r="A5374">
            <v>1500002855</v>
          </cell>
          <cell r="B5374">
            <v>0.83333333333333304</v>
          </cell>
        </row>
        <row r="5375">
          <cell r="A5375">
            <v>1500005044</v>
          </cell>
          <cell r="B5375">
            <v>0</v>
          </cell>
        </row>
        <row r="5376">
          <cell r="A5376">
            <v>1500005326</v>
          </cell>
          <cell r="B5376">
            <v>3.4166666666666701</v>
          </cell>
        </row>
        <row r="5377">
          <cell r="A5377">
            <v>1500005327</v>
          </cell>
          <cell r="B5377">
            <v>0.41666666666666702</v>
          </cell>
        </row>
        <row r="5378">
          <cell r="A5378">
            <v>1500003664</v>
          </cell>
          <cell r="B5378">
            <v>30.6666666666667</v>
          </cell>
        </row>
        <row r="5379">
          <cell r="A5379">
            <v>1500003665</v>
          </cell>
          <cell r="B5379">
            <v>34.5</v>
          </cell>
        </row>
        <row r="5380">
          <cell r="A5380">
            <v>1500003696</v>
          </cell>
          <cell r="B5380">
            <v>0</v>
          </cell>
        </row>
        <row r="5381">
          <cell r="A5381">
            <v>1500004454</v>
          </cell>
          <cell r="B5381">
            <v>11.9166666666667</v>
          </cell>
        </row>
        <row r="5382">
          <cell r="A5382">
            <v>1500003668</v>
          </cell>
          <cell r="B5382">
            <v>0</v>
          </cell>
        </row>
        <row r="5383">
          <cell r="A5383">
            <v>1500003669</v>
          </cell>
          <cell r="B5383">
            <v>13.25</v>
          </cell>
        </row>
        <row r="5384">
          <cell r="A5384">
            <v>1500005561</v>
          </cell>
          <cell r="B5384">
            <v>14.8333333333333</v>
          </cell>
        </row>
        <row r="5385">
          <cell r="A5385">
            <v>1500003594</v>
          </cell>
          <cell r="B5385">
            <v>0</v>
          </cell>
        </row>
        <row r="5386">
          <cell r="A5386">
            <v>1500004319</v>
          </cell>
          <cell r="B5386">
            <v>0</v>
          </cell>
        </row>
        <row r="5387">
          <cell r="A5387">
            <v>1500004320</v>
          </cell>
          <cell r="B5387">
            <v>23.5833333333333</v>
          </cell>
        </row>
        <row r="5388">
          <cell r="A5388">
            <v>1500004893</v>
          </cell>
          <cell r="B5388">
            <v>57.75</v>
          </cell>
        </row>
        <row r="5389">
          <cell r="A5389">
            <v>1500004894</v>
          </cell>
          <cell r="B5389">
            <v>2.9166666666666701</v>
          </cell>
        </row>
        <row r="5390">
          <cell r="A5390">
            <v>1500004895</v>
          </cell>
          <cell r="B5390">
            <v>0</v>
          </cell>
        </row>
        <row r="5391">
          <cell r="A5391">
            <v>1500004896</v>
          </cell>
          <cell r="B5391">
            <v>3.3333333333333299</v>
          </cell>
        </row>
        <row r="5392">
          <cell r="A5392">
            <v>1500004897</v>
          </cell>
          <cell r="B5392">
            <v>2.0833333333333299</v>
          </cell>
        </row>
        <row r="5393">
          <cell r="A5393">
            <v>1500003789</v>
          </cell>
          <cell r="B5393">
            <v>10.8333333333333</v>
          </cell>
        </row>
        <row r="5394">
          <cell r="A5394">
            <v>1500003670</v>
          </cell>
          <cell r="B5394">
            <v>0</v>
          </cell>
        </row>
        <row r="5395">
          <cell r="A5395">
            <v>1500003671</v>
          </cell>
          <cell r="B5395">
            <v>0</v>
          </cell>
        </row>
        <row r="5396">
          <cell r="A5396">
            <v>1500003987</v>
          </cell>
          <cell r="B5396">
            <v>0</v>
          </cell>
        </row>
        <row r="5397">
          <cell r="A5397">
            <v>1500004845</v>
          </cell>
          <cell r="B5397">
            <v>2.0833333333333299</v>
          </cell>
        </row>
        <row r="5398">
          <cell r="A5398">
            <v>1500004321</v>
          </cell>
          <cell r="B5398">
            <v>0</v>
          </cell>
        </row>
        <row r="5399">
          <cell r="A5399">
            <v>1500003722</v>
          </cell>
          <cell r="B5399">
            <v>0</v>
          </cell>
        </row>
        <row r="5400">
          <cell r="A5400">
            <v>1500003723</v>
          </cell>
          <cell r="B5400">
            <v>52</v>
          </cell>
        </row>
        <row r="5401">
          <cell r="A5401">
            <v>1500004898</v>
          </cell>
          <cell r="B5401">
            <v>0</v>
          </cell>
        </row>
        <row r="5402">
          <cell r="A5402">
            <v>1500004899</v>
          </cell>
          <cell r="B5402">
            <v>0</v>
          </cell>
        </row>
        <row r="5403">
          <cell r="A5403">
            <v>1500003791</v>
          </cell>
          <cell r="B5403">
            <v>8.3333333333333304</v>
          </cell>
        </row>
        <row r="5404">
          <cell r="A5404">
            <v>1500003772</v>
          </cell>
          <cell r="B5404">
            <v>3.75</v>
          </cell>
        </row>
        <row r="5405">
          <cell r="A5405">
            <v>1500003672</v>
          </cell>
          <cell r="B5405">
            <v>13.5</v>
          </cell>
        </row>
        <row r="5406">
          <cell r="A5406">
            <v>1500003673</v>
          </cell>
          <cell r="B5406">
            <v>0.83333333333333304</v>
          </cell>
        </row>
        <row r="5407">
          <cell r="A5407">
            <v>1500005562</v>
          </cell>
          <cell r="B5407">
            <v>9.9166666666666696</v>
          </cell>
        </row>
        <row r="5408">
          <cell r="A5408">
            <v>1500011902</v>
          </cell>
          <cell r="B5408">
            <v>0</v>
          </cell>
        </row>
        <row r="5409">
          <cell r="A5409">
            <v>1500004322</v>
          </cell>
          <cell r="B5409">
            <v>0</v>
          </cell>
        </row>
        <row r="5410">
          <cell r="A5410">
            <v>1500005140</v>
          </cell>
          <cell r="B5410">
            <v>0</v>
          </cell>
        </row>
        <row r="5411">
          <cell r="A5411">
            <v>1500003724</v>
          </cell>
          <cell r="B5411">
            <v>0</v>
          </cell>
        </row>
        <row r="5412">
          <cell r="A5412">
            <v>1500004846</v>
          </cell>
          <cell r="B5412">
            <v>0</v>
          </cell>
        </row>
        <row r="5413">
          <cell r="A5413">
            <v>1500004903</v>
          </cell>
          <cell r="B5413">
            <v>0</v>
          </cell>
        </row>
        <row r="5414">
          <cell r="A5414">
            <v>1500003792</v>
          </cell>
          <cell r="B5414">
            <v>47.0833333333333</v>
          </cell>
        </row>
        <row r="5415">
          <cell r="A5415">
            <v>1500003793</v>
          </cell>
          <cell r="B5415">
            <v>0</v>
          </cell>
        </row>
        <row r="5416">
          <cell r="A5416">
            <v>1500003794</v>
          </cell>
          <cell r="B5416">
            <v>7.25</v>
          </cell>
        </row>
        <row r="5417">
          <cell r="A5417">
            <v>1500002711</v>
          </cell>
          <cell r="B5417">
            <v>16.6666666666667</v>
          </cell>
        </row>
        <row r="5418">
          <cell r="A5418">
            <v>1500002712</v>
          </cell>
          <cell r="B5418">
            <v>13.0833333333333</v>
          </cell>
        </row>
        <row r="5419">
          <cell r="A5419">
            <v>1500002713</v>
          </cell>
          <cell r="B5419">
            <v>16.1666666666667</v>
          </cell>
        </row>
        <row r="5420">
          <cell r="A5420">
            <v>1500002706</v>
          </cell>
          <cell r="B5420">
            <v>14.3333333333333</v>
          </cell>
        </row>
        <row r="5421">
          <cell r="A5421">
            <v>1500002714</v>
          </cell>
          <cell r="B5421">
            <v>0</v>
          </cell>
        </row>
        <row r="5422">
          <cell r="A5422">
            <v>1500003674</v>
          </cell>
          <cell r="B5422">
            <v>156.25</v>
          </cell>
        </row>
        <row r="5423">
          <cell r="A5423">
            <v>1500005046</v>
          </cell>
          <cell r="B5423">
            <v>0</v>
          </cell>
        </row>
        <row r="5424">
          <cell r="A5424">
            <v>1500004847</v>
          </cell>
          <cell r="B5424">
            <v>6.6666666666666696</v>
          </cell>
        </row>
        <row r="5425">
          <cell r="A5425">
            <v>1500004848</v>
          </cell>
          <cell r="B5425">
            <v>29.1666666666667</v>
          </cell>
        </row>
        <row r="5426">
          <cell r="A5426">
            <v>1500004849</v>
          </cell>
          <cell r="B5426">
            <v>0</v>
          </cell>
        </row>
        <row r="5427">
          <cell r="A5427">
            <v>1500004323</v>
          </cell>
          <cell r="B5427">
            <v>0</v>
          </cell>
        </row>
        <row r="5428">
          <cell r="A5428">
            <v>1500004325</v>
          </cell>
          <cell r="B5428">
            <v>0.41666666666666702</v>
          </cell>
        </row>
        <row r="5429">
          <cell r="A5429">
            <v>1500004326</v>
          </cell>
          <cell r="B5429">
            <v>0</v>
          </cell>
        </row>
        <row r="5430">
          <cell r="A5430">
            <v>1500005141</v>
          </cell>
          <cell r="B5430">
            <v>36.25</v>
          </cell>
        </row>
        <row r="5431">
          <cell r="A5431">
            <v>1500003725</v>
          </cell>
          <cell r="B5431">
            <v>21.6666666666667</v>
          </cell>
        </row>
        <row r="5432">
          <cell r="A5432">
            <v>1500004906</v>
          </cell>
          <cell r="B5432">
            <v>0</v>
          </cell>
        </row>
        <row r="5433">
          <cell r="A5433">
            <v>1500004907</v>
          </cell>
          <cell r="B5433">
            <v>0</v>
          </cell>
        </row>
        <row r="5434">
          <cell r="A5434">
            <v>1500004908</v>
          </cell>
          <cell r="B5434">
            <v>0</v>
          </cell>
        </row>
        <row r="5435">
          <cell r="A5435">
            <v>1500004909</v>
          </cell>
          <cell r="B5435">
            <v>6.6666666666666696</v>
          </cell>
        </row>
        <row r="5436">
          <cell r="A5436">
            <v>1500004910</v>
          </cell>
          <cell r="B5436">
            <v>112.666666666667</v>
          </cell>
        </row>
        <row r="5437">
          <cell r="A5437">
            <v>1500003795</v>
          </cell>
          <cell r="B5437">
            <v>33.8333333333333</v>
          </cell>
        </row>
        <row r="5438">
          <cell r="A5438">
            <v>1500003796</v>
          </cell>
          <cell r="B5438">
            <v>27.0833333333333</v>
          </cell>
        </row>
        <row r="5439">
          <cell r="A5439">
            <v>1500003797</v>
          </cell>
          <cell r="B5439">
            <v>49.6666666666667</v>
          </cell>
        </row>
        <row r="5440">
          <cell r="A5440">
            <v>1500003785</v>
          </cell>
          <cell r="B5440">
            <v>4</v>
          </cell>
        </row>
        <row r="5441">
          <cell r="A5441">
            <v>1500002707</v>
          </cell>
          <cell r="B5441">
            <v>0</v>
          </cell>
        </row>
        <row r="5442">
          <cell r="A5442">
            <v>1500002708</v>
          </cell>
          <cell r="B5442">
            <v>10.8333333333333</v>
          </cell>
        </row>
        <row r="5443">
          <cell r="A5443">
            <v>1500004850</v>
          </cell>
          <cell r="B5443">
            <v>6.6666666666666696</v>
          </cell>
        </row>
        <row r="5444">
          <cell r="A5444">
            <v>1500002779</v>
          </cell>
          <cell r="B5444">
            <v>1.6666666666666701</v>
          </cell>
        </row>
        <row r="5445">
          <cell r="A5445">
            <v>1500005606</v>
          </cell>
          <cell r="B5445">
            <v>21.6666666666667</v>
          </cell>
        </row>
        <row r="5446">
          <cell r="A5446">
            <v>1500002864</v>
          </cell>
          <cell r="B5446">
            <v>12.9166666666667</v>
          </cell>
        </row>
        <row r="5447">
          <cell r="A5447">
            <v>1500003923</v>
          </cell>
          <cell r="B5447">
            <v>0</v>
          </cell>
        </row>
        <row r="5448">
          <cell r="A5448">
            <v>1500002399</v>
          </cell>
          <cell r="B5448">
            <v>0</v>
          </cell>
        </row>
        <row r="5449">
          <cell r="A5449">
            <v>1500002909</v>
          </cell>
          <cell r="B5449">
            <v>0</v>
          </cell>
        </row>
        <row r="5450">
          <cell r="A5450">
            <v>1500002915</v>
          </cell>
          <cell r="B5450">
            <v>0</v>
          </cell>
        </row>
        <row r="5451">
          <cell r="A5451">
            <v>1500003409</v>
          </cell>
          <cell r="B5451">
            <v>0</v>
          </cell>
        </row>
        <row r="5452">
          <cell r="A5452">
            <v>1500003018</v>
          </cell>
          <cell r="B5452">
            <v>0</v>
          </cell>
        </row>
        <row r="5453">
          <cell r="A5453">
            <v>1500005767</v>
          </cell>
          <cell r="B5453">
            <v>16.5833333333333</v>
          </cell>
        </row>
        <row r="5454">
          <cell r="A5454">
            <v>1500002400</v>
          </cell>
          <cell r="B5454">
            <v>40.6666666666667</v>
          </cell>
        </row>
        <row r="5455">
          <cell r="A5455">
            <v>1500002500</v>
          </cell>
          <cell r="B5455">
            <v>21.2083333333333</v>
          </cell>
        </row>
        <row r="5456">
          <cell r="A5456">
            <v>1500002501</v>
          </cell>
          <cell r="B5456">
            <v>0</v>
          </cell>
        </row>
        <row r="5457">
          <cell r="A5457">
            <v>1500001958</v>
          </cell>
          <cell r="B5457">
            <v>7.5</v>
          </cell>
        </row>
        <row r="5458">
          <cell r="A5458">
            <v>1500005607</v>
          </cell>
          <cell r="B5458">
            <v>3.3333333333333299</v>
          </cell>
        </row>
        <row r="5459">
          <cell r="A5459">
            <v>1500004638</v>
          </cell>
          <cell r="B5459">
            <v>16.6666666666667</v>
          </cell>
        </row>
        <row r="5460">
          <cell r="A5460">
            <v>1500004307</v>
          </cell>
          <cell r="B5460">
            <v>0</v>
          </cell>
        </row>
        <row r="5461">
          <cell r="A5461">
            <v>1500003767</v>
          </cell>
          <cell r="B5461">
            <v>5.0833333333333304</v>
          </cell>
        </row>
        <row r="5462">
          <cell r="A5462">
            <v>1500004432</v>
          </cell>
          <cell r="B5462">
            <v>22.7916666666667</v>
          </cell>
        </row>
        <row r="5463">
          <cell r="A5463">
            <v>1500004287</v>
          </cell>
          <cell r="B5463">
            <v>0</v>
          </cell>
        </row>
        <row r="5464">
          <cell r="A5464">
            <v>1500004288</v>
          </cell>
          <cell r="B5464">
            <v>4.8333333333333304</v>
          </cell>
        </row>
        <row r="5465">
          <cell r="A5465">
            <v>1500004313</v>
          </cell>
          <cell r="B5465">
            <v>33.3333333333333</v>
          </cell>
        </row>
        <row r="5466">
          <cell r="A5466">
            <v>1500004312</v>
          </cell>
          <cell r="B5466">
            <v>0</v>
          </cell>
        </row>
        <row r="5467">
          <cell r="A5467">
            <v>1500001960</v>
          </cell>
          <cell r="B5467">
            <v>14.5833333333333</v>
          </cell>
        </row>
        <row r="5468">
          <cell r="A5468">
            <v>1500001987</v>
          </cell>
          <cell r="B5468">
            <v>47.3333333333333</v>
          </cell>
        </row>
        <row r="5469">
          <cell r="A5469">
            <v>1500003924</v>
          </cell>
          <cell r="B5469">
            <v>36.4166666666667</v>
          </cell>
        </row>
        <row r="5470">
          <cell r="A5470">
            <v>1500004380</v>
          </cell>
          <cell r="B5470">
            <v>53.1666666666667</v>
          </cell>
        </row>
        <row r="5471">
          <cell r="A5471">
            <v>1500005915</v>
          </cell>
          <cell r="B5471">
            <v>13.1666666666667</v>
          </cell>
        </row>
        <row r="5472">
          <cell r="A5472">
            <v>1500005441</v>
          </cell>
          <cell r="B5472">
            <v>11.8333333333333</v>
          </cell>
        </row>
        <row r="5473">
          <cell r="A5473">
            <v>1500005442</v>
          </cell>
          <cell r="B5473">
            <v>33.5833333333333</v>
          </cell>
        </row>
        <row r="5474">
          <cell r="A5474">
            <v>1500004087</v>
          </cell>
          <cell r="B5474">
            <v>0</v>
          </cell>
        </row>
        <row r="5475">
          <cell r="A5475">
            <v>1500004088</v>
          </cell>
          <cell r="B5475">
            <v>0</v>
          </cell>
        </row>
        <row r="5476">
          <cell r="A5476">
            <v>1500004089</v>
          </cell>
          <cell r="B5476">
            <v>35.25</v>
          </cell>
        </row>
        <row r="5477">
          <cell r="A5477">
            <v>1500002956</v>
          </cell>
          <cell r="B5477">
            <v>20.95</v>
          </cell>
        </row>
        <row r="5478">
          <cell r="A5478">
            <v>1500005790</v>
          </cell>
          <cell r="B5478">
            <v>0</v>
          </cell>
        </row>
        <row r="5479">
          <cell r="A5479">
            <v>1500003517</v>
          </cell>
          <cell r="B5479">
            <v>5.3333333333333304</v>
          </cell>
        </row>
        <row r="5480">
          <cell r="A5480">
            <v>1500005791</v>
          </cell>
          <cell r="B5480">
            <v>1.25</v>
          </cell>
        </row>
        <row r="5481">
          <cell r="A5481">
            <v>1500002441</v>
          </cell>
          <cell r="B5481">
            <v>16.25</v>
          </cell>
        </row>
        <row r="5482">
          <cell r="A5482">
            <v>1500003518</v>
          </cell>
          <cell r="B5482">
            <v>8.25</v>
          </cell>
        </row>
        <row r="5483">
          <cell r="A5483">
            <v>1500006241</v>
          </cell>
          <cell r="B5483">
            <v>0</v>
          </cell>
        </row>
        <row r="5484">
          <cell r="A5484">
            <v>1500003519</v>
          </cell>
          <cell r="B5484">
            <v>8.06666666666667</v>
          </cell>
        </row>
        <row r="5485">
          <cell r="A5485">
            <v>1500003520</v>
          </cell>
          <cell r="B5485">
            <v>4.6666666666666696</v>
          </cell>
        </row>
        <row r="5486">
          <cell r="A5486">
            <v>1500005379</v>
          </cell>
          <cell r="B5486">
            <v>11.6666666666667</v>
          </cell>
        </row>
        <row r="5487">
          <cell r="A5487">
            <v>1500005380</v>
          </cell>
          <cell r="B5487">
            <v>35.133333333333297</v>
          </cell>
        </row>
        <row r="5488">
          <cell r="A5488">
            <v>1500005381</v>
          </cell>
          <cell r="B5488">
            <v>3.0833333333333299</v>
          </cell>
        </row>
        <row r="5489">
          <cell r="A5489">
            <v>1500002123</v>
          </cell>
          <cell r="B5489">
            <v>0</v>
          </cell>
        </row>
        <row r="5490">
          <cell r="A5490">
            <v>1500005383</v>
          </cell>
          <cell r="B5490">
            <v>10.4166666666667</v>
          </cell>
        </row>
        <row r="5491">
          <cell r="A5491">
            <v>1500003167</v>
          </cell>
          <cell r="B5491">
            <v>21.4166666666667</v>
          </cell>
        </row>
        <row r="5492">
          <cell r="A5492">
            <v>1500004293</v>
          </cell>
          <cell r="B5492">
            <v>32.75</v>
          </cell>
        </row>
        <row r="5493">
          <cell r="A5493">
            <v>1500004294</v>
          </cell>
          <cell r="B5493">
            <v>16.0833333333333</v>
          </cell>
        </row>
        <row r="5494">
          <cell r="A5494">
            <v>1500003618</v>
          </cell>
          <cell r="B5494">
            <v>45.233333333333299</v>
          </cell>
        </row>
        <row r="5495">
          <cell r="A5495">
            <v>1500003556</v>
          </cell>
          <cell r="B5495">
            <v>0</v>
          </cell>
        </row>
        <row r="5496">
          <cell r="A5496">
            <v>1500002575</v>
          </cell>
          <cell r="B5496">
            <v>10.25</v>
          </cell>
        </row>
        <row r="5497">
          <cell r="A5497">
            <v>1500002618</v>
          </cell>
          <cell r="B5497">
            <v>9.5833333333333304</v>
          </cell>
        </row>
        <row r="5498">
          <cell r="A5498">
            <v>1500005275</v>
          </cell>
          <cell r="B5498">
            <v>22.5833333333333</v>
          </cell>
        </row>
        <row r="5499">
          <cell r="A5499">
            <v>1500005593</v>
          </cell>
          <cell r="B5499">
            <v>20.149999999999999</v>
          </cell>
        </row>
        <row r="5500">
          <cell r="A5500">
            <v>1500005647</v>
          </cell>
          <cell r="B5500">
            <v>9.6666666666666696</v>
          </cell>
        </row>
        <row r="5501">
          <cell r="A5501">
            <v>1500003019</v>
          </cell>
          <cell r="B5501">
            <v>11.875</v>
          </cell>
        </row>
        <row r="5502">
          <cell r="A5502">
            <v>1500002196</v>
          </cell>
          <cell r="B5502">
            <v>0</v>
          </cell>
        </row>
        <row r="5503">
          <cell r="A5503">
            <v>1500003833</v>
          </cell>
          <cell r="B5503">
            <v>57</v>
          </cell>
        </row>
        <row r="5504">
          <cell r="A5504">
            <v>1500003981</v>
          </cell>
          <cell r="B5504">
            <v>26.5833333333333</v>
          </cell>
        </row>
        <row r="5505">
          <cell r="A5505">
            <v>1500003982</v>
          </cell>
          <cell r="B5505">
            <v>0</v>
          </cell>
        </row>
        <row r="5506">
          <cell r="A5506">
            <v>1500001741</v>
          </cell>
          <cell r="B5506">
            <v>34.866666666666703</v>
          </cell>
        </row>
        <row r="5507">
          <cell r="A5507">
            <v>1500002630</v>
          </cell>
          <cell r="B5507">
            <v>0</v>
          </cell>
        </row>
        <row r="5508">
          <cell r="A5508">
            <v>1500004840</v>
          </cell>
          <cell r="B5508">
            <v>2.3333333333333299</v>
          </cell>
        </row>
        <row r="5509">
          <cell r="A5509">
            <v>1500005986</v>
          </cell>
          <cell r="B5509">
            <v>0</v>
          </cell>
        </row>
        <row r="5510">
          <cell r="A5510">
            <v>1500005266</v>
          </cell>
          <cell r="B5510">
            <v>3.3333333333333299</v>
          </cell>
        </row>
        <row r="5511">
          <cell r="A5511">
            <v>1500004608</v>
          </cell>
          <cell r="B5511">
            <v>0.25</v>
          </cell>
        </row>
        <row r="5512">
          <cell r="A5512">
            <v>1500002375</v>
          </cell>
          <cell r="B5512">
            <v>47.0833333333333</v>
          </cell>
        </row>
        <row r="5513">
          <cell r="A5513">
            <v>1500002987</v>
          </cell>
          <cell r="B5513">
            <v>61.241666666666703</v>
          </cell>
        </row>
        <row r="5514">
          <cell r="A5514">
            <v>1500004520</v>
          </cell>
          <cell r="B5514">
            <v>99.474999999999994</v>
          </cell>
        </row>
        <row r="5515">
          <cell r="A5515">
            <v>1500004527</v>
          </cell>
          <cell r="B5515">
            <v>14.1666666666667</v>
          </cell>
        </row>
        <row r="5516">
          <cell r="A5516">
            <v>1500002715</v>
          </cell>
          <cell r="B5516">
            <v>0</v>
          </cell>
        </row>
        <row r="5517">
          <cell r="A5517">
            <v>1500002716</v>
          </cell>
          <cell r="B5517">
            <v>0</v>
          </cell>
        </row>
        <row r="5518">
          <cell r="A5518">
            <v>1500004386</v>
          </cell>
          <cell r="B5518">
            <v>15.4166666666667</v>
          </cell>
        </row>
        <row r="5519">
          <cell r="A5519">
            <v>1500003877</v>
          </cell>
          <cell r="B5519">
            <v>0.83333333333333304</v>
          </cell>
        </row>
        <row r="5520">
          <cell r="A5520">
            <v>1500006141</v>
          </cell>
          <cell r="B5520">
            <v>0</v>
          </cell>
        </row>
        <row r="5521">
          <cell r="A5521">
            <v>1500005931</v>
          </cell>
          <cell r="B5521">
            <v>82.224999999999994</v>
          </cell>
        </row>
        <row r="5522">
          <cell r="A5522">
            <v>1500002256</v>
          </cell>
          <cell r="B5522">
            <v>56.25</v>
          </cell>
        </row>
        <row r="5523">
          <cell r="A5523">
            <v>1500002645</v>
          </cell>
          <cell r="B5523">
            <v>10.8333333333333</v>
          </cell>
        </row>
        <row r="5524">
          <cell r="A5524">
            <v>1500002026</v>
          </cell>
          <cell r="B5524">
            <v>0</v>
          </cell>
        </row>
        <row r="5525">
          <cell r="A5525">
            <v>1500003442</v>
          </cell>
          <cell r="B5525">
            <v>52.0833333333333</v>
          </cell>
        </row>
        <row r="5526">
          <cell r="A5526">
            <v>1500003521</v>
          </cell>
          <cell r="B5526">
            <v>22.3333333333333</v>
          </cell>
        </row>
        <row r="5527">
          <cell r="A5527">
            <v>1500002444</v>
          </cell>
          <cell r="B5527">
            <v>4.4166666666666696</v>
          </cell>
        </row>
        <row r="5528">
          <cell r="A5528">
            <v>1500003557</v>
          </cell>
          <cell r="B5528">
            <v>5</v>
          </cell>
        </row>
        <row r="5529">
          <cell r="A5529">
            <v>1500003885</v>
          </cell>
          <cell r="B5529">
            <v>0.16666666666666699</v>
          </cell>
        </row>
        <row r="5530">
          <cell r="A5530">
            <v>1500002557</v>
          </cell>
          <cell r="B5530">
            <v>0</v>
          </cell>
        </row>
        <row r="5531">
          <cell r="A5531">
            <v>1500005716</v>
          </cell>
          <cell r="B5531">
            <v>41.75</v>
          </cell>
        </row>
        <row r="5532">
          <cell r="A5532">
            <v>1500002230</v>
          </cell>
          <cell r="B5532">
            <v>15.1666666666667</v>
          </cell>
        </row>
        <row r="5533">
          <cell r="A5533">
            <v>1500006000</v>
          </cell>
          <cell r="B5533">
            <v>22.6666666666667</v>
          </cell>
        </row>
        <row r="5534">
          <cell r="A5534">
            <v>1500001771</v>
          </cell>
          <cell r="B5534">
            <v>51.9166666666667</v>
          </cell>
        </row>
        <row r="5535">
          <cell r="A5535">
            <v>1500005848</v>
          </cell>
          <cell r="B5535">
            <v>2.5833333333333299</v>
          </cell>
        </row>
        <row r="5536">
          <cell r="A5536">
            <v>1500004654</v>
          </cell>
          <cell r="B5536">
            <v>13.75</v>
          </cell>
        </row>
        <row r="5537">
          <cell r="A5537">
            <v>1500004090</v>
          </cell>
          <cell r="B5537">
            <v>25.8333333333333</v>
          </cell>
        </row>
        <row r="5538">
          <cell r="A5538">
            <v>1500002271</v>
          </cell>
          <cell r="B5538">
            <v>4.75</v>
          </cell>
        </row>
        <row r="5539">
          <cell r="A5539">
            <v>1500003714</v>
          </cell>
          <cell r="B5539">
            <v>107.75749999999999</v>
          </cell>
        </row>
        <row r="5540">
          <cell r="A5540">
            <v>1500002603</v>
          </cell>
          <cell r="B5540">
            <v>16.5833333333333</v>
          </cell>
        </row>
        <row r="5541">
          <cell r="A5541">
            <v>1500003750</v>
          </cell>
          <cell r="B5541">
            <v>4.1333333333333302</v>
          </cell>
        </row>
        <row r="5542">
          <cell r="A5542">
            <v>1500003106</v>
          </cell>
          <cell r="B5542">
            <v>6.8333333333333304</v>
          </cell>
        </row>
        <row r="5543">
          <cell r="A5543">
            <v>1500002344</v>
          </cell>
          <cell r="B5543">
            <v>43.2083333333333</v>
          </cell>
        </row>
        <row r="5544">
          <cell r="A5544">
            <v>1500004941</v>
          </cell>
          <cell r="B5544">
            <v>0</v>
          </cell>
        </row>
        <row r="5545">
          <cell r="A5545">
            <v>1500003108</v>
          </cell>
          <cell r="B5545">
            <v>6.8333333333333304</v>
          </cell>
        </row>
        <row r="5546">
          <cell r="A5546">
            <v>1500004942</v>
          </cell>
          <cell r="B5546">
            <v>14.8333333333333</v>
          </cell>
        </row>
        <row r="5547">
          <cell r="A5547">
            <v>1500003715</v>
          </cell>
          <cell r="B5547">
            <v>16.1666666666667</v>
          </cell>
        </row>
        <row r="5548">
          <cell r="A5548">
            <v>1500004943</v>
          </cell>
          <cell r="B5548">
            <v>7.3333333333333304</v>
          </cell>
        </row>
        <row r="5549">
          <cell r="A5549">
            <v>1500005548</v>
          </cell>
          <cell r="B5549">
            <v>16.158333333333299</v>
          </cell>
        </row>
        <row r="5550">
          <cell r="A5550">
            <v>1500005483</v>
          </cell>
          <cell r="B5550">
            <v>13.8333333333333</v>
          </cell>
        </row>
        <row r="5551">
          <cell r="A5551">
            <v>1500002065</v>
          </cell>
          <cell r="B5551">
            <v>0</v>
          </cell>
        </row>
        <row r="5552">
          <cell r="A5552">
            <v>1500005957</v>
          </cell>
          <cell r="B5552">
            <v>7.5</v>
          </cell>
        </row>
        <row r="5553">
          <cell r="A5553">
            <v>1500004042</v>
          </cell>
          <cell r="B5553">
            <v>0</v>
          </cell>
        </row>
        <row r="5554">
          <cell r="A5554">
            <v>1500004271</v>
          </cell>
          <cell r="B5554">
            <v>5.4166666666666696</v>
          </cell>
        </row>
        <row r="5555">
          <cell r="A5555">
            <v>1500001725</v>
          </cell>
          <cell r="B5555">
            <v>30.8333333333333</v>
          </cell>
        </row>
        <row r="5556">
          <cell r="A5556">
            <v>1500003331</v>
          </cell>
          <cell r="B5556">
            <v>57.7</v>
          </cell>
        </row>
        <row r="5557">
          <cell r="A5557">
            <v>1500003566</v>
          </cell>
          <cell r="B5557">
            <v>95.5833333333333</v>
          </cell>
        </row>
        <row r="5558">
          <cell r="A5558">
            <v>1500005415</v>
          </cell>
          <cell r="B5558">
            <v>0</v>
          </cell>
        </row>
        <row r="5559">
          <cell r="A5559">
            <v>1500004272</v>
          </cell>
          <cell r="B5559">
            <v>15</v>
          </cell>
        </row>
        <row r="5560">
          <cell r="A5560">
            <v>1500004473</v>
          </cell>
          <cell r="B5560">
            <v>15</v>
          </cell>
        </row>
        <row r="5561">
          <cell r="A5561">
            <v>1500004043</v>
          </cell>
          <cell r="B5561">
            <v>11.1666666666667</v>
          </cell>
        </row>
        <row r="5562">
          <cell r="A5562">
            <v>1500005749</v>
          </cell>
          <cell r="B5562">
            <v>0</v>
          </cell>
        </row>
        <row r="5563">
          <cell r="A5563">
            <v>1500004044</v>
          </cell>
          <cell r="B5563">
            <v>43.3333333333333</v>
          </cell>
        </row>
        <row r="5564">
          <cell r="A5564">
            <v>1500005416</v>
          </cell>
          <cell r="B5564">
            <v>0</v>
          </cell>
        </row>
        <row r="5565">
          <cell r="A5565">
            <v>1500002605</v>
          </cell>
          <cell r="B5565">
            <v>45.066666666666698</v>
          </cell>
        </row>
        <row r="5566">
          <cell r="A5566">
            <v>1500004045</v>
          </cell>
          <cell r="B5566">
            <v>0</v>
          </cell>
        </row>
        <row r="5567">
          <cell r="A5567">
            <v>1500002085</v>
          </cell>
          <cell r="B5567">
            <v>5.5833333333333304</v>
          </cell>
        </row>
        <row r="5568">
          <cell r="A5568">
            <v>1500004046</v>
          </cell>
          <cell r="B5568">
            <v>2.2916666666666701</v>
          </cell>
        </row>
        <row r="5569">
          <cell r="A5569">
            <v>1500005198</v>
          </cell>
          <cell r="B5569">
            <v>25.9166666666667</v>
          </cell>
        </row>
        <row r="5570">
          <cell r="A5570">
            <v>1500003111</v>
          </cell>
          <cell r="B5570">
            <v>8</v>
          </cell>
        </row>
        <row r="5571">
          <cell r="A5571">
            <v>1500002480</v>
          </cell>
          <cell r="B5571">
            <v>0</v>
          </cell>
        </row>
        <row r="5572">
          <cell r="A5572">
            <v>1500005958</v>
          </cell>
          <cell r="B5572">
            <v>2.25</v>
          </cell>
        </row>
        <row r="5573">
          <cell r="A5573">
            <v>1500003850</v>
          </cell>
          <cell r="B5573">
            <v>2.5</v>
          </cell>
        </row>
        <row r="5574">
          <cell r="A5574">
            <v>1500004765</v>
          </cell>
          <cell r="B5574">
            <v>27.4166666666667</v>
          </cell>
        </row>
        <row r="5575">
          <cell r="A5575">
            <v>1500003112</v>
          </cell>
          <cell r="B5575">
            <v>17.5833333333333</v>
          </cell>
        </row>
        <row r="5576">
          <cell r="A5576">
            <v>1500003113</v>
          </cell>
          <cell r="B5576">
            <v>43.6666666666667</v>
          </cell>
        </row>
        <row r="5577">
          <cell r="A5577">
            <v>1500003114</v>
          </cell>
          <cell r="B5577">
            <v>11.1666666666667</v>
          </cell>
        </row>
        <row r="5578">
          <cell r="A5578">
            <v>1500004397</v>
          </cell>
          <cell r="B5578">
            <v>14.616666666666699</v>
          </cell>
        </row>
        <row r="5579">
          <cell r="A5579">
            <v>1500003115</v>
          </cell>
          <cell r="B5579">
            <v>11.3333333333333</v>
          </cell>
        </row>
        <row r="5580">
          <cell r="A5580">
            <v>1500003116</v>
          </cell>
          <cell r="B5580">
            <v>12.25</v>
          </cell>
        </row>
        <row r="5581">
          <cell r="A5581">
            <v>1500003117</v>
          </cell>
          <cell r="B5581">
            <v>2.4166666666666701</v>
          </cell>
        </row>
        <row r="5582">
          <cell r="A5582">
            <v>1500005436</v>
          </cell>
          <cell r="B5582">
            <v>59.058333333333302</v>
          </cell>
        </row>
        <row r="5583">
          <cell r="A5583">
            <v>1500003644</v>
          </cell>
          <cell r="B5583">
            <v>3.3333333333333299</v>
          </cell>
        </row>
        <row r="5584">
          <cell r="A5584">
            <v>1500004598</v>
          </cell>
          <cell r="B5584">
            <v>21.8333333333333</v>
          </cell>
        </row>
        <row r="5585">
          <cell r="A5585">
            <v>1500005718</v>
          </cell>
          <cell r="B5585">
            <v>4.81666666666667</v>
          </cell>
        </row>
        <row r="5586">
          <cell r="A5586">
            <v>1500002559</v>
          </cell>
          <cell r="B5586">
            <v>78.25</v>
          </cell>
        </row>
        <row r="5587">
          <cell r="A5587">
            <v>1500003320</v>
          </cell>
          <cell r="B5587">
            <v>0</v>
          </cell>
        </row>
        <row r="5588">
          <cell r="A5588">
            <v>1500004656</v>
          </cell>
          <cell r="B5588">
            <v>21.55</v>
          </cell>
        </row>
        <row r="5589">
          <cell r="A5589">
            <v>1500005719</v>
          </cell>
          <cell r="B5589">
            <v>21.258333333333301</v>
          </cell>
        </row>
        <row r="5590">
          <cell r="A5590">
            <v>1500005443</v>
          </cell>
          <cell r="B5590">
            <v>5.8333333333333304</v>
          </cell>
        </row>
        <row r="5591">
          <cell r="A5591">
            <v>1500005916</v>
          </cell>
          <cell r="B5591">
            <v>22</v>
          </cell>
        </row>
        <row r="5592">
          <cell r="A5592">
            <v>1500002231</v>
          </cell>
          <cell r="B5592">
            <v>15</v>
          </cell>
        </row>
        <row r="5593">
          <cell r="A5593">
            <v>1500004091</v>
          </cell>
          <cell r="B5593">
            <v>0</v>
          </cell>
        </row>
        <row r="5594">
          <cell r="A5594">
            <v>1500005223</v>
          </cell>
          <cell r="B5594">
            <v>36.3333333333333</v>
          </cell>
        </row>
        <row r="5595">
          <cell r="A5595">
            <v>1500004521</v>
          </cell>
          <cell r="B5595">
            <v>55.5416666666667</v>
          </cell>
        </row>
        <row r="5596">
          <cell r="A5596">
            <v>1500003145</v>
          </cell>
          <cell r="B5596">
            <v>0</v>
          </cell>
        </row>
        <row r="5597">
          <cell r="A5597">
            <v>1500003462</v>
          </cell>
          <cell r="B5597">
            <v>3</v>
          </cell>
        </row>
        <row r="5598">
          <cell r="A5598">
            <v>1500005680</v>
          </cell>
          <cell r="B5598">
            <v>78.5</v>
          </cell>
        </row>
        <row r="5599">
          <cell r="A5599">
            <v>1500005652</v>
          </cell>
          <cell r="B5599">
            <v>2.9166666666666701</v>
          </cell>
        </row>
        <row r="5600">
          <cell r="A5600">
            <v>1500005653</v>
          </cell>
          <cell r="B5600">
            <v>3.3333333333333299</v>
          </cell>
        </row>
        <row r="5601">
          <cell r="A5601">
            <v>1500005691</v>
          </cell>
          <cell r="B5601">
            <v>0</v>
          </cell>
        </row>
        <row r="5602">
          <cell r="A5602">
            <v>1500005134</v>
          </cell>
          <cell r="B5602">
            <v>0</v>
          </cell>
        </row>
        <row r="5603">
          <cell r="A5603">
            <v>1500002872</v>
          </cell>
          <cell r="B5603">
            <v>9.1666666666666696</v>
          </cell>
        </row>
        <row r="5604">
          <cell r="A5604">
            <v>1500012225</v>
          </cell>
          <cell r="B5604">
            <v>0</v>
          </cell>
        </row>
        <row r="5605">
          <cell r="A5605">
            <v>1500005917</v>
          </cell>
          <cell r="B5605">
            <v>24.5</v>
          </cell>
        </row>
        <row r="5606">
          <cell r="A5606">
            <v>1500005721</v>
          </cell>
          <cell r="B5606">
            <v>17.0833333333333</v>
          </cell>
        </row>
        <row r="5607">
          <cell r="A5607">
            <v>1500002232</v>
          </cell>
          <cell r="B5607">
            <v>48.5</v>
          </cell>
        </row>
        <row r="5608">
          <cell r="A5608">
            <v>1500002233</v>
          </cell>
          <cell r="B5608">
            <v>19.1666666666667</v>
          </cell>
        </row>
        <row r="5609">
          <cell r="A5609">
            <v>1500005888</v>
          </cell>
          <cell r="B5609">
            <v>0</v>
          </cell>
        </row>
        <row r="5610">
          <cell r="A5610">
            <v>1500003444</v>
          </cell>
          <cell r="B5610">
            <v>13.75</v>
          </cell>
        </row>
        <row r="5611">
          <cell r="A5611">
            <v>1500002027</v>
          </cell>
          <cell r="B5611">
            <v>15</v>
          </cell>
        </row>
        <row r="5612">
          <cell r="A5612">
            <v>1500002130</v>
          </cell>
          <cell r="B5612">
            <v>0</v>
          </cell>
        </row>
        <row r="5613">
          <cell r="A5613">
            <v>1500002830</v>
          </cell>
          <cell r="B5613">
            <v>15.5</v>
          </cell>
        </row>
        <row r="5614">
          <cell r="A5614">
            <v>1500005918</v>
          </cell>
          <cell r="B5614">
            <v>10</v>
          </cell>
        </row>
        <row r="5615">
          <cell r="A5615">
            <v>1500003522</v>
          </cell>
          <cell r="B5615">
            <v>42.75</v>
          </cell>
        </row>
        <row r="5616">
          <cell r="A5616">
            <v>1500002124</v>
          </cell>
          <cell r="B5616">
            <v>2.9166666666666701</v>
          </cell>
        </row>
        <row r="5617">
          <cell r="A5617">
            <v>1500002576</v>
          </cell>
          <cell r="B5617">
            <v>57.5833333333333</v>
          </cell>
        </row>
        <row r="5618">
          <cell r="A5618">
            <v>1500005384</v>
          </cell>
          <cell r="B5618">
            <v>1.25</v>
          </cell>
        </row>
        <row r="5619">
          <cell r="A5619">
            <v>1500004030</v>
          </cell>
          <cell r="B5619">
            <v>0</v>
          </cell>
        </row>
        <row r="5620">
          <cell r="A5620">
            <v>1500004295</v>
          </cell>
          <cell r="B5620">
            <v>33.741666666666703</v>
          </cell>
        </row>
        <row r="5621">
          <cell r="A5621">
            <v>1500005582</v>
          </cell>
          <cell r="B5621">
            <v>0</v>
          </cell>
        </row>
        <row r="5622">
          <cell r="A5622">
            <v>1500004144</v>
          </cell>
          <cell r="B5622">
            <v>38.1666666666667</v>
          </cell>
        </row>
        <row r="5623">
          <cell r="A5623">
            <v>1500003541</v>
          </cell>
          <cell r="B5623">
            <v>0</v>
          </cell>
        </row>
        <row r="5624">
          <cell r="A5624">
            <v>1500004522</v>
          </cell>
          <cell r="B5624">
            <v>9.1666666666666696</v>
          </cell>
        </row>
        <row r="5625">
          <cell r="A5625">
            <v>1500004431</v>
          </cell>
          <cell r="B5625">
            <v>40.6666666666667</v>
          </cell>
        </row>
        <row r="5626">
          <cell r="A5626">
            <v>1500002197</v>
          </cell>
          <cell r="B5626">
            <v>18.6666666666667</v>
          </cell>
        </row>
        <row r="5627">
          <cell r="A5627">
            <v>1500003576</v>
          </cell>
          <cell r="B5627">
            <v>11.875</v>
          </cell>
        </row>
        <row r="5628">
          <cell r="A5628">
            <v>1500002717</v>
          </cell>
          <cell r="B5628">
            <v>0</v>
          </cell>
        </row>
        <row r="5629">
          <cell r="A5629">
            <v>1500004327</v>
          </cell>
          <cell r="B5629">
            <v>0</v>
          </cell>
        </row>
        <row r="5630">
          <cell r="A5630">
            <v>1500004455</v>
          </cell>
          <cell r="B5630">
            <v>5.8333333333333304</v>
          </cell>
        </row>
        <row r="5631">
          <cell r="A5631">
            <v>1500003786</v>
          </cell>
          <cell r="B5631">
            <v>10.283333333333299</v>
          </cell>
        </row>
        <row r="5632">
          <cell r="A5632">
            <v>1500002401</v>
          </cell>
          <cell r="B5632">
            <v>48.441666666666698</v>
          </cell>
        </row>
        <row r="5633">
          <cell r="A5633">
            <v>1500004816</v>
          </cell>
          <cell r="B5633">
            <v>5.0833333333333304</v>
          </cell>
        </row>
        <row r="5634">
          <cell r="A5634">
            <v>1500004817</v>
          </cell>
          <cell r="B5634">
            <v>62.366666666666703</v>
          </cell>
        </row>
        <row r="5635">
          <cell r="A5635">
            <v>1500005594</v>
          </cell>
          <cell r="B5635">
            <v>18.4583333333333</v>
          </cell>
        </row>
        <row r="5636">
          <cell r="A5636">
            <v>1500003676</v>
          </cell>
          <cell r="B5636">
            <v>8.3333333333333304</v>
          </cell>
        </row>
        <row r="5637">
          <cell r="A5637">
            <v>1500004624</v>
          </cell>
          <cell r="B5637">
            <v>64.5</v>
          </cell>
        </row>
        <row r="5638">
          <cell r="A5638">
            <v>1500003523</v>
          </cell>
          <cell r="B5638">
            <v>0</v>
          </cell>
        </row>
        <row r="5639">
          <cell r="A5639">
            <v>1500002046</v>
          </cell>
          <cell r="B5639">
            <v>0</v>
          </cell>
        </row>
        <row r="5640">
          <cell r="A5640">
            <v>1500004629</v>
          </cell>
          <cell r="B5640">
            <v>0</v>
          </cell>
        </row>
        <row r="5641">
          <cell r="A5641">
            <v>1500005270</v>
          </cell>
          <cell r="B5641">
            <v>6.2249999999999996</v>
          </cell>
        </row>
        <row r="5642">
          <cell r="A5642">
            <v>1500003659</v>
          </cell>
          <cell r="B5642">
            <v>12.8333333333333</v>
          </cell>
        </row>
        <row r="5643">
          <cell r="A5643">
            <v>1500004296</v>
          </cell>
          <cell r="B5643">
            <v>7.75</v>
          </cell>
        </row>
        <row r="5644">
          <cell r="A5644">
            <v>1500003307</v>
          </cell>
          <cell r="B5644">
            <v>32.9166666666667</v>
          </cell>
        </row>
        <row r="5645">
          <cell r="A5645">
            <v>1500011680</v>
          </cell>
          <cell r="B5645">
            <v>9</v>
          </cell>
        </row>
        <row r="5646">
          <cell r="A5646">
            <v>1500002957</v>
          </cell>
          <cell r="B5646">
            <v>42.05</v>
          </cell>
        </row>
        <row r="5647">
          <cell r="A5647">
            <v>1500003983</v>
          </cell>
          <cell r="B5647">
            <v>148.666666666667</v>
          </cell>
        </row>
        <row r="5648">
          <cell r="A5648">
            <v>1500002131</v>
          </cell>
          <cell r="B5648">
            <v>0</v>
          </cell>
        </row>
        <row r="5649">
          <cell r="A5649">
            <v>1500005738</v>
          </cell>
          <cell r="B5649">
            <v>0</v>
          </cell>
        </row>
        <row r="5650">
          <cell r="A5650">
            <v>1500006233</v>
          </cell>
          <cell r="B5650">
            <v>11.725</v>
          </cell>
        </row>
        <row r="5651">
          <cell r="A5651">
            <v>1500005993</v>
          </cell>
          <cell r="B5651">
            <v>17.2083333333333</v>
          </cell>
        </row>
        <row r="5652">
          <cell r="A5652">
            <v>1500003737</v>
          </cell>
          <cell r="B5652">
            <v>0</v>
          </cell>
        </row>
        <row r="5653">
          <cell r="A5653">
            <v>1500005987</v>
          </cell>
          <cell r="B5653">
            <v>0</v>
          </cell>
        </row>
        <row r="5654">
          <cell r="A5654">
            <v>1500005988</v>
          </cell>
          <cell r="B5654">
            <v>6.5833333333333304</v>
          </cell>
        </row>
        <row r="5655">
          <cell r="A5655">
            <v>1500004609</v>
          </cell>
          <cell r="B5655">
            <v>135.5</v>
          </cell>
        </row>
        <row r="5656">
          <cell r="A5656">
            <v>1500002959</v>
          </cell>
          <cell r="B5656">
            <v>0</v>
          </cell>
        </row>
        <row r="5657">
          <cell r="A5657">
            <v>1500005252</v>
          </cell>
          <cell r="B5657">
            <v>0</v>
          </cell>
        </row>
        <row r="5658">
          <cell r="A5658">
            <v>1500005641</v>
          </cell>
          <cell r="B5658">
            <v>13.4166666666667</v>
          </cell>
        </row>
        <row r="5659">
          <cell r="A5659">
            <v>1500005386</v>
          </cell>
          <cell r="B5659">
            <v>4.25</v>
          </cell>
        </row>
        <row r="5660">
          <cell r="A5660">
            <v>1500003542</v>
          </cell>
          <cell r="B5660">
            <v>68.25</v>
          </cell>
        </row>
        <row r="5661">
          <cell r="A5661">
            <v>1500003558</v>
          </cell>
          <cell r="B5661">
            <v>6</v>
          </cell>
        </row>
        <row r="5662">
          <cell r="A5662">
            <v>1500004031</v>
          </cell>
          <cell r="B5662">
            <v>32.8333333333333</v>
          </cell>
        </row>
        <row r="5663">
          <cell r="A5663">
            <v>1500005387</v>
          </cell>
          <cell r="B5663">
            <v>9.6666666666666696</v>
          </cell>
        </row>
        <row r="5664">
          <cell r="A5664">
            <v>1500012200</v>
          </cell>
          <cell r="B5664">
            <v>0</v>
          </cell>
        </row>
        <row r="5665">
          <cell r="A5665">
            <v>1500002999</v>
          </cell>
          <cell r="B5665">
            <v>0</v>
          </cell>
        </row>
        <row r="5666">
          <cell r="A5666">
            <v>1500003677</v>
          </cell>
          <cell r="B5666">
            <v>13.8333333333333</v>
          </cell>
        </row>
        <row r="5667">
          <cell r="A5667">
            <v>1500002445</v>
          </cell>
          <cell r="B5667">
            <v>44.5</v>
          </cell>
        </row>
        <row r="5668">
          <cell r="A5668">
            <v>1500002446</v>
          </cell>
          <cell r="B5668">
            <v>26.8333333333333</v>
          </cell>
        </row>
        <row r="5669">
          <cell r="A5669">
            <v>1500002447</v>
          </cell>
          <cell r="B5669">
            <v>13.9166666666667</v>
          </cell>
        </row>
        <row r="5670">
          <cell r="A5670">
            <v>1500002527</v>
          </cell>
          <cell r="B5670">
            <v>97.25</v>
          </cell>
        </row>
        <row r="5671">
          <cell r="A5671">
            <v>1500004639</v>
          </cell>
          <cell r="B5671">
            <v>0</v>
          </cell>
        </row>
        <row r="5672">
          <cell r="A5672">
            <v>1500004640</v>
          </cell>
          <cell r="B5672">
            <v>0</v>
          </cell>
        </row>
        <row r="5673">
          <cell r="A5673">
            <v>1500004220</v>
          </cell>
          <cell r="B5673">
            <v>0</v>
          </cell>
        </row>
        <row r="5674">
          <cell r="A5674">
            <v>1500005910</v>
          </cell>
          <cell r="B5674">
            <v>30.9583333333333</v>
          </cell>
        </row>
        <row r="5675">
          <cell r="A5675">
            <v>1500003034</v>
          </cell>
          <cell r="B5675">
            <v>21.25</v>
          </cell>
        </row>
        <row r="5676">
          <cell r="A5676">
            <v>1500002745</v>
          </cell>
          <cell r="B5676">
            <v>7.5</v>
          </cell>
        </row>
        <row r="5677">
          <cell r="A5677">
            <v>1500005978</v>
          </cell>
          <cell r="B5677">
            <v>27.5833333333333</v>
          </cell>
        </row>
        <row r="5678">
          <cell r="A5678">
            <v>1500004221</v>
          </cell>
          <cell r="B5678">
            <v>28.75</v>
          </cell>
        </row>
        <row r="5679">
          <cell r="A5679">
            <v>1500004308</v>
          </cell>
          <cell r="B5679">
            <v>7.0833333333333304</v>
          </cell>
        </row>
        <row r="5680">
          <cell r="A5680">
            <v>1500004886</v>
          </cell>
          <cell r="B5680">
            <v>22.5</v>
          </cell>
        </row>
        <row r="5681">
          <cell r="A5681">
            <v>1500002528</v>
          </cell>
          <cell r="B5681">
            <v>0</v>
          </cell>
        </row>
        <row r="5682">
          <cell r="A5682">
            <v>1500005585</v>
          </cell>
          <cell r="B5682">
            <v>0</v>
          </cell>
        </row>
        <row r="5683">
          <cell r="A5683">
            <v>1500005970</v>
          </cell>
          <cell r="B5683">
            <v>75.8333333333333</v>
          </cell>
        </row>
        <row r="5684">
          <cell r="A5684">
            <v>1500002529</v>
          </cell>
          <cell r="B5684">
            <v>0</v>
          </cell>
        </row>
        <row r="5685">
          <cell r="A5685">
            <v>1500003352</v>
          </cell>
          <cell r="B5685">
            <v>0</v>
          </cell>
        </row>
        <row r="5686">
          <cell r="A5686">
            <v>1500005971</v>
          </cell>
          <cell r="B5686">
            <v>0.83333333333333304</v>
          </cell>
        </row>
        <row r="5687">
          <cell r="A5687">
            <v>1500005972</v>
          </cell>
          <cell r="B5687">
            <v>49.1666666666667</v>
          </cell>
        </row>
        <row r="5688">
          <cell r="A5688">
            <v>1500003740</v>
          </cell>
          <cell r="B5688">
            <v>25</v>
          </cell>
        </row>
        <row r="5689">
          <cell r="A5689">
            <v>1500005104</v>
          </cell>
          <cell r="B5689">
            <v>54.1666666666667</v>
          </cell>
        </row>
        <row r="5690">
          <cell r="A5690">
            <v>1500002626</v>
          </cell>
          <cell r="B5690">
            <v>105.75</v>
          </cell>
        </row>
        <row r="5691">
          <cell r="A5691">
            <v>1500003135</v>
          </cell>
          <cell r="B5691">
            <v>0</v>
          </cell>
        </row>
        <row r="5692">
          <cell r="A5692">
            <v>1500004878</v>
          </cell>
          <cell r="B5692">
            <v>0</v>
          </cell>
        </row>
        <row r="5693">
          <cell r="A5693">
            <v>1500004328</v>
          </cell>
          <cell r="B5693">
            <v>21.8333333333333</v>
          </cell>
        </row>
        <row r="5694">
          <cell r="A5694">
            <v>1500003726</v>
          </cell>
          <cell r="B5694">
            <v>12.6666666666667</v>
          </cell>
        </row>
        <row r="5695">
          <cell r="A5695">
            <v>1500004851</v>
          </cell>
          <cell r="B5695">
            <v>0</v>
          </cell>
        </row>
        <row r="5696">
          <cell r="A5696">
            <v>1500004852</v>
          </cell>
          <cell r="B5696">
            <v>0.41666666666666702</v>
          </cell>
        </row>
        <row r="5697">
          <cell r="A5697">
            <v>1500004329</v>
          </cell>
          <cell r="B5697">
            <v>0</v>
          </cell>
        </row>
        <row r="5698">
          <cell r="A5698">
            <v>1500003799</v>
          </cell>
          <cell r="B5698">
            <v>0</v>
          </cell>
        </row>
        <row r="5699">
          <cell r="A5699">
            <v>1500004330</v>
          </cell>
          <cell r="B5699">
            <v>0</v>
          </cell>
        </row>
        <row r="5700">
          <cell r="A5700">
            <v>1500003577</v>
          </cell>
          <cell r="B5700">
            <v>13.175000000000001</v>
          </cell>
        </row>
        <row r="5701">
          <cell r="A5701">
            <v>1500003578</v>
          </cell>
          <cell r="B5701">
            <v>57.25</v>
          </cell>
        </row>
        <row r="5702">
          <cell r="A5702">
            <v>1500004331</v>
          </cell>
          <cell r="B5702">
            <v>0</v>
          </cell>
        </row>
        <row r="5703">
          <cell r="A5703">
            <v>1500004332</v>
          </cell>
          <cell r="B5703">
            <v>19.25</v>
          </cell>
        </row>
        <row r="5704">
          <cell r="A5704">
            <v>1500003678</v>
          </cell>
          <cell r="B5704">
            <v>1.25</v>
          </cell>
        </row>
        <row r="5705">
          <cell r="A5705">
            <v>1500005122</v>
          </cell>
          <cell r="B5705">
            <v>1.25</v>
          </cell>
        </row>
        <row r="5706">
          <cell r="A5706">
            <v>1500005086</v>
          </cell>
          <cell r="B5706">
            <v>0</v>
          </cell>
        </row>
        <row r="5707">
          <cell r="A5707">
            <v>1500002787</v>
          </cell>
          <cell r="B5707">
            <v>0.5</v>
          </cell>
        </row>
        <row r="5708">
          <cell r="A5708">
            <v>1500004484</v>
          </cell>
          <cell r="B5708">
            <v>0</v>
          </cell>
        </row>
        <row r="5709">
          <cell r="A5709">
            <v>1500004093</v>
          </cell>
          <cell r="B5709">
            <v>3.3333333333333299</v>
          </cell>
        </row>
        <row r="5710">
          <cell r="A5710">
            <v>1500004398</v>
          </cell>
          <cell r="B5710">
            <v>47.633333333333297</v>
          </cell>
        </row>
        <row r="5711">
          <cell r="A5711">
            <v>1500006178</v>
          </cell>
          <cell r="B5711">
            <v>0</v>
          </cell>
        </row>
        <row r="5712">
          <cell r="A5712">
            <v>1500005388</v>
          </cell>
          <cell r="B5712">
            <v>10.75</v>
          </cell>
        </row>
        <row r="5713">
          <cell r="A5713">
            <v>1500002577</v>
          </cell>
          <cell r="B5713">
            <v>0</v>
          </cell>
        </row>
        <row r="5714">
          <cell r="A5714">
            <v>1500003168</v>
          </cell>
          <cell r="B5714">
            <v>17.5833333333333</v>
          </cell>
        </row>
        <row r="5715">
          <cell r="A5715">
            <v>1500005390</v>
          </cell>
          <cell r="B5715">
            <v>65.7083333333333</v>
          </cell>
        </row>
        <row r="5716">
          <cell r="A5716">
            <v>1500004625</v>
          </cell>
          <cell r="B5716">
            <v>19.4166666666667</v>
          </cell>
        </row>
        <row r="5717">
          <cell r="A5717">
            <v>1500002448</v>
          </cell>
          <cell r="B5717">
            <v>13</v>
          </cell>
        </row>
        <row r="5718">
          <cell r="A5718">
            <v>1500001961</v>
          </cell>
          <cell r="B5718">
            <v>20</v>
          </cell>
        </row>
        <row r="5719">
          <cell r="A5719">
            <v>1500001962</v>
          </cell>
          <cell r="B5719">
            <v>0</v>
          </cell>
        </row>
        <row r="5720">
          <cell r="A5720">
            <v>1500004387</v>
          </cell>
          <cell r="B5720">
            <v>3.8333333333333299</v>
          </cell>
        </row>
        <row r="5721">
          <cell r="A5721">
            <v>1500003404</v>
          </cell>
          <cell r="B5721">
            <v>20</v>
          </cell>
        </row>
        <row r="5722">
          <cell r="A5722">
            <v>1500003395</v>
          </cell>
          <cell r="B5722">
            <v>16.3333333333333</v>
          </cell>
        </row>
        <row r="5723">
          <cell r="A5723">
            <v>1500003396</v>
          </cell>
          <cell r="B5723">
            <v>10.3333333333333</v>
          </cell>
        </row>
        <row r="5724">
          <cell r="A5724">
            <v>1500003634</v>
          </cell>
          <cell r="B5724">
            <v>6.4166666666666696</v>
          </cell>
        </row>
        <row r="5725">
          <cell r="A5725">
            <v>1500002737</v>
          </cell>
          <cell r="B5725">
            <v>38.5833333333333</v>
          </cell>
        </row>
        <row r="5726">
          <cell r="A5726">
            <v>1500001988</v>
          </cell>
          <cell r="B5726">
            <v>78.1666666666667</v>
          </cell>
        </row>
        <row r="5727">
          <cell r="A5727">
            <v>1500002309</v>
          </cell>
          <cell r="B5727">
            <v>0</v>
          </cell>
        </row>
        <row r="5728">
          <cell r="A5728">
            <v>1500002891</v>
          </cell>
          <cell r="B5728">
            <v>40.4166666666667</v>
          </cell>
        </row>
        <row r="5729">
          <cell r="A5729">
            <v>1500005158</v>
          </cell>
          <cell r="B5729">
            <v>9.1666666666666696</v>
          </cell>
        </row>
        <row r="5730">
          <cell r="A5730">
            <v>1500002892</v>
          </cell>
          <cell r="B5730">
            <v>31.25</v>
          </cell>
        </row>
        <row r="5731">
          <cell r="A5731">
            <v>1500002310</v>
          </cell>
          <cell r="B5731">
            <v>56.8333333333333</v>
          </cell>
        </row>
        <row r="5732">
          <cell r="A5732">
            <v>1500005159</v>
          </cell>
          <cell r="B5732">
            <v>13.3333333333333</v>
          </cell>
        </row>
        <row r="5733">
          <cell r="A5733">
            <v>1500005340</v>
          </cell>
          <cell r="B5733">
            <v>4.75</v>
          </cell>
        </row>
        <row r="5734">
          <cell r="A5734">
            <v>1500005160</v>
          </cell>
          <cell r="B5734">
            <v>5.8333333333333304</v>
          </cell>
        </row>
        <row r="5735">
          <cell r="A5735">
            <v>1500002893</v>
          </cell>
          <cell r="B5735">
            <v>3.3333333333333299</v>
          </cell>
        </row>
        <row r="5736">
          <cell r="A5736">
            <v>1500002894</v>
          </cell>
          <cell r="B5736">
            <v>17.5</v>
          </cell>
        </row>
        <row r="5737">
          <cell r="A5737">
            <v>1500003398</v>
          </cell>
          <cell r="B5737">
            <v>0</v>
          </cell>
        </row>
        <row r="5738">
          <cell r="A5738">
            <v>1500005111</v>
          </cell>
          <cell r="B5738">
            <v>0</v>
          </cell>
        </row>
        <row r="5739">
          <cell r="A5739">
            <v>1500003635</v>
          </cell>
          <cell r="B5739">
            <v>5.0833333333333304</v>
          </cell>
        </row>
        <row r="5740">
          <cell r="A5740">
            <v>1500003405</v>
          </cell>
          <cell r="B5740">
            <v>13.3333333333333</v>
          </cell>
        </row>
        <row r="5741">
          <cell r="A5741">
            <v>1500005161</v>
          </cell>
          <cell r="B5741">
            <v>36.6666666666667</v>
          </cell>
        </row>
        <row r="5742">
          <cell r="A5742">
            <v>1500003888</v>
          </cell>
          <cell r="B5742">
            <v>0</v>
          </cell>
        </row>
        <row r="5743">
          <cell r="A5743">
            <v>1500005225</v>
          </cell>
          <cell r="B5743">
            <v>0</v>
          </cell>
        </row>
        <row r="5744">
          <cell r="A5744">
            <v>1500002718</v>
          </cell>
          <cell r="B5744">
            <v>18.3333333333333</v>
          </cell>
        </row>
        <row r="5745">
          <cell r="A5745">
            <v>1500003727</v>
          </cell>
          <cell r="B5745">
            <v>29.5833333333333</v>
          </cell>
        </row>
        <row r="5746">
          <cell r="A5746">
            <v>1500003728</v>
          </cell>
          <cell r="B5746">
            <v>0</v>
          </cell>
        </row>
        <row r="5747">
          <cell r="A5747">
            <v>1500002960</v>
          </cell>
          <cell r="B5747">
            <v>49.308333333333302</v>
          </cell>
        </row>
        <row r="5748">
          <cell r="A5748">
            <v>1500003889</v>
          </cell>
          <cell r="B5748">
            <v>0</v>
          </cell>
        </row>
        <row r="5749">
          <cell r="A5749">
            <v>1500001773</v>
          </cell>
          <cell r="B5749">
            <v>14.5833333333333</v>
          </cell>
        </row>
        <row r="5750">
          <cell r="A5750">
            <v>1500003947</v>
          </cell>
          <cell r="B5750">
            <v>29.533333333333299</v>
          </cell>
        </row>
        <row r="5751">
          <cell r="A5751">
            <v>1500005181</v>
          </cell>
          <cell r="B5751">
            <v>6.8333333333333304</v>
          </cell>
        </row>
        <row r="5752">
          <cell r="A5752">
            <v>1500005226</v>
          </cell>
          <cell r="B5752">
            <v>44.6666666666667</v>
          </cell>
        </row>
        <row r="5753">
          <cell r="A5753">
            <v>1500003119</v>
          </cell>
          <cell r="B5753">
            <v>15.6666666666667</v>
          </cell>
        </row>
        <row r="5754">
          <cell r="A5754">
            <v>1500003800</v>
          </cell>
          <cell r="B5754">
            <v>48.75</v>
          </cell>
        </row>
        <row r="5755">
          <cell r="A5755">
            <v>1500002720</v>
          </cell>
          <cell r="B5755">
            <v>0</v>
          </cell>
        </row>
        <row r="5756">
          <cell r="A5756">
            <v>1500004853</v>
          </cell>
          <cell r="B5756">
            <v>0</v>
          </cell>
        </row>
        <row r="5757">
          <cell r="A5757">
            <v>1500003679</v>
          </cell>
          <cell r="B5757">
            <v>0</v>
          </cell>
        </row>
        <row r="5758">
          <cell r="A5758">
            <v>1500003801</v>
          </cell>
          <cell r="B5758">
            <v>14.1666666666667</v>
          </cell>
        </row>
        <row r="5759">
          <cell r="A5759">
            <v>1500004912</v>
          </cell>
          <cell r="B5759">
            <v>29.0833333333333</v>
          </cell>
        </row>
        <row r="5760">
          <cell r="A5760">
            <v>1500004854</v>
          </cell>
          <cell r="B5760">
            <v>8.3333333333333304</v>
          </cell>
        </row>
        <row r="5761">
          <cell r="A5761">
            <v>1500004913</v>
          </cell>
          <cell r="B5761">
            <v>7</v>
          </cell>
        </row>
        <row r="5762">
          <cell r="A5762">
            <v>1500005105</v>
          </cell>
          <cell r="B5762">
            <v>12.0833333333333</v>
          </cell>
        </row>
        <row r="5763">
          <cell r="A5763">
            <v>1500002631</v>
          </cell>
          <cell r="B5763">
            <v>0</v>
          </cell>
        </row>
        <row r="5764">
          <cell r="A5764">
            <v>1500003752</v>
          </cell>
          <cell r="B5764">
            <v>16.741666666666699</v>
          </cell>
        </row>
        <row r="5765">
          <cell r="A5765">
            <v>1500003754</v>
          </cell>
          <cell r="B5765">
            <v>26.266666666666701</v>
          </cell>
        </row>
        <row r="5766">
          <cell r="A5766">
            <v>1500002961</v>
          </cell>
          <cell r="B5766">
            <v>0</v>
          </cell>
        </row>
        <row r="5767">
          <cell r="A5767">
            <v>1500004048</v>
          </cell>
          <cell r="B5767">
            <v>1.25</v>
          </cell>
        </row>
        <row r="5768">
          <cell r="A5768">
            <v>1500004049</v>
          </cell>
          <cell r="B5768">
            <v>4.5</v>
          </cell>
        </row>
        <row r="5769">
          <cell r="A5769">
            <v>1500004094</v>
          </cell>
          <cell r="B5769">
            <v>51.5833333333333</v>
          </cell>
        </row>
        <row r="5770">
          <cell r="A5770">
            <v>1500001775</v>
          </cell>
          <cell r="B5770">
            <v>11.5833333333333</v>
          </cell>
        </row>
        <row r="5771">
          <cell r="A5771">
            <v>1500005391</v>
          </cell>
          <cell r="B5771">
            <v>8.4166666666666696</v>
          </cell>
        </row>
        <row r="5772">
          <cell r="A5772">
            <v>1500004376</v>
          </cell>
          <cell r="B5772">
            <v>19.25</v>
          </cell>
        </row>
        <row r="5773">
          <cell r="A5773">
            <v>1500004074</v>
          </cell>
          <cell r="B5773">
            <v>0</v>
          </cell>
        </row>
        <row r="5774">
          <cell r="A5774">
            <v>1500004075</v>
          </cell>
          <cell r="B5774">
            <v>18.324999999999999</v>
          </cell>
        </row>
        <row r="5775">
          <cell r="A5775">
            <v>1500004076</v>
          </cell>
          <cell r="B5775">
            <v>23.358333333333299</v>
          </cell>
        </row>
        <row r="5776">
          <cell r="A5776">
            <v>1500004077</v>
          </cell>
          <cell r="B5776">
            <v>30.508333333333301</v>
          </cell>
        </row>
        <row r="5777">
          <cell r="A5777">
            <v>1500004880</v>
          </cell>
          <cell r="B5777">
            <v>10.0833333333333</v>
          </cell>
        </row>
        <row r="5778">
          <cell r="A5778">
            <v>1500004334</v>
          </cell>
          <cell r="B5778">
            <v>61.8333333333333</v>
          </cell>
        </row>
        <row r="5779">
          <cell r="A5779">
            <v>1500002469</v>
          </cell>
          <cell r="B5779">
            <v>0</v>
          </cell>
        </row>
        <row r="5780">
          <cell r="A5780">
            <v>1500005106</v>
          </cell>
          <cell r="B5780">
            <v>0</v>
          </cell>
        </row>
        <row r="5781">
          <cell r="A5781">
            <v>1500002265</v>
          </cell>
          <cell r="B5781">
            <v>27.5</v>
          </cell>
        </row>
        <row r="5782">
          <cell r="A5782">
            <v>1500002266</v>
          </cell>
          <cell r="B5782">
            <v>0</v>
          </cell>
        </row>
        <row r="5783">
          <cell r="A5783">
            <v>1500002943</v>
          </cell>
          <cell r="B5783">
            <v>15.8333333333333</v>
          </cell>
        </row>
        <row r="5784">
          <cell r="A5784">
            <v>1500004222</v>
          </cell>
          <cell r="B5784">
            <v>32.5</v>
          </cell>
        </row>
        <row r="5785">
          <cell r="A5785">
            <v>1500006126</v>
          </cell>
          <cell r="B5785">
            <v>26.5833333333333</v>
          </cell>
        </row>
        <row r="5786">
          <cell r="A5786">
            <v>1500003768</v>
          </cell>
          <cell r="B5786">
            <v>0</v>
          </cell>
        </row>
        <row r="5787">
          <cell r="A5787">
            <v>1500006127</v>
          </cell>
          <cell r="B5787">
            <v>2.5</v>
          </cell>
        </row>
        <row r="5788">
          <cell r="A5788">
            <v>1500002782</v>
          </cell>
          <cell r="B5788">
            <v>0</v>
          </cell>
        </row>
        <row r="5789">
          <cell r="A5789">
            <v>1500003137</v>
          </cell>
          <cell r="B5789">
            <v>0</v>
          </cell>
        </row>
        <row r="5790">
          <cell r="A5790">
            <v>1500004839</v>
          </cell>
          <cell r="B5790">
            <v>0</v>
          </cell>
        </row>
        <row r="5791">
          <cell r="A5791">
            <v>1500001742</v>
          </cell>
          <cell r="B5791">
            <v>0</v>
          </cell>
        </row>
        <row r="5792">
          <cell r="A5792">
            <v>1500004958</v>
          </cell>
          <cell r="B5792">
            <v>0</v>
          </cell>
        </row>
        <row r="5793">
          <cell r="A5793">
            <v>1500004959</v>
          </cell>
          <cell r="B5793">
            <v>26.6666666666667</v>
          </cell>
        </row>
        <row r="5794">
          <cell r="A5794">
            <v>1500004960</v>
          </cell>
          <cell r="B5794">
            <v>12.3333333333333</v>
          </cell>
        </row>
        <row r="5795">
          <cell r="A5795">
            <v>1500004961</v>
          </cell>
          <cell r="B5795">
            <v>1.6666666666666701</v>
          </cell>
        </row>
        <row r="5796">
          <cell r="A5796">
            <v>1500005054</v>
          </cell>
          <cell r="B5796">
            <v>17.5833333333333</v>
          </cell>
        </row>
        <row r="5797">
          <cell r="A5797">
            <v>1500002449</v>
          </cell>
          <cell r="B5797">
            <v>0</v>
          </cell>
        </row>
        <row r="5798">
          <cell r="A5798">
            <v>1500005795</v>
          </cell>
          <cell r="B5798">
            <v>14.4166666666667</v>
          </cell>
        </row>
        <row r="5799">
          <cell r="A5799">
            <v>1500002856</v>
          </cell>
          <cell r="B5799">
            <v>0</v>
          </cell>
        </row>
        <row r="5800">
          <cell r="A5800">
            <v>1500005663</v>
          </cell>
          <cell r="B5800">
            <v>3.9166666666666701</v>
          </cell>
        </row>
        <row r="5801">
          <cell r="A5801">
            <v>1500003741</v>
          </cell>
          <cell r="B5801">
            <v>12.0833333333333</v>
          </cell>
        </row>
        <row r="5802">
          <cell r="A5802">
            <v>1500002267</v>
          </cell>
          <cell r="B5802">
            <v>13.75</v>
          </cell>
        </row>
        <row r="5803">
          <cell r="A5803">
            <v>1500005989</v>
          </cell>
          <cell r="B5803">
            <v>0</v>
          </cell>
        </row>
        <row r="5804">
          <cell r="A5804">
            <v>1500005990</v>
          </cell>
          <cell r="B5804">
            <v>8.0833333333333304</v>
          </cell>
        </row>
        <row r="5805">
          <cell r="A5805">
            <v>1500005596</v>
          </cell>
          <cell r="B5805">
            <v>8.6666666666666696</v>
          </cell>
        </row>
        <row r="5806">
          <cell r="A5806">
            <v>1500001997</v>
          </cell>
          <cell r="B5806">
            <v>0</v>
          </cell>
        </row>
        <row r="5807">
          <cell r="A5807">
            <v>1500003138</v>
          </cell>
          <cell r="B5807">
            <v>1.6666666666666701</v>
          </cell>
        </row>
        <row r="5808">
          <cell r="A5808">
            <v>1500002053</v>
          </cell>
          <cell r="B5808">
            <v>0</v>
          </cell>
        </row>
        <row r="5809">
          <cell r="A5809">
            <v>1500004485</v>
          </cell>
          <cell r="B5809">
            <v>1.3333333333333299</v>
          </cell>
        </row>
        <row r="5810">
          <cell r="A5810">
            <v>1500003839</v>
          </cell>
          <cell r="B5810">
            <v>0</v>
          </cell>
        </row>
        <row r="5811">
          <cell r="A5811">
            <v>1500002560</v>
          </cell>
          <cell r="B5811">
            <v>0</v>
          </cell>
        </row>
        <row r="5812">
          <cell r="A5812">
            <v>1500003835</v>
          </cell>
          <cell r="B5812">
            <v>51.125</v>
          </cell>
        </row>
        <row r="5813">
          <cell r="A5813">
            <v>1500002947</v>
          </cell>
          <cell r="B5813">
            <v>0</v>
          </cell>
        </row>
        <row r="5814">
          <cell r="A5814">
            <v>1500003836</v>
          </cell>
          <cell r="B5814">
            <v>3.25</v>
          </cell>
        </row>
        <row r="5815">
          <cell r="A5815">
            <v>1500004523</v>
          </cell>
          <cell r="B5815">
            <v>46.3</v>
          </cell>
        </row>
        <row r="5816">
          <cell r="A5816">
            <v>1500005345</v>
          </cell>
          <cell r="B5816">
            <v>0</v>
          </cell>
        </row>
        <row r="5817">
          <cell r="A5817">
            <v>1500002337</v>
          </cell>
          <cell r="B5817">
            <v>0</v>
          </cell>
        </row>
        <row r="5818">
          <cell r="A5818">
            <v>1500005394</v>
          </cell>
          <cell r="B5818">
            <v>4.25</v>
          </cell>
        </row>
        <row r="5819">
          <cell r="A5819">
            <v>1500002450</v>
          </cell>
          <cell r="B5819">
            <v>23.0833333333333</v>
          </cell>
        </row>
        <row r="5820">
          <cell r="A5820">
            <v>1500005395</v>
          </cell>
          <cell r="B5820">
            <v>0</v>
          </cell>
        </row>
        <row r="5821">
          <cell r="A5821">
            <v>1500005247</v>
          </cell>
          <cell r="B5821">
            <v>28.8333333333333</v>
          </cell>
        </row>
        <row r="5822">
          <cell r="A5822">
            <v>1500002758</v>
          </cell>
          <cell r="B5822">
            <v>8.6666666666666696</v>
          </cell>
        </row>
        <row r="5823">
          <cell r="A5823">
            <v>1500005346</v>
          </cell>
          <cell r="B5823">
            <v>30</v>
          </cell>
        </row>
        <row r="5824">
          <cell r="A5824">
            <v>1500003619</v>
          </cell>
          <cell r="B5824">
            <v>3.375</v>
          </cell>
        </row>
        <row r="5825">
          <cell r="A5825">
            <v>1500002048</v>
          </cell>
          <cell r="B5825">
            <v>0</v>
          </cell>
        </row>
        <row r="5826">
          <cell r="A5826">
            <v>1500005227</v>
          </cell>
          <cell r="B5826">
            <v>20.4166666666667</v>
          </cell>
        </row>
        <row r="5827">
          <cell r="A5827">
            <v>1500002402</v>
          </cell>
          <cell r="B5827">
            <v>29.633333333333301</v>
          </cell>
        </row>
        <row r="5828">
          <cell r="A5828">
            <v>1500006128</v>
          </cell>
          <cell r="B5828">
            <v>0</v>
          </cell>
        </row>
        <row r="5829">
          <cell r="A5829">
            <v>1500004641</v>
          </cell>
          <cell r="B5829">
            <v>0</v>
          </cell>
        </row>
        <row r="5830">
          <cell r="A5830">
            <v>1500002632</v>
          </cell>
          <cell r="B5830">
            <v>0</v>
          </cell>
        </row>
        <row r="5831">
          <cell r="A5831">
            <v>1500005145</v>
          </cell>
          <cell r="B5831">
            <v>0</v>
          </cell>
        </row>
        <row r="5832">
          <cell r="A5832">
            <v>1500005146</v>
          </cell>
          <cell r="B5832">
            <v>0</v>
          </cell>
        </row>
        <row r="5833">
          <cell r="A5833">
            <v>1500003309</v>
          </cell>
          <cell r="B5833">
            <v>51.75</v>
          </cell>
        </row>
        <row r="5834">
          <cell r="A5834">
            <v>1500003697</v>
          </cell>
          <cell r="B5834">
            <v>13</v>
          </cell>
        </row>
        <row r="5835">
          <cell r="A5835">
            <v>1500005147</v>
          </cell>
          <cell r="B5835">
            <v>54.6666666666667</v>
          </cell>
        </row>
        <row r="5836">
          <cell r="A5836">
            <v>1500011672</v>
          </cell>
          <cell r="B5836">
            <v>0</v>
          </cell>
        </row>
        <row r="5837">
          <cell r="A5837">
            <v>1500003988</v>
          </cell>
          <cell r="B5837">
            <v>0</v>
          </cell>
        </row>
        <row r="5838">
          <cell r="A5838">
            <v>1500005722</v>
          </cell>
          <cell r="B5838">
            <v>0</v>
          </cell>
        </row>
        <row r="5839">
          <cell r="A5839">
            <v>1500003322</v>
          </cell>
          <cell r="B5839">
            <v>0</v>
          </cell>
        </row>
        <row r="5840">
          <cell r="A5840">
            <v>1500005397</v>
          </cell>
          <cell r="B5840">
            <v>0</v>
          </cell>
        </row>
        <row r="5841">
          <cell r="A5841">
            <v>1500003399</v>
          </cell>
          <cell r="B5841">
            <v>10.8333333333333</v>
          </cell>
        </row>
        <row r="5842">
          <cell r="A5842">
            <v>1500002383</v>
          </cell>
          <cell r="B5842">
            <v>30.5833333333333</v>
          </cell>
        </row>
        <row r="5843">
          <cell r="A5843">
            <v>1500006142</v>
          </cell>
          <cell r="B5843">
            <v>0</v>
          </cell>
        </row>
        <row r="5844">
          <cell r="A5844">
            <v>1500002646</v>
          </cell>
          <cell r="B5844">
            <v>20</v>
          </cell>
        </row>
        <row r="5845">
          <cell r="A5845">
            <v>1500006143</v>
          </cell>
          <cell r="B5845">
            <v>17.0833333333333</v>
          </cell>
        </row>
        <row r="5846">
          <cell r="A5846">
            <v>1500005287</v>
          </cell>
          <cell r="B5846">
            <v>20.9166666666667</v>
          </cell>
        </row>
        <row r="5847">
          <cell r="A5847">
            <v>1500002149</v>
          </cell>
          <cell r="B5847">
            <v>0</v>
          </cell>
        </row>
        <row r="5848">
          <cell r="A5848">
            <v>1500005027</v>
          </cell>
          <cell r="B5848">
            <v>3.75</v>
          </cell>
        </row>
        <row r="5849">
          <cell r="A5849">
            <v>1500006145</v>
          </cell>
          <cell r="B5849">
            <v>9.1666666666666696</v>
          </cell>
        </row>
        <row r="5850">
          <cell r="A5850">
            <v>1500002647</v>
          </cell>
          <cell r="B5850">
            <v>115</v>
          </cell>
        </row>
        <row r="5851">
          <cell r="A5851">
            <v>1500002325</v>
          </cell>
          <cell r="B5851">
            <v>15.0833333333333</v>
          </cell>
        </row>
        <row r="5852">
          <cell r="A5852">
            <v>1500006146</v>
          </cell>
          <cell r="B5852">
            <v>2.5</v>
          </cell>
        </row>
        <row r="5853">
          <cell r="A5853">
            <v>1500004855</v>
          </cell>
          <cell r="B5853">
            <v>0</v>
          </cell>
        </row>
        <row r="5854">
          <cell r="A5854">
            <v>1500004856</v>
          </cell>
          <cell r="B5854">
            <v>7.5</v>
          </cell>
        </row>
        <row r="5855">
          <cell r="A5855">
            <v>1500004962</v>
          </cell>
          <cell r="B5855">
            <v>35.8333333333333</v>
          </cell>
        </row>
        <row r="5856">
          <cell r="A5856">
            <v>1500002962</v>
          </cell>
          <cell r="B5856">
            <v>98.566666666666706</v>
          </cell>
        </row>
        <row r="5857">
          <cell r="A5857">
            <v>1500002832</v>
          </cell>
          <cell r="B5857">
            <v>4.5833333333333304</v>
          </cell>
        </row>
        <row r="5858">
          <cell r="A5858">
            <v>1500002234</v>
          </cell>
          <cell r="B5858">
            <v>10.1666666666667</v>
          </cell>
        </row>
        <row r="5859">
          <cell r="A5859">
            <v>1500004095</v>
          </cell>
          <cell r="B5859">
            <v>19.9166666666667</v>
          </cell>
        </row>
        <row r="5860">
          <cell r="A5860">
            <v>1500003756</v>
          </cell>
          <cell r="B5860">
            <v>10.5833333333333</v>
          </cell>
        </row>
        <row r="5861">
          <cell r="A5861">
            <v>1500003757</v>
          </cell>
          <cell r="B5861">
            <v>43.075000000000003</v>
          </cell>
        </row>
        <row r="5862">
          <cell r="A5862">
            <v>1500005503</v>
          </cell>
          <cell r="B5862">
            <v>0</v>
          </cell>
        </row>
        <row r="5863">
          <cell r="A5863">
            <v>1500002087</v>
          </cell>
          <cell r="B5863">
            <v>6.5</v>
          </cell>
        </row>
        <row r="5864">
          <cell r="A5864">
            <v>1500002282</v>
          </cell>
          <cell r="B5864">
            <v>19.4166666666667</v>
          </cell>
        </row>
        <row r="5865">
          <cell r="A5865">
            <v>1500002088</v>
          </cell>
          <cell r="B5865">
            <v>12.1666666666667</v>
          </cell>
        </row>
        <row r="5866">
          <cell r="A5866">
            <v>1500005504</v>
          </cell>
          <cell r="B5866">
            <v>0</v>
          </cell>
        </row>
        <row r="5867">
          <cell r="A5867">
            <v>1500005505</v>
          </cell>
          <cell r="B5867">
            <v>1.6666666666666701</v>
          </cell>
        </row>
        <row r="5868">
          <cell r="A5868">
            <v>1500005506</v>
          </cell>
          <cell r="B5868">
            <v>0</v>
          </cell>
        </row>
        <row r="5869">
          <cell r="A5869">
            <v>1500005508</v>
          </cell>
          <cell r="B5869">
            <v>0</v>
          </cell>
        </row>
        <row r="5870">
          <cell r="A5870">
            <v>1500005509</v>
          </cell>
          <cell r="B5870">
            <v>0</v>
          </cell>
        </row>
        <row r="5871">
          <cell r="A5871">
            <v>1500005510</v>
          </cell>
          <cell r="B5871">
            <v>9.1666666666666696</v>
          </cell>
        </row>
        <row r="5872">
          <cell r="A5872">
            <v>1500002075</v>
          </cell>
          <cell r="B5872">
            <v>0</v>
          </cell>
        </row>
        <row r="5873">
          <cell r="A5873">
            <v>1500004551</v>
          </cell>
          <cell r="B5873">
            <v>90.6666666666667</v>
          </cell>
        </row>
        <row r="5874">
          <cell r="A5874">
            <v>1500005461</v>
          </cell>
          <cell r="B5874">
            <v>28.25</v>
          </cell>
        </row>
        <row r="5875">
          <cell r="A5875">
            <v>1500002668</v>
          </cell>
          <cell r="B5875">
            <v>11.8333333333333</v>
          </cell>
        </row>
        <row r="5876">
          <cell r="A5876">
            <v>1500005832</v>
          </cell>
          <cell r="B5876">
            <v>7.25</v>
          </cell>
        </row>
        <row r="5877">
          <cell r="A5877">
            <v>1500003065</v>
          </cell>
          <cell r="B5877">
            <v>0</v>
          </cell>
        </row>
        <row r="5878">
          <cell r="A5878">
            <v>1500004552</v>
          </cell>
          <cell r="B5878">
            <v>9.875</v>
          </cell>
        </row>
        <row r="5879">
          <cell r="A5879">
            <v>1500003088</v>
          </cell>
          <cell r="B5879">
            <v>26.25</v>
          </cell>
        </row>
        <row r="5880">
          <cell r="A5880">
            <v>1500004748</v>
          </cell>
          <cell r="B5880">
            <v>0</v>
          </cell>
        </row>
        <row r="5881">
          <cell r="A5881">
            <v>1500002272</v>
          </cell>
          <cell r="B5881">
            <v>14.5833333333333</v>
          </cell>
        </row>
        <row r="5882">
          <cell r="A5882">
            <v>1500002273</v>
          </cell>
          <cell r="B5882">
            <v>10.75</v>
          </cell>
        </row>
        <row r="5883">
          <cell r="A5883">
            <v>1500002274</v>
          </cell>
          <cell r="B5883">
            <v>37.8333333333333</v>
          </cell>
        </row>
        <row r="5884">
          <cell r="A5884">
            <v>1500003657</v>
          </cell>
          <cell r="B5884">
            <v>87.6666666666667</v>
          </cell>
        </row>
        <row r="5885">
          <cell r="A5885">
            <v>1500006169</v>
          </cell>
          <cell r="B5885">
            <v>40</v>
          </cell>
        </row>
        <row r="5886">
          <cell r="A5886">
            <v>1500005769</v>
          </cell>
          <cell r="B5886">
            <v>0</v>
          </cell>
        </row>
        <row r="5887">
          <cell r="A5887">
            <v>1500002851</v>
          </cell>
          <cell r="B5887">
            <v>0</v>
          </cell>
        </row>
        <row r="5888">
          <cell r="A5888">
            <v>1500006210</v>
          </cell>
          <cell r="B5888">
            <v>2.5</v>
          </cell>
        </row>
        <row r="5889">
          <cell r="A5889">
            <v>1500002158</v>
          </cell>
          <cell r="B5889">
            <v>0</v>
          </cell>
        </row>
        <row r="5890">
          <cell r="A5890">
            <v>1500003729</v>
          </cell>
          <cell r="B5890">
            <v>0</v>
          </cell>
        </row>
        <row r="5891">
          <cell r="A5891">
            <v>1500005740</v>
          </cell>
          <cell r="B5891">
            <v>0</v>
          </cell>
        </row>
        <row r="5892">
          <cell r="A5892">
            <v>1500005672</v>
          </cell>
          <cell r="B5892">
            <v>0</v>
          </cell>
        </row>
        <row r="5893">
          <cell r="A5893">
            <v>1500002417</v>
          </cell>
          <cell r="B5893">
            <v>28.75</v>
          </cell>
        </row>
        <row r="5894">
          <cell r="A5894">
            <v>1500005773</v>
          </cell>
          <cell r="B5894">
            <v>0</v>
          </cell>
        </row>
        <row r="5895">
          <cell r="A5895">
            <v>1500005112</v>
          </cell>
          <cell r="B5895">
            <v>45.5833333333333</v>
          </cell>
        </row>
        <row r="5896">
          <cell r="A5896">
            <v>1500005072</v>
          </cell>
          <cell r="B5896">
            <v>0</v>
          </cell>
        </row>
        <row r="5897">
          <cell r="A5897">
            <v>1500005586</v>
          </cell>
          <cell r="B5897">
            <v>0.83333333333333304</v>
          </cell>
        </row>
        <row r="5898">
          <cell r="A5898">
            <v>1500003432</v>
          </cell>
          <cell r="B5898">
            <v>0</v>
          </cell>
        </row>
        <row r="5899">
          <cell r="A5899">
            <v>1500005486</v>
          </cell>
          <cell r="B5899">
            <v>0</v>
          </cell>
        </row>
        <row r="5900">
          <cell r="A5900">
            <v>1500004708</v>
          </cell>
          <cell r="B5900">
            <v>0</v>
          </cell>
        </row>
        <row r="5901">
          <cell r="A5901">
            <v>1500003485</v>
          </cell>
          <cell r="B5901">
            <v>112.75</v>
          </cell>
        </row>
        <row r="5902">
          <cell r="A5902">
            <v>1500004553</v>
          </cell>
          <cell r="B5902">
            <v>80.5</v>
          </cell>
        </row>
        <row r="5903">
          <cell r="A5903">
            <v>1500003486</v>
          </cell>
          <cell r="B5903">
            <v>13</v>
          </cell>
        </row>
        <row r="5904">
          <cell r="A5904">
            <v>1500003488</v>
          </cell>
          <cell r="B5904">
            <v>15</v>
          </cell>
        </row>
        <row r="5905">
          <cell r="A5905">
            <v>1500003490</v>
          </cell>
          <cell r="B5905">
            <v>50.3333333333333</v>
          </cell>
        </row>
        <row r="5906">
          <cell r="A5906">
            <v>1500004709</v>
          </cell>
          <cell r="B5906">
            <v>31.6666666666667</v>
          </cell>
        </row>
        <row r="5907">
          <cell r="A5907">
            <v>1500004710</v>
          </cell>
          <cell r="B5907">
            <v>4.5833333333333304</v>
          </cell>
        </row>
        <row r="5908">
          <cell r="A5908">
            <v>1500003067</v>
          </cell>
          <cell r="B5908">
            <v>0</v>
          </cell>
        </row>
        <row r="5909">
          <cell r="A5909">
            <v>1500004554</v>
          </cell>
          <cell r="B5909">
            <v>0</v>
          </cell>
        </row>
        <row r="5910">
          <cell r="A5910">
            <v>1500003491</v>
          </cell>
          <cell r="B5910">
            <v>7.0833333333333304</v>
          </cell>
        </row>
        <row r="5911">
          <cell r="A5911">
            <v>1500005834</v>
          </cell>
          <cell r="B5911">
            <v>17.25</v>
          </cell>
        </row>
        <row r="5912">
          <cell r="A5912">
            <v>1500005835</v>
          </cell>
          <cell r="B5912">
            <v>4.1666666666666696</v>
          </cell>
        </row>
        <row r="5913">
          <cell r="A5913">
            <v>1500002669</v>
          </cell>
          <cell r="B5913">
            <v>15</v>
          </cell>
        </row>
        <row r="5914">
          <cell r="A5914">
            <v>1500004685</v>
          </cell>
          <cell r="B5914">
            <v>27.475000000000001</v>
          </cell>
        </row>
        <row r="5915">
          <cell r="A5915">
            <v>1500001727</v>
          </cell>
          <cell r="B5915">
            <v>183.583333333333</v>
          </cell>
        </row>
        <row r="5916">
          <cell r="A5916">
            <v>1500004475</v>
          </cell>
          <cell r="B5916">
            <v>37.5833333333333</v>
          </cell>
        </row>
        <row r="5917">
          <cell r="A5917">
            <v>1500003371</v>
          </cell>
          <cell r="B5917">
            <v>24.25</v>
          </cell>
        </row>
        <row r="5918">
          <cell r="A5918">
            <v>1500003372</v>
          </cell>
          <cell r="B5918">
            <v>20.516666666666701</v>
          </cell>
        </row>
        <row r="5919">
          <cell r="A5919">
            <v>1500002606</v>
          </cell>
          <cell r="B5919">
            <v>0</v>
          </cell>
        </row>
        <row r="5920">
          <cell r="A5920">
            <v>1500003851</v>
          </cell>
          <cell r="B5920">
            <v>0</v>
          </cell>
        </row>
        <row r="5921">
          <cell r="A5921">
            <v>1500002291</v>
          </cell>
          <cell r="B5921">
            <v>49.075000000000003</v>
          </cell>
        </row>
        <row r="5922">
          <cell r="A5922">
            <v>1500005199</v>
          </cell>
          <cell r="B5922">
            <v>21.1666666666667</v>
          </cell>
        </row>
        <row r="5923">
          <cell r="A5923">
            <v>1500002345</v>
          </cell>
          <cell r="B5923">
            <v>0</v>
          </cell>
        </row>
        <row r="5924">
          <cell r="A5924">
            <v>1500005959</v>
          </cell>
          <cell r="B5924">
            <v>14.1666666666667</v>
          </cell>
        </row>
        <row r="5925">
          <cell r="A5925">
            <v>1500004599</v>
          </cell>
          <cell r="B5925">
            <v>21.5833333333333</v>
          </cell>
        </row>
        <row r="5926">
          <cell r="A5926">
            <v>1500002168</v>
          </cell>
          <cell r="B5926">
            <v>36.75</v>
          </cell>
        </row>
        <row r="5927">
          <cell r="A5927">
            <v>1500003332</v>
          </cell>
          <cell r="B5927">
            <v>29.3333333333333</v>
          </cell>
        </row>
        <row r="5928">
          <cell r="A5928">
            <v>1500005960</v>
          </cell>
          <cell r="B5928">
            <v>0</v>
          </cell>
        </row>
        <row r="5929">
          <cell r="A5929">
            <v>1500004273</v>
          </cell>
          <cell r="B5929">
            <v>0</v>
          </cell>
        </row>
        <row r="5930">
          <cell r="A5930">
            <v>1500004476</v>
          </cell>
          <cell r="B5930">
            <v>16.25</v>
          </cell>
        </row>
        <row r="5931">
          <cell r="A5931">
            <v>1500003373</v>
          </cell>
          <cell r="B5931">
            <v>16.6666666666667</v>
          </cell>
        </row>
        <row r="5932">
          <cell r="A5932">
            <v>1500004243</v>
          </cell>
          <cell r="B5932">
            <v>5.4166666666666696</v>
          </cell>
        </row>
        <row r="5933">
          <cell r="A5933">
            <v>1500004244</v>
          </cell>
          <cell r="B5933">
            <v>36.75</v>
          </cell>
        </row>
        <row r="5934">
          <cell r="A5934">
            <v>1500002608</v>
          </cell>
          <cell r="B5934">
            <v>10.1666666666667</v>
          </cell>
        </row>
        <row r="5935">
          <cell r="A5935">
            <v>1500004245</v>
          </cell>
          <cell r="B5935">
            <v>25</v>
          </cell>
        </row>
        <row r="5936">
          <cell r="A5936">
            <v>1500005660</v>
          </cell>
          <cell r="B5936">
            <v>9.5833333333333304</v>
          </cell>
        </row>
        <row r="5937">
          <cell r="A5937">
            <v>1500005576</v>
          </cell>
          <cell r="B5937">
            <v>46.8333333333333</v>
          </cell>
        </row>
        <row r="5938">
          <cell r="A5938">
            <v>1500005117</v>
          </cell>
          <cell r="B5938">
            <v>0</v>
          </cell>
        </row>
        <row r="5939">
          <cell r="A5939">
            <v>1500005136</v>
          </cell>
          <cell r="B5939">
            <v>0</v>
          </cell>
        </row>
        <row r="5940">
          <cell r="A5940">
            <v>1500005619</v>
          </cell>
          <cell r="B5940">
            <v>1.6666666666666701</v>
          </cell>
        </row>
        <row r="5941">
          <cell r="A5941">
            <v>1500002895</v>
          </cell>
          <cell r="B5941">
            <v>0</v>
          </cell>
        </row>
        <row r="5942">
          <cell r="A5942">
            <v>1500004050</v>
          </cell>
          <cell r="B5942">
            <v>16.6666666666667</v>
          </cell>
        </row>
        <row r="5943">
          <cell r="A5943">
            <v>1500004301</v>
          </cell>
          <cell r="B5943">
            <v>5.3333333333333304</v>
          </cell>
        </row>
        <row r="5944">
          <cell r="A5944">
            <v>1500004051</v>
          </cell>
          <cell r="B5944">
            <v>6.6666666666666696</v>
          </cell>
        </row>
        <row r="5945">
          <cell r="A5945">
            <v>1500003020</v>
          </cell>
          <cell r="B5945">
            <v>23.8333333333333</v>
          </cell>
        </row>
        <row r="5946">
          <cell r="A5946">
            <v>1500005620</v>
          </cell>
          <cell r="B5946">
            <v>37.049999999999997</v>
          </cell>
        </row>
        <row r="5947">
          <cell r="A5947">
            <v>1500006115</v>
          </cell>
          <cell r="B5947">
            <v>29.75</v>
          </cell>
        </row>
        <row r="5948">
          <cell r="A5948">
            <v>1500005836</v>
          </cell>
          <cell r="B5948">
            <v>12.4166666666667</v>
          </cell>
        </row>
        <row r="5949">
          <cell r="A5949">
            <v>1500005837</v>
          </cell>
          <cell r="B5949">
            <v>37.6666666666667</v>
          </cell>
        </row>
        <row r="5950">
          <cell r="A5950">
            <v>1500003852</v>
          </cell>
          <cell r="B5950">
            <v>3.75</v>
          </cell>
        </row>
        <row r="5951">
          <cell r="A5951">
            <v>1500004246</v>
          </cell>
          <cell r="B5951">
            <v>12.9166666666667</v>
          </cell>
        </row>
        <row r="5952">
          <cell r="A5952">
            <v>1500002407</v>
          </cell>
          <cell r="B5952">
            <v>27</v>
          </cell>
        </row>
        <row r="5953">
          <cell r="A5953">
            <v>1500003681</v>
          </cell>
          <cell r="B5953">
            <v>0</v>
          </cell>
        </row>
        <row r="5954">
          <cell r="A5954">
            <v>1500005028</v>
          </cell>
          <cell r="B5954">
            <v>112.75</v>
          </cell>
        </row>
        <row r="5955">
          <cell r="A5955">
            <v>1500002350</v>
          </cell>
          <cell r="B5955">
            <v>34</v>
          </cell>
        </row>
        <row r="5956">
          <cell r="A5956">
            <v>1500002696</v>
          </cell>
          <cell r="B5956">
            <v>7.6666666666666696</v>
          </cell>
        </row>
        <row r="5957">
          <cell r="A5957">
            <v>1500004291</v>
          </cell>
          <cell r="B5957">
            <v>3.75</v>
          </cell>
        </row>
        <row r="5958">
          <cell r="A5958">
            <v>1500003840</v>
          </cell>
          <cell r="B5958">
            <v>0</v>
          </cell>
        </row>
        <row r="5959">
          <cell r="A5959">
            <v>1500002159</v>
          </cell>
          <cell r="B5959">
            <v>0</v>
          </cell>
        </row>
        <row r="5960">
          <cell r="A5960">
            <v>1500005820</v>
          </cell>
          <cell r="B5960">
            <v>1.4166666666666701</v>
          </cell>
        </row>
        <row r="5961">
          <cell r="A5961">
            <v>1500003620</v>
          </cell>
          <cell r="B5961">
            <v>36.3333333333333</v>
          </cell>
        </row>
        <row r="5962">
          <cell r="A5962">
            <v>1500002619</v>
          </cell>
          <cell r="B5962">
            <v>12.75</v>
          </cell>
        </row>
        <row r="5963">
          <cell r="A5963">
            <v>1500002049</v>
          </cell>
          <cell r="B5963">
            <v>0</v>
          </cell>
        </row>
        <row r="5964">
          <cell r="A5964">
            <v>1500002759</v>
          </cell>
          <cell r="B5964">
            <v>33.6666666666667</v>
          </cell>
        </row>
        <row r="5965">
          <cell r="A5965">
            <v>1500002760</v>
          </cell>
          <cell r="B5965">
            <v>15.8333333333333</v>
          </cell>
        </row>
        <row r="5966">
          <cell r="A5966">
            <v>1500005796</v>
          </cell>
          <cell r="B5966">
            <v>20.6666666666667</v>
          </cell>
        </row>
        <row r="5967">
          <cell r="A5967">
            <v>1500003525</v>
          </cell>
          <cell r="B5967">
            <v>0</v>
          </cell>
        </row>
        <row r="5968">
          <cell r="A5968">
            <v>1500004766</v>
          </cell>
          <cell r="B5968">
            <v>17.75</v>
          </cell>
        </row>
        <row r="5969">
          <cell r="A5969">
            <v>1500002627</v>
          </cell>
          <cell r="B5969">
            <v>13.4166666666667</v>
          </cell>
        </row>
        <row r="5970">
          <cell r="A5970">
            <v>1500003925</v>
          </cell>
          <cell r="B5970">
            <v>4.9166666666666696</v>
          </cell>
        </row>
        <row r="5971">
          <cell r="A5971">
            <v>1500005608</v>
          </cell>
          <cell r="B5971">
            <v>0</v>
          </cell>
        </row>
        <row r="5972">
          <cell r="A5972">
            <v>1500005654</v>
          </cell>
          <cell r="B5972">
            <v>0</v>
          </cell>
        </row>
        <row r="5973">
          <cell r="A5973">
            <v>1500005609</v>
          </cell>
          <cell r="B5973">
            <v>85</v>
          </cell>
        </row>
        <row r="5974">
          <cell r="A5974">
            <v>1500002028</v>
          </cell>
          <cell r="B5974">
            <v>43.5</v>
          </cell>
        </row>
        <row r="5975">
          <cell r="A5975">
            <v>1500005029</v>
          </cell>
          <cell r="B5975">
            <v>47</v>
          </cell>
        </row>
        <row r="5976">
          <cell r="A5976">
            <v>1500005030</v>
          </cell>
          <cell r="B5976">
            <v>50.0833333333333</v>
          </cell>
        </row>
        <row r="5977">
          <cell r="A5977">
            <v>1500005891</v>
          </cell>
          <cell r="B5977">
            <v>0</v>
          </cell>
        </row>
        <row r="5978">
          <cell r="A5978">
            <v>1500005892</v>
          </cell>
          <cell r="B5978">
            <v>0</v>
          </cell>
        </row>
        <row r="5979">
          <cell r="A5979">
            <v>1500002029</v>
          </cell>
          <cell r="B5979">
            <v>48.1666666666667</v>
          </cell>
        </row>
        <row r="5980">
          <cell r="A5980">
            <v>1500002257</v>
          </cell>
          <cell r="B5980">
            <v>18.75</v>
          </cell>
        </row>
        <row r="5981">
          <cell r="A5981">
            <v>1500003445</v>
          </cell>
          <cell r="B5981">
            <v>0</v>
          </cell>
        </row>
        <row r="5982">
          <cell r="A5982">
            <v>1500002481</v>
          </cell>
          <cell r="B5982">
            <v>24.5</v>
          </cell>
        </row>
        <row r="5983">
          <cell r="A5983">
            <v>1500002482</v>
          </cell>
          <cell r="B5983">
            <v>17.5</v>
          </cell>
        </row>
        <row r="5984">
          <cell r="A5984">
            <v>1500002483</v>
          </cell>
          <cell r="B5984">
            <v>17</v>
          </cell>
        </row>
        <row r="5985">
          <cell r="A5985">
            <v>1500003645</v>
          </cell>
          <cell r="B5985">
            <v>20.9166666666667</v>
          </cell>
        </row>
        <row r="5986">
          <cell r="A5986">
            <v>1500004477</v>
          </cell>
          <cell r="B5986">
            <v>0</v>
          </cell>
        </row>
        <row r="5987">
          <cell r="A5987">
            <v>1500003423</v>
          </cell>
          <cell r="B5987">
            <v>0</v>
          </cell>
        </row>
        <row r="5988">
          <cell r="A5988">
            <v>1500005055</v>
          </cell>
          <cell r="B5988">
            <v>16.4166666666667</v>
          </cell>
        </row>
        <row r="5989">
          <cell r="A5989">
            <v>1500002054</v>
          </cell>
          <cell r="B5989">
            <v>6.25</v>
          </cell>
        </row>
        <row r="5990">
          <cell r="A5990">
            <v>1500005444</v>
          </cell>
          <cell r="B5990">
            <v>18.5416666666667</v>
          </cell>
        </row>
        <row r="5991">
          <cell r="A5991">
            <v>1500002453</v>
          </cell>
          <cell r="B5991">
            <v>0</v>
          </cell>
        </row>
        <row r="5992">
          <cell r="A5992">
            <v>1500002454</v>
          </cell>
          <cell r="B5992">
            <v>40.808333333333302</v>
          </cell>
        </row>
        <row r="5993">
          <cell r="A5993">
            <v>1500003890</v>
          </cell>
          <cell r="B5993">
            <v>22.8333333333333</v>
          </cell>
        </row>
        <row r="5994">
          <cell r="A5994">
            <v>1500005295</v>
          </cell>
          <cell r="B5994">
            <v>0.58333333333333304</v>
          </cell>
        </row>
        <row r="5995">
          <cell r="A5995">
            <v>1500002561</v>
          </cell>
          <cell r="B5995">
            <v>17.5</v>
          </cell>
        </row>
        <row r="5996">
          <cell r="A5996">
            <v>1500001776</v>
          </cell>
          <cell r="B5996">
            <v>35.3333333333333</v>
          </cell>
        </row>
        <row r="5997">
          <cell r="A5997">
            <v>1500003891</v>
          </cell>
          <cell r="B5997">
            <v>6.4166666666666696</v>
          </cell>
        </row>
        <row r="5998">
          <cell r="A5998">
            <v>1500003892</v>
          </cell>
          <cell r="B5998">
            <v>29.4166666666667</v>
          </cell>
        </row>
        <row r="5999">
          <cell r="A5999">
            <v>1500003492</v>
          </cell>
          <cell r="B5999">
            <v>12.4166666666667</v>
          </cell>
        </row>
        <row r="6000">
          <cell r="A6000">
            <v>1500004096</v>
          </cell>
          <cell r="B6000">
            <v>12.75</v>
          </cell>
        </row>
        <row r="6001">
          <cell r="A6001">
            <v>1500003730</v>
          </cell>
          <cell r="B6001">
            <v>100.833333333333</v>
          </cell>
        </row>
        <row r="6002">
          <cell r="A6002">
            <v>1500005797</v>
          </cell>
          <cell r="B6002">
            <v>0</v>
          </cell>
        </row>
        <row r="6003">
          <cell r="A6003">
            <v>1500003951</v>
          </cell>
          <cell r="B6003">
            <v>0</v>
          </cell>
        </row>
        <row r="6004">
          <cell r="A6004">
            <v>1500005659</v>
          </cell>
          <cell r="B6004">
            <v>0</v>
          </cell>
        </row>
        <row r="6005">
          <cell r="A6005">
            <v>1500005341</v>
          </cell>
          <cell r="B6005">
            <v>0</v>
          </cell>
        </row>
        <row r="6006">
          <cell r="A6006">
            <v>1500005979</v>
          </cell>
          <cell r="B6006">
            <v>0.83333333333333304</v>
          </cell>
        </row>
        <row r="6007">
          <cell r="A6007">
            <v>1500002076</v>
          </cell>
          <cell r="B6007">
            <v>0</v>
          </cell>
        </row>
        <row r="6008">
          <cell r="A6008">
            <v>1500004760</v>
          </cell>
          <cell r="B6008">
            <v>36.25</v>
          </cell>
        </row>
        <row r="6009">
          <cell r="A6009">
            <v>1500002897</v>
          </cell>
          <cell r="B6009">
            <v>3.75</v>
          </cell>
        </row>
        <row r="6010">
          <cell r="A6010">
            <v>1500002089</v>
          </cell>
          <cell r="B6010">
            <v>5.6666666666666696</v>
          </cell>
        </row>
        <row r="6011">
          <cell r="A6011">
            <v>1500002875</v>
          </cell>
          <cell r="B6011">
            <v>0</v>
          </cell>
        </row>
        <row r="6012">
          <cell r="A6012">
            <v>1500004502</v>
          </cell>
          <cell r="B6012">
            <v>64.5416666666667</v>
          </cell>
        </row>
        <row r="6013">
          <cell r="A6013">
            <v>1500005597</v>
          </cell>
          <cell r="B6013">
            <v>0</v>
          </cell>
        </row>
        <row r="6014">
          <cell r="A6014">
            <v>1500002095</v>
          </cell>
          <cell r="B6014">
            <v>0</v>
          </cell>
        </row>
        <row r="6015">
          <cell r="A6015">
            <v>1500002633</v>
          </cell>
          <cell r="B6015">
            <v>5</v>
          </cell>
        </row>
        <row r="6016">
          <cell r="A6016">
            <v>1500002540</v>
          </cell>
          <cell r="B6016">
            <v>8.5</v>
          </cell>
        </row>
        <row r="6017">
          <cell r="A6017">
            <v>1500005250</v>
          </cell>
          <cell r="B6017">
            <v>0</v>
          </cell>
        </row>
        <row r="6018">
          <cell r="A6018">
            <v>1500001963</v>
          </cell>
          <cell r="B6018">
            <v>0</v>
          </cell>
        </row>
        <row r="6019">
          <cell r="A6019">
            <v>1500002505</v>
          </cell>
          <cell r="B6019">
            <v>30.8333333333333</v>
          </cell>
        </row>
        <row r="6020">
          <cell r="A6020">
            <v>1500005623</v>
          </cell>
          <cell r="B6020">
            <v>0.83333333333333304</v>
          </cell>
        </row>
        <row r="6021">
          <cell r="A6021">
            <v>1500002852</v>
          </cell>
          <cell r="B6021">
            <v>40.75</v>
          </cell>
        </row>
        <row r="6022">
          <cell r="A6022">
            <v>1500005162</v>
          </cell>
          <cell r="B6022">
            <v>0</v>
          </cell>
        </row>
        <row r="6023">
          <cell r="A6023">
            <v>1500005163</v>
          </cell>
          <cell r="B6023">
            <v>10.8333333333333</v>
          </cell>
        </row>
        <row r="6024">
          <cell r="A6024">
            <v>1500004348</v>
          </cell>
          <cell r="B6024">
            <v>0</v>
          </cell>
        </row>
        <row r="6025">
          <cell r="A6025">
            <v>1500005347</v>
          </cell>
          <cell r="B6025">
            <v>8.9166666666666696</v>
          </cell>
        </row>
        <row r="6026">
          <cell r="A6026">
            <v>1500005348</v>
          </cell>
          <cell r="B6026">
            <v>0</v>
          </cell>
        </row>
        <row r="6027">
          <cell r="A6027">
            <v>1500002096</v>
          </cell>
          <cell r="B6027">
            <v>0</v>
          </cell>
        </row>
        <row r="6028">
          <cell r="A6028">
            <v>1500004223</v>
          </cell>
          <cell r="B6028">
            <v>4.6666666666666696</v>
          </cell>
        </row>
        <row r="6029">
          <cell r="A6029">
            <v>1500005056</v>
          </cell>
          <cell r="B6029">
            <v>10.5</v>
          </cell>
        </row>
        <row r="6030">
          <cell r="A6030">
            <v>1500005798</v>
          </cell>
          <cell r="B6030">
            <v>0</v>
          </cell>
        </row>
        <row r="6031">
          <cell r="A6031">
            <v>1500004712</v>
          </cell>
          <cell r="B6031">
            <v>12.6666666666667</v>
          </cell>
        </row>
        <row r="6032">
          <cell r="A6032">
            <v>1500003068</v>
          </cell>
          <cell r="B6032">
            <v>13.75</v>
          </cell>
        </row>
        <row r="6033">
          <cell r="A6033">
            <v>1500003069</v>
          </cell>
          <cell r="B6033">
            <v>28.0833333333333</v>
          </cell>
        </row>
        <row r="6034">
          <cell r="A6034">
            <v>1500003070</v>
          </cell>
          <cell r="B6034">
            <v>44.4166666666667</v>
          </cell>
        </row>
        <row r="6035">
          <cell r="A6035">
            <v>1500004686</v>
          </cell>
          <cell r="B6035">
            <v>0</v>
          </cell>
        </row>
        <row r="6036">
          <cell r="A6036">
            <v>1500004289</v>
          </cell>
          <cell r="B6036">
            <v>1.2916666666666701</v>
          </cell>
        </row>
        <row r="6037">
          <cell r="A6037">
            <v>1500004835</v>
          </cell>
          <cell r="B6037">
            <v>12.9166666666667</v>
          </cell>
        </row>
        <row r="6038">
          <cell r="A6038">
            <v>1500004336</v>
          </cell>
          <cell r="B6038">
            <v>0</v>
          </cell>
        </row>
        <row r="6039">
          <cell r="A6039">
            <v>1500002721</v>
          </cell>
          <cell r="B6039">
            <v>0</v>
          </cell>
        </row>
        <row r="6040">
          <cell r="A6040">
            <v>1500002722</v>
          </cell>
          <cell r="B6040">
            <v>2.5</v>
          </cell>
        </row>
        <row r="6041">
          <cell r="A6041">
            <v>1500004388</v>
          </cell>
          <cell r="B6041">
            <v>0</v>
          </cell>
        </row>
        <row r="6042">
          <cell r="A6042">
            <v>1500004098</v>
          </cell>
          <cell r="B6042">
            <v>24.75</v>
          </cell>
        </row>
        <row r="6043">
          <cell r="A6043">
            <v>1500002723</v>
          </cell>
          <cell r="B6043">
            <v>8.3333333333333304</v>
          </cell>
        </row>
        <row r="6044">
          <cell r="A6044">
            <v>1500004915</v>
          </cell>
          <cell r="B6044">
            <v>16.5</v>
          </cell>
        </row>
        <row r="6045">
          <cell r="A6045">
            <v>1500003803</v>
          </cell>
          <cell r="B6045">
            <v>0</v>
          </cell>
        </row>
        <row r="6046">
          <cell r="A6046">
            <v>1500005308</v>
          </cell>
          <cell r="B6046">
            <v>0</v>
          </cell>
        </row>
        <row r="6047">
          <cell r="A6047">
            <v>1500005513</v>
          </cell>
          <cell r="B6047">
            <v>0</v>
          </cell>
        </row>
        <row r="6048">
          <cell r="A6048">
            <v>1500002506</v>
          </cell>
          <cell r="B6048">
            <v>5.5</v>
          </cell>
        </row>
        <row r="6049">
          <cell r="A6049">
            <v>1500005164</v>
          </cell>
          <cell r="B6049">
            <v>0</v>
          </cell>
        </row>
        <row r="6050">
          <cell r="A6050">
            <v>1500002866</v>
          </cell>
          <cell r="B6050">
            <v>0</v>
          </cell>
        </row>
        <row r="6051">
          <cell r="A6051">
            <v>1500002169</v>
          </cell>
          <cell r="B6051">
            <v>14.8333333333333</v>
          </cell>
        </row>
        <row r="6052">
          <cell r="A6052">
            <v>1500002170</v>
          </cell>
          <cell r="B6052">
            <v>0.91666666666666696</v>
          </cell>
        </row>
        <row r="6053">
          <cell r="A6053">
            <v>1500002275</v>
          </cell>
          <cell r="B6053">
            <v>0</v>
          </cell>
        </row>
        <row r="6054">
          <cell r="A6054">
            <v>1500002268</v>
          </cell>
          <cell r="B6054">
            <v>31.6666666666667</v>
          </cell>
        </row>
        <row r="6055">
          <cell r="A6055">
            <v>1500003071</v>
          </cell>
          <cell r="B6055">
            <v>25.0833333333333</v>
          </cell>
        </row>
        <row r="6056">
          <cell r="A6056">
            <v>1500002670</v>
          </cell>
          <cell r="B6056">
            <v>0</v>
          </cell>
        </row>
        <row r="6057">
          <cell r="A6057">
            <v>1500002671</v>
          </cell>
          <cell r="B6057">
            <v>7.9166666666666696</v>
          </cell>
        </row>
        <row r="6058">
          <cell r="A6058">
            <v>1500003474</v>
          </cell>
          <cell r="B6058">
            <v>30.6666666666667</v>
          </cell>
        </row>
        <row r="6059">
          <cell r="A6059">
            <v>1500004535</v>
          </cell>
          <cell r="B6059">
            <v>14.5</v>
          </cell>
        </row>
        <row r="6060">
          <cell r="A6060">
            <v>1500004555</v>
          </cell>
          <cell r="B6060">
            <v>65.4166666666667</v>
          </cell>
        </row>
        <row r="6061">
          <cell r="A6061">
            <v>1500004557</v>
          </cell>
          <cell r="B6061">
            <v>24.25</v>
          </cell>
        </row>
        <row r="6062">
          <cell r="A6062">
            <v>1500004558</v>
          </cell>
          <cell r="B6062">
            <v>0</v>
          </cell>
        </row>
        <row r="6063">
          <cell r="A6063">
            <v>1500004559</v>
          </cell>
          <cell r="B6063">
            <v>8.3333333333333304</v>
          </cell>
        </row>
        <row r="6064">
          <cell r="A6064">
            <v>1500002833</v>
          </cell>
          <cell r="B6064">
            <v>17.25</v>
          </cell>
        </row>
        <row r="6065">
          <cell r="A6065">
            <v>1500002834</v>
          </cell>
          <cell r="B6065">
            <v>36.1666666666667</v>
          </cell>
        </row>
        <row r="6066">
          <cell r="A6066">
            <v>1500001999</v>
          </cell>
          <cell r="B6066">
            <v>0</v>
          </cell>
        </row>
        <row r="6067">
          <cell r="A6067">
            <v>1500002281</v>
          </cell>
          <cell r="B6067">
            <v>0</v>
          </cell>
        </row>
        <row r="6068">
          <cell r="A6068">
            <v>1500002404</v>
          </cell>
          <cell r="B6068">
            <v>0</v>
          </cell>
        </row>
        <row r="6069">
          <cell r="A6069">
            <v>1500006180</v>
          </cell>
          <cell r="B6069">
            <v>0</v>
          </cell>
        </row>
        <row r="6070">
          <cell r="A6070">
            <v>1500005624</v>
          </cell>
          <cell r="B6070">
            <v>16.6666666666667</v>
          </cell>
        </row>
        <row r="6071">
          <cell r="A6071">
            <v>1500002964</v>
          </cell>
          <cell r="B6071">
            <v>30.074999999999999</v>
          </cell>
        </row>
        <row r="6072">
          <cell r="A6072">
            <v>1500004571</v>
          </cell>
          <cell r="B6072">
            <v>0</v>
          </cell>
        </row>
        <row r="6073">
          <cell r="A6073">
            <v>1500004944</v>
          </cell>
          <cell r="B6073">
            <v>8.4166666666666696</v>
          </cell>
        </row>
        <row r="6074">
          <cell r="A6074">
            <v>1500002408</v>
          </cell>
          <cell r="B6074">
            <v>0</v>
          </cell>
        </row>
        <row r="6075">
          <cell r="A6075">
            <v>1500004713</v>
          </cell>
          <cell r="B6075">
            <v>84.658333333333303</v>
          </cell>
        </row>
        <row r="6076">
          <cell r="A6076">
            <v>1500003465</v>
          </cell>
          <cell r="B6076">
            <v>0</v>
          </cell>
        </row>
        <row r="6077">
          <cell r="A6077">
            <v>1500002326</v>
          </cell>
          <cell r="B6077">
            <v>47.8333333333333</v>
          </cell>
        </row>
        <row r="6078">
          <cell r="A6078">
            <v>1500006147</v>
          </cell>
          <cell r="B6078">
            <v>11.6666666666667</v>
          </cell>
        </row>
        <row r="6079">
          <cell r="A6079">
            <v>1500005148</v>
          </cell>
          <cell r="B6079">
            <v>0.41666666666666702</v>
          </cell>
        </row>
        <row r="6080">
          <cell r="A6080">
            <v>1500004945</v>
          </cell>
          <cell r="B6080">
            <v>32.4</v>
          </cell>
        </row>
        <row r="6081">
          <cell r="A6081">
            <v>1500004829</v>
          </cell>
          <cell r="B6081">
            <v>0</v>
          </cell>
        </row>
        <row r="6082">
          <cell r="A6082">
            <v>1500004561</v>
          </cell>
          <cell r="B6082">
            <v>17.9166666666667</v>
          </cell>
        </row>
        <row r="6083">
          <cell r="A6083">
            <v>1500003353</v>
          </cell>
          <cell r="B6083">
            <v>8.75</v>
          </cell>
        </row>
        <row r="6084">
          <cell r="A6084">
            <v>1500001964</v>
          </cell>
          <cell r="B6084">
            <v>12.5</v>
          </cell>
        </row>
        <row r="6085">
          <cell r="A6085">
            <v>1500005248</v>
          </cell>
          <cell r="B6085">
            <v>27.466666666666701</v>
          </cell>
        </row>
        <row r="6086">
          <cell r="A6086">
            <v>1500005643</v>
          </cell>
          <cell r="B6086">
            <v>18.0833333333333</v>
          </cell>
        </row>
        <row r="6087">
          <cell r="A6087">
            <v>1500003731</v>
          </cell>
          <cell r="B6087">
            <v>150</v>
          </cell>
        </row>
        <row r="6088">
          <cell r="A6088">
            <v>1500005398</v>
          </cell>
          <cell r="B6088">
            <v>1.75</v>
          </cell>
        </row>
        <row r="6089">
          <cell r="A6089">
            <v>1500002192</v>
          </cell>
          <cell r="B6089">
            <v>0</v>
          </cell>
        </row>
        <row r="6090">
          <cell r="A6090">
            <v>1500005249</v>
          </cell>
          <cell r="B6090">
            <v>45.9166666666667</v>
          </cell>
        </row>
        <row r="6091">
          <cell r="A6091">
            <v>1500003621</v>
          </cell>
          <cell r="B6091">
            <v>95.9583333333333</v>
          </cell>
        </row>
        <row r="6092">
          <cell r="A6092">
            <v>1500006148</v>
          </cell>
          <cell r="B6092">
            <v>29.6666666666667</v>
          </cell>
        </row>
        <row r="6093">
          <cell r="A6093">
            <v>1500005932</v>
          </cell>
          <cell r="B6093">
            <v>6.5833333333333304</v>
          </cell>
        </row>
        <row r="6094">
          <cell r="A6094">
            <v>1500005933</v>
          </cell>
          <cell r="B6094">
            <v>1.25</v>
          </cell>
        </row>
        <row r="6095">
          <cell r="A6095">
            <v>1500005350</v>
          </cell>
          <cell r="B6095">
            <v>0</v>
          </cell>
        </row>
        <row r="6096">
          <cell r="A6096">
            <v>1500003494</v>
          </cell>
          <cell r="B6096">
            <v>30.8333333333333</v>
          </cell>
        </row>
        <row r="6097">
          <cell r="A6097">
            <v>1500004536</v>
          </cell>
          <cell r="B6097">
            <v>9.5833333333333304</v>
          </cell>
        </row>
        <row r="6098">
          <cell r="A6098">
            <v>1500001777</v>
          </cell>
          <cell r="B6098">
            <v>0</v>
          </cell>
        </row>
        <row r="6099">
          <cell r="A6099">
            <v>1500005489</v>
          </cell>
          <cell r="B6099">
            <v>0.66666666666666696</v>
          </cell>
        </row>
        <row r="6100">
          <cell r="A6100">
            <v>1500005490</v>
          </cell>
          <cell r="B6100">
            <v>0</v>
          </cell>
        </row>
        <row r="6101">
          <cell r="A6101">
            <v>1500005491</v>
          </cell>
          <cell r="B6101">
            <v>0</v>
          </cell>
        </row>
        <row r="6102">
          <cell r="A6102">
            <v>1500003769</v>
          </cell>
          <cell r="B6102">
            <v>0</v>
          </cell>
        </row>
        <row r="6103">
          <cell r="A6103">
            <v>1500003682</v>
          </cell>
          <cell r="B6103">
            <v>0</v>
          </cell>
        </row>
        <row r="6104">
          <cell r="A6104">
            <v>1500002541</v>
          </cell>
          <cell r="B6104">
            <v>20.0833333333333</v>
          </cell>
        </row>
        <row r="6105">
          <cell r="A6105">
            <v>1500001762</v>
          </cell>
          <cell r="B6105">
            <v>0</v>
          </cell>
        </row>
        <row r="6106">
          <cell r="A6106">
            <v>1500004032</v>
          </cell>
          <cell r="B6106">
            <v>17.133333333333301</v>
          </cell>
        </row>
        <row r="6107">
          <cell r="A6107">
            <v>1500002327</v>
          </cell>
          <cell r="B6107">
            <v>0</v>
          </cell>
        </row>
        <row r="6108">
          <cell r="A6108">
            <v>1500002988</v>
          </cell>
          <cell r="B6108">
            <v>0</v>
          </cell>
        </row>
        <row r="6109">
          <cell r="A6109">
            <v>1500005400</v>
          </cell>
          <cell r="B6109">
            <v>15.25</v>
          </cell>
        </row>
        <row r="6110">
          <cell r="A6110">
            <v>1500004126</v>
          </cell>
          <cell r="B6110">
            <v>0</v>
          </cell>
        </row>
        <row r="6111">
          <cell r="A6111">
            <v>1500002171</v>
          </cell>
          <cell r="B6111">
            <v>18.8333333333333</v>
          </cell>
        </row>
        <row r="6112">
          <cell r="A6112">
            <v>1500004503</v>
          </cell>
          <cell r="B6112">
            <v>0</v>
          </cell>
        </row>
        <row r="6113">
          <cell r="A6113">
            <v>1500002524</v>
          </cell>
          <cell r="B6113">
            <v>0</v>
          </cell>
        </row>
        <row r="6114">
          <cell r="A6114">
            <v>1500002212</v>
          </cell>
          <cell r="B6114">
            <v>1.9166666666666701</v>
          </cell>
        </row>
        <row r="6115">
          <cell r="A6115">
            <v>1500005664</v>
          </cell>
          <cell r="B6115">
            <v>0</v>
          </cell>
        </row>
        <row r="6116">
          <cell r="A6116">
            <v>1500005182</v>
          </cell>
          <cell r="B6116">
            <v>9.8333333333333304</v>
          </cell>
        </row>
        <row r="6117">
          <cell r="A6117">
            <v>1500003841</v>
          </cell>
          <cell r="B6117">
            <v>0</v>
          </cell>
        </row>
        <row r="6118">
          <cell r="A6118">
            <v>1500005492</v>
          </cell>
          <cell r="B6118">
            <v>107.741666666667</v>
          </cell>
        </row>
        <row r="6119">
          <cell r="A6119">
            <v>1500005493</v>
          </cell>
          <cell r="B6119">
            <v>0</v>
          </cell>
        </row>
        <row r="6120">
          <cell r="A6120">
            <v>1500002066</v>
          </cell>
          <cell r="B6120">
            <v>24.5833333333333</v>
          </cell>
        </row>
        <row r="6121">
          <cell r="A6121">
            <v>1500002562</v>
          </cell>
          <cell r="B6121">
            <v>33.1666666666667</v>
          </cell>
        </row>
        <row r="6122">
          <cell r="A6122">
            <v>1500003475</v>
          </cell>
          <cell r="B6122">
            <v>43.9166666666667</v>
          </cell>
        </row>
        <row r="6123">
          <cell r="A6123">
            <v>1500004562</v>
          </cell>
          <cell r="B6123">
            <v>12.9166666666667</v>
          </cell>
        </row>
        <row r="6124">
          <cell r="A6124">
            <v>1500003072</v>
          </cell>
          <cell r="B6124">
            <v>24.591666666666701</v>
          </cell>
        </row>
        <row r="6125">
          <cell r="A6125">
            <v>1500005200</v>
          </cell>
          <cell r="B6125">
            <v>10.8333333333333</v>
          </cell>
        </row>
        <row r="6126">
          <cell r="A6126">
            <v>1500004610</v>
          </cell>
          <cell r="B6126">
            <v>18.9166666666667</v>
          </cell>
        </row>
        <row r="6127">
          <cell r="A6127">
            <v>1500002578</v>
          </cell>
          <cell r="B6127">
            <v>9.6166666666666707</v>
          </cell>
        </row>
        <row r="6128">
          <cell r="A6128">
            <v>1500002579</v>
          </cell>
          <cell r="B6128">
            <v>12.4416666666667</v>
          </cell>
        </row>
        <row r="6129">
          <cell r="A6129">
            <v>1500003526</v>
          </cell>
          <cell r="B6129">
            <v>0</v>
          </cell>
        </row>
        <row r="6130">
          <cell r="A6130">
            <v>1500005799</v>
          </cell>
          <cell r="B6130">
            <v>2.25</v>
          </cell>
        </row>
        <row r="6131">
          <cell r="A6131">
            <v>1500004916</v>
          </cell>
          <cell r="B6131">
            <v>9.4166666666666696</v>
          </cell>
        </row>
        <row r="6132">
          <cell r="A6132">
            <v>1500004917</v>
          </cell>
          <cell r="B6132">
            <v>0</v>
          </cell>
        </row>
        <row r="6133">
          <cell r="A6133">
            <v>1500003732</v>
          </cell>
          <cell r="B6133">
            <v>0</v>
          </cell>
        </row>
        <row r="6134">
          <cell r="A6134">
            <v>1500002484</v>
          </cell>
          <cell r="B6134">
            <v>21.1666666666667</v>
          </cell>
        </row>
        <row r="6135">
          <cell r="A6135">
            <v>1500005202</v>
          </cell>
          <cell r="B6135">
            <v>21.0833333333333</v>
          </cell>
        </row>
        <row r="6136">
          <cell r="A6136">
            <v>1500006149</v>
          </cell>
          <cell r="B6136">
            <v>0</v>
          </cell>
        </row>
        <row r="6137">
          <cell r="A6137">
            <v>1500006150</v>
          </cell>
          <cell r="B6137">
            <v>14.8083333333333</v>
          </cell>
        </row>
        <row r="6138">
          <cell r="A6138">
            <v>1500002030</v>
          </cell>
          <cell r="B6138">
            <v>15.4166666666667</v>
          </cell>
        </row>
        <row r="6139">
          <cell r="A6139">
            <v>1500002258</v>
          </cell>
          <cell r="B6139">
            <v>56</v>
          </cell>
        </row>
        <row r="6140">
          <cell r="A6140">
            <v>1500002031</v>
          </cell>
          <cell r="B6140">
            <v>58.1666666666667</v>
          </cell>
        </row>
        <row r="6141">
          <cell r="A6141">
            <v>1500005031</v>
          </cell>
          <cell r="B6141">
            <v>119.75</v>
          </cell>
        </row>
        <row r="6142">
          <cell r="A6142">
            <v>1500002385</v>
          </cell>
          <cell r="B6142">
            <v>13.75</v>
          </cell>
        </row>
        <row r="6143">
          <cell r="A6143">
            <v>1500005032</v>
          </cell>
          <cell r="B6143">
            <v>3.3333333333333299</v>
          </cell>
        </row>
        <row r="6144">
          <cell r="A6144">
            <v>1500005514</v>
          </cell>
          <cell r="B6144">
            <v>16.6666666666667</v>
          </cell>
        </row>
        <row r="6145">
          <cell r="A6145">
            <v>1500004714</v>
          </cell>
          <cell r="B6145">
            <v>5.1666666666666696</v>
          </cell>
        </row>
        <row r="6146">
          <cell r="A6146">
            <v>1500004537</v>
          </cell>
          <cell r="B6146">
            <v>7.0833333333333304</v>
          </cell>
        </row>
        <row r="6147">
          <cell r="A6147">
            <v>1500004563</v>
          </cell>
          <cell r="B6147">
            <v>16.0833333333333</v>
          </cell>
        </row>
        <row r="6148">
          <cell r="A6148">
            <v>1500004767</v>
          </cell>
          <cell r="B6148">
            <v>4.75</v>
          </cell>
        </row>
        <row r="6149">
          <cell r="A6149">
            <v>1500004399</v>
          </cell>
          <cell r="B6149">
            <v>0</v>
          </cell>
        </row>
        <row r="6150">
          <cell r="A6150">
            <v>1500002898</v>
          </cell>
          <cell r="B6150">
            <v>0</v>
          </cell>
        </row>
        <row r="6151">
          <cell r="A6151">
            <v>1500002899</v>
          </cell>
          <cell r="B6151">
            <v>0</v>
          </cell>
        </row>
        <row r="6152">
          <cell r="A6152">
            <v>1500002236</v>
          </cell>
          <cell r="B6152">
            <v>0</v>
          </cell>
        </row>
        <row r="6153">
          <cell r="A6153">
            <v>1500002050</v>
          </cell>
          <cell r="B6153">
            <v>0</v>
          </cell>
        </row>
        <row r="6154">
          <cell r="A6154">
            <v>1500005625</v>
          </cell>
          <cell r="B6154">
            <v>91.55</v>
          </cell>
        </row>
        <row r="6155">
          <cell r="A6155">
            <v>1500002259</v>
          </cell>
          <cell r="B6155">
            <v>11.6666666666667</v>
          </cell>
        </row>
        <row r="6156">
          <cell r="A6156">
            <v>1500003831</v>
          </cell>
          <cell r="B6156">
            <v>0</v>
          </cell>
        </row>
        <row r="6157">
          <cell r="A6157">
            <v>1500002187</v>
          </cell>
          <cell r="B6157">
            <v>0</v>
          </cell>
        </row>
        <row r="6158">
          <cell r="A6158">
            <v>1500011714</v>
          </cell>
          <cell r="B6158">
            <v>0</v>
          </cell>
        </row>
        <row r="6159">
          <cell r="A6159">
            <v>1500004600</v>
          </cell>
          <cell r="B6159">
            <v>0</v>
          </cell>
        </row>
        <row r="6160">
          <cell r="A6160">
            <v>1500002774</v>
          </cell>
          <cell r="B6160">
            <v>18.4166666666667</v>
          </cell>
        </row>
        <row r="6161">
          <cell r="A6161">
            <v>1500004676</v>
          </cell>
          <cell r="B6161">
            <v>13.4166666666667</v>
          </cell>
        </row>
        <row r="6162">
          <cell r="A6162">
            <v>1500002908</v>
          </cell>
          <cell r="B6162">
            <v>0</v>
          </cell>
        </row>
        <row r="6163">
          <cell r="A6163">
            <v>1500004823</v>
          </cell>
          <cell r="B6163">
            <v>0</v>
          </cell>
        </row>
        <row r="6164">
          <cell r="A6164">
            <v>1500005309</v>
          </cell>
          <cell r="B6164">
            <v>54.8333333333333</v>
          </cell>
        </row>
        <row r="6165">
          <cell r="A6165">
            <v>1500002421</v>
          </cell>
          <cell r="B6165">
            <v>0</v>
          </cell>
        </row>
        <row r="6166">
          <cell r="A6166">
            <v>1500004824</v>
          </cell>
          <cell r="B6166">
            <v>0</v>
          </cell>
        </row>
        <row r="6167">
          <cell r="A6167">
            <v>1500003926</v>
          </cell>
          <cell r="B6167">
            <v>0</v>
          </cell>
        </row>
        <row r="6168">
          <cell r="A6168">
            <v>1500002918</v>
          </cell>
          <cell r="B6168">
            <v>9.1666666666666696</v>
          </cell>
        </row>
        <row r="6169">
          <cell r="A6169">
            <v>1500005074</v>
          </cell>
          <cell r="B6169">
            <v>17.5</v>
          </cell>
        </row>
        <row r="6170">
          <cell r="A6170">
            <v>1500002634</v>
          </cell>
          <cell r="B6170">
            <v>0</v>
          </cell>
        </row>
        <row r="6171">
          <cell r="A6171">
            <v>1500005626</v>
          </cell>
          <cell r="B6171">
            <v>62.0833333333333</v>
          </cell>
        </row>
        <row r="6172">
          <cell r="A6172">
            <v>1500004389</v>
          </cell>
          <cell r="B6172">
            <v>0</v>
          </cell>
        </row>
        <row r="6173">
          <cell r="A6173">
            <v>1500002900</v>
          </cell>
          <cell r="B6173">
            <v>0</v>
          </cell>
        </row>
        <row r="6174">
          <cell r="A6174">
            <v>1500005934</v>
          </cell>
          <cell r="B6174">
            <v>0</v>
          </cell>
        </row>
        <row r="6175">
          <cell r="A6175">
            <v>1500001743</v>
          </cell>
          <cell r="B6175">
            <v>0.41666666666666702</v>
          </cell>
        </row>
        <row r="6176">
          <cell r="A6176">
            <v>1500003169</v>
          </cell>
          <cell r="B6176">
            <v>3.75</v>
          </cell>
        </row>
        <row r="6177">
          <cell r="A6177">
            <v>1500004881</v>
          </cell>
          <cell r="B6177">
            <v>11.75</v>
          </cell>
        </row>
        <row r="6178">
          <cell r="A6178">
            <v>1500003170</v>
          </cell>
          <cell r="B6178">
            <v>0</v>
          </cell>
        </row>
        <row r="6179">
          <cell r="A6179">
            <v>1500003773</v>
          </cell>
          <cell r="B6179">
            <v>0</v>
          </cell>
        </row>
        <row r="6180">
          <cell r="A6180">
            <v>1500003774</v>
          </cell>
          <cell r="B6180">
            <v>20.0833333333333</v>
          </cell>
        </row>
        <row r="6181">
          <cell r="A6181">
            <v>1500004033</v>
          </cell>
          <cell r="B6181">
            <v>56.883333333333297</v>
          </cell>
        </row>
        <row r="6182">
          <cell r="A6182">
            <v>1500003333</v>
          </cell>
          <cell r="B6182">
            <v>16.5833333333333</v>
          </cell>
        </row>
        <row r="6183">
          <cell r="A6183">
            <v>1500002456</v>
          </cell>
          <cell r="B6183">
            <v>7.9166666666666696</v>
          </cell>
        </row>
        <row r="6184">
          <cell r="A6184">
            <v>1500002132</v>
          </cell>
          <cell r="B6184">
            <v>0</v>
          </cell>
        </row>
        <row r="6185">
          <cell r="A6185">
            <v>1500005980</v>
          </cell>
          <cell r="B6185">
            <v>0</v>
          </cell>
        </row>
        <row r="6186">
          <cell r="A6186">
            <v>1500005973</v>
          </cell>
          <cell r="B6186">
            <v>38.3333333333333</v>
          </cell>
        </row>
        <row r="6187">
          <cell r="A6187">
            <v>1500002901</v>
          </cell>
          <cell r="B6187">
            <v>0</v>
          </cell>
        </row>
        <row r="6188">
          <cell r="A6188">
            <v>1500004147</v>
          </cell>
          <cell r="B6188">
            <v>70.8333333333333</v>
          </cell>
        </row>
        <row r="6189">
          <cell r="A6189">
            <v>1500004148</v>
          </cell>
          <cell r="B6189">
            <v>38.75</v>
          </cell>
        </row>
        <row r="6190">
          <cell r="A6190">
            <v>1500005770</v>
          </cell>
          <cell r="B6190">
            <v>0</v>
          </cell>
        </row>
        <row r="6191">
          <cell r="A6191">
            <v>1500003495</v>
          </cell>
          <cell r="B6191">
            <v>2.9166666666666701</v>
          </cell>
        </row>
        <row r="6192">
          <cell r="A6192">
            <v>1500004567</v>
          </cell>
          <cell r="B6192">
            <v>87.5</v>
          </cell>
        </row>
        <row r="6193">
          <cell r="A6193">
            <v>1500005935</v>
          </cell>
          <cell r="B6193">
            <v>15.1666666666667</v>
          </cell>
        </row>
        <row r="6194">
          <cell r="A6194">
            <v>1500003628</v>
          </cell>
          <cell r="B6194">
            <v>0</v>
          </cell>
        </row>
        <row r="6195">
          <cell r="A6195">
            <v>1500005920</v>
          </cell>
          <cell r="B6195">
            <v>18.8333333333333</v>
          </cell>
        </row>
        <row r="6196">
          <cell r="A6196">
            <v>1500003894</v>
          </cell>
          <cell r="B6196">
            <v>9.75</v>
          </cell>
        </row>
        <row r="6197">
          <cell r="A6197">
            <v>1500003637</v>
          </cell>
          <cell r="B6197">
            <v>11.8333333333333</v>
          </cell>
        </row>
        <row r="6198">
          <cell r="A6198">
            <v>1500003435</v>
          </cell>
          <cell r="B6198">
            <v>4.1666666666666696</v>
          </cell>
        </row>
        <row r="6199">
          <cell r="A6199">
            <v>1500003579</v>
          </cell>
          <cell r="B6199">
            <v>16.6666666666667</v>
          </cell>
        </row>
        <row r="6200">
          <cell r="A6200">
            <v>1500005991</v>
          </cell>
          <cell r="B6200">
            <v>0</v>
          </cell>
        </row>
        <row r="6201">
          <cell r="A6201">
            <v>1500005539</v>
          </cell>
          <cell r="B6201">
            <v>21.6666666666667</v>
          </cell>
        </row>
        <row r="6202">
          <cell r="A6202">
            <v>1500002648</v>
          </cell>
          <cell r="B6202">
            <v>0</v>
          </cell>
        </row>
        <row r="6203">
          <cell r="A6203">
            <v>1500003832</v>
          </cell>
          <cell r="B6203">
            <v>20</v>
          </cell>
        </row>
        <row r="6204">
          <cell r="A6204">
            <v>1500003854</v>
          </cell>
          <cell r="B6204">
            <v>0</v>
          </cell>
        </row>
        <row r="6205">
          <cell r="A6205">
            <v>1500005610</v>
          </cell>
          <cell r="B6205">
            <v>0</v>
          </cell>
        </row>
        <row r="6206">
          <cell r="A6206">
            <v>1500004579</v>
          </cell>
          <cell r="B6206">
            <v>0</v>
          </cell>
        </row>
        <row r="6207">
          <cell r="A6207">
            <v>1500004580</v>
          </cell>
          <cell r="B6207">
            <v>22.6666666666667</v>
          </cell>
        </row>
        <row r="6208">
          <cell r="A6208">
            <v>1500004581</v>
          </cell>
          <cell r="B6208">
            <v>0</v>
          </cell>
        </row>
        <row r="6209">
          <cell r="A6209">
            <v>1500005801</v>
          </cell>
          <cell r="B6209">
            <v>7.5833333333333304</v>
          </cell>
        </row>
        <row r="6210">
          <cell r="A6210">
            <v>1500005992</v>
          </cell>
          <cell r="B6210">
            <v>0</v>
          </cell>
        </row>
        <row r="6211">
          <cell r="A6211">
            <v>1500003974</v>
          </cell>
          <cell r="B6211">
            <v>0</v>
          </cell>
        </row>
        <row r="6212">
          <cell r="A6212">
            <v>1500005962</v>
          </cell>
          <cell r="B6212">
            <v>23.25</v>
          </cell>
        </row>
        <row r="6213">
          <cell r="A6213">
            <v>1500003738</v>
          </cell>
          <cell r="B6213">
            <v>0</v>
          </cell>
        </row>
        <row r="6214">
          <cell r="A6214">
            <v>1500004946</v>
          </cell>
          <cell r="B6214">
            <v>26.25</v>
          </cell>
        </row>
        <row r="6215">
          <cell r="A6215">
            <v>1500004034</v>
          </cell>
          <cell r="B6215">
            <v>161.86666666666699</v>
          </cell>
        </row>
        <row r="6216">
          <cell r="A6216">
            <v>1500004052</v>
          </cell>
          <cell r="B6216">
            <v>82.5833333333333</v>
          </cell>
        </row>
        <row r="6217">
          <cell r="A6217">
            <v>1500005495</v>
          </cell>
          <cell r="B6217">
            <v>11.5</v>
          </cell>
        </row>
        <row r="6218">
          <cell r="A6218">
            <v>1500005867</v>
          </cell>
          <cell r="B6218">
            <v>19.1666666666667</v>
          </cell>
        </row>
        <row r="6219">
          <cell r="A6219">
            <v>1500002034</v>
          </cell>
          <cell r="B6219">
            <v>115.333333333333</v>
          </cell>
        </row>
        <row r="6220">
          <cell r="A6220">
            <v>1500004716</v>
          </cell>
          <cell r="B6220">
            <v>18.1666666666667</v>
          </cell>
        </row>
        <row r="6221">
          <cell r="A6221">
            <v>1500004717</v>
          </cell>
          <cell r="B6221">
            <v>30.1666666666667</v>
          </cell>
        </row>
        <row r="6222">
          <cell r="A6222">
            <v>1500004718</v>
          </cell>
          <cell r="B6222">
            <v>42.058333333333302</v>
          </cell>
        </row>
        <row r="6223">
          <cell r="A6223">
            <v>1500005838</v>
          </cell>
          <cell r="B6223">
            <v>88.1666666666667</v>
          </cell>
        </row>
        <row r="6224">
          <cell r="A6224">
            <v>1500003374</v>
          </cell>
          <cell r="B6224">
            <v>16.9166666666667</v>
          </cell>
        </row>
        <row r="6225">
          <cell r="A6225">
            <v>1500003073</v>
          </cell>
          <cell r="B6225">
            <v>69.1666666666667</v>
          </cell>
        </row>
        <row r="6226">
          <cell r="A6226">
            <v>1500005463</v>
          </cell>
          <cell r="B6226">
            <v>52.4166666666667</v>
          </cell>
        </row>
        <row r="6227">
          <cell r="A6227">
            <v>1500003375</v>
          </cell>
          <cell r="B6227">
            <v>52.5</v>
          </cell>
        </row>
        <row r="6228">
          <cell r="A6228">
            <v>1500002352</v>
          </cell>
          <cell r="B6228">
            <v>30</v>
          </cell>
        </row>
        <row r="6229">
          <cell r="A6229">
            <v>1500002353</v>
          </cell>
          <cell r="B6229">
            <v>74</v>
          </cell>
        </row>
        <row r="6230">
          <cell r="A6230">
            <v>1500004337</v>
          </cell>
          <cell r="B6230">
            <v>2.3333333333333299</v>
          </cell>
        </row>
        <row r="6231">
          <cell r="A6231">
            <v>1500004642</v>
          </cell>
          <cell r="B6231">
            <v>0</v>
          </cell>
        </row>
        <row r="6232">
          <cell r="A6232">
            <v>1500002775</v>
          </cell>
          <cell r="B6232">
            <v>0</v>
          </cell>
        </row>
        <row r="6233">
          <cell r="A6233">
            <v>1500003310</v>
          </cell>
          <cell r="B6233">
            <v>22.9166666666667</v>
          </cell>
        </row>
        <row r="6234">
          <cell r="A6234">
            <v>1500002938</v>
          </cell>
          <cell r="B6234">
            <v>2.5</v>
          </cell>
        </row>
        <row r="6235">
          <cell r="A6235">
            <v>1500003975</v>
          </cell>
          <cell r="B6235">
            <v>0</v>
          </cell>
        </row>
        <row r="6236">
          <cell r="A6236">
            <v>1500002283</v>
          </cell>
          <cell r="B6236">
            <v>13.5</v>
          </cell>
        </row>
        <row r="6237">
          <cell r="A6237">
            <v>1500002457</v>
          </cell>
          <cell r="B6237">
            <v>5.5</v>
          </cell>
        </row>
        <row r="6238">
          <cell r="A6238">
            <v>1500002763</v>
          </cell>
          <cell r="B6238">
            <v>6.9166666666666696</v>
          </cell>
        </row>
        <row r="6239">
          <cell r="A6239">
            <v>1500003804</v>
          </cell>
          <cell r="B6239">
            <v>24.0833333333333</v>
          </cell>
        </row>
        <row r="6240">
          <cell r="A6240">
            <v>1500004768</v>
          </cell>
          <cell r="B6240">
            <v>10.1666666666667</v>
          </cell>
        </row>
        <row r="6241">
          <cell r="A6241">
            <v>1500003383</v>
          </cell>
          <cell r="B6241">
            <v>13.25</v>
          </cell>
        </row>
        <row r="6242">
          <cell r="A6242">
            <v>1500004056</v>
          </cell>
          <cell r="B6242">
            <v>11.0833333333333</v>
          </cell>
        </row>
        <row r="6243">
          <cell r="A6243">
            <v>1500003054</v>
          </cell>
          <cell r="B6243">
            <v>64.125</v>
          </cell>
        </row>
        <row r="6244">
          <cell r="A6244">
            <v>1500002293</v>
          </cell>
          <cell r="B6244">
            <v>43</v>
          </cell>
        </row>
        <row r="6245">
          <cell r="A6245">
            <v>1500005577</v>
          </cell>
          <cell r="B6245">
            <v>86.4166666666667</v>
          </cell>
        </row>
        <row r="6246">
          <cell r="A6246">
            <v>1500005560</v>
          </cell>
          <cell r="B6246">
            <v>58.0833333333333</v>
          </cell>
        </row>
        <row r="6247">
          <cell r="A6247">
            <v>1500003638</v>
          </cell>
          <cell r="B6247">
            <v>32.6666666666667</v>
          </cell>
        </row>
        <row r="6248">
          <cell r="A6248">
            <v>1500001778</v>
          </cell>
          <cell r="B6248">
            <v>8.0833333333333304</v>
          </cell>
        </row>
        <row r="6249">
          <cell r="A6249">
            <v>1500002907</v>
          </cell>
          <cell r="B6249">
            <v>0</v>
          </cell>
        </row>
        <row r="6250">
          <cell r="A6250">
            <v>1500003859</v>
          </cell>
          <cell r="B6250">
            <v>19</v>
          </cell>
        </row>
        <row r="6251">
          <cell r="A6251">
            <v>1500005310</v>
          </cell>
          <cell r="B6251">
            <v>58.3333333333333</v>
          </cell>
        </row>
        <row r="6252">
          <cell r="A6252">
            <v>1500003580</v>
          </cell>
          <cell r="B6252">
            <v>0</v>
          </cell>
        </row>
        <row r="6253">
          <cell r="A6253">
            <v>1500006181</v>
          </cell>
          <cell r="B6253">
            <v>0</v>
          </cell>
        </row>
        <row r="6254">
          <cell r="A6254">
            <v>1500002051</v>
          </cell>
          <cell r="B6254">
            <v>15.5</v>
          </cell>
        </row>
        <row r="6255">
          <cell r="A6255">
            <v>1500002193</v>
          </cell>
          <cell r="B6255">
            <v>25.1666666666667</v>
          </cell>
        </row>
        <row r="6256">
          <cell r="A6256">
            <v>1500005519</v>
          </cell>
          <cell r="B6256">
            <v>0</v>
          </cell>
        </row>
        <row r="6257">
          <cell r="A6257">
            <v>1500005966</v>
          </cell>
          <cell r="B6257">
            <v>0</v>
          </cell>
        </row>
        <row r="6258">
          <cell r="A6258">
            <v>1500002530</v>
          </cell>
          <cell r="B6258">
            <v>54.875</v>
          </cell>
        </row>
        <row r="6259">
          <cell r="A6259">
            <v>1500002458</v>
          </cell>
          <cell r="B6259">
            <v>44.75</v>
          </cell>
        </row>
        <row r="6260">
          <cell r="A6260">
            <v>1500002459</v>
          </cell>
          <cell r="B6260">
            <v>0</v>
          </cell>
        </row>
        <row r="6261">
          <cell r="A6261">
            <v>1500004297</v>
          </cell>
          <cell r="B6261">
            <v>1.8333333333333299</v>
          </cell>
        </row>
        <row r="6262">
          <cell r="A6262">
            <v>1500002067</v>
          </cell>
          <cell r="B6262">
            <v>2.0833333333333299</v>
          </cell>
        </row>
        <row r="6263">
          <cell r="A6263">
            <v>1500004919</v>
          </cell>
          <cell r="B6263">
            <v>0</v>
          </cell>
        </row>
        <row r="6264">
          <cell r="A6264">
            <v>1500005963</v>
          </cell>
          <cell r="B6264">
            <v>21.8333333333333</v>
          </cell>
        </row>
        <row r="6265">
          <cell r="A6265">
            <v>1500004920</v>
          </cell>
          <cell r="B6265">
            <v>10.8333333333333</v>
          </cell>
        </row>
        <row r="6266">
          <cell r="A6266">
            <v>1500005823</v>
          </cell>
          <cell r="B6266">
            <v>0.66666666666666696</v>
          </cell>
        </row>
        <row r="6267">
          <cell r="A6267">
            <v>1500002485</v>
          </cell>
          <cell r="B6267">
            <v>0</v>
          </cell>
        </row>
        <row r="6268">
          <cell r="A6268">
            <v>1500002486</v>
          </cell>
          <cell r="B6268">
            <v>0</v>
          </cell>
        </row>
        <row r="6269">
          <cell r="A6269">
            <v>1500005445</v>
          </cell>
          <cell r="B6269">
            <v>18.0416666666667</v>
          </cell>
        </row>
        <row r="6270">
          <cell r="A6270">
            <v>1500003075</v>
          </cell>
          <cell r="B6270">
            <v>0</v>
          </cell>
        </row>
        <row r="6271">
          <cell r="A6271">
            <v>1500003568</v>
          </cell>
          <cell r="B6271">
            <v>10</v>
          </cell>
        </row>
        <row r="6272">
          <cell r="A6272">
            <v>1500003446</v>
          </cell>
          <cell r="B6272">
            <v>2.0833333333333299</v>
          </cell>
        </row>
        <row r="6273">
          <cell r="A6273">
            <v>1500003447</v>
          </cell>
          <cell r="B6273">
            <v>32.6666666666667</v>
          </cell>
        </row>
        <row r="6274">
          <cell r="A6274">
            <v>1500002386</v>
          </cell>
          <cell r="B6274">
            <v>13</v>
          </cell>
        </row>
        <row r="6275">
          <cell r="A6275">
            <v>1500005203</v>
          </cell>
          <cell r="B6275">
            <v>45.4166666666667</v>
          </cell>
        </row>
        <row r="6276">
          <cell r="A6276">
            <v>1500002409</v>
          </cell>
          <cell r="B6276">
            <v>40.1666666666667</v>
          </cell>
        </row>
        <row r="6277">
          <cell r="A6277">
            <v>1500003334</v>
          </cell>
          <cell r="B6277">
            <v>41.9166666666667</v>
          </cell>
        </row>
        <row r="6278">
          <cell r="A6278">
            <v>1500003717</v>
          </cell>
          <cell r="B6278">
            <v>5.5833333333333304</v>
          </cell>
        </row>
        <row r="6279">
          <cell r="A6279">
            <v>1500001764</v>
          </cell>
          <cell r="B6279">
            <v>7.3333333333333304</v>
          </cell>
        </row>
        <row r="6280">
          <cell r="A6280">
            <v>1500005563</v>
          </cell>
          <cell r="B6280">
            <v>8.1666666666666696</v>
          </cell>
        </row>
        <row r="6281">
          <cell r="A6281">
            <v>1500005520</v>
          </cell>
          <cell r="B6281">
            <v>0</v>
          </cell>
        </row>
        <row r="6282">
          <cell r="A6282">
            <v>1500003563</v>
          </cell>
          <cell r="B6282">
            <v>22.7</v>
          </cell>
        </row>
        <row r="6283">
          <cell r="A6283">
            <v>1500003476</v>
          </cell>
          <cell r="B6283">
            <v>28.5</v>
          </cell>
        </row>
        <row r="6284">
          <cell r="A6284">
            <v>1500002010</v>
          </cell>
          <cell r="B6284">
            <v>0</v>
          </cell>
        </row>
        <row r="6285">
          <cell r="A6285">
            <v>1500003121</v>
          </cell>
          <cell r="B6285">
            <v>13.6666666666667</v>
          </cell>
        </row>
        <row r="6286">
          <cell r="A6286">
            <v>1500003122</v>
          </cell>
          <cell r="B6286">
            <v>77.0833333333333</v>
          </cell>
        </row>
        <row r="6287">
          <cell r="A6287">
            <v>1500002294</v>
          </cell>
          <cell r="B6287">
            <v>4.1666666666666696</v>
          </cell>
        </row>
        <row r="6288">
          <cell r="A6288">
            <v>1500005549</v>
          </cell>
          <cell r="B6288">
            <v>53.75</v>
          </cell>
        </row>
        <row r="6289">
          <cell r="A6289">
            <v>1500004274</v>
          </cell>
          <cell r="B6289">
            <v>26.6666666666667</v>
          </cell>
        </row>
        <row r="6290">
          <cell r="A6290">
            <v>1500004275</v>
          </cell>
          <cell r="B6290">
            <v>0</v>
          </cell>
        </row>
        <row r="6291">
          <cell r="A6291">
            <v>1500004276</v>
          </cell>
          <cell r="B6291">
            <v>9.1666666666666696</v>
          </cell>
        </row>
        <row r="6292">
          <cell r="A6292">
            <v>1500005464</v>
          </cell>
          <cell r="B6292">
            <v>7.9166666666666696</v>
          </cell>
        </row>
        <row r="6293">
          <cell r="A6293">
            <v>1500002410</v>
          </cell>
          <cell r="B6293">
            <v>28.3333333333333</v>
          </cell>
        </row>
        <row r="6294">
          <cell r="A6294">
            <v>1500002697</v>
          </cell>
          <cell r="B6294">
            <v>32.9166666666667</v>
          </cell>
        </row>
        <row r="6295">
          <cell r="A6295">
            <v>1500002672</v>
          </cell>
          <cell r="B6295">
            <v>33.1666666666667</v>
          </cell>
        </row>
        <row r="6296">
          <cell r="A6296">
            <v>1500003498</v>
          </cell>
          <cell r="B6296">
            <v>17.5833333333333</v>
          </cell>
        </row>
        <row r="6297">
          <cell r="A6297">
            <v>1500005465</v>
          </cell>
          <cell r="B6297">
            <v>0</v>
          </cell>
        </row>
        <row r="6298">
          <cell r="A6298">
            <v>1500002674</v>
          </cell>
          <cell r="B6298">
            <v>0</v>
          </cell>
        </row>
        <row r="6299">
          <cell r="A6299">
            <v>1500001976</v>
          </cell>
          <cell r="B6299">
            <v>31.6666666666667</v>
          </cell>
        </row>
        <row r="6300">
          <cell r="A6300">
            <v>1500001977</v>
          </cell>
          <cell r="B6300">
            <v>43.058333333333302</v>
          </cell>
        </row>
        <row r="6301">
          <cell r="A6301">
            <v>1500005204</v>
          </cell>
          <cell r="B6301">
            <v>3.75</v>
          </cell>
        </row>
        <row r="6302">
          <cell r="A6302">
            <v>1500003805</v>
          </cell>
          <cell r="B6302">
            <v>0</v>
          </cell>
        </row>
        <row r="6303">
          <cell r="A6303">
            <v>1500004564</v>
          </cell>
          <cell r="B6303">
            <v>20.8333333333333</v>
          </cell>
        </row>
        <row r="6304">
          <cell r="A6304">
            <v>1500004540</v>
          </cell>
          <cell r="B6304">
            <v>77.0833333333333</v>
          </cell>
        </row>
        <row r="6305">
          <cell r="A6305">
            <v>1500002354</v>
          </cell>
          <cell r="B6305">
            <v>41.9166666666667</v>
          </cell>
        </row>
        <row r="6306">
          <cell r="A6306">
            <v>1500002658</v>
          </cell>
          <cell r="B6306">
            <v>28.875</v>
          </cell>
        </row>
        <row r="6307">
          <cell r="A6307">
            <v>1500003631</v>
          </cell>
          <cell r="B6307">
            <v>128.666666666667</v>
          </cell>
        </row>
        <row r="6308">
          <cell r="A6308">
            <v>1500004572</v>
          </cell>
          <cell r="B6308">
            <v>0</v>
          </cell>
        </row>
        <row r="6309">
          <cell r="A6309">
            <v>1500003775</v>
          </cell>
          <cell r="B6309">
            <v>12.6666666666667</v>
          </cell>
        </row>
        <row r="6310">
          <cell r="A6310">
            <v>1500003311</v>
          </cell>
          <cell r="B6310">
            <v>0</v>
          </cell>
        </row>
        <row r="6311">
          <cell r="A6311">
            <v>1500002857</v>
          </cell>
          <cell r="B6311">
            <v>0</v>
          </cell>
        </row>
        <row r="6312">
          <cell r="A6312">
            <v>1500003639</v>
          </cell>
          <cell r="B6312">
            <v>13.3333333333333</v>
          </cell>
        </row>
        <row r="6313">
          <cell r="A6313">
            <v>1500005724</v>
          </cell>
          <cell r="B6313">
            <v>0</v>
          </cell>
        </row>
        <row r="6314">
          <cell r="A6314">
            <v>1500002563</v>
          </cell>
          <cell r="B6314">
            <v>7.2</v>
          </cell>
        </row>
        <row r="6315">
          <cell r="A6315">
            <v>1500002564</v>
          </cell>
          <cell r="B6315">
            <v>2.5</v>
          </cell>
        </row>
        <row r="6316">
          <cell r="A6316">
            <v>1500002565</v>
          </cell>
          <cell r="B6316">
            <v>9.5749999999999993</v>
          </cell>
        </row>
        <row r="6317">
          <cell r="A6317">
            <v>1500003001</v>
          </cell>
          <cell r="B6317">
            <v>0</v>
          </cell>
        </row>
        <row r="6318">
          <cell r="A6318">
            <v>1500002346</v>
          </cell>
          <cell r="B6318">
            <v>13.4166666666667</v>
          </cell>
        </row>
        <row r="6319">
          <cell r="A6319">
            <v>1500004947</v>
          </cell>
          <cell r="B6319">
            <v>0</v>
          </cell>
        </row>
        <row r="6320">
          <cell r="A6320">
            <v>1500004948</v>
          </cell>
          <cell r="B6320">
            <v>16.5</v>
          </cell>
        </row>
        <row r="6321">
          <cell r="A6321">
            <v>1500002338</v>
          </cell>
          <cell r="B6321">
            <v>0</v>
          </cell>
        </row>
        <row r="6322">
          <cell r="A6322">
            <v>1500004100</v>
          </cell>
          <cell r="B6322">
            <v>14</v>
          </cell>
        </row>
        <row r="6323">
          <cell r="A6323">
            <v>1500002237</v>
          </cell>
          <cell r="B6323">
            <v>0</v>
          </cell>
        </row>
        <row r="6324">
          <cell r="A6324">
            <v>1500005936</v>
          </cell>
          <cell r="B6324">
            <v>0</v>
          </cell>
        </row>
        <row r="6325">
          <cell r="A6325">
            <v>1500006152</v>
          </cell>
          <cell r="B6325">
            <v>20.0833333333333</v>
          </cell>
        </row>
        <row r="6326">
          <cell r="A6326">
            <v>1500002150</v>
          </cell>
          <cell r="B6326">
            <v>8.75</v>
          </cell>
        </row>
        <row r="6327">
          <cell r="A6327">
            <v>1500005893</v>
          </cell>
          <cell r="B6327">
            <v>0</v>
          </cell>
        </row>
        <row r="6328">
          <cell r="A6328">
            <v>1500003448</v>
          </cell>
          <cell r="B6328">
            <v>161.416666666667</v>
          </cell>
        </row>
        <row r="6329">
          <cell r="A6329">
            <v>1500003449</v>
          </cell>
          <cell r="B6329">
            <v>38.5</v>
          </cell>
        </row>
        <row r="6330">
          <cell r="A6330">
            <v>1500002387</v>
          </cell>
          <cell r="B6330">
            <v>25</v>
          </cell>
        </row>
        <row r="6331">
          <cell r="A6331">
            <v>1500005033</v>
          </cell>
          <cell r="B6331">
            <v>26.4166666666667</v>
          </cell>
        </row>
        <row r="6332">
          <cell r="A6332">
            <v>1500004719</v>
          </cell>
          <cell r="B6332">
            <v>23.8333333333333</v>
          </cell>
        </row>
        <row r="6333">
          <cell r="A6333">
            <v>1500004720</v>
          </cell>
          <cell r="B6333">
            <v>44.5</v>
          </cell>
        </row>
        <row r="6334">
          <cell r="A6334">
            <v>1500003806</v>
          </cell>
          <cell r="B6334">
            <v>26.6666666666667</v>
          </cell>
        </row>
        <row r="6335">
          <cell r="A6335">
            <v>1500005276</v>
          </cell>
          <cell r="B6335">
            <v>120.441666666667</v>
          </cell>
        </row>
        <row r="6336">
          <cell r="A6336">
            <v>1500004149</v>
          </cell>
          <cell r="B6336">
            <v>0</v>
          </cell>
        </row>
        <row r="6337">
          <cell r="A6337">
            <v>1500003335</v>
          </cell>
          <cell r="B6337">
            <v>5.4166666666666696</v>
          </cell>
        </row>
        <row r="6338">
          <cell r="A6338">
            <v>1500003336</v>
          </cell>
          <cell r="B6338">
            <v>26.4166666666667</v>
          </cell>
        </row>
        <row r="6339">
          <cell r="A6339">
            <v>1500003040</v>
          </cell>
          <cell r="B6339">
            <v>0</v>
          </cell>
        </row>
        <row r="6340">
          <cell r="A6340">
            <v>1500005438</v>
          </cell>
          <cell r="B6340">
            <v>36.258333333333297</v>
          </cell>
        </row>
        <row r="6341">
          <cell r="A6341">
            <v>1500003424</v>
          </cell>
          <cell r="B6341">
            <v>47.891666666666701</v>
          </cell>
        </row>
        <row r="6342">
          <cell r="A6342">
            <v>1500005057</v>
          </cell>
          <cell r="B6342">
            <v>0</v>
          </cell>
        </row>
        <row r="6343">
          <cell r="A6343">
            <v>1500002536</v>
          </cell>
          <cell r="B6343">
            <v>104.716666666667</v>
          </cell>
        </row>
        <row r="6344">
          <cell r="A6344">
            <v>1500003843</v>
          </cell>
          <cell r="B6344">
            <v>0</v>
          </cell>
        </row>
        <row r="6345">
          <cell r="A6345">
            <v>1500004486</v>
          </cell>
          <cell r="B6345">
            <v>2.5</v>
          </cell>
        </row>
        <row r="6346">
          <cell r="A6346">
            <v>1500004309</v>
          </cell>
          <cell r="B6346">
            <v>1.75</v>
          </cell>
        </row>
        <row r="6347">
          <cell r="A6347">
            <v>1500004079</v>
          </cell>
          <cell r="B6347">
            <v>70.391666666666694</v>
          </cell>
        </row>
        <row r="6348">
          <cell r="A6348">
            <v>1500004402</v>
          </cell>
          <cell r="B6348">
            <v>59.091666666666697</v>
          </cell>
        </row>
        <row r="6349">
          <cell r="A6349">
            <v>1500003384</v>
          </cell>
          <cell r="B6349">
            <v>4.4166666666666696</v>
          </cell>
        </row>
        <row r="6350">
          <cell r="A6350">
            <v>1500003385</v>
          </cell>
          <cell r="B6350">
            <v>0</v>
          </cell>
        </row>
        <row r="6351">
          <cell r="A6351">
            <v>1500004302</v>
          </cell>
          <cell r="B6351">
            <v>4.3333333333333304</v>
          </cell>
        </row>
        <row r="6352">
          <cell r="A6352">
            <v>1500003425</v>
          </cell>
          <cell r="B6352">
            <v>0</v>
          </cell>
        </row>
        <row r="6353">
          <cell r="A6353">
            <v>1500004643</v>
          </cell>
          <cell r="B6353">
            <v>2.0833333333333299</v>
          </cell>
        </row>
        <row r="6354">
          <cell r="A6354">
            <v>1500003342</v>
          </cell>
          <cell r="B6354">
            <v>6.4166666666666696</v>
          </cell>
        </row>
        <row r="6355">
          <cell r="A6355">
            <v>1500004403</v>
          </cell>
          <cell r="B6355">
            <v>0</v>
          </cell>
        </row>
        <row r="6356">
          <cell r="A6356">
            <v>1500003343</v>
          </cell>
          <cell r="B6356">
            <v>44.475000000000001</v>
          </cell>
        </row>
        <row r="6357">
          <cell r="A6357">
            <v>1500003386</v>
          </cell>
          <cell r="B6357">
            <v>16.75</v>
          </cell>
        </row>
        <row r="6358">
          <cell r="A6358">
            <v>1500002675</v>
          </cell>
          <cell r="B6358">
            <v>0</v>
          </cell>
        </row>
        <row r="6359">
          <cell r="A6359">
            <v>1500003477</v>
          </cell>
          <cell r="B6359">
            <v>79.6666666666667</v>
          </cell>
        </row>
        <row r="6360">
          <cell r="A6360">
            <v>1500002698</v>
          </cell>
          <cell r="B6360">
            <v>10.5833333333333</v>
          </cell>
        </row>
        <row r="6361">
          <cell r="A6361">
            <v>1500002676</v>
          </cell>
          <cell r="B6361">
            <v>0</v>
          </cell>
        </row>
        <row r="6362">
          <cell r="A6362">
            <v>1500004541</v>
          </cell>
          <cell r="B6362">
            <v>32</v>
          </cell>
        </row>
        <row r="6363">
          <cell r="A6363">
            <v>1500004582</v>
          </cell>
          <cell r="B6363">
            <v>14.1666666666667</v>
          </cell>
        </row>
        <row r="6364">
          <cell r="A6364">
            <v>1500005726</v>
          </cell>
          <cell r="B6364">
            <v>33.0416666666667</v>
          </cell>
        </row>
        <row r="6365">
          <cell r="A6365">
            <v>1500002295</v>
          </cell>
          <cell r="B6365">
            <v>0</v>
          </cell>
        </row>
        <row r="6366">
          <cell r="A6366">
            <v>1500005077</v>
          </cell>
          <cell r="B6366">
            <v>16.5</v>
          </cell>
        </row>
        <row r="6367">
          <cell r="A6367">
            <v>1500001765</v>
          </cell>
          <cell r="B6367">
            <v>21.25</v>
          </cell>
        </row>
        <row r="6368">
          <cell r="A6368">
            <v>1500004381</v>
          </cell>
          <cell r="B6368">
            <v>0</v>
          </cell>
        </row>
        <row r="6369">
          <cell r="A6369">
            <v>1500004338</v>
          </cell>
          <cell r="B6369">
            <v>0</v>
          </cell>
        </row>
        <row r="6370">
          <cell r="A6370">
            <v>1500003581</v>
          </cell>
          <cell r="B6370">
            <v>0</v>
          </cell>
        </row>
        <row r="6371">
          <cell r="A6371">
            <v>1500003583</v>
          </cell>
          <cell r="B6371">
            <v>67.2083333333333</v>
          </cell>
        </row>
        <row r="6372">
          <cell r="A6372">
            <v>1500002542</v>
          </cell>
          <cell r="B6372">
            <v>11.25</v>
          </cell>
        </row>
        <row r="6373">
          <cell r="A6373">
            <v>1500002543</v>
          </cell>
          <cell r="B6373">
            <v>0</v>
          </cell>
        </row>
        <row r="6374">
          <cell r="A6374">
            <v>1500002968</v>
          </cell>
          <cell r="B6374">
            <v>11.6666666666667</v>
          </cell>
        </row>
        <row r="6375">
          <cell r="A6375">
            <v>1500002969</v>
          </cell>
          <cell r="B6375">
            <v>8.3333333333333304</v>
          </cell>
        </row>
        <row r="6376">
          <cell r="A6376">
            <v>1500005627</v>
          </cell>
          <cell r="B6376">
            <v>10</v>
          </cell>
        </row>
        <row r="6377">
          <cell r="A6377">
            <v>1500003956</v>
          </cell>
          <cell r="B6377">
            <v>0</v>
          </cell>
        </row>
        <row r="6378">
          <cell r="A6378">
            <v>1500003564</v>
          </cell>
          <cell r="B6378">
            <v>9.35</v>
          </cell>
        </row>
        <row r="6379">
          <cell r="A6379">
            <v>1500005401</v>
          </cell>
          <cell r="B6379">
            <v>29.1666666666667</v>
          </cell>
        </row>
        <row r="6380">
          <cell r="A6380">
            <v>1500003312</v>
          </cell>
          <cell r="B6380">
            <v>0</v>
          </cell>
        </row>
        <row r="6381">
          <cell r="A6381">
            <v>1500004825</v>
          </cell>
          <cell r="B6381">
            <v>14.6666666666667</v>
          </cell>
        </row>
        <row r="6382">
          <cell r="A6382">
            <v>1500003427</v>
          </cell>
          <cell r="B6382">
            <v>19.3333333333333</v>
          </cell>
        </row>
        <row r="6383">
          <cell r="A6383">
            <v>1500004935</v>
          </cell>
          <cell r="B6383">
            <v>1.6666666666666701</v>
          </cell>
        </row>
        <row r="6384">
          <cell r="A6384">
            <v>1500003450</v>
          </cell>
          <cell r="B6384">
            <v>39.5833333333333</v>
          </cell>
        </row>
        <row r="6385">
          <cell r="A6385">
            <v>1500003451</v>
          </cell>
          <cell r="B6385">
            <v>20</v>
          </cell>
        </row>
        <row r="6386">
          <cell r="A6386">
            <v>1500005402</v>
          </cell>
          <cell r="B6386">
            <v>0</v>
          </cell>
        </row>
        <row r="6387">
          <cell r="A6387">
            <v>1500004303</v>
          </cell>
          <cell r="B6387">
            <v>0</v>
          </cell>
        </row>
        <row r="6388">
          <cell r="A6388">
            <v>1500002068</v>
          </cell>
          <cell r="B6388">
            <v>0</v>
          </cell>
        </row>
        <row r="6389">
          <cell r="A6389">
            <v>1500003527</v>
          </cell>
          <cell r="B6389">
            <v>12.25</v>
          </cell>
        </row>
        <row r="6390">
          <cell r="A6390">
            <v>1500002134</v>
          </cell>
          <cell r="B6390">
            <v>0</v>
          </cell>
        </row>
        <row r="6391">
          <cell r="A6391">
            <v>1500005894</v>
          </cell>
          <cell r="B6391">
            <v>0</v>
          </cell>
        </row>
        <row r="6392">
          <cell r="A6392">
            <v>1500002329</v>
          </cell>
          <cell r="B6392">
            <v>52.4166666666667</v>
          </cell>
        </row>
        <row r="6393">
          <cell r="A6393">
            <v>1500003344</v>
          </cell>
          <cell r="B6393">
            <v>30.5833333333333</v>
          </cell>
        </row>
        <row r="6394">
          <cell r="A6394">
            <v>1500004772</v>
          </cell>
          <cell r="B6394">
            <v>0</v>
          </cell>
        </row>
        <row r="6395">
          <cell r="A6395">
            <v>1500004061</v>
          </cell>
          <cell r="B6395">
            <v>0</v>
          </cell>
        </row>
        <row r="6396">
          <cell r="A6396">
            <v>1500004921</v>
          </cell>
          <cell r="B6396">
            <v>0</v>
          </cell>
        </row>
        <row r="6397">
          <cell r="A6397">
            <v>1500005550</v>
          </cell>
          <cell r="B6397">
            <v>14.5</v>
          </cell>
        </row>
        <row r="6398">
          <cell r="A6398">
            <v>1500003584</v>
          </cell>
          <cell r="B6398">
            <v>35</v>
          </cell>
        </row>
        <row r="6399">
          <cell r="A6399">
            <v>1500002509</v>
          </cell>
          <cell r="B6399">
            <v>99.1666666666667</v>
          </cell>
        </row>
        <row r="6400">
          <cell r="A6400">
            <v>1500003139</v>
          </cell>
          <cell r="B6400">
            <v>5.25</v>
          </cell>
        </row>
        <row r="6401">
          <cell r="A6401">
            <v>1500003140</v>
          </cell>
          <cell r="B6401">
            <v>18.25</v>
          </cell>
        </row>
        <row r="6402">
          <cell r="A6402">
            <v>1500003684</v>
          </cell>
          <cell r="B6402">
            <v>22.6666666666667</v>
          </cell>
        </row>
        <row r="6403">
          <cell r="A6403">
            <v>1500005059</v>
          </cell>
          <cell r="B6403">
            <v>11.9166666666667</v>
          </cell>
        </row>
        <row r="6404">
          <cell r="A6404">
            <v>1500003544</v>
          </cell>
          <cell r="B6404">
            <v>2.5</v>
          </cell>
        </row>
        <row r="6405">
          <cell r="A6405">
            <v>1500005466</v>
          </cell>
          <cell r="B6405">
            <v>0</v>
          </cell>
        </row>
        <row r="6406">
          <cell r="A6406">
            <v>1500003478</v>
          </cell>
          <cell r="B6406">
            <v>23.6666666666667</v>
          </cell>
        </row>
        <row r="6407">
          <cell r="A6407">
            <v>1500002355</v>
          </cell>
          <cell r="B6407">
            <v>1.6666666666666701</v>
          </cell>
        </row>
        <row r="6408">
          <cell r="A6408">
            <v>1500002356</v>
          </cell>
          <cell r="B6408">
            <v>8.3333333333333304</v>
          </cell>
        </row>
        <row r="6409">
          <cell r="A6409">
            <v>1500005447</v>
          </cell>
          <cell r="B6409">
            <v>29.6666666666667</v>
          </cell>
        </row>
        <row r="6410">
          <cell r="A6410">
            <v>1500005448</v>
          </cell>
          <cell r="B6410">
            <v>14.616666666666699</v>
          </cell>
        </row>
        <row r="6411">
          <cell r="A6411">
            <v>1500011760</v>
          </cell>
          <cell r="B6411">
            <v>3.5</v>
          </cell>
        </row>
        <row r="6412">
          <cell r="A6412">
            <v>1500002677</v>
          </cell>
          <cell r="B6412">
            <v>6.1666666666666696</v>
          </cell>
        </row>
        <row r="6413">
          <cell r="A6413">
            <v>1500002678</v>
          </cell>
          <cell r="B6413">
            <v>0</v>
          </cell>
        </row>
        <row r="6414">
          <cell r="A6414">
            <v>1500002679</v>
          </cell>
          <cell r="B6414">
            <v>0</v>
          </cell>
        </row>
        <row r="6415">
          <cell r="A6415">
            <v>1500002680</v>
          </cell>
          <cell r="B6415">
            <v>0</v>
          </cell>
        </row>
        <row r="6416">
          <cell r="A6416">
            <v>1500002700</v>
          </cell>
          <cell r="B6416">
            <v>64.5833333333333</v>
          </cell>
        </row>
        <row r="6417">
          <cell r="A6417">
            <v>1500011718</v>
          </cell>
          <cell r="B6417">
            <v>33.75</v>
          </cell>
        </row>
        <row r="6418">
          <cell r="A6418">
            <v>1500003055</v>
          </cell>
          <cell r="B6418">
            <v>0</v>
          </cell>
        </row>
        <row r="6419">
          <cell r="A6419">
            <v>1500003056</v>
          </cell>
          <cell r="B6419">
            <v>6.4583333333333304</v>
          </cell>
        </row>
        <row r="6420">
          <cell r="A6420">
            <v>1500005469</v>
          </cell>
          <cell r="B6420">
            <v>0</v>
          </cell>
        </row>
        <row r="6421">
          <cell r="A6421">
            <v>1500005472</v>
          </cell>
          <cell r="B6421">
            <v>26.1666666666667</v>
          </cell>
        </row>
        <row r="6422">
          <cell r="A6422">
            <v>1500003077</v>
          </cell>
          <cell r="B6422">
            <v>16</v>
          </cell>
        </row>
        <row r="6423">
          <cell r="A6423">
            <v>1500005473</v>
          </cell>
          <cell r="B6423">
            <v>7.5</v>
          </cell>
        </row>
        <row r="6424">
          <cell r="A6424">
            <v>1500005842</v>
          </cell>
          <cell r="B6424">
            <v>0</v>
          </cell>
        </row>
        <row r="6425">
          <cell r="A6425">
            <v>1500002359</v>
          </cell>
          <cell r="B6425">
            <v>0</v>
          </cell>
        </row>
        <row r="6426">
          <cell r="A6426">
            <v>1500002609</v>
          </cell>
          <cell r="B6426">
            <v>92.491666666666703</v>
          </cell>
        </row>
        <row r="6427">
          <cell r="A6427">
            <v>1500002296</v>
          </cell>
          <cell r="B6427">
            <v>12.0833333333333</v>
          </cell>
        </row>
        <row r="6428">
          <cell r="A6428">
            <v>1500001979</v>
          </cell>
          <cell r="B6428">
            <v>0</v>
          </cell>
        </row>
        <row r="6429">
          <cell r="A6429">
            <v>1500002411</v>
          </cell>
          <cell r="B6429">
            <v>68.9166666666667</v>
          </cell>
        </row>
        <row r="6430">
          <cell r="A6430">
            <v>1500002104</v>
          </cell>
          <cell r="B6430">
            <v>7.9166666666666696</v>
          </cell>
        </row>
        <row r="6431">
          <cell r="A6431">
            <v>1500002105</v>
          </cell>
          <cell r="B6431">
            <v>17.5</v>
          </cell>
        </row>
        <row r="6432">
          <cell r="A6432">
            <v>1500005420</v>
          </cell>
          <cell r="B6432">
            <v>36.25</v>
          </cell>
        </row>
        <row r="6433">
          <cell r="A6433">
            <v>1500004774</v>
          </cell>
          <cell r="B6433">
            <v>6.6666666666666696</v>
          </cell>
        </row>
        <row r="6434">
          <cell r="A6434">
            <v>1500003125</v>
          </cell>
          <cell r="B6434">
            <v>13.4166666666667</v>
          </cell>
        </row>
        <row r="6435">
          <cell r="A6435">
            <v>1500003376</v>
          </cell>
          <cell r="B6435">
            <v>0</v>
          </cell>
        </row>
        <row r="6436">
          <cell r="A6436">
            <v>1500003377</v>
          </cell>
          <cell r="B6436">
            <v>29.6666666666667</v>
          </cell>
        </row>
        <row r="6437">
          <cell r="A6437">
            <v>1500003324</v>
          </cell>
          <cell r="B6437">
            <v>15.4166666666667</v>
          </cell>
        </row>
        <row r="6438">
          <cell r="A6438">
            <v>1500003378</v>
          </cell>
          <cell r="B6438">
            <v>7.5</v>
          </cell>
        </row>
        <row r="6439">
          <cell r="A6439">
            <v>1500004277</v>
          </cell>
          <cell r="B6439">
            <v>1.6666666666666701</v>
          </cell>
        </row>
        <row r="6440">
          <cell r="A6440">
            <v>1500011689</v>
          </cell>
          <cell r="B6440">
            <v>2.5</v>
          </cell>
        </row>
        <row r="6441">
          <cell r="A6441">
            <v>1500004278</v>
          </cell>
          <cell r="B6441">
            <v>5.4166666666666696</v>
          </cell>
        </row>
        <row r="6442">
          <cell r="A6442">
            <v>1500011748</v>
          </cell>
          <cell r="B6442">
            <v>0</v>
          </cell>
        </row>
        <row r="6443">
          <cell r="A6443">
            <v>1500004456</v>
          </cell>
          <cell r="B6443">
            <v>19.5</v>
          </cell>
        </row>
        <row r="6444">
          <cell r="A6444">
            <v>1500002776</v>
          </cell>
          <cell r="B6444">
            <v>0</v>
          </cell>
        </row>
        <row r="6445">
          <cell r="A6445">
            <v>1500005142</v>
          </cell>
          <cell r="B6445">
            <v>0</v>
          </cell>
        </row>
        <row r="6446">
          <cell r="A6446">
            <v>1500002153</v>
          </cell>
          <cell r="B6446">
            <v>9.9166666666666696</v>
          </cell>
        </row>
        <row r="6447">
          <cell r="A6447">
            <v>1500004151</v>
          </cell>
          <cell r="B6447">
            <v>18.9166666666667</v>
          </cell>
        </row>
        <row r="6448">
          <cell r="A6448">
            <v>1500002173</v>
          </cell>
          <cell r="B6448">
            <v>0</v>
          </cell>
        </row>
        <row r="6449">
          <cell r="A6449">
            <v>1500004857</v>
          </cell>
          <cell r="B6449">
            <v>59.5833333333333</v>
          </cell>
        </row>
        <row r="6450">
          <cell r="A6450">
            <v>1500005814</v>
          </cell>
          <cell r="B6450">
            <v>0</v>
          </cell>
        </row>
        <row r="6451">
          <cell r="A6451">
            <v>1500002510</v>
          </cell>
          <cell r="B6451">
            <v>0</v>
          </cell>
        </row>
        <row r="6452">
          <cell r="A6452">
            <v>1500005034</v>
          </cell>
          <cell r="B6452">
            <v>24.5833333333333</v>
          </cell>
        </row>
        <row r="6453">
          <cell r="A6453">
            <v>1500005035</v>
          </cell>
          <cell r="B6453">
            <v>1.6666666666666701</v>
          </cell>
        </row>
        <row r="6454">
          <cell r="A6454">
            <v>1500005082</v>
          </cell>
          <cell r="B6454">
            <v>0</v>
          </cell>
        </row>
        <row r="6455">
          <cell r="A6455">
            <v>1500004721</v>
          </cell>
          <cell r="B6455">
            <v>58.75</v>
          </cell>
        </row>
        <row r="6456">
          <cell r="A6456">
            <v>1500002902</v>
          </cell>
          <cell r="B6456">
            <v>0</v>
          </cell>
        </row>
        <row r="6457">
          <cell r="A6457">
            <v>1500005727</v>
          </cell>
          <cell r="B6457">
            <v>13.9166666666667</v>
          </cell>
        </row>
        <row r="6458">
          <cell r="A6458">
            <v>1500002566</v>
          </cell>
          <cell r="B6458">
            <v>55.85</v>
          </cell>
        </row>
        <row r="6459">
          <cell r="A6459">
            <v>1500005728</v>
          </cell>
          <cell r="B6459">
            <v>9.81666666666667</v>
          </cell>
        </row>
        <row r="6460">
          <cell r="A6460">
            <v>1500004660</v>
          </cell>
          <cell r="B6460">
            <v>14.2916666666667</v>
          </cell>
        </row>
        <row r="6461">
          <cell r="A6461">
            <v>1500005729</v>
          </cell>
          <cell r="B6461">
            <v>98.658333333333303</v>
          </cell>
        </row>
        <row r="6462">
          <cell r="A6462">
            <v>1500004661</v>
          </cell>
          <cell r="B6462">
            <v>0</v>
          </cell>
        </row>
        <row r="6463">
          <cell r="A6463">
            <v>1500004279</v>
          </cell>
          <cell r="B6463">
            <v>42.1666666666667</v>
          </cell>
        </row>
        <row r="6464">
          <cell r="A6464">
            <v>1500002276</v>
          </cell>
          <cell r="B6464">
            <v>8.3333333333333304</v>
          </cell>
        </row>
        <row r="6465">
          <cell r="A6465">
            <v>1500002055</v>
          </cell>
          <cell r="B6465">
            <v>0</v>
          </cell>
        </row>
        <row r="6466">
          <cell r="A6466">
            <v>1500005036</v>
          </cell>
          <cell r="B6466">
            <v>17.5</v>
          </cell>
        </row>
        <row r="6467">
          <cell r="A6467">
            <v>1500002125</v>
          </cell>
          <cell r="B6467">
            <v>7.9166666666666696</v>
          </cell>
        </row>
        <row r="6468">
          <cell r="A6468">
            <v>1500005311</v>
          </cell>
          <cell r="B6468">
            <v>19.8333333333333</v>
          </cell>
        </row>
        <row r="6469">
          <cell r="A6469">
            <v>1500003585</v>
          </cell>
          <cell r="B6469">
            <v>22.5</v>
          </cell>
        </row>
        <row r="6470">
          <cell r="A6470">
            <v>1500001744</v>
          </cell>
          <cell r="B6470">
            <v>0</v>
          </cell>
        </row>
        <row r="6471">
          <cell r="A6471">
            <v>1500003002</v>
          </cell>
          <cell r="B6471">
            <v>0</v>
          </cell>
        </row>
        <row r="6472">
          <cell r="A6472">
            <v>1500012245</v>
          </cell>
          <cell r="B6472">
            <v>0</v>
          </cell>
        </row>
        <row r="6473">
          <cell r="A6473">
            <v>1500005521</v>
          </cell>
          <cell r="B6473">
            <v>0</v>
          </cell>
        </row>
        <row r="6474">
          <cell r="A6474">
            <v>1500003948</v>
          </cell>
          <cell r="B6474">
            <v>6.0833333333333304</v>
          </cell>
        </row>
        <row r="6475">
          <cell r="A6475">
            <v>1500002460</v>
          </cell>
          <cell r="B6475">
            <v>0</v>
          </cell>
        </row>
        <row r="6476">
          <cell r="A6476">
            <v>1500002766</v>
          </cell>
          <cell r="B6476">
            <v>9.6666666666666696</v>
          </cell>
        </row>
        <row r="6477">
          <cell r="A6477">
            <v>1500004525</v>
          </cell>
          <cell r="B6477">
            <v>24.3333333333333</v>
          </cell>
        </row>
        <row r="6478">
          <cell r="A6478">
            <v>1500005497</v>
          </cell>
          <cell r="B6478">
            <v>14.1666666666667</v>
          </cell>
        </row>
        <row r="6479">
          <cell r="A6479">
            <v>1500005522</v>
          </cell>
          <cell r="B6479">
            <v>20</v>
          </cell>
        </row>
        <row r="6480">
          <cell r="A6480">
            <v>1500003126</v>
          </cell>
          <cell r="B6480">
            <v>42.25</v>
          </cell>
        </row>
        <row r="6481">
          <cell r="A6481">
            <v>1500002868</v>
          </cell>
          <cell r="B6481">
            <v>3</v>
          </cell>
        </row>
        <row r="6482">
          <cell r="A6482">
            <v>1500003855</v>
          </cell>
          <cell r="B6482">
            <v>12.9166666666667</v>
          </cell>
        </row>
        <row r="6483">
          <cell r="A6483">
            <v>1500003323</v>
          </cell>
          <cell r="B6483">
            <v>14.5</v>
          </cell>
        </row>
        <row r="6484">
          <cell r="A6484">
            <v>1500002512</v>
          </cell>
          <cell r="B6484">
            <v>30.8333333333333</v>
          </cell>
        </row>
        <row r="6485">
          <cell r="A6485">
            <v>1500005087</v>
          </cell>
          <cell r="B6485">
            <v>17.8333333333333</v>
          </cell>
        </row>
        <row r="6486">
          <cell r="A6486">
            <v>1500002837</v>
          </cell>
          <cell r="B6486">
            <v>0</v>
          </cell>
        </row>
        <row r="6487">
          <cell r="A6487">
            <v>1500005449</v>
          </cell>
          <cell r="B6487">
            <v>14.366666666666699</v>
          </cell>
        </row>
        <row r="6488">
          <cell r="A6488">
            <v>1500005802</v>
          </cell>
          <cell r="B6488">
            <v>5.3333333333333304</v>
          </cell>
        </row>
        <row r="6489">
          <cell r="A6489">
            <v>1500002339</v>
          </cell>
          <cell r="B6489">
            <v>2.9166666666666701</v>
          </cell>
        </row>
        <row r="6490">
          <cell r="A6490">
            <v>1500003758</v>
          </cell>
          <cell r="B6490">
            <v>21.658333333333299</v>
          </cell>
        </row>
        <row r="6491">
          <cell r="A6491">
            <v>1500005937</v>
          </cell>
          <cell r="B6491">
            <v>22.1666666666667</v>
          </cell>
        </row>
        <row r="6492">
          <cell r="A6492">
            <v>1500002838</v>
          </cell>
          <cell r="B6492">
            <v>0</v>
          </cell>
        </row>
        <row r="6493">
          <cell r="A6493">
            <v>1500002932</v>
          </cell>
          <cell r="B6493">
            <v>0</v>
          </cell>
        </row>
        <row r="6494">
          <cell r="A6494">
            <v>1500004280</v>
          </cell>
          <cell r="B6494">
            <v>0</v>
          </cell>
        </row>
        <row r="6495">
          <cell r="A6495">
            <v>1500004542</v>
          </cell>
          <cell r="B6495">
            <v>27</v>
          </cell>
        </row>
        <row r="6496">
          <cell r="A6496">
            <v>1500002462</v>
          </cell>
          <cell r="B6496">
            <v>0</v>
          </cell>
        </row>
        <row r="6497">
          <cell r="A6497">
            <v>1500003733</v>
          </cell>
          <cell r="B6497">
            <v>10.3333333333333</v>
          </cell>
        </row>
        <row r="6498">
          <cell r="A6498">
            <v>1500004859</v>
          </cell>
          <cell r="B6498">
            <v>61.9166666666667</v>
          </cell>
        </row>
        <row r="6499">
          <cell r="A6499">
            <v>1500003880</v>
          </cell>
          <cell r="B6499">
            <v>5</v>
          </cell>
        </row>
        <row r="6500">
          <cell r="A6500">
            <v>1500002039</v>
          </cell>
          <cell r="B6500">
            <v>8.75</v>
          </cell>
        </row>
        <row r="6501">
          <cell r="A6501">
            <v>1500003023</v>
          </cell>
          <cell r="B6501">
            <v>5</v>
          </cell>
        </row>
        <row r="6502">
          <cell r="A6502">
            <v>1500004611</v>
          </cell>
          <cell r="B6502">
            <v>28.3333333333333</v>
          </cell>
        </row>
        <row r="6503">
          <cell r="A6503">
            <v>1500004612</v>
          </cell>
          <cell r="B6503">
            <v>5.8333333333333304</v>
          </cell>
        </row>
        <row r="6504">
          <cell r="A6504">
            <v>1500003148</v>
          </cell>
          <cell r="B6504">
            <v>6.25</v>
          </cell>
        </row>
        <row r="6505">
          <cell r="A6505">
            <v>1500005612</v>
          </cell>
          <cell r="B6505">
            <v>0</v>
          </cell>
        </row>
        <row r="6506">
          <cell r="A6506">
            <v>1500005403</v>
          </cell>
          <cell r="B6506">
            <v>12.0416666666667</v>
          </cell>
        </row>
        <row r="6507">
          <cell r="A6507">
            <v>1500003337</v>
          </cell>
          <cell r="B6507">
            <v>0</v>
          </cell>
        </row>
        <row r="6508">
          <cell r="A6508">
            <v>1500002174</v>
          </cell>
          <cell r="B6508">
            <v>11</v>
          </cell>
        </row>
        <row r="6509">
          <cell r="A6509">
            <v>1500005338</v>
          </cell>
          <cell r="B6509">
            <v>0</v>
          </cell>
        </row>
        <row r="6510">
          <cell r="A6510">
            <v>1500003003</v>
          </cell>
          <cell r="B6510">
            <v>0</v>
          </cell>
        </row>
        <row r="6511">
          <cell r="A6511">
            <v>1500003895</v>
          </cell>
          <cell r="B6511">
            <v>0</v>
          </cell>
        </row>
        <row r="6512">
          <cell r="A6512">
            <v>1500002056</v>
          </cell>
          <cell r="B6512">
            <v>8.75</v>
          </cell>
        </row>
        <row r="6513">
          <cell r="A6513">
            <v>1500005451</v>
          </cell>
          <cell r="B6513">
            <v>0</v>
          </cell>
        </row>
        <row r="6514">
          <cell r="A6514">
            <v>1500004749</v>
          </cell>
          <cell r="B6514">
            <v>46.6666666666667</v>
          </cell>
        </row>
        <row r="6515">
          <cell r="A6515">
            <v>1500004062</v>
          </cell>
          <cell r="B6515">
            <v>16.8333333333333</v>
          </cell>
        </row>
        <row r="6516">
          <cell r="A6516">
            <v>1500005421</v>
          </cell>
          <cell r="B6516">
            <v>21.5</v>
          </cell>
        </row>
        <row r="6517">
          <cell r="A6517">
            <v>1500002702</v>
          </cell>
          <cell r="B6517">
            <v>0</v>
          </cell>
        </row>
        <row r="6518">
          <cell r="A6518">
            <v>1500002340</v>
          </cell>
          <cell r="B6518">
            <v>10.8333333333333</v>
          </cell>
        </row>
        <row r="6519">
          <cell r="A6519">
            <v>1500005843</v>
          </cell>
          <cell r="B6519">
            <v>17.4166666666667</v>
          </cell>
        </row>
        <row r="6520">
          <cell r="A6520">
            <v>1500011942</v>
          </cell>
          <cell r="B6520">
            <v>56.6666666666667</v>
          </cell>
        </row>
        <row r="6521">
          <cell r="A6521">
            <v>1500003079</v>
          </cell>
          <cell r="B6521">
            <v>7.8333333333333304</v>
          </cell>
        </row>
        <row r="6522">
          <cell r="A6522">
            <v>1500003685</v>
          </cell>
          <cell r="B6522">
            <v>15.9166666666667</v>
          </cell>
        </row>
        <row r="6523">
          <cell r="A6523">
            <v>1500003776</v>
          </cell>
          <cell r="B6523">
            <v>9.5833333333333304</v>
          </cell>
        </row>
        <row r="6524">
          <cell r="A6524">
            <v>1500002057</v>
          </cell>
          <cell r="B6524">
            <v>5.6666666666666696</v>
          </cell>
        </row>
        <row r="6525">
          <cell r="A6525">
            <v>1500011836</v>
          </cell>
          <cell r="B6525">
            <v>3.3333333333333299</v>
          </cell>
        </row>
        <row r="6526">
          <cell r="A6526">
            <v>1500003700</v>
          </cell>
          <cell r="B6526">
            <v>7.5</v>
          </cell>
        </row>
        <row r="6527">
          <cell r="A6527">
            <v>1500002858</v>
          </cell>
          <cell r="B6527">
            <v>3.3333333333333299</v>
          </cell>
        </row>
        <row r="6528">
          <cell r="A6528">
            <v>1500003686</v>
          </cell>
          <cell r="B6528">
            <v>0</v>
          </cell>
        </row>
        <row r="6529">
          <cell r="A6529">
            <v>1500002175</v>
          </cell>
          <cell r="B6529">
            <v>2.8333333333333299</v>
          </cell>
        </row>
        <row r="6530">
          <cell r="A6530">
            <v>1500004626</v>
          </cell>
          <cell r="B6530">
            <v>0</v>
          </cell>
        </row>
        <row r="6531">
          <cell r="A6531">
            <v>1500002869</v>
          </cell>
          <cell r="B6531">
            <v>1.25</v>
          </cell>
        </row>
        <row r="6532">
          <cell r="A6532">
            <v>1500004512</v>
          </cell>
          <cell r="B6532">
            <v>0</v>
          </cell>
        </row>
        <row r="6533">
          <cell r="A6533">
            <v>1500002513</v>
          </cell>
          <cell r="B6533">
            <v>37.024999999999999</v>
          </cell>
        </row>
        <row r="6534">
          <cell r="A6534">
            <v>1500002741</v>
          </cell>
          <cell r="B6534">
            <v>0</v>
          </cell>
        </row>
        <row r="6535">
          <cell r="A6535">
            <v>1500002488</v>
          </cell>
          <cell r="B6535">
            <v>34.424999999999997</v>
          </cell>
        </row>
        <row r="6536">
          <cell r="A6536">
            <v>1500002297</v>
          </cell>
          <cell r="B6536">
            <v>22.0833333333333</v>
          </cell>
        </row>
        <row r="6537">
          <cell r="A6537">
            <v>1500004176</v>
          </cell>
          <cell r="B6537">
            <v>10.4166666666667</v>
          </cell>
        </row>
        <row r="6538">
          <cell r="A6538">
            <v>1500002135</v>
          </cell>
          <cell r="B6538">
            <v>13.3333333333333</v>
          </cell>
        </row>
        <row r="6539">
          <cell r="A6539">
            <v>1500004177</v>
          </cell>
          <cell r="B6539">
            <v>83.5</v>
          </cell>
        </row>
        <row r="6540">
          <cell r="A6540">
            <v>1500005165</v>
          </cell>
          <cell r="B6540">
            <v>0</v>
          </cell>
        </row>
        <row r="6541">
          <cell r="A6541">
            <v>1500004663</v>
          </cell>
          <cell r="B6541">
            <v>0.33333333333333298</v>
          </cell>
        </row>
        <row r="6542">
          <cell r="A6542">
            <v>1500003896</v>
          </cell>
          <cell r="B6542">
            <v>16.5</v>
          </cell>
        </row>
        <row r="6543">
          <cell r="A6543">
            <v>1500002567</v>
          </cell>
          <cell r="B6543">
            <v>30.558333333333302</v>
          </cell>
        </row>
        <row r="6544">
          <cell r="A6544">
            <v>1500002610</v>
          </cell>
          <cell r="B6544">
            <v>0</v>
          </cell>
        </row>
        <row r="6545">
          <cell r="A6545">
            <v>1500004601</v>
          </cell>
          <cell r="B6545">
            <v>2.8333333333333299</v>
          </cell>
        </row>
        <row r="6546">
          <cell r="A6546">
            <v>1500005452</v>
          </cell>
          <cell r="B6546">
            <v>10.75</v>
          </cell>
        </row>
        <row r="6547">
          <cell r="A6547">
            <v>1500002970</v>
          </cell>
          <cell r="B6547">
            <v>8.3333333333333304</v>
          </cell>
        </row>
        <row r="6548">
          <cell r="A6548">
            <v>1500005628</v>
          </cell>
          <cell r="B6548">
            <v>9.1666666666666696</v>
          </cell>
        </row>
        <row r="6549">
          <cell r="A6549">
            <v>1500005296</v>
          </cell>
          <cell r="B6549">
            <v>0.41666666666666702</v>
          </cell>
        </row>
        <row r="6550">
          <cell r="A6550">
            <v>1500002839</v>
          </cell>
          <cell r="B6550">
            <v>6.6666666666666696</v>
          </cell>
        </row>
        <row r="6551">
          <cell r="A6551">
            <v>1500003640</v>
          </cell>
          <cell r="B6551">
            <v>1.4166666666666701</v>
          </cell>
        </row>
        <row r="6552">
          <cell r="A6552">
            <v>1500005965</v>
          </cell>
          <cell r="B6552">
            <v>85.5833333333333</v>
          </cell>
        </row>
        <row r="6553">
          <cell r="A6553">
            <v>1500005079</v>
          </cell>
          <cell r="B6553">
            <v>0</v>
          </cell>
        </row>
        <row r="6554">
          <cell r="A6554">
            <v>1500002298</v>
          </cell>
          <cell r="B6554">
            <v>0</v>
          </cell>
        </row>
        <row r="6555">
          <cell r="A6555">
            <v>1500003856</v>
          </cell>
          <cell r="B6555">
            <v>52.5</v>
          </cell>
        </row>
        <row r="6556">
          <cell r="A6556">
            <v>1500003927</v>
          </cell>
          <cell r="B6556">
            <v>0</v>
          </cell>
        </row>
        <row r="6557">
          <cell r="A6557">
            <v>1500003149</v>
          </cell>
          <cell r="B6557">
            <v>34.1666666666667</v>
          </cell>
        </row>
        <row r="6558">
          <cell r="A6558">
            <v>1500005062</v>
          </cell>
          <cell r="B6558">
            <v>13.8333333333333</v>
          </cell>
        </row>
        <row r="6559">
          <cell r="A6559">
            <v>1500004101</v>
          </cell>
          <cell r="B6559">
            <v>15.25</v>
          </cell>
        </row>
        <row r="6560">
          <cell r="A6560">
            <v>1500003545</v>
          </cell>
          <cell r="B6560">
            <v>7.4166666666666696</v>
          </cell>
        </row>
        <row r="6561">
          <cell r="A6561">
            <v>1500002412</v>
          </cell>
          <cell r="B6561">
            <v>32.9166666666667</v>
          </cell>
        </row>
        <row r="6562">
          <cell r="A6562">
            <v>1500004687</v>
          </cell>
          <cell r="B6562">
            <v>0</v>
          </cell>
        </row>
        <row r="6563">
          <cell r="A6563">
            <v>1500004688</v>
          </cell>
          <cell r="B6563">
            <v>16.6666666666667</v>
          </cell>
        </row>
        <row r="6564">
          <cell r="A6564">
            <v>1500005844</v>
          </cell>
          <cell r="B6564">
            <v>17.6666666666667</v>
          </cell>
        </row>
        <row r="6565">
          <cell r="A6565">
            <v>1500004543</v>
          </cell>
          <cell r="B6565">
            <v>5</v>
          </cell>
        </row>
        <row r="6566">
          <cell r="A6566">
            <v>1500002681</v>
          </cell>
          <cell r="B6566">
            <v>20.8333333333333</v>
          </cell>
        </row>
        <row r="6567">
          <cell r="A6567">
            <v>1500004063</v>
          </cell>
          <cell r="B6567">
            <v>0</v>
          </cell>
        </row>
        <row r="6568">
          <cell r="A6568">
            <v>1500004776</v>
          </cell>
          <cell r="B6568">
            <v>10.25</v>
          </cell>
        </row>
        <row r="6569">
          <cell r="A6569">
            <v>1500004777</v>
          </cell>
          <cell r="B6569">
            <v>23.816666666666698</v>
          </cell>
        </row>
        <row r="6570">
          <cell r="A6570">
            <v>1500005063</v>
          </cell>
          <cell r="B6570">
            <v>0</v>
          </cell>
        </row>
        <row r="6571">
          <cell r="A6571">
            <v>1500003844</v>
          </cell>
          <cell r="B6571">
            <v>3.75</v>
          </cell>
        </row>
        <row r="6572">
          <cell r="A6572">
            <v>1500002877</v>
          </cell>
          <cell r="B6572">
            <v>0</v>
          </cell>
        </row>
        <row r="6573">
          <cell r="A6573">
            <v>1500004860</v>
          </cell>
          <cell r="B6573">
            <v>0</v>
          </cell>
        </row>
        <row r="6574">
          <cell r="A6574">
            <v>1500004339</v>
          </cell>
          <cell r="B6574">
            <v>0</v>
          </cell>
        </row>
        <row r="6575">
          <cell r="A6575">
            <v>1500005598</v>
          </cell>
          <cell r="B6575">
            <v>3.6666666666666701</v>
          </cell>
        </row>
        <row r="6576">
          <cell r="A6576">
            <v>1500005277</v>
          </cell>
          <cell r="B6576">
            <v>13.375</v>
          </cell>
        </row>
        <row r="6577">
          <cell r="A6577">
            <v>1500001965</v>
          </cell>
          <cell r="B6577">
            <v>16.6666666666667</v>
          </cell>
        </row>
        <row r="6578">
          <cell r="A6578">
            <v>1500003897</v>
          </cell>
          <cell r="B6578">
            <v>1.25</v>
          </cell>
        </row>
        <row r="6579">
          <cell r="A6579">
            <v>1500004102</v>
          </cell>
          <cell r="B6579">
            <v>5.5833333333333304</v>
          </cell>
        </row>
        <row r="6580">
          <cell r="A6580">
            <v>1500001989</v>
          </cell>
          <cell r="B6580">
            <v>0</v>
          </cell>
        </row>
        <row r="6581">
          <cell r="A6581">
            <v>1500001990</v>
          </cell>
          <cell r="B6581">
            <v>12.5</v>
          </cell>
        </row>
        <row r="6582">
          <cell r="A6582">
            <v>1500005138</v>
          </cell>
          <cell r="B6582">
            <v>0</v>
          </cell>
        </row>
        <row r="6583">
          <cell r="A6583">
            <v>1500005113</v>
          </cell>
          <cell r="B6583">
            <v>0</v>
          </cell>
        </row>
        <row r="6584">
          <cell r="A6584">
            <v>1500003636</v>
          </cell>
          <cell r="B6584">
            <v>40.1666666666667</v>
          </cell>
        </row>
        <row r="6585">
          <cell r="A6585">
            <v>1500002330</v>
          </cell>
          <cell r="B6585">
            <v>0</v>
          </cell>
        </row>
        <row r="6586">
          <cell r="A6586">
            <v>1500005896</v>
          </cell>
          <cell r="B6586">
            <v>28.4166666666667</v>
          </cell>
        </row>
        <row r="6587">
          <cell r="A6587">
            <v>1500003005</v>
          </cell>
          <cell r="B6587">
            <v>0.41666666666666702</v>
          </cell>
        </row>
        <row r="6588">
          <cell r="A6588">
            <v>1500005869</v>
          </cell>
          <cell r="B6588">
            <v>1.6666666666666701</v>
          </cell>
        </row>
        <row r="6589">
          <cell r="A6589">
            <v>1500005108</v>
          </cell>
          <cell r="B6589">
            <v>0</v>
          </cell>
        </row>
        <row r="6590">
          <cell r="A6590">
            <v>1500006129</v>
          </cell>
          <cell r="B6590">
            <v>0</v>
          </cell>
        </row>
        <row r="6591">
          <cell r="A6591">
            <v>1500002099</v>
          </cell>
          <cell r="B6591">
            <v>0</v>
          </cell>
        </row>
        <row r="6592">
          <cell r="A6592">
            <v>1500003777</v>
          </cell>
          <cell r="B6592">
            <v>15.9166666666667</v>
          </cell>
        </row>
        <row r="6593">
          <cell r="A6593">
            <v>1500004949</v>
          </cell>
          <cell r="B6593">
            <v>0</v>
          </cell>
        </row>
        <row r="6594">
          <cell r="A6594">
            <v>1500004566</v>
          </cell>
          <cell r="B6594">
            <v>12.0833333333333</v>
          </cell>
        </row>
        <row r="6595">
          <cell r="A6595">
            <v>1500004104</v>
          </cell>
          <cell r="B6595">
            <v>16.6666666666667</v>
          </cell>
        </row>
        <row r="6596">
          <cell r="A6596">
            <v>1500005803</v>
          </cell>
          <cell r="B6596">
            <v>4</v>
          </cell>
        </row>
        <row r="6597">
          <cell r="A6597">
            <v>1500004340</v>
          </cell>
          <cell r="B6597">
            <v>72.8333333333333</v>
          </cell>
        </row>
        <row r="6598">
          <cell r="A6598">
            <v>1500002903</v>
          </cell>
          <cell r="B6598">
            <v>24.1666666666667</v>
          </cell>
        </row>
        <row r="6599">
          <cell r="A6599">
            <v>1500004950</v>
          </cell>
          <cell r="B6599">
            <v>24.883333333333301</v>
          </cell>
        </row>
        <row r="6600">
          <cell r="A6600">
            <v>1500003528</v>
          </cell>
          <cell r="B6600">
            <v>0</v>
          </cell>
        </row>
        <row r="6601">
          <cell r="A6601">
            <v>1500002724</v>
          </cell>
          <cell r="B6601">
            <v>4.5833333333333304</v>
          </cell>
        </row>
        <row r="6602">
          <cell r="A6602">
            <v>1500004666</v>
          </cell>
          <cell r="B6602">
            <v>56.25</v>
          </cell>
        </row>
        <row r="6603">
          <cell r="A6603">
            <v>1500002514</v>
          </cell>
          <cell r="B6603">
            <v>0</v>
          </cell>
        </row>
        <row r="6604">
          <cell r="A6604">
            <v>1500004384</v>
          </cell>
          <cell r="B6604">
            <v>0</v>
          </cell>
        </row>
        <row r="6605">
          <cell r="A6605">
            <v>1500002151</v>
          </cell>
          <cell r="B6605">
            <v>4.6666666666666696</v>
          </cell>
        </row>
        <row r="6606">
          <cell r="A6606">
            <v>1500004778</v>
          </cell>
          <cell r="B6606">
            <v>15.3333333333333</v>
          </cell>
        </row>
        <row r="6607">
          <cell r="A6607">
            <v>1500004404</v>
          </cell>
          <cell r="B6607">
            <v>14.8166666666667</v>
          </cell>
        </row>
        <row r="6608">
          <cell r="A6608">
            <v>1500004779</v>
          </cell>
          <cell r="B6608">
            <v>44.3333333333333</v>
          </cell>
        </row>
        <row r="6609">
          <cell r="A6609">
            <v>1500002515</v>
          </cell>
          <cell r="B6609">
            <v>56.875</v>
          </cell>
        </row>
        <row r="6610">
          <cell r="A6610">
            <v>1500005205</v>
          </cell>
          <cell r="B6610">
            <v>13.3333333333333</v>
          </cell>
        </row>
        <row r="6611">
          <cell r="A6611">
            <v>1500005037</v>
          </cell>
          <cell r="B6611">
            <v>15.4166666666667</v>
          </cell>
        </row>
        <row r="6612">
          <cell r="A6612">
            <v>1500003452</v>
          </cell>
          <cell r="B6612">
            <v>2.25</v>
          </cell>
        </row>
        <row r="6613">
          <cell r="A6613">
            <v>1500003453</v>
          </cell>
          <cell r="B6613">
            <v>11.6666666666667</v>
          </cell>
        </row>
        <row r="6614">
          <cell r="A6614">
            <v>1500004105</v>
          </cell>
          <cell r="B6614">
            <v>68.8333333333333</v>
          </cell>
        </row>
        <row r="6615">
          <cell r="A6615">
            <v>1500004106</v>
          </cell>
          <cell r="B6615">
            <v>0</v>
          </cell>
        </row>
        <row r="6616">
          <cell r="A6616">
            <v>1500003857</v>
          </cell>
          <cell r="B6616">
            <v>12.8333333333333</v>
          </cell>
        </row>
        <row r="6617">
          <cell r="A6617">
            <v>1500004689</v>
          </cell>
          <cell r="B6617">
            <v>36.1666666666667</v>
          </cell>
        </row>
        <row r="6618">
          <cell r="A6618">
            <v>1500002682</v>
          </cell>
          <cell r="B6618">
            <v>8.3333333333333304</v>
          </cell>
        </row>
        <row r="6619">
          <cell r="A6619">
            <v>1500003989</v>
          </cell>
          <cell r="B6619">
            <v>11.25</v>
          </cell>
        </row>
        <row r="6620">
          <cell r="A6620">
            <v>1500002768</v>
          </cell>
          <cell r="B6620">
            <v>22.1666666666667</v>
          </cell>
        </row>
        <row r="6621">
          <cell r="A6621">
            <v>1500004964</v>
          </cell>
          <cell r="B6621">
            <v>1.6666666666666701</v>
          </cell>
        </row>
        <row r="6622">
          <cell r="A6622">
            <v>1500004614</v>
          </cell>
          <cell r="B6622">
            <v>36.3333333333333</v>
          </cell>
        </row>
        <row r="6623">
          <cell r="A6623">
            <v>1500004107</v>
          </cell>
          <cell r="B6623">
            <v>17.75</v>
          </cell>
        </row>
        <row r="6624">
          <cell r="A6624">
            <v>1500004924</v>
          </cell>
          <cell r="B6624">
            <v>0</v>
          </cell>
        </row>
        <row r="6625">
          <cell r="A6625">
            <v>1500005166</v>
          </cell>
          <cell r="B6625">
            <v>0</v>
          </cell>
        </row>
        <row r="6626">
          <cell r="A6626">
            <v>1500001966</v>
          </cell>
          <cell r="B6626">
            <v>20</v>
          </cell>
        </row>
        <row r="6627">
          <cell r="A6627">
            <v>1500004890</v>
          </cell>
          <cell r="B6627">
            <v>0.83333333333333304</v>
          </cell>
        </row>
        <row r="6628">
          <cell r="A6628">
            <v>1500003338</v>
          </cell>
          <cell r="B6628">
            <v>38.483333333333299</v>
          </cell>
        </row>
        <row r="6629">
          <cell r="A6629">
            <v>1500005298</v>
          </cell>
          <cell r="B6629">
            <v>0.41666666666666702</v>
          </cell>
        </row>
        <row r="6630">
          <cell r="A6630">
            <v>1500002331</v>
          </cell>
          <cell r="B6630">
            <v>2.5</v>
          </cell>
        </row>
        <row r="6631">
          <cell r="A6631">
            <v>1500003339</v>
          </cell>
          <cell r="B6631">
            <v>14</v>
          </cell>
        </row>
        <row r="6632">
          <cell r="A6632">
            <v>1500011858</v>
          </cell>
          <cell r="B6632">
            <v>0</v>
          </cell>
        </row>
        <row r="6633">
          <cell r="A6633">
            <v>1500005732</v>
          </cell>
          <cell r="B6633">
            <v>8.5</v>
          </cell>
        </row>
        <row r="6634">
          <cell r="A6634">
            <v>1500004109</v>
          </cell>
          <cell r="B6634">
            <v>0</v>
          </cell>
        </row>
        <row r="6635">
          <cell r="A6635">
            <v>1500011922</v>
          </cell>
          <cell r="B6635">
            <v>6.25</v>
          </cell>
        </row>
        <row r="6636">
          <cell r="A6636">
            <v>1500004750</v>
          </cell>
          <cell r="B6636">
            <v>40</v>
          </cell>
        </row>
        <row r="6637">
          <cell r="A6637">
            <v>1500002238</v>
          </cell>
          <cell r="B6637">
            <v>0</v>
          </cell>
        </row>
        <row r="6638">
          <cell r="A6638">
            <v>1500004478</v>
          </cell>
          <cell r="B6638">
            <v>9.5833333333333304</v>
          </cell>
        </row>
        <row r="6639">
          <cell r="A6639">
            <v>1500002683</v>
          </cell>
          <cell r="B6639">
            <v>7.5</v>
          </cell>
        </row>
        <row r="6640">
          <cell r="A6640">
            <v>1500003080</v>
          </cell>
          <cell r="B6640">
            <v>50.183333333333302</v>
          </cell>
        </row>
        <row r="6641">
          <cell r="A6641">
            <v>1500002684</v>
          </cell>
          <cell r="B6641">
            <v>12.5</v>
          </cell>
        </row>
        <row r="6642">
          <cell r="A6642">
            <v>1500003928</v>
          </cell>
          <cell r="B6642">
            <v>3.3333333333333299</v>
          </cell>
        </row>
        <row r="6643">
          <cell r="A6643">
            <v>1500002989</v>
          </cell>
          <cell r="B6643">
            <v>0</v>
          </cell>
        </row>
        <row r="6644">
          <cell r="A6644">
            <v>1500005566</v>
          </cell>
          <cell r="B6644">
            <v>0</v>
          </cell>
        </row>
        <row r="6645">
          <cell r="A6645">
            <v>1500005567</v>
          </cell>
          <cell r="B6645">
            <v>11</v>
          </cell>
        </row>
        <row r="6646">
          <cell r="A6646">
            <v>1500001781</v>
          </cell>
          <cell r="B6646">
            <v>53.6666666666667</v>
          </cell>
        </row>
        <row r="6647">
          <cell r="A6647">
            <v>1500002784</v>
          </cell>
          <cell r="B6647">
            <v>0</v>
          </cell>
        </row>
        <row r="6648">
          <cell r="A6648">
            <v>1500005114</v>
          </cell>
          <cell r="B6648">
            <v>0</v>
          </cell>
        </row>
        <row r="6649">
          <cell r="A6649">
            <v>1500004781</v>
          </cell>
          <cell r="B6649">
            <v>1.9166666666666701</v>
          </cell>
        </row>
        <row r="6650">
          <cell r="A6650">
            <v>1500003128</v>
          </cell>
          <cell r="B6650">
            <v>2.5</v>
          </cell>
        </row>
        <row r="6651">
          <cell r="A6651">
            <v>1500001980</v>
          </cell>
          <cell r="B6651">
            <v>0</v>
          </cell>
        </row>
        <row r="6652">
          <cell r="A6652">
            <v>1500004480</v>
          </cell>
          <cell r="B6652">
            <v>0</v>
          </cell>
        </row>
        <row r="6653">
          <cell r="A6653">
            <v>1500004481</v>
          </cell>
          <cell r="B6653">
            <v>10.4166666666667</v>
          </cell>
        </row>
        <row r="6654">
          <cell r="A6654">
            <v>1500005551</v>
          </cell>
          <cell r="B6654">
            <v>50.8333333333333</v>
          </cell>
        </row>
        <row r="6655">
          <cell r="A6655">
            <v>1500004247</v>
          </cell>
          <cell r="B6655">
            <v>21.25</v>
          </cell>
        </row>
        <row r="6656">
          <cell r="A6656">
            <v>1500003314</v>
          </cell>
          <cell r="B6656">
            <v>15.0833333333333</v>
          </cell>
        </row>
        <row r="6657">
          <cell r="A6657">
            <v>1500005167</v>
          </cell>
          <cell r="B6657">
            <v>16.6666666666667</v>
          </cell>
        </row>
        <row r="6658">
          <cell r="A6658">
            <v>1500005776</v>
          </cell>
          <cell r="B6658">
            <v>0</v>
          </cell>
        </row>
        <row r="6659">
          <cell r="A6659">
            <v>1500005149</v>
          </cell>
          <cell r="B6659">
            <v>35.9166666666667</v>
          </cell>
        </row>
        <row r="6660">
          <cell r="A6660">
            <v>1500005525</v>
          </cell>
          <cell r="B6660">
            <v>0</v>
          </cell>
        </row>
        <row r="6661">
          <cell r="A6661">
            <v>1500002948</v>
          </cell>
          <cell r="B6661">
            <v>6.75</v>
          </cell>
        </row>
        <row r="6662">
          <cell r="A6662">
            <v>1500005329</v>
          </cell>
          <cell r="B6662">
            <v>0</v>
          </cell>
        </row>
        <row r="6663">
          <cell r="A6663">
            <v>1500003340</v>
          </cell>
          <cell r="B6663">
            <v>0</v>
          </cell>
        </row>
        <row r="6664">
          <cell r="A6664">
            <v>1500005230</v>
          </cell>
          <cell r="B6664">
            <v>0</v>
          </cell>
        </row>
        <row r="6665">
          <cell r="A6665">
            <v>1500002939</v>
          </cell>
          <cell r="B6665">
            <v>12.0833333333333</v>
          </cell>
        </row>
        <row r="6666">
          <cell r="A6666">
            <v>1500004723</v>
          </cell>
          <cell r="B6666">
            <v>103.333333333333</v>
          </cell>
        </row>
        <row r="6667">
          <cell r="A6667">
            <v>1500003929</v>
          </cell>
          <cell r="B6667">
            <v>0</v>
          </cell>
        </row>
        <row r="6668">
          <cell r="A6668">
            <v>1500005568</v>
          </cell>
          <cell r="B6668">
            <v>0</v>
          </cell>
        </row>
        <row r="6669">
          <cell r="A6669">
            <v>1500002990</v>
          </cell>
          <cell r="B6669">
            <v>9.0833333333333304</v>
          </cell>
        </row>
        <row r="6670">
          <cell r="A6670">
            <v>1500002725</v>
          </cell>
          <cell r="B6670">
            <v>45.8333333333333</v>
          </cell>
        </row>
        <row r="6671">
          <cell r="A6671">
            <v>1500003807</v>
          </cell>
          <cell r="B6671">
            <v>0</v>
          </cell>
        </row>
        <row r="6672">
          <cell r="A6672">
            <v>1500004925</v>
          </cell>
          <cell r="B6672">
            <v>9.1666666666666696</v>
          </cell>
        </row>
        <row r="6673">
          <cell r="A6673">
            <v>1500004926</v>
          </cell>
          <cell r="B6673">
            <v>0.83333333333333304</v>
          </cell>
        </row>
        <row r="6674">
          <cell r="A6674">
            <v>1500002726</v>
          </cell>
          <cell r="B6674">
            <v>20</v>
          </cell>
        </row>
        <row r="6675">
          <cell r="A6675">
            <v>1500002628</v>
          </cell>
          <cell r="B6675">
            <v>0</v>
          </cell>
        </row>
        <row r="6676">
          <cell r="A6676">
            <v>1500005849</v>
          </cell>
          <cell r="B6676">
            <v>2.8333333333333299</v>
          </cell>
        </row>
        <row r="6677">
          <cell r="A6677">
            <v>1500004584</v>
          </cell>
          <cell r="B6677">
            <v>0</v>
          </cell>
        </row>
        <row r="6678">
          <cell r="A6678">
            <v>1500006153</v>
          </cell>
          <cell r="B6678">
            <v>0</v>
          </cell>
        </row>
        <row r="6679">
          <cell r="A6679">
            <v>1500005569</v>
          </cell>
          <cell r="B6679">
            <v>0</v>
          </cell>
        </row>
        <row r="6680">
          <cell r="A6680">
            <v>1500002464</v>
          </cell>
          <cell r="B6680">
            <v>11.75</v>
          </cell>
        </row>
        <row r="6681">
          <cell r="A6681">
            <v>1500003759</v>
          </cell>
          <cell r="B6681">
            <v>2.5833333333333299</v>
          </cell>
        </row>
        <row r="6682">
          <cell r="A6682">
            <v>1500002840</v>
          </cell>
          <cell r="B6682">
            <v>0</v>
          </cell>
        </row>
        <row r="6683">
          <cell r="A6683">
            <v>1500002299</v>
          </cell>
          <cell r="B6683">
            <v>18.75</v>
          </cell>
        </row>
        <row r="6684">
          <cell r="A6684">
            <v>1500004544</v>
          </cell>
          <cell r="B6684">
            <v>40.4166666666667</v>
          </cell>
        </row>
        <row r="6685">
          <cell r="A6685">
            <v>1500003081</v>
          </cell>
          <cell r="B6685">
            <v>15.1666666666667</v>
          </cell>
        </row>
        <row r="6686">
          <cell r="A6686">
            <v>1500005143</v>
          </cell>
          <cell r="B6686">
            <v>0</v>
          </cell>
        </row>
        <row r="6687">
          <cell r="A6687">
            <v>1500003734</v>
          </cell>
          <cell r="B6687">
            <v>0</v>
          </cell>
        </row>
        <row r="6688">
          <cell r="A6688">
            <v>1500005168</v>
          </cell>
          <cell r="B6688">
            <v>0</v>
          </cell>
        </row>
        <row r="6689">
          <cell r="A6689">
            <v>1500005169</v>
          </cell>
          <cell r="B6689">
            <v>0</v>
          </cell>
        </row>
        <row r="6690">
          <cell r="A6690">
            <v>1500004341</v>
          </cell>
          <cell r="B6690">
            <v>0</v>
          </cell>
        </row>
        <row r="6691">
          <cell r="A6691">
            <v>1500005733</v>
          </cell>
          <cell r="B6691">
            <v>0.91666666666666696</v>
          </cell>
        </row>
        <row r="6692">
          <cell r="A6692">
            <v>1500004966</v>
          </cell>
          <cell r="B6692">
            <v>18.3333333333333</v>
          </cell>
        </row>
        <row r="6693">
          <cell r="A6693">
            <v>1500002032</v>
          </cell>
          <cell r="B6693">
            <v>1.6666666666666701</v>
          </cell>
        </row>
        <row r="6694">
          <cell r="A6694">
            <v>1500003930</v>
          </cell>
          <cell r="B6694">
            <v>0</v>
          </cell>
        </row>
        <row r="6695">
          <cell r="A6695">
            <v>1500003949</v>
          </cell>
          <cell r="B6695">
            <v>50.0833333333333</v>
          </cell>
        </row>
        <row r="6696">
          <cell r="A6696">
            <v>1500002038</v>
          </cell>
          <cell r="B6696">
            <v>7.8333333333333304</v>
          </cell>
        </row>
        <row r="6697">
          <cell r="A6697">
            <v>1500003735</v>
          </cell>
          <cell r="B6697">
            <v>0</v>
          </cell>
        </row>
        <row r="6698">
          <cell r="A6698">
            <v>1500002388</v>
          </cell>
          <cell r="B6698">
            <v>0</v>
          </cell>
        </row>
        <row r="6699">
          <cell r="A6699">
            <v>1500002389</v>
          </cell>
          <cell r="B6699">
            <v>3.3333333333333299</v>
          </cell>
        </row>
        <row r="6700">
          <cell r="A6700">
            <v>1500001991</v>
          </cell>
          <cell r="B6700">
            <v>0</v>
          </cell>
        </row>
        <row r="6701">
          <cell r="A6701">
            <v>1500003406</v>
          </cell>
          <cell r="B6701">
            <v>2.0833333333333299</v>
          </cell>
        </row>
        <row r="6702">
          <cell r="A6702">
            <v>1500005599</v>
          </cell>
          <cell r="B6702">
            <v>0</v>
          </cell>
        </row>
        <row r="6703">
          <cell r="A6703">
            <v>1500003711</v>
          </cell>
          <cell r="B6703">
            <v>20</v>
          </cell>
        </row>
        <row r="6704">
          <cell r="A6704">
            <v>1500002635</v>
          </cell>
          <cell r="B6704">
            <v>0</v>
          </cell>
        </row>
        <row r="6705">
          <cell r="A6705">
            <v>1500005047</v>
          </cell>
          <cell r="B6705">
            <v>0</v>
          </cell>
        </row>
        <row r="6706">
          <cell r="A6706">
            <v>1500002033</v>
          </cell>
          <cell r="B6706">
            <v>21</v>
          </cell>
        </row>
        <row r="6707">
          <cell r="A6707">
            <v>1500002360</v>
          </cell>
          <cell r="B6707">
            <v>20.8333333333333</v>
          </cell>
        </row>
        <row r="6708">
          <cell r="A6708">
            <v>1500003082</v>
          </cell>
          <cell r="B6708">
            <v>25.4166666666667</v>
          </cell>
        </row>
        <row r="6709">
          <cell r="A6709">
            <v>1500002727</v>
          </cell>
          <cell r="B6709">
            <v>0</v>
          </cell>
        </row>
        <row r="6710">
          <cell r="A6710">
            <v>1500002568</v>
          </cell>
          <cell r="B6710">
            <v>0</v>
          </cell>
        </row>
        <row r="6711">
          <cell r="A6711">
            <v>1500004751</v>
          </cell>
          <cell r="B6711">
            <v>28.75</v>
          </cell>
        </row>
        <row r="6712">
          <cell r="A6712">
            <v>1500005552</v>
          </cell>
          <cell r="B6712">
            <v>18.75</v>
          </cell>
        </row>
        <row r="6713">
          <cell r="A6713">
            <v>1500004111</v>
          </cell>
          <cell r="B6713">
            <v>3.75</v>
          </cell>
        </row>
        <row r="6714">
          <cell r="A6714">
            <v>1500002841</v>
          </cell>
          <cell r="B6714">
            <v>13.3333333333333</v>
          </cell>
        </row>
        <row r="6715">
          <cell r="A6715">
            <v>1500003129</v>
          </cell>
          <cell r="B6715">
            <v>3.8333333333333299</v>
          </cell>
        </row>
        <row r="6716">
          <cell r="A6716">
            <v>1500002517</v>
          </cell>
          <cell r="B6716">
            <v>140</v>
          </cell>
        </row>
        <row r="6717">
          <cell r="A6717">
            <v>1500002769</v>
          </cell>
          <cell r="B6717">
            <v>17.5833333333333</v>
          </cell>
        </row>
        <row r="6718">
          <cell r="A6718">
            <v>1500005804</v>
          </cell>
          <cell r="B6718">
            <v>0</v>
          </cell>
        </row>
        <row r="6719">
          <cell r="A6719">
            <v>1500003808</v>
          </cell>
          <cell r="B6719">
            <v>0</v>
          </cell>
        </row>
        <row r="6720">
          <cell r="A6720">
            <v>1500005299</v>
          </cell>
          <cell r="B6720">
            <v>0</v>
          </cell>
        </row>
        <row r="6721">
          <cell r="A6721">
            <v>1500002770</v>
          </cell>
          <cell r="B6721">
            <v>0</v>
          </cell>
        </row>
        <row r="6722">
          <cell r="A6722">
            <v>1500002611</v>
          </cell>
          <cell r="B6722">
            <v>0</v>
          </cell>
        </row>
        <row r="6723">
          <cell r="A6723">
            <v>1500003007</v>
          </cell>
          <cell r="B6723">
            <v>0.5</v>
          </cell>
        </row>
        <row r="6724">
          <cell r="A6724">
            <v>1500002612</v>
          </cell>
          <cell r="B6724">
            <v>12.9166666666667</v>
          </cell>
        </row>
        <row r="6725">
          <cell r="A6725">
            <v>1500005454</v>
          </cell>
          <cell r="B6725">
            <v>27</v>
          </cell>
        </row>
        <row r="6726">
          <cell r="A6726">
            <v>1500003809</v>
          </cell>
          <cell r="B6726">
            <v>0</v>
          </cell>
        </row>
        <row r="6727">
          <cell r="A6727">
            <v>1500004112</v>
          </cell>
          <cell r="B6727">
            <v>0</v>
          </cell>
        </row>
        <row r="6728">
          <cell r="A6728">
            <v>1500003931</v>
          </cell>
          <cell r="B6728">
            <v>33.5</v>
          </cell>
        </row>
        <row r="6729">
          <cell r="A6729">
            <v>1500003932</v>
          </cell>
          <cell r="B6729">
            <v>6.6666666666666696</v>
          </cell>
        </row>
        <row r="6730">
          <cell r="A6730">
            <v>1500002059</v>
          </cell>
          <cell r="B6730">
            <v>0.83333333333333304</v>
          </cell>
        </row>
        <row r="6731">
          <cell r="A6731">
            <v>1500002781</v>
          </cell>
          <cell r="B6731">
            <v>38.5416666666667</v>
          </cell>
        </row>
        <row r="6732">
          <cell r="A6732">
            <v>1500002971</v>
          </cell>
          <cell r="B6732">
            <v>57.375</v>
          </cell>
        </row>
        <row r="6733">
          <cell r="A6733">
            <v>1500005527</v>
          </cell>
          <cell r="B6733">
            <v>0</v>
          </cell>
        </row>
        <row r="6734">
          <cell r="A6734">
            <v>1500003083</v>
          </cell>
          <cell r="B6734">
            <v>28.75</v>
          </cell>
        </row>
        <row r="6735">
          <cell r="A6735">
            <v>1500003687</v>
          </cell>
          <cell r="B6735">
            <v>5.5</v>
          </cell>
        </row>
        <row r="6736">
          <cell r="A6736">
            <v>1500002859</v>
          </cell>
          <cell r="B6736">
            <v>41.6666666666667</v>
          </cell>
        </row>
        <row r="6737">
          <cell r="A6737">
            <v>1500004457</v>
          </cell>
          <cell r="B6737">
            <v>0</v>
          </cell>
        </row>
        <row r="6738">
          <cell r="A6738">
            <v>1500011823</v>
          </cell>
          <cell r="B6738">
            <v>31</v>
          </cell>
        </row>
        <row r="6739">
          <cell r="A6739">
            <v>1500003084</v>
          </cell>
          <cell r="B6739">
            <v>0</v>
          </cell>
        </row>
        <row r="6740">
          <cell r="A6740">
            <v>1500004083</v>
          </cell>
          <cell r="B6740">
            <v>0</v>
          </cell>
        </row>
        <row r="6741">
          <cell r="A6741">
            <v>1500004782</v>
          </cell>
          <cell r="B6741">
            <v>35.8333333333333</v>
          </cell>
        </row>
        <row r="6742">
          <cell r="A6742">
            <v>1500004064</v>
          </cell>
          <cell r="B6742">
            <v>37.6666666666667</v>
          </cell>
        </row>
        <row r="6743">
          <cell r="A6743">
            <v>1500003085</v>
          </cell>
          <cell r="B6743">
            <v>13.3333333333333</v>
          </cell>
        </row>
        <row r="6744">
          <cell r="A6744">
            <v>1500002361</v>
          </cell>
          <cell r="B6744">
            <v>0</v>
          </cell>
        </row>
        <row r="6745">
          <cell r="A6745">
            <v>1500002771</v>
          </cell>
          <cell r="B6745">
            <v>22.25</v>
          </cell>
        </row>
        <row r="6746">
          <cell r="A6746">
            <v>1500005805</v>
          </cell>
          <cell r="B6746">
            <v>0</v>
          </cell>
        </row>
        <row r="6747">
          <cell r="A6747">
            <v>1500005066</v>
          </cell>
          <cell r="B6747">
            <v>0</v>
          </cell>
        </row>
        <row r="6748">
          <cell r="A6748">
            <v>1500003743</v>
          </cell>
          <cell r="B6748">
            <v>4.1666666666666696</v>
          </cell>
        </row>
        <row r="6749">
          <cell r="A6749">
            <v>1500004127</v>
          </cell>
          <cell r="B6749">
            <v>0</v>
          </cell>
        </row>
        <row r="6750">
          <cell r="A6750">
            <v>1500004128</v>
          </cell>
          <cell r="B6750">
            <v>247.5</v>
          </cell>
        </row>
        <row r="6751">
          <cell r="A6751">
            <v>1500004830</v>
          </cell>
          <cell r="B6751">
            <v>0</v>
          </cell>
        </row>
        <row r="6752">
          <cell r="A6752">
            <v>1500002746</v>
          </cell>
          <cell r="B6752">
            <v>0</v>
          </cell>
        </row>
        <row r="6753">
          <cell r="A6753">
            <v>1500005587</v>
          </cell>
          <cell r="B6753">
            <v>0</v>
          </cell>
        </row>
        <row r="6754">
          <cell r="A6754">
            <v>1500002944</v>
          </cell>
          <cell r="B6754">
            <v>20</v>
          </cell>
        </row>
        <row r="6755">
          <cell r="A6755">
            <v>1500004390</v>
          </cell>
          <cell r="B6755">
            <v>12.1666666666667</v>
          </cell>
        </row>
        <row r="6756">
          <cell r="A6756">
            <v>1500003718</v>
          </cell>
          <cell r="B6756">
            <v>0</v>
          </cell>
        </row>
        <row r="6757">
          <cell r="A6757">
            <v>1500005750</v>
          </cell>
          <cell r="B6757">
            <v>1.8333333333333299</v>
          </cell>
        </row>
        <row r="6758">
          <cell r="A6758">
            <v>1500003623</v>
          </cell>
          <cell r="B6758">
            <v>24.8333333333333</v>
          </cell>
        </row>
        <row r="6759">
          <cell r="A6759">
            <v>1500003529</v>
          </cell>
          <cell r="B6759">
            <v>5.1666666666666696</v>
          </cell>
        </row>
        <row r="6760">
          <cell r="A6760">
            <v>1500003688</v>
          </cell>
          <cell r="B6760">
            <v>0</v>
          </cell>
        </row>
        <row r="6761">
          <cell r="A6761">
            <v>1500003689</v>
          </cell>
          <cell r="B6761">
            <v>0.41666666666666702</v>
          </cell>
        </row>
        <row r="6762">
          <cell r="A6762">
            <v>1500002659</v>
          </cell>
          <cell r="B6762">
            <v>0</v>
          </cell>
        </row>
        <row r="6763">
          <cell r="A6763">
            <v>1500004627</v>
          </cell>
          <cell r="B6763">
            <v>0</v>
          </cell>
        </row>
        <row r="6764">
          <cell r="A6764">
            <v>1500005405</v>
          </cell>
          <cell r="B6764">
            <v>16.283333333333299</v>
          </cell>
        </row>
        <row r="6765">
          <cell r="A6765">
            <v>1500006154</v>
          </cell>
          <cell r="B6765">
            <v>8.0833333333333304</v>
          </cell>
        </row>
        <row r="6766">
          <cell r="A6766">
            <v>1500004927</v>
          </cell>
          <cell r="B6766">
            <v>7.0833333333333304</v>
          </cell>
        </row>
        <row r="6767">
          <cell r="A6767">
            <v>1500002685</v>
          </cell>
          <cell r="B6767">
            <v>1.6666666666666701</v>
          </cell>
        </row>
        <row r="6768">
          <cell r="A6768">
            <v>1500002686</v>
          </cell>
          <cell r="B6768">
            <v>0</v>
          </cell>
        </row>
        <row r="6769">
          <cell r="A6769">
            <v>1500002703</v>
          </cell>
          <cell r="B6769">
            <v>30.4166666666667</v>
          </cell>
        </row>
        <row r="6770">
          <cell r="A6770">
            <v>1500003719</v>
          </cell>
          <cell r="B6770">
            <v>0</v>
          </cell>
        </row>
        <row r="6771">
          <cell r="A6771">
            <v>1500002613</v>
          </cell>
          <cell r="B6771">
            <v>25</v>
          </cell>
        </row>
        <row r="6772">
          <cell r="A6772">
            <v>1500002108</v>
          </cell>
          <cell r="B6772">
            <v>3.75</v>
          </cell>
        </row>
        <row r="6773">
          <cell r="A6773">
            <v>1500004065</v>
          </cell>
          <cell r="B6773">
            <v>25.3333333333333</v>
          </cell>
        </row>
        <row r="6774">
          <cell r="A6774">
            <v>1500003387</v>
          </cell>
          <cell r="B6774">
            <v>1.25</v>
          </cell>
        </row>
        <row r="6775">
          <cell r="A6775">
            <v>1500003597</v>
          </cell>
          <cell r="B6775">
            <v>2.1666666666666701</v>
          </cell>
        </row>
        <row r="6776">
          <cell r="A6776">
            <v>1500003624</v>
          </cell>
          <cell r="B6776">
            <v>37.341666666666697</v>
          </cell>
        </row>
        <row r="6777">
          <cell r="A6777">
            <v>1500001759</v>
          </cell>
          <cell r="B6777">
            <v>0</v>
          </cell>
        </row>
        <row r="6778">
          <cell r="A6778">
            <v>1500005118</v>
          </cell>
          <cell r="B6778">
            <v>16.1666666666667</v>
          </cell>
        </row>
        <row r="6779">
          <cell r="A6779">
            <v>1500004067</v>
          </cell>
          <cell r="B6779">
            <v>38.75</v>
          </cell>
        </row>
        <row r="6780">
          <cell r="A6780">
            <v>1500004342</v>
          </cell>
          <cell r="B6780">
            <v>2.5</v>
          </cell>
        </row>
        <row r="6781">
          <cell r="A6781">
            <v>1500002390</v>
          </cell>
          <cell r="B6781">
            <v>0</v>
          </cell>
        </row>
        <row r="6782">
          <cell r="A6782">
            <v>1500003455</v>
          </cell>
          <cell r="B6782">
            <v>23.75</v>
          </cell>
        </row>
        <row r="6783">
          <cell r="A6783">
            <v>1500002239</v>
          </cell>
          <cell r="B6783">
            <v>7.5</v>
          </cell>
        </row>
        <row r="6784">
          <cell r="A6784">
            <v>1500002518</v>
          </cell>
          <cell r="B6784">
            <v>0</v>
          </cell>
        </row>
        <row r="6785">
          <cell r="A6785">
            <v>1500002519</v>
          </cell>
          <cell r="B6785">
            <v>12.9166666666667</v>
          </cell>
        </row>
        <row r="6786">
          <cell r="A6786">
            <v>1500002614</v>
          </cell>
          <cell r="B6786">
            <v>28.75</v>
          </cell>
        </row>
        <row r="6787">
          <cell r="A6787">
            <v>1500004113</v>
          </cell>
          <cell r="B6787">
            <v>0</v>
          </cell>
        </row>
        <row r="6788">
          <cell r="A6788">
            <v>1500002465</v>
          </cell>
          <cell r="B6788">
            <v>0</v>
          </cell>
        </row>
        <row r="6789">
          <cell r="A6789">
            <v>1500002341</v>
          </cell>
          <cell r="B6789">
            <v>0</v>
          </cell>
        </row>
        <row r="6790">
          <cell r="A6790">
            <v>1500004628</v>
          </cell>
          <cell r="B6790">
            <v>2.0833333333333299</v>
          </cell>
        </row>
        <row r="6791">
          <cell r="A6791">
            <v>1500003467</v>
          </cell>
          <cell r="B6791">
            <v>10.4166666666667</v>
          </cell>
        </row>
        <row r="6792">
          <cell r="A6792">
            <v>1500002687</v>
          </cell>
          <cell r="B6792">
            <v>0</v>
          </cell>
        </row>
        <row r="6793">
          <cell r="A6793">
            <v>1500005330</v>
          </cell>
          <cell r="B6793">
            <v>6.6666666666666696</v>
          </cell>
        </row>
        <row r="6794">
          <cell r="A6794">
            <v>1500003008</v>
          </cell>
          <cell r="B6794">
            <v>1.6666666666666701</v>
          </cell>
        </row>
        <row r="6795">
          <cell r="A6795">
            <v>1500005068</v>
          </cell>
          <cell r="B6795">
            <v>0.83333333333333304</v>
          </cell>
        </row>
        <row r="6796">
          <cell r="A6796">
            <v>1500005631</v>
          </cell>
          <cell r="B6796">
            <v>11.6666666666667</v>
          </cell>
        </row>
        <row r="6797">
          <cell r="A6797">
            <v>1500005632</v>
          </cell>
          <cell r="B6797">
            <v>40</v>
          </cell>
        </row>
        <row r="6798">
          <cell r="A6798">
            <v>1500005633</v>
          </cell>
          <cell r="B6798">
            <v>14.1666666666667</v>
          </cell>
        </row>
        <row r="6799">
          <cell r="A6799">
            <v>1500005634</v>
          </cell>
          <cell r="B6799">
            <v>11.6666666666667</v>
          </cell>
        </row>
        <row r="6800">
          <cell r="A6800">
            <v>1500004967</v>
          </cell>
          <cell r="B6800">
            <v>35.8333333333333</v>
          </cell>
        </row>
        <row r="6801">
          <cell r="A6801">
            <v>1500002991</v>
          </cell>
          <cell r="B6801">
            <v>15.4166666666667</v>
          </cell>
        </row>
        <row r="6802">
          <cell r="A6802">
            <v>1500004677</v>
          </cell>
          <cell r="B6802">
            <v>13.8333333333333</v>
          </cell>
        </row>
        <row r="6803">
          <cell r="A6803">
            <v>1500002090</v>
          </cell>
          <cell r="B6803">
            <v>29.9166666666667</v>
          </cell>
        </row>
        <row r="6804">
          <cell r="A6804">
            <v>1500004690</v>
          </cell>
          <cell r="B6804">
            <v>48.9166666666667</v>
          </cell>
        </row>
        <row r="6805">
          <cell r="A6805">
            <v>1500005939</v>
          </cell>
          <cell r="B6805">
            <v>0</v>
          </cell>
        </row>
        <row r="6806">
          <cell r="A6806">
            <v>1500006155</v>
          </cell>
          <cell r="B6806">
            <v>25.8333333333333</v>
          </cell>
        </row>
        <row r="6807">
          <cell r="A6807">
            <v>1500004178</v>
          </cell>
          <cell r="B6807">
            <v>29.25</v>
          </cell>
        </row>
        <row r="6808">
          <cell r="A6808">
            <v>1500005940</v>
          </cell>
          <cell r="B6808">
            <v>0</v>
          </cell>
        </row>
        <row r="6809">
          <cell r="A6809">
            <v>1500003744</v>
          </cell>
          <cell r="B6809">
            <v>0</v>
          </cell>
        </row>
        <row r="6810">
          <cell r="A6810">
            <v>1500004084</v>
          </cell>
          <cell r="B6810">
            <v>8.8333333333333304</v>
          </cell>
        </row>
        <row r="6811">
          <cell r="A6811">
            <v>1500004545</v>
          </cell>
          <cell r="B6811">
            <v>0</v>
          </cell>
        </row>
        <row r="6812">
          <cell r="A6812">
            <v>1500003468</v>
          </cell>
          <cell r="B6812">
            <v>21.8333333333333</v>
          </cell>
        </row>
        <row r="6813">
          <cell r="A6813">
            <v>1500004405</v>
          </cell>
          <cell r="B6813">
            <v>21.8333333333333</v>
          </cell>
        </row>
        <row r="6814">
          <cell r="A6814">
            <v>1500002070</v>
          </cell>
          <cell r="B6814">
            <v>0</v>
          </cell>
        </row>
        <row r="6815">
          <cell r="A6815">
            <v>1500002904</v>
          </cell>
          <cell r="B6815">
            <v>15</v>
          </cell>
        </row>
        <row r="6816">
          <cell r="A6816">
            <v>1500003407</v>
          </cell>
          <cell r="B6816">
            <v>26.5</v>
          </cell>
        </row>
        <row r="6817">
          <cell r="A6817">
            <v>1500004585</v>
          </cell>
          <cell r="B6817">
            <v>33.3333333333333</v>
          </cell>
        </row>
        <row r="6818">
          <cell r="A6818">
            <v>1500004228</v>
          </cell>
          <cell r="B6818">
            <v>24.6666666666667</v>
          </cell>
        </row>
        <row r="6819">
          <cell r="A6819">
            <v>1500002615</v>
          </cell>
          <cell r="B6819">
            <v>33.5</v>
          </cell>
        </row>
        <row r="6820">
          <cell r="A6820">
            <v>1500003778</v>
          </cell>
          <cell r="B6820">
            <v>3.75</v>
          </cell>
        </row>
        <row r="6821">
          <cell r="A6821">
            <v>1500002992</v>
          </cell>
          <cell r="B6821">
            <v>19.133333333333301</v>
          </cell>
        </row>
        <row r="6822">
          <cell r="A6822">
            <v>1500002176</v>
          </cell>
          <cell r="B6822">
            <v>20.8333333333333</v>
          </cell>
        </row>
        <row r="6823">
          <cell r="A6823">
            <v>1500003977</v>
          </cell>
          <cell r="B6823">
            <v>0</v>
          </cell>
        </row>
        <row r="6824">
          <cell r="A6824">
            <v>1500002728</v>
          </cell>
          <cell r="B6824">
            <v>0</v>
          </cell>
        </row>
        <row r="6825">
          <cell r="A6825">
            <v>1500002772</v>
          </cell>
          <cell r="B6825">
            <v>10.25</v>
          </cell>
        </row>
        <row r="6826">
          <cell r="A6826">
            <v>1500004298</v>
          </cell>
          <cell r="B6826">
            <v>0</v>
          </cell>
        </row>
        <row r="6827">
          <cell r="A6827">
            <v>1500003655</v>
          </cell>
          <cell r="B6827">
            <v>2.5</v>
          </cell>
        </row>
        <row r="6828">
          <cell r="A6828">
            <v>1500003864</v>
          </cell>
          <cell r="B6828">
            <v>0</v>
          </cell>
        </row>
        <row r="6829">
          <cell r="A6829">
            <v>1500002091</v>
          </cell>
          <cell r="B6829">
            <v>0</v>
          </cell>
        </row>
        <row r="6830">
          <cell r="A6830">
            <v>1500002078</v>
          </cell>
          <cell r="B6830">
            <v>0.83333333333333304</v>
          </cell>
        </row>
        <row r="6831">
          <cell r="A6831">
            <v>1500002284</v>
          </cell>
          <cell r="B6831">
            <v>0.83333333333333304</v>
          </cell>
        </row>
        <row r="6832">
          <cell r="A6832">
            <v>1500002194</v>
          </cell>
          <cell r="B6832">
            <v>25.5</v>
          </cell>
        </row>
        <row r="6833">
          <cell r="A6833">
            <v>1500005816</v>
          </cell>
          <cell r="B6833">
            <v>23.25</v>
          </cell>
        </row>
        <row r="6834">
          <cell r="A6834">
            <v>1500005038</v>
          </cell>
          <cell r="B6834">
            <v>25.3333333333333</v>
          </cell>
        </row>
        <row r="6835">
          <cell r="A6835">
            <v>1500002520</v>
          </cell>
          <cell r="B6835">
            <v>4.3333333333333304</v>
          </cell>
        </row>
        <row r="6836">
          <cell r="A6836">
            <v>1500005231</v>
          </cell>
          <cell r="B6836">
            <v>34.5833333333333</v>
          </cell>
        </row>
        <row r="6837">
          <cell r="A6837">
            <v>1500002476</v>
          </cell>
          <cell r="B6837">
            <v>0.58333333333333304</v>
          </cell>
        </row>
        <row r="6838">
          <cell r="A6838">
            <v>1500005871</v>
          </cell>
          <cell r="B6838">
            <v>48.3333333333333</v>
          </cell>
        </row>
        <row r="6839">
          <cell r="A6839">
            <v>1500003736</v>
          </cell>
          <cell r="B6839">
            <v>0</v>
          </cell>
        </row>
        <row r="6840">
          <cell r="A6840">
            <v>1500002729</v>
          </cell>
          <cell r="B6840">
            <v>87.3333333333333</v>
          </cell>
        </row>
        <row r="6841">
          <cell r="A6841">
            <v>1500002537</v>
          </cell>
          <cell r="B6841">
            <v>0</v>
          </cell>
        </row>
        <row r="6842">
          <cell r="A6842">
            <v>1500005600</v>
          </cell>
          <cell r="B6842">
            <v>0</v>
          </cell>
        </row>
        <row r="6843">
          <cell r="A6843">
            <v>1500002940</v>
          </cell>
          <cell r="B6843">
            <v>21.25</v>
          </cell>
        </row>
        <row r="6844">
          <cell r="A6844">
            <v>1500005665</v>
          </cell>
          <cell r="B6844">
            <v>0</v>
          </cell>
        </row>
        <row r="6845">
          <cell r="A6845">
            <v>1500003150</v>
          </cell>
          <cell r="B6845">
            <v>20</v>
          </cell>
        </row>
        <row r="6846">
          <cell r="A6846">
            <v>1500003354</v>
          </cell>
          <cell r="B6846">
            <v>63.6666666666667</v>
          </cell>
        </row>
        <row r="6847">
          <cell r="A6847">
            <v>1500002362</v>
          </cell>
          <cell r="B6847">
            <v>11.6666666666667</v>
          </cell>
        </row>
        <row r="6848">
          <cell r="A6848">
            <v>1500003469</v>
          </cell>
          <cell r="B6848">
            <v>0</v>
          </cell>
        </row>
        <row r="6849">
          <cell r="A6849">
            <v>1500003499</v>
          </cell>
          <cell r="B6849">
            <v>11.1666666666667</v>
          </cell>
        </row>
        <row r="6850">
          <cell r="A6850">
            <v>1500003745</v>
          </cell>
          <cell r="B6850">
            <v>0</v>
          </cell>
        </row>
        <row r="6851">
          <cell r="A6851">
            <v>1500005331</v>
          </cell>
          <cell r="B6851">
            <v>0</v>
          </cell>
        </row>
        <row r="6852">
          <cell r="A6852">
            <v>1500005332</v>
          </cell>
          <cell r="B6852">
            <v>0</v>
          </cell>
        </row>
        <row r="6853">
          <cell r="A6853">
            <v>1500004114</v>
          </cell>
          <cell r="B6853">
            <v>10.8333333333333</v>
          </cell>
        </row>
        <row r="6854">
          <cell r="A6854">
            <v>1500004116</v>
          </cell>
          <cell r="B6854">
            <v>54.6666666666667</v>
          </cell>
        </row>
        <row r="6855">
          <cell r="A6855">
            <v>1500002660</v>
          </cell>
          <cell r="B6855">
            <v>37.9166666666667</v>
          </cell>
        </row>
        <row r="6856">
          <cell r="A6856">
            <v>1500002730</v>
          </cell>
          <cell r="B6856">
            <v>0</v>
          </cell>
        </row>
        <row r="6857">
          <cell r="A6857">
            <v>1500004861</v>
          </cell>
          <cell r="B6857">
            <v>51.5</v>
          </cell>
        </row>
        <row r="6858">
          <cell r="A6858">
            <v>1500004862</v>
          </cell>
          <cell r="B6858">
            <v>10.5833333333333</v>
          </cell>
        </row>
        <row r="6859">
          <cell r="A6859">
            <v>1500004343</v>
          </cell>
          <cell r="B6859">
            <v>0</v>
          </cell>
        </row>
        <row r="6860">
          <cell r="A6860">
            <v>1500003646</v>
          </cell>
          <cell r="B6860">
            <v>0.83333333333333304</v>
          </cell>
        </row>
        <row r="6861">
          <cell r="A6861">
            <v>1500004483</v>
          </cell>
          <cell r="B6861">
            <v>27.0833333333333</v>
          </cell>
        </row>
        <row r="6862">
          <cell r="A6862">
            <v>1500004691</v>
          </cell>
          <cell r="B6862">
            <v>19.25</v>
          </cell>
        </row>
        <row r="6863">
          <cell r="A6863">
            <v>1500004282</v>
          </cell>
          <cell r="B6863">
            <v>6.8666666666666698</v>
          </cell>
        </row>
        <row r="6864">
          <cell r="A6864">
            <v>1500004299</v>
          </cell>
          <cell r="B6864">
            <v>0</v>
          </cell>
        </row>
        <row r="6865">
          <cell r="A6865">
            <v>1500002973</v>
          </cell>
          <cell r="B6865">
            <v>34.174999999999997</v>
          </cell>
        </row>
        <row r="6866">
          <cell r="A6866">
            <v>1500002006</v>
          </cell>
          <cell r="B6866">
            <v>0</v>
          </cell>
        </row>
        <row r="6867">
          <cell r="A6867">
            <v>1500003761</v>
          </cell>
          <cell r="B6867">
            <v>0</v>
          </cell>
        </row>
        <row r="6868">
          <cell r="A6868">
            <v>1500003762</v>
          </cell>
          <cell r="B6868">
            <v>13.725</v>
          </cell>
        </row>
        <row r="6869">
          <cell r="A6869">
            <v>1500004066</v>
          </cell>
          <cell r="B6869">
            <v>5.25</v>
          </cell>
        </row>
        <row r="6870">
          <cell r="A6870">
            <v>1500003131</v>
          </cell>
          <cell r="B6870">
            <v>0</v>
          </cell>
        </row>
        <row r="6871">
          <cell r="A6871">
            <v>1500004783</v>
          </cell>
          <cell r="B6871">
            <v>30.5833333333333</v>
          </cell>
        </row>
        <row r="6872">
          <cell r="A6872">
            <v>1500001967</v>
          </cell>
          <cell r="B6872">
            <v>8.3333333333333304</v>
          </cell>
        </row>
        <row r="6873">
          <cell r="A6873">
            <v>1500004224</v>
          </cell>
          <cell r="B6873">
            <v>25.8333333333333</v>
          </cell>
        </row>
        <row r="6874">
          <cell r="A6874">
            <v>1500002688</v>
          </cell>
          <cell r="B6874">
            <v>6.25</v>
          </cell>
        </row>
        <row r="6875">
          <cell r="A6875">
            <v>1500002704</v>
          </cell>
          <cell r="B6875">
            <v>3.3333333333333299</v>
          </cell>
        </row>
        <row r="6876">
          <cell r="A6876">
            <v>1500003500</v>
          </cell>
          <cell r="B6876">
            <v>2.5</v>
          </cell>
        </row>
        <row r="6877">
          <cell r="A6877">
            <v>1500003690</v>
          </cell>
          <cell r="B6877">
            <v>8.8333333333333304</v>
          </cell>
        </row>
        <row r="6878">
          <cell r="A6878">
            <v>1500004344</v>
          </cell>
          <cell r="B6878">
            <v>3.75</v>
          </cell>
        </row>
        <row r="6879">
          <cell r="A6879">
            <v>1500003009</v>
          </cell>
          <cell r="B6879">
            <v>4.6666666666666696</v>
          </cell>
        </row>
        <row r="6880">
          <cell r="A6880">
            <v>1500002466</v>
          </cell>
          <cell r="B6880">
            <v>19.3333333333333</v>
          </cell>
        </row>
        <row r="6881">
          <cell r="A6881">
            <v>1500005806</v>
          </cell>
          <cell r="B6881">
            <v>25.0833333333333</v>
          </cell>
        </row>
        <row r="6882">
          <cell r="A6882">
            <v>1500002773</v>
          </cell>
          <cell r="B6882">
            <v>22.9166666666667</v>
          </cell>
        </row>
        <row r="6883">
          <cell r="A6883">
            <v>1500005170</v>
          </cell>
          <cell r="B6883">
            <v>0</v>
          </cell>
        </row>
        <row r="6884">
          <cell r="A6884">
            <v>1500005695</v>
          </cell>
          <cell r="B6884">
            <v>0</v>
          </cell>
        </row>
        <row r="6885">
          <cell r="A6885">
            <v>1500003431</v>
          </cell>
          <cell r="B6885">
            <v>14.5</v>
          </cell>
        </row>
        <row r="6886">
          <cell r="A6886">
            <v>1500002842</v>
          </cell>
          <cell r="B6886">
            <v>3.75</v>
          </cell>
        </row>
        <row r="6887">
          <cell r="A6887">
            <v>1500002843</v>
          </cell>
          <cell r="B6887">
            <v>0</v>
          </cell>
        </row>
        <row r="6888">
          <cell r="A6888">
            <v>1500003355</v>
          </cell>
          <cell r="B6888">
            <v>30.4166666666667</v>
          </cell>
        </row>
        <row r="6889">
          <cell r="A6889">
            <v>1500006304</v>
          </cell>
          <cell r="B6889">
            <v>6.6666666666666696</v>
          </cell>
        </row>
        <row r="6890">
          <cell r="A6890">
            <v>1500004692</v>
          </cell>
          <cell r="B6890">
            <v>10.9166666666667</v>
          </cell>
        </row>
        <row r="6891">
          <cell r="A6891">
            <v>1500002616</v>
          </cell>
          <cell r="B6891">
            <v>50.5833333333333</v>
          </cell>
        </row>
        <row r="6892">
          <cell r="A6892">
            <v>1500011829</v>
          </cell>
          <cell r="B6892">
            <v>0</v>
          </cell>
        </row>
        <row r="6893">
          <cell r="A6893">
            <v>1500004784</v>
          </cell>
          <cell r="B6893">
            <v>10.9166666666667</v>
          </cell>
        </row>
        <row r="6894">
          <cell r="A6894">
            <v>1500005144</v>
          </cell>
          <cell r="B6894">
            <v>0</v>
          </cell>
        </row>
        <row r="6895">
          <cell r="A6895">
            <v>1500001736</v>
          </cell>
          <cell r="B6895">
            <v>27.9166666666667</v>
          </cell>
        </row>
        <row r="6896">
          <cell r="A6896">
            <v>1500002491</v>
          </cell>
          <cell r="B6896">
            <v>32.4166666666667</v>
          </cell>
        </row>
        <row r="6897">
          <cell r="A6897">
            <v>1500011717</v>
          </cell>
          <cell r="B6897">
            <v>5.4166666666666696</v>
          </cell>
        </row>
        <row r="6898">
          <cell r="A6898">
            <v>1500002300</v>
          </cell>
          <cell r="B6898">
            <v>13.0833333333333</v>
          </cell>
        </row>
        <row r="6899">
          <cell r="A6899">
            <v>1500002301</v>
          </cell>
          <cell r="B6899">
            <v>10.8333333333333</v>
          </cell>
        </row>
        <row r="6900">
          <cell r="A6900">
            <v>1500011741</v>
          </cell>
          <cell r="B6900">
            <v>24.5833333333333</v>
          </cell>
        </row>
        <row r="6901">
          <cell r="A6901">
            <v>1500003380</v>
          </cell>
          <cell r="B6901">
            <v>29.0833333333333</v>
          </cell>
        </row>
        <row r="6902">
          <cell r="A6902">
            <v>1500005807</v>
          </cell>
          <cell r="B6902">
            <v>51.9166666666667</v>
          </cell>
        </row>
        <row r="6903">
          <cell r="A6903">
            <v>1500002240</v>
          </cell>
          <cell r="B6903">
            <v>0</v>
          </cell>
        </row>
        <row r="6904">
          <cell r="A6904">
            <v>1500003381</v>
          </cell>
          <cell r="B6904">
            <v>0</v>
          </cell>
        </row>
        <row r="6905">
          <cell r="A6905">
            <v>1500004154</v>
          </cell>
          <cell r="B6905">
            <v>0</v>
          </cell>
        </row>
        <row r="6906">
          <cell r="A6906">
            <v>1500002993</v>
          </cell>
          <cell r="B6906">
            <v>7.5</v>
          </cell>
        </row>
        <row r="6907">
          <cell r="A6907">
            <v>1500003691</v>
          </cell>
          <cell r="B6907">
            <v>0</v>
          </cell>
        </row>
        <row r="6908">
          <cell r="A6908">
            <v>1500003779</v>
          </cell>
          <cell r="B6908">
            <v>20.8333333333333</v>
          </cell>
        </row>
        <row r="6909">
          <cell r="A6909">
            <v>1500003632</v>
          </cell>
          <cell r="B6909">
            <v>22.5</v>
          </cell>
        </row>
        <row r="6910">
          <cell r="A6910">
            <v>1500005302</v>
          </cell>
          <cell r="B6910">
            <v>0.41666666666666702</v>
          </cell>
        </row>
        <row r="6911">
          <cell r="A6911">
            <v>1500003899</v>
          </cell>
          <cell r="B6911">
            <v>0.16666666666666699</v>
          </cell>
        </row>
        <row r="6912">
          <cell r="A6912">
            <v>1500003692</v>
          </cell>
          <cell r="B6912">
            <v>0</v>
          </cell>
        </row>
        <row r="6913">
          <cell r="A6913">
            <v>1500004928</v>
          </cell>
          <cell r="B6913">
            <v>0</v>
          </cell>
        </row>
        <row r="6914">
          <cell r="A6914">
            <v>1500004929</v>
          </cell>
          <cell r="B6914">
            <v>0</v>
          </cell>
        </row>
        <row r="6915">
          <cell r="A6915">
            <v>1500004930</v>
          </cell>
          <cell r="B6915">
            <v>0</v>
          </cell>
        </row>
        <row r="6916">
          <cell r="A6916">
            <v>1500004526</v>
          </cell>
          <cell r="B6916">
            <v>36.616666666666703</v>
          </cell>
        </row>
        <row r="6917">
          <cell r="A6917">
            <v>1500002994</v>
          </cell>
          <cell r="B6917">
            <v>0</v>
          </cell>
        </row>
        <row r="6918">
          <cell r="A6918">
            <v>1500003501</v>
          </cell>
          <cell r="B6918">
            <v>7.4166666666666696</v>
          </cell>
        </row>
        <row r="6919">
          <cell r="A6919">
            <v>1500005872</v>
          </cell>
          <cell r="B6919">
            <v>72.9166666666667</v>
          </cell>
        </row>
        <row r="6920">
          <cell r="A6920">
            <v>1500006250</v>
          </cell>
          <cell r="B6920">
            <v>9.9166666666666696</v>
          </cell>
        </row>
        <row r="6921">
          <cell r="A6921">
            <v>1500005570</v>
          </cell>
          <cell r="B6921">
            <v>0</v>
          </cell>
        </row>
        <row r="6922">
          <cell r="A6922">
            <v>1500003356</v>
          </cell>
          <cell r="B6922">
            <v>0</v>
          </cell>
        </row>
        <row r="6923">
          <cell r="A6923">
            <v>1500004458</v>
          </cell>
          <cell r="B6923">
            <v>0</v>
          </cell>
        </row>
        <row r="6924">
          <cell r="A6924">
            <v>1500004459</v>
          </cell>
          <cell r="B6924">
            <v>15.8333333333333</v>
          </cell>
        </row>
        <row r="6925">
          <cell r="A6925">
            <v>1500004118</v>
          </cell>
          <cell r="B6925">
            <v>0</v>
          </cell>
        </row>
        <row r="6926">
          <cell r="A6926">
            <v>1500004155</v>
          </cell>
          <cell r="B6926">
            <v>107.875</v>
          </cell>
        </row>
        <row r="6927">
          <cell r="A6927">
            <v>1500002342</v>
          </cell>
          <cell r="B6927">
            <v>0</v>
          </cell>
        </row>
        <row r="6928">
          <cell r="A6928">
            <v>1500003042</v>
          </cell>
          <cell r="B6928">
            <v>40</v>
          </cell>
        </row>
        <row r="6929">
          <cell r="A6929">
            <v>1500003587</v>
          </cell>
          <cell r="B6929">
            <v>51.3333333333333</v>
          </cell>
        </row>
        <row r="6930">
          <cell r="A6930">
            <v>1500003811</v>
          </cell>
          <cell r="B6930">
            <v>5.8333333333333304</v>
          </cell>
        </row>
        <row r="6931">
          <cell r="A6931">
            <v>1500002731</v>
          </cell>
          <cell r="B6931">
            <v>0</v>
          </cell>
        </row>
        <row r="6932">
          <cell r="A6932">
            <v>1500005456</v>
          </cell>
          <cell r="B6932">
            <v>17.6666666666667</v>
          </cell>
        </row>
        <row r="6933">
          <cell r="A6933">
            <v>1500005530</v>
          </cell>
          <cell r="B6933">
            <v>0</v>
          </cell>
        </row>
        <row r="6934">
          <cell r="A6934">
            <v>1500002825</v>
          </cell>
          <cell r="B6934">
            <v>0.16666666666666699</v>
          </cell>
        </row>
        <row r="6935">
          <cell r="A6935">
            <v>1500002058</v>
          </cell>
          <cell r="B6935">
            <v>0</v>
          </cell>
        </row>
        <row r="6936">
          <cell r="A6936">
            <v>1500004863</v>
          </cell>
          <cell r="B6936">
            <v>39.1666666666667</v>
          </cell>
        </row>
        <row r="6937">
          <cell r="A6937">
            <v>1500005531</v>
          </cell>
          <cell r="B6937">
            <v>0</v>
          </cell>
        </row>
        <row r="6938">
          <cell r="A6938">
            <v>1500005477</v>
          </cell>
          <cell r="B6938">
            <v>10.4166666666667</v>
          </cell>
        </row>
        <row r="6939">
          <cell r="A6939">
            <v>1500005845</v>
          </cell>
          <cell r="B6939">
            <v>19.716666666666701</v>
          </cell>
        </row>
        <row r="6940">
          <cell r="A6940">
            <v>1500005532</v>
          </cell>
          <cell r="B6940">
            <v>0</v>
          </cell>
        </row>
        <row r="6941">
          <cell r="A6941">
            <v>1500005533</v>
          </cell>
          <cell r="B6941">
            <v>0</v>
          </cell>
        </row>
        <row r="6942">
          <cell r="A6942">
            <v>1500004693</v>
          </cell>
          <cell r="B6942">
            <v>21.6666666666667</v>
          </cell>
        </row>
        <row r="6943">
          <cell r="A6943">
            <v>1500011948</v>
          </cell>
          <cell r="B6943">
            <v>19.5833333333333</v>
          </cell>
        </row>
        <row r="6944">
          <cell r="A6944">
            <v>1500005601</v>
          </cell>
          <cell r="B6944">
            <v>0</v>
          </cell>
        </row>
        <row r="6945">
          <cell r="A6945">
            <v>1500002705</v>
          </cell>
          <cell r="B6945">
            <v>25.3333333333333</v>
          </cell>
        </row>
        <row r="6946">
          <cell r="A6946">
            <v>1500002689</v>
          </cell>
          <cell r="B6946">
            <v>0</v>
          </cell>
        </row>
        <row r="6947">
          <cell r="A6947">
            <v>1500004129</v>
          </cell>
          <cell r="B6947">
            <v>163.5</v>
          </cell>
        </row>
        <row r="6948">
          <cell r="A6948">
            <v>1500004130</v>
          </cell>
          <cell r="B6948">
            <v>415</v>
          </cell>
        </row>
        <row r="6949">
          <cell r="A6949">
            <v>1500005534</v>
          </cell>
          <cell r="B6949">
            <v>0</v>
          </cell>
        </row>
        <row r="6950">
          <cell r="A6950">
            <v>1500005535</v>
          </cell>
          <cell r="B6950">
            <v>0</v>
          </cell>
        </row>
        <row r="6951">
          <cell r="A6951">
            <v>1500005847</v>
          </cell>
          <cell r="B6951">
            <v>28</v>
          </cell>
        </row>
        <row r="6952">
          <cell r="A6952">
            <v>1500002521</v>
          </cell>
          <cell r="B6952">
            <v>77.650000000000006</v>
          </cell>
        </row>
        <row r="6953">
          <cell r="A6953">
            <v>1500003957</v>
          </cell>
          <cell r="B6953">
            <v>0</v>
          </cell>
        </row>
        <row r="6954">
          <cell r="A6954">
            <v>1500002732</v>
          </cell>
          <cell r="B6954">
            <v>0</v>
          </cell>
        </row>
        <row r="6955">
          <cell r="A6955">
            <v>1500002733</v>
          </cell>
          <cell r="B6955">
            <v>45</v>
          </cell>
        </row>
        <row r="6956">
          <cell r="A6956">
            <v>1500004249</v>
          </cell>
          <cell r="B6956">
            <v>40.25</v>
          </cell>
        </row>
        <row r="6957">
          <cell r="A6957">
            <v>1500006238</v>
          </cell>
          <cell r="B6957">
            <v>8.1666666666666696</v>
          </cell>
        </row>
        <row r="6958">
          <cell r="A6958">
            <v>1500002109</v>
          </cell>
          <cell r="B6958">
            <v>42.25</v>
          </cell>
        </row>
        <row r="6959">
          <cell r="A6959">
            <v>1500002302</v>
          </cell>
          <cell r="B6959">
            <v>0</v>
          </cell>
        </row>
        <row r="6960">
          <cell r="A6960">
            <v>1500005406</v>
          </cell>
          <cell r="B6960">
            <v>62.8333333333333</v>
          </cell>
        </row>
        <row r="6961">
          <cell r="A6961">
            <v>1500005407</v>
          </cell>
          <cell r="B6961">
            <v>18.914999999999999</v>
          </cell>
        </row>
        <row r="6962">
          <cell r="A6962">
            <v>1500003693</v>
          </cell>
          <cell r="B6962">
            <v>6.25</v>
          </cell>
        </row>
        <row r="6963">
          <cell r="A6963">
            <v>1500003589</v>
          </cell>
          <cell r="B6963">
            <v>4.2916666666666696</v>
          </cell>
        </row>
        <row r="6964">
          <cell r="A6964">
            <v>1500004586</v>
          </cell>
          <cell r="B6964">
            <v>0</v>
          </cell>
        </row>
        <row r="6965">
          <cell r="A6965">
            <v>1500011679</v>
          </cell>
          <cell r="B6965">
            <v>10.4166666666667</v>
          </cell>
        </row>
        <row r="6966">
          <cell r="A6966">
            <v>1500001735</v>
          </cell>
          <cell r="B6966">
            <v>23.3333333333333</v>
          </cell>
        </row>
        <row r="6967">
          <cell r="A6967">
            <v>1500002569</v>
          </cell>
          <cell r="B6967">
            <v>11</v>
          </cell>
        </row>
        <row r="6968">
          <cell r="A6968">
            <v>1500002136</v>
          </cell>
          <cell r="B6968">
            <v>0</v>
          </cell>
        </row>
        <row r="6969">
          <cell r="A6969">
            <v>1500005941</v>
          </cell>
          <cell r="B6969">
            <v>90</v>
          </cell>
        </row>
        <row r="6970">
          <cell r="A6970">
            <v>1500006156</v>
          </cell>
          <cell r="B6970">
            <v>15.4166666666667</v>
          </cell>
        </row>
        <row r="6971">
          <cell r="A6971">
            <v>1500005734</v>
          </cell>
          <cell r="B6971">
            <v>12</v>
          </cell>
        </row>
        <row r="6972">
          <cell r="A6972">
            <v>1500002126</v>
          </cell>
          <cell r="B6972">
            <v>31.4166666666667</v>
          </cell>
        </row>
        <row r="6973">
          <cell r="A6973">
            <v>1500005408</v>
          </cell>
          <cell r="B6973">
            <v>0.41666666666666702</v>
          </cell>
        </row>
        <row r="6974">
          <cell r="A6974">
            <v>1500003315</v>
          </cell>
          <cell r="B6974">
            <v>9.1666666666666696</v>
          </cell>
        </row>
        <row r="6975">
          <cell r="A6975">
            <v>1500004131</v>
          </cell>
          <cell r="B6975">
            <v>0</v>
          </cell>
        </row>
        <row r="6976">
          <cell r="A6976">
            <v>1500004132</v>
          </cell>
          <cell r="B6976">
            <v>288</v>
          </cell>
        </row>
        <row r="6977">
          <cell r="A6977">
            <v>1500004133</v>
          </cell>
          <cell r="B6977">
            <v>4.3333333333333304</v>
          </cell>
        </row>
        <row r="6978">
          <cell r="A6978">
            <v>1500003858</v>
          </cell>
          <cell r="B6978">
            <v>13.75</v>
          </cell>
        </row>
        <row r="6979">
          <cell r="A6979">
            <v>1500005924</v>
          </cell>
          <cell r="B6979">
            <v>0</v>
          </cell>
        </row>
        <row r="6980">
          <cell r="A6980">
            <v>1500005457</v>
          </cell>
          <cell r="B6980">
            <v>27.633333333333301</v>
          </cell>
        </row>
        <row r="6981">
          <cell r="A6981">
            <v>1500002690</v>
          </cell>
          <cell r="B6981">
            <v>14.5</v>
          </cell>
        </row>
        <row r="6982">
          <cell r="A6982">
            <v>1500004951</v>
          </cell>
          <cell r="B6982">
            <v>150.50833333333301</v>
          </cell>
        </row>
        <row r="6983">
          <cell r="A6983">
            <v>1500004727</v>
          </cell>
          <cell r="B6983">
            <v>11.25</v>
          </cell>
        </row>
        <row r="6984">
          <cell r="A6984">
            <v>1500004728</v>
          </cell>
          <cell r="B6984">
            <v>9.5833333333333304</v>
          </cell>
        </row>
        <row r="6985">
          <cell r="A6985">
            <v>1500004729</v>
          </cell>
          <cell r="B6985">
            <v>34.1666666666667</v>
          </cell>
        </row>
        <row r="6986">
          <cell r="A6986">
            <v>1500002413</v>
          </cell>
          <cell r="B6986">
            <v>0</v>
          </cell>
        </row>
        <row r="6987">
          <cell r="A6987">
            <v>1500004460</v>
          </cell>
          <cell r="B6987">
            <v>0</v>
          </cell>
        </row>
        <row r="6988">
          <cell r="A6988">
            <v>1500003010</v>
          </cell>
          <cell r="B6988">
            <v>0</v>
          </cell>
        </row>
        <row r="6989">
          <cell r="A6989">
            <v>1500005851</v>
          </cell>
          <cell r="B6989">
            <v>20.4166666666667</v>
          </cell>
        </row>
        <row r="6990">
          <cell r="A6990">
            <v>1500002910</v>
          </cell>
          <cell r="B6990">
            <v>2.9166666666666701</v>
          </cell>
        </row>
        <row r="6991">
          <cell r="A6991">
            <v>1500004587</v>
          </cell>
          <cell r="B6991">
            <v>0</v>
          </cell>
        </row>
        <row r="6992">
          <cell r="A6992">
            <v>1500004588</v>
          </cell>
          <cell r="B6992">
            <v>129.416666666667</v>
          </cell>
        </row>
        <row r="6993">
          <cell r="A6993">
            <v>1500004349</v>
          </cell>
          <cell r="B6993">
            <v>0</v>
          </cell>
        </row>
        <row r="6994">
          <cell r="A6994">
            <v>1500003742</v>
          </cell>
          <cell r="B6994">
            <v>0</v>
          </cell>
        </row>
        <row r="6995">
          <cell r="A6995">
            <v>1500004730</v>
          </cell>
          <cell r="B6995">
            <v>0</v>
          </cell>
        </row>
        <row r="6996">
          <cell r="A6996">
            <v>1500002920</v>
          </cell>
          <cell r="B6996">
            <v>13.3333333333333</v>
          </cell>
        </row>
        <row r="6997">
          <cell r="A6997">
            <v>1500002079</v>
          </cell>
          <cell r="B6997">
            <v>3.9166666666666701</v>
          </cell>
        </row>
        <row r="6998">
          <cell r="A6998">
            <v>1500004120</v>
          </cell>
          <cell r="B6998">
            <v>10</v>
          </cell>
        </row>
        <row r="6999">
          <cell r="A6999">
            <v>1500002844</v>
          </cell>
          <cell r="B6999">
            <v>49.3333333333333</v>
          </cell>
        </row>
        <row r="7000">
          <cell r="A7000">
            <v>1500004669</v>
          </cell>
          <cell r="B7000">
            <v>0</v>
          </cell>
        </row>
        <row r="7001">
          <cell r="A7001">
            <v>1500004433</v>
          </cell>
          <cell r="B7001">
            <v>0</v>
          </cell>
        </row>
        <row r="7002">
          <cell r="A7002">
            <v>1500004225</v>
          </cell>
          <cell r="B7002">
            <v>0</v>
          </cell>
        </row>
        <row r="7003">
          <cell r="A7003">
            <v>1500002860</v>
          </cell>
          <cell r="B7003">
            <v>29.1666666666667</v>
          </cell>
        </row>
        <row r="7004">
          <cell r="A7004">
            <v>1500003456</v>
          </cell>
          <cell r="B7004">
            <v>30.8333333333333</v>
          </cell>
        </row>
        <row r="7005">
          <cell r="A7005">
            <v>1500005039</v>
          </cell>
          <cell r="B7005">
            <v>0</v>
          </cell>
        </row>
        <row r="7006">
          <cell r="A7006">
            <v>1500002391</v>
          </cell>
          <cell r="B7006">
            <v>20.4166666666667</v>
          </cell>
        </row>
        <row r="7007">
          <cell r="A7007">
            <v>1500002260</v>
          </cell>
          <cell r="B7007">
            <v>0</v>
          </cell>
        </row>
        <row r="7008">
          <cell r="A7008">
            <v>1500002392</v>
          </cell>
          <cell r="B7008">
            <v>47.5</v>
          </cell>
        </row>
        <row r="7009">
          <cell r="A7009">
            <v>1500003457</v>
          </cell>
          <cell r="B7009">
            <v>39.5</v>
          </cell>
        </row>
        <row r="7010">
          <cell r="A7010">
            <v>1500003458</v>
          </cell>
          <cell r="B7010">
            <v>57</v>
          </cell>
        </row>
        <row r="7011">
          <cell r="A7011">
            <v>1500003459</v>
          </cell>
          <cell r="B7011">
            <v>0</v>
          </cell>
        </row>
        <row r="7012">
          <cell r="A7012">
            <v>1500005897</v>
          </cell>
          <cell r="B7012">
            <v>0</v>
          </cell>
        </row>
        <row r="7013">
          <cell r="A7013">
            <v>1500003812</v>
          </cell>
          <cell r="B7013">
            <v>0</v>
          </cell>
        </row>
        <row r="7014">
          <cell r="A7014">
            <v>1500005852</v>
          </cell>
          <cell r="B7014">
            <v>21.8333333333333</v>
          </cell>
        </row>
        <row r="7015">
          <cell r="A7015">
            <v>1500004731</v>
          </cell>
          <cell r="B7015">
            <v>0</v>
          </cell>
        </row>
        <row r="7016">
          <cell r="A7016">
            <v>1500011825</v>
          </cell>
          <cell r="B7016">
            <v>0</v>
          </cell>
        </row>
        <row r="7017">
          <cell r="A7017">
            <v>1500003132</v>
          </cell>
          <cell r="B7017">
            <v>47.1666666666667</v>
          </cell>
        </row>
        <row r="7018">
          <cell r="A7018">
            <v>1500006265</v>
          </cell>
          <cell r="B7018">
            <v>9.9166666666666696</v>
          </cell>
        </row>
        <row r="7019">
          <cell r="A7019">
            <v>1500005171</v>
          </cell>
          <cell r="B7019">
            <v>16.6666666666667</v>
          </cell>
        </row>
        <row r="7020">
          <cell r="A7020">
            <v>1500002226</v>
          </cell>
          <cell r="B7020">
            <v>0</v>
          </cell>
        </row>
        <row r="7021">
          <cell r="A7021">
            <v>1500003325</v>
          </cell>
          <cell r="B7021">
            <v>19.8333333333333</v>
          </cell>
        </row>
        <row r="7022">
          <cell r="A7022">
            <v>1500004574</v>
          </cell>
          <cell r="B7022">
            <v>0</v>
          </cell>
        </row>
        <row r="7023">
          <cell r="A7023">
            <v>1500004733</v>
          </cell>
          <cell r="B7023">
            <v>6.6666666666666696</v>
          </cell>
        </row>
        <row r="7024">
          <cell r="A7024">
            <v>1500004735</v>
          </cell>
          <cell r="B7024">
            <v>8.3333333333333304</v>
          </cell>
        </row>
        <row r="7025">
          <cell r="A7025">
            <v>1500003086</v>
          </cell>
          <cell r="B7025">
            <v>32.3333333333333</v>
          </cell>
        </row>
        <row r="7026">
          <cell r="A7026">
            <v>1500002363</v>
          </cell>
          <cell r="B7026">
            <v>18.75</v>
          </cell>
        </row>
        <row r="7027">
          <cell r="A7027">
            <v>1500003011</v>
          </cell>
          <cell r="B7027">
            <v>0</v>
          </cell>
        </row>
        <row r="7028">
          <cell r="A7028">
            <v>1500003022</v>
          </cell>
          <cell r="B7028">
            <v>0</v>
          </cell>
        </row>
        <row r="7029">
          <cell r="A7029">
            <v>1500003625</v>
          </cell>
          <cell r="B7029">
            <v>0.358333333333333</v>
          </cell>
        </row>
        <row r="7030">
          <cell r="A7030">
            <v>1500003565</v>
          </cell>
          <cell r="B7030">
            <v>79.5</v>
          </cell>
        </row>
        <row r="7031">
          <cell r="A7031">
            <v>1500005536</v>
          </cell>
          <cell r="B7031">
            <v>0</v>
          </cell>
        </row>
        <row r="7032">
          <cell r="A7032">
            <v>1500011906</v>
          </cell>
          <cell r="B7032">
            <v>13.8333333333333</v>
          </cell>
        </row>
        <row r="7033">
          <cell r="A7033">
            <v>1500005808</v>
          </cell>
          <cell r="B7033">
            <v>0</v>
          </cell>
        </row>
        <row r="7034">
          <cell r="A7034">
            <v>1500003419</v>
          </cell>
          <cell r="B7034">
            <v>27.5</v>
          </cell>
        </row>
        <row r="7035">
          <cell r="A7035">
            <v>1500004035</v>
          </cell>
          <cell r="B7035">
            <v>0</v>
          </cell>
        </row>
        <row r="7036">
          <cell r="A7036">
            <v>1500004226</v>
          </cell>
          <cell r="B7036">
            <v>55.5833333333333</v>
          </cell>
        </row>
        <row r="7037">
          <cell r="A7037">
            <v>1500003813</v>
          </cell>
          <cell r="B7037">
            <v>0</v>
          </cell>
        </row>
        <row r="7038">
          <cell r="A7038">
            <v>1500004864</v>
          </cell>
          <cell r="B7038">
            <v>0</v>
          </cell>
        </row>
        <row r="7039">
          <cell r="A7039">
            <v>1500004931</v>
          </cell>
          <cell r="B7039">
            <v>25.0833333333333</v>
          </cell>
        </row>
        <row r="7040">
          <cell r="A7040">
            <v>1500005975</v>
          </cell>
          <cell r="B7040">
            <v>0</v>
          </cell>
        </row>
        <row r="7041">
          <cell r="A7041">
            <v>1500002261</v>
          </cell>
          <cell r="B7041">
            <v>87.5</v>
          </cell>
        </row>
        <row r="7042">
          <cell r="A7042">
            <v>1500002262</v>
          </cell>
          <cell r="B7042">
            <v>41.25</v>
          </cell>
        </row>
        <row r="7043">
          <cell r="A7043">
            <v>1500005040</v>
          </cell>
          <cell r="B7043">
            <v>41.6666666666667</v>
          </cell>
        </row>
        <row r="7044">
          <cell r="A7044">
            <v>1500003460</v>
          </cell>
          <cell r="B7044">
            <v>0</v>
          </cell>
        </row>
        <row r="7045">
          <cell r="A7045">
            <v>1500005043</v>
          </cell>
          <cell r="B7045">
            <v>10.8333333333333</v>
          </cell>
        </row>
        <row r="7046">
          <cell r="A7046">
            <v>1500003934</v>
          </cell>
          <cell r="B7046">
            <v>0</v>
          </cell>
        </row>
        <row r="7047">
          <cell r="A7047">
            <v>1500004737</v>
          </cell>
          <cell r="B7047">
            <v>80.7916666666667</v>
          </cell>
        </row>
        <row r="7048">
          <cell r="A7048">
            <v>1500004738</v>
          </cell>
          <cell r="B7048">
            <v>19</v>
          </cell>
        </row>
        <row r="7049">
          <cell r="A7049">
            <v>1500004739</v>
          </cell>
          <cell r="B7049">
            <v>12.0833333333333</v>
          </cell>
        </row>
        <row r="7050">
          <cell r="A7050">
            <v>1500006334</v>
          </cell>
          <cell r="B7050">
            <v>8.8333333333333304</v>
          </cell>
        </row>
        <row r="7051">
          <cell r="A7051">
            <v>1500011699</v>
          </cell>
          <cell r="B7051">
            <v>19.5</v>
          </cell>
        </row>
        <row r="7052">
          <cell r="A7052">
            <v>1500003134</v>
          </cell>
          <cell r="B7052">
            <v>21.4166666666667</v>
          </cell>
        </row>
        <row r="7053">
          <cell r="A7053">
            <v>1500005271</v>
          </cell>
          <cell r="B7053">
            <v>0</v>
          </cell>
        </row>
        <row r="7054">
          <cell r="A7054">
            <v>1500004546</v>
          </cell>
          <cell r="B7054">
            <v>0</v>
          </cell>
        </row>
        <row r="7055">
          <cell r="A7055">
            <v>1500002177</v>
          </cell>
          <cell r="B7055">
            <v>29.1666666666667</v>
          </cell>
        </row>
        <row r="7056">
          <cell r="A7056">
            <v>1500004179</v>
          </cell>
          <cell r="B7056">
            <v>0</v>
          </cell>
        </row>
        <row r="7057">
          <cell r="A7057">
            <v>1500006157</v>
          </cell>
          <cell r="B7057">
            <v>32.9166666666667</v>
          </cell>
        </row>
        <row r="7058">
          <cell r="A7058">
            <v>1500005333</v>
          </cell>
          <cell r="B7058">
            <v>11.6666666666667</v>
          </cell>
        </row>
        <row r="7059">
          <cell r="A7059">
            <v>1500004615</v>
          </cell>
          <cell r="B7059">
            <v>0</v>
          </cell>
        </row>
        <row r="7060">
          <cell r="A7060">
            <v>1500003694</v>
          </cell>
          <cell r="B7060">
            <v>0</v>
          </cell>
        </row>
        <row r="7061">
          <cell r="A7061">
            <v>1500003152</v>
          </cell>
          <cell r="B7061">
            <v>27.5</v>
          </cell>
        </row>
        <row r="7062">
          <cell r="A7062">
            <v>1500005243</v>
          </cell>
          <cell r="B7062">
            <v>0</v>
          </cell>
        </row>
        <row r="7063">
          <cell r="A7063">
            <v>1500003043</v>
          </cell>
          <cell r="B7063">
            <v>0</v>
          </cell>
        </row>
        <row r="7064">
          <cell r="A7064">
            <v>1500002243</v>
          </cell>
          <cell r="B7064">
            <v>0</v>
          </cell>
        </row>
        <row r="7065">
          <cell r="A7065">
            <v>1500005152</v>
          </cell>
          <cell r="B7065">
            <v>23.3333333333333</v>
          </cell>
        </row>
        <row r="7066">
          <cell r="A7066">
            <v>1500005156</v>
          </cell>
          <cell r="B7066">
            <v>151.5</v>
          </cell>
        </row>
        <row r="7067">
          <cell r="A7067">
            <v>1500002995</v>
          </cell>
          <cell r="B7067">
            <v>70.891666666666694</v>
          </cell>
        </row>
        <row r="7068">
          <cell r="A7068">
            <v>1500004135</v>
          </cell>
          <cell r="B7068">
            <v>0</v>
          </cell>
        </row>
        <row r="7069">
          <cell r="A7069">
            <v>1500005580</v>
          </cell>
          <cell r="B7069">
            <v>22.5</v>
          </cell>
        </row>
        <row r="7070">
          <cell r="A7070">
            <v>1500005581</v>
          </cell>
          <cell r="B7070">
            <v>2.5</v>
          </cell>
        </row>
        <row r="7071">
          <cell r="A7071">
            <v>1500005658</v>
          </cell>
          <cell r="B7071">
            <v>0</v>
          </cell>
        </row>
        <row r="7072">
          <cell r="A7072">
            <v>1500005109</v>
          </cell>
          <cell r="B7072">
            <v>35.8333333333333</v>
          </cell>
        </row>
        <row r="7073">
          <cell r="A7073">
            <v>1500003647</v>
          </cell>
          <cell r="B7073">
            <v>0</v>
          </cell>
        </row>
        <row r="7074">
          <cell r="A7074">
            <v>1500003837</v>
          </cell>
          <cell r="B7074">
            <v>0.58333333333333304</v>
          </cell>
        </row>
        <row r="7075">
          <cell r="A7075">
            <v>1500004346</v>
          </cell>
          <cell r="B7075">
            <v>0.41666666666666702</v>
          </cell>
        </row>
        <row r="7076">
          <cell r="A7076">
            <v>1500005553</v>
          </cell>
          <cell r="B7076">
            <v>0</v>
          </cell>
        </row>
        <row r="7077">
          <cell r="A7077">
            <v>1500003978</v>
          </cell>
          <cell r="B7077">
            <v>0</v>
          </cell>
        </row>
        <row r="7078">
          <cell r="A7078">
            <v>1500004122</v>
          </cell>
          <cell r="B7078">
            <v>0</v>
          </cell>
        </row>
        <row r="7079">
          <cell r="A7079">
            <v>1500004123</v>
          </cell>
          <cell r="B7079">
            <v>7.9166666666666696</v>
          </cell>
        </row>
        <row r="7080">
          <cell r="A7080">
            <v>1500005303</v>
          </cell>
          <cell r="B7080">
            <v>0.33333333333333298</v>
          </cell>
        </row>
        <row r="7081">
          <cell r="A7081">
            <v>1500005304</v>
          </cell>
          <cell r="B7081">
            <v>0.41666666666666702</v>
          </cell>
        </row>
        <row r="7082">
          <cell r="A7082">
            <v>1500005305</v>
          </cell>
          <cell r="B7082">
            <v>18.8333333333333</v>
          </cell>
        </row>
        <row r="7083">
          <cell r="A7083">
            <v>1500004124</v>
          </cell>
          <cell r="B7083">
            <v>22.0833333333333</v>
          </cell>
        </row>
        <row r="7084">
          <cell r="A7084">
            <v>1500005853</v>
          </cell>
          <cell r="B7084">
            <v>16</v>
          </cell>
        </row>
        <row r="7085">
          <cell r="A7085">
            <v>1500005854</v>
          </cell>
          <cell r="B7085">
            <v>0</v>
          </cell>
        </row>
        <row r="7086">
          <cell r="A7086">
            <v>1500005809</v>
          </cell>
          <cell r="B7086">
            <v>59.0833333333333</v>
          </cell>
        </row>
        <row r="7087">
          <cell r="A7087">
            <v>1500002662</v>
          </cell>
          <cell r="B7087">
            <v>214.76666666666699</v>
          </cell>
        </row>
        <row r="7088">
          <cell r="A7088">
            <v>1500005603</v>
          </cell>
          <cell r="B7088">
            <v>14.4166666666667</v>
          </cell>
        </row>
        <row r="7089">
          <cell r="A7089">
            <v>1500005855</v>
          </cell>
          <cell r="B7089">
            <v>13.75</v>
          </cell>
        </row>
        <row r="7090">
          <cell r="A7090">
            <v>1500005312</v>
          </cell>
          <cell r="B7090">
            <v>0</v>
          </cell>
        </row>
        <row r="7091">
          <cell r="A7091">
            <v>1500003590</v>
          </cell>
          <cell r="B7091">
            <v>29.9166666666667</v>
          </cell>
        </row>
        <row r="7092">
          <cell r="A7092">
            <v>1500004136</v>
          </cell>
          <cell r="B7092">
            <v>0</v>
          </cell>
        </row>
        <row r="7093">
          <cell r="A7093">
            <v>1500003316</v>
          </cell>
          <cell r="B7093">
            <v>1.6666666666666701</v>
          </cell>
        </row>
        <row r="7094">
          <cell r="A7094">
            <v>1500002365</v>
          </cell>
          <cell r="B7094">
            <v>0.83333333333333304</v>
          </cell>
        </row>
        <row r="7095">
          <cell r="A7095">
            <v>1500005571</v>
          </cell>
          <cell r="B7095">
            <v>2</v>
          </cell>
        </row>
        <row r="7096">
          <cell r="A7096">
            <v>1500005334</v>
          </cell>
          <cell r="B7096">
            <v>0</v>
          </cell>
        </row>
        <row r="7097">
          <cell r="A7097">
            <v>1500004137</v>
          </cell>
          <cell r="B7097">
            <v>0</v>
          </cell>
        </row>
        <row r="7098">
          <cell r="A7098">
            <v>1500001968</v>
          </cell>
          <cell r="B7098">
            <v>0</v>
          </cell>
        </row>
        <row r="7099">
          <cell r="A7099">
            <v>1500002333</v>
          </cell>
          <cell r="B7099">
            <v>2.5</v>
          </cell>
        </row>
        <row r="7100">
          <cell r="A7100">
            <v>1500004311</v>
          </cell>
          <cell r="B7100">
            <v>37.9583333333333</v>
          </cell>
        </row>
        <row r="7101">
          <cell r="A7101">
            <v>1500004865</v>
          </cell>
          <cell r="B7101">
            <v>0</v>
          </cell>
        </row>
        <row r="7102">
          <cell r="A7102">
            <v>1500004866</v>
          </cell>
          <cell r="B7102">
            <v>0</v>
          </cell>
        </row>
        <row r="7103">
          <cell r="A7103">
            <v>1500004867</v>
          </cell>
          <cell r="B7103">
            <v>2.5</v>
          </cell>
        </row>
        <row r="7104">
          <cell r="A7104">
            <v>1500004868</v>
          </cell>
          <cell r="B7104">
            <v>20.8333333333333</v>
          </cell>
        </row>
        <row r="7105">
          <cell r="A7105">
            <v>1500004869</v>
          </cell>
          <cell r="B7105">
            <v>0</v>
          </cell>
        </row>
        <row r="7106">
          <cell r="A7106">
            <v>1500004870</v>
          </cell>
          <cell r="B7106">
            <v>23.3333333333333</v>
          </cell>
        </row>
        <row r="7107">
          <cell r="A7107">
            <v>1500004786</v>
          </cell>
          <cell r="B7107">
            <v>0</v>
          </cell>
        </row>
        <row r="7108">
          <cell r="A7108">
            <v>1500005537</v>
          </cell>
          <cell r="B7108">
            <v>131.84166666666701</v>
          </cell>
        </row>
        <row r="7109">
          <cell r="A7109">
            <v>1500005306</v>
          </cell>
          <cell r="B7109">
            <v>9.1666666666666696</v>
          </cell>
        </row>
        <row r="7110">
          <cell r="A7110">
            <v>1500005307</v>
          </cell>
          <cell r="B7110">
            <v>0.41666666666666702</v>
          </cell>
        </row>
        <row r="7111">
          <cell r="A7111">
            <v>1500002244</v>
          </cell>
          <cell r="B7111">
            <v>0</v>
          </cell>
        </row>
        <row r="7112">
          <cell r="A7112">
            <v>1500003950</v>
          </cell>
          <cell r="B7112">
            <v>0</v>
          </cell>
        </row>
        <row r="7113">
          <cell r="A7113">
            <v>1500005810</v>
          </cell>
          <cell r="B7113">
            <v>46.4166666666667</v>
          </cell>
        </row>
        <row r="7114">
          <cell r="A7114">
            <v>1500005825</v>
          </cell>
          <cell r="B7114">
            <v>0</v>
          </cell>
        </row>
        <row r="7115">
          <cell r="A7115">
            <v>1500005696</v>
          </cell>
          <cell r="B7115">
            <v>0</v>
          </cell>
        </row>
        <row r="7116">
          <cell r="A7116">
            <v>1500003326</v>
          </cell>
          <cell r="B7116">
            <v>0</v>
          </cell>
        </row>
        <row r="7117">
          <cell r="A7117">
            <v>1500004741</v>
          </cell>
          <cell r="B7117">
            <v>26.75</v>
          </cell>
        </row>
        <row r="7118">
          <cell r="A7118">
            <v>1500004742</v>
          </cell>
          <cell r="B7118">
            <v>81.266666666666694</v>
          </cell>
        </row>
        <row r="7119">
          <cell r="A7119">
            <v>1500004969</v>
          </cell>
          <cell r="B7119">
            <v>18.3333333333333</v>
          </cell>
        </row>
        <row r="7120">
          <cell r="A7120">
            <v>1500005635</v>
          </cell>
          <cell r="B7120">
            <v>89.1666666666667</v>
          </cell>
        </row>
        <row r="7121">
          <cell r="A7121">
            <v>1500002996</v>
          </cell>
          <cell r="B7121">
            <v>16.5833333333333</v>
          </cell>
        </row>
        <row r="7122">
          <cell r="A7122">
            <v>1500005746</v>
          </cell>
          <cell r="B7122">
            <v>28.3333333333333</v>
          </cell>
        </row>
        <row r="7123">
          <cell r="A7123">
            <v>1500005349</v>
          </cell>
          <cell r="B7123">
            <v>5.8333333333333304</v>
          </cell>
        </row>
        <row r="7124">
          <cell r="A7124">
            <v>1500003044</v>
          </cell>
          <cell r="B7124">
            <v>1.6666666666666701</v>
          </cell>
        </row>
        <row r="7125">
          <cell r="A7125">
            <v>1500004785</v>
          </cell>
          <cell r="B7125">
            <v>25.6666666666667</v>
          </cell>
        </row>
        <row r="7126">
          <cell r="A7126">
            <v>1500003133</v>
          </cell>
          <cell r="B7126">
            <v>10.9166666666667</v>
          </cell>
        </row>
        <row r="7127">
          <cell r="A7127">
            <v>1500004952</v>
          </cell>
          <cell r="B7127">
            <v>9.8333333333333304</v>
          </cell>
        </row>
        <row r="7128">
          <cell r="A7128">
            <v>1500003357</v>
          </cell>
          <cell r="B7128">
            <v>13.75</v>
          </cell>
        </row>
        <row r="7129">
          <cell r="A7129">
            <v>1500002942</v>
          </cell>
          <cell r="B7129">
            <v>18.3333333333333</v>
          </cell>
        </row>
        <row r="7130">
          <cell r="A7130">
            <v>1500002924</v>
          </cell>
          <cell r="B7130">
            <v>13.75</v>
          </cell>
        </row>
        <row r="7131">
          <cell r="A7131">
            <v>1500002933</v>
          </cell>
          <cell r="B7131">
            <v>0</v>
          </cell>
        </row>
        <row r="7132">
          <cell r="A7132">
            <v>1500002974</v>
          </cell>
          <cell r="B7132">
            <v>0</v>
          </cell>
        </row>
        <row r="7133">
          <cell r="A7133">
            <v>1500006239</v>
          </cell>
          <cell r="B7133">
            <v>7.5833333333333304</v>
          </cell>
        </row>
        <row r="7134">
          <cell r="A7134">
            <v>1500006243</v>
          </cell>
          <cell r="B7134">
            <v>51.25</v>
          </cell>
        </row>
        <row r="7135">
          <cell r="A7135">
            <v>1500011737</v>
          </cell>
          <cell r="B7135">
            <v>0</v>
          </cell>
        </row>
        <row r="7136">
          <cell r="A7136">
            <v>1500005538</v>
          </cell>
          <cell r="B7136">
            <v>0</v>
          </cell>
        </row>
        <row r="7137">
          <cell r="A7137">
            <v>1500002905</v>
          </cell>
          <cell r="B7137">
            <v>0</v>
          </cell>
        </row>
        <row r="7138">
          <cell r="A7138">
            <v>1500002906</v>
          </cell>
          <cell r="B7138">
            <v>10</v>
          </cell>
        </row>
        <row r="7139">
          <cell r="A7139">
            <v>1500005697</v>
          </cell>
          <cell r="B7139">
            <v>0</v>
          </cell>
        </row>
        <row r="7140">
          <cell r="A7140">
            <v>1500005172</v>
          </cell>
          <cell r="B7140">
            <v>0</v>
          </cell>
        </row>
        <row r="7141">
          <cell r="A7141">
            <v>1500002976</v>
          </cell>
          <cell r="B7141">
            <v>0.41666666666666702</v>
          </cell>
        </row>
        <row r="7142">
          <cell r="A7142">
            <v>1500002393</v>
          </cell>
          <cell r="B7142">
            <v>0</v>
          </cell>
        </row>
        <row r="7143">
          <cell r="A7143">
            <v>1500002264</v>
          </cell>
          <cell r="B7143">
            <v>11.6666666666667</v>
          </cell>
        </row>
        <row r="7144">
          <cell r="A7144">
            <v>1500002846</v>
          </cell>
          <cell r="B7144">
            <v>0</v>
          </cell>
        </row>
        <row r="7145">
          <cell r="A7145">
            <v>1500005583</v>
          </cell>
          <cell r="B7145">
            <v>12.5</v>
          </cell>
        </row>
        <row r="7146">
          <cell r="A7146">
            <v>1500002137</v>
          </cell>
          <cell r="B7146">
            <v>65.691666666666706</v>
          </cell>
        </row>
        <row r="7147">
          <cell r="A7147">
            <v>1500002100</v>
          </cell>
          <cell r="B7147">
            <v>0</v>
          </cell>
        </row>
        <row r="7148">
          <cell r="A7148">
            <v>1500005636</v>
          </cell>
          <cell r="B7148">
            <v>8.3333333333333304</v>
          </cell>
        </row>
        <row r="7149">
          <cell r="A7149">
            <v>1500002522</v>
          </cell>
          <cell r="B7149">
            <v>205.25</v>
          </cell>
        </row>
        <row r="7150">
          <cell r="A7150">
            <v>1500003817</v>
          </cell>
          <cell r="B7150">
            <v>0</v>
          </cell>
        </row>
        <row r="7151">
          <cell r="A7151">
            <v>1500004871</v>
          </cell>
          <cell r="B7151">
            <v>0</v>
          </cell>
        </row>
        <row r="7152">
          <cell r="A7152">
            <v>1500002735</v>
          </cell>
          <cell r="B7152">
            <v>25</v>
          </cell>
        </row>
        <row r="7153">
          <cell r="A7153">
            <v>1500003780</v>
          </cell>
          <cell r="B7153">
            <v>4.4166666666666696</v>
          </cell>
        </row>
        <row r="7154">
          <cell r="A7154">
            <v>1500003781</v>
          </cell>
          <cell r="B7154">
            <v>0</v>
          </cell>
        </row>
        <row r="7155">
          <cell r="A7155">
            <v>1500003591</v>
          </cell>
          <cell r="B7155">
            <v>112.425</v>
          </cell>
        </row>
        <row r="7156">
          <cell r="A7156">
            <v>1500005290</v>
          </cell>
          <cell r="B7156">
            <v>47.0833333333333</v>
          </cell>
        </row>
        <row r="7157">
          <cell r="A7157">
            <v>1500002777</v>
          </cell>
          <cell r="B7157">
            <v>0</v>
          </cell>
        </row>
        <row r="7158">
          <cell r="A7158">
            <v>1500011702</v>
          </cell>
          <cell r="B7158">
            <v>24.8333333333333</v>
          </cell>
        </row>
        <row r="7159">
          <cell r="A7159">
            <v>1500004602</v>
          </cell>
          <cell r="B7159">
            <v>2.5</v>
          </cell>
        </row>
        <row r="7160">
          <cell r="A7160">
            <v>1500004646</v>
          </cell>
          <cell r="B7160">
            <v>2.1666666666666701</v>
          </cell>
        </row>
        <row r="7161">
          <cell r="A7161">
            <v>1500002093</v>
          </cell>
          <cell r="B7161">
            <v>0</v>
          </cell>
        </row>
        <row r="7162">
          <cell r="A7162">
            <v>1500001782</v>
          </cell>
          <cell r="B7162">
            <v>35.5</v>
          </cell>
        </row>
        <row r="7163">
          <cell r="A7163">
            <v>1500005698</v>
          </cell>
          <cell r="B7163">
            <v>0</v>
          </cell>
        </row>
        <row r="7164">
          <cell r="A7164">
            <v>1500001992</v>
          </cell>
          <cell r="B7164">
            <v>50.75</v>
          </cell>
        </row>
        <row r="7165">
          <cell r="A7165">
            <v>1500006242</v>
          </cell>
          <cell r="B7165">
            <v>16.6666666666667</v>
          </cell>
        </row>
        <row r="7166">
          <cell r="A7166">
            <v>1500006247</v>
          </cell>
          <cell r="B7166">
            <v>0.58333333333333304</v>
          </cell>
        </row>
        <row r="7167">
          <cell r="A7167">
            <v>1500006248</v>
          </cell>
          <cell r="B7167">
            <v>94.5833333333333</v>
          </cell>
        </row>
        <row r="7168">
          <cell r="A7168">
            <v>1500006249</v>
          </cell>
          <cell r="B7168">
            <v>0</v>
          </cell>
        </row>
        <row r="7169">
          <cell r="A7169">
            <v>1500006251</v>
          </cell>
          <cell r="B7169">
            <v>0</v>
          </cell>
        </row>
        <row r="7170">
          <cell r="A7170">
            <v>1500006252</v>
          </cell>
          <cell r="B7170">
            <v>0</v>
          </cell>
        </row>
        <row r="7171">
          <cell r="A7171">
            <v>1500006255</v>
          </cell>
          <cell r="B7171">
            <v>2</v>
          </cell>
        </row>
        <row r="7172">
          <cell r="A7172">
            <v>1500006256</v>
          </cell>
          <cell r="B7172">
            <v>6.6666666666666696</v>
          </cell>
        </row>
        <row r="7173">
          <cell r="A7173">
            <v>1500011688</v>
          </cell>
          <cell r="B7173">
            <v>25.5</v>
          </cell>
        </row>
        <row r="7174">
          <cell r="A7174">
            <v>1500012209</v>
          </cell>
          <cell r="B7174">
            <v>38.9166666666667</v>
          </cell>
        </row>
        <row r="7175">
          <cell r="A7175">
            <v>1500011728</v>
          </cell>
          <cell r="B7175">
            <v>76</v>
          </cell>
        </row>
        <row r="7176">
          <cell r="A7176">
            <v>1500006261</v>
          </cell>
          <cell r="B7176">
            <v>7.75</v>
          </cell>
        </row>
        <row r="7177">
          <cell r="A7177">
            <v>1500006264</v>
          </cell>
          <cell r="B7177">
            <v>12.5</v>
          </cell>
        </row>
        <row r="7178">
          <cell r="A7178">
            <v>1500006266</v>
          </cell>
          <cell r="B7178">
            <v>24.1666666666667</v>
          </cell>
        </row>
        <row r="7179">
          <cell r="A7179">
            <v>1500006267</v>
          </cell>
          <cell r="B7179">
            <v>48.3333333333333</v>
          </cell>
        </row>
        <row r="7180">
          <cell r="A7180">
            <v>1500006269</v>
          </cell>
          <cell r="B7180">
            <v>81.4166666666667</v>
          </cell>
        </row>
        <row r="7181">
          <cell r="A7181">
            <v>1500006270</v>
          </cell>
          <cell r="B7181">
            <v>18.4166666666667</v>
          </cell>
        </row>
        <row r="7182">
          <cell r="A7182">
            <v>1500006271</v>
          </cell>
          <cell r="B7182">
            <v>25</v>
          </cell>
        </row>
        <row r="7183">
          <cell r="A7183">
            <v>1500006272</v>
          </cell>
          <cell r="B7183">
            <v>38.75</v>
          </cell>
        </row>
        <row r="7184">
          <cell r="A7184">
            <v>1500006273</v>
          </cell>
          <cell r="B7184">
            <v>16.6666666666667</v>
          </cell>
        </row>
        <row r="7185">
          <cell r="A7185">
            <v>1500006282</v>
          </cell>
          <cell r="B7185">
            <v>0</v>
          </cell>
        </row>
        <row r="7186">
          <cell r="A7186">
            <v>1500006285</v>
          </cell>
          <cell r="B7186">
            <v>205.67500000000001</v>
          </cell>
        </row>
        <row r="7187">
          <cell r="A7187">
            <v>1500006286</v>
          </cell>
          <cell r="B7187">
            <v>0</v>
          </cell>
        </row>
        <row r="7188">
          <cell r="A7188">
            <v>1500006287</v>
          </cell>
          <cell r="B7188">
            <v>0.83333333333333304</v>
          </cell>
        </row>
        <row r="7189">
          <cell r="A7189">
            <v>1500006290</v>
          </cell>
          <cell r="B7189">
            <v>0.41666666666666702</v>
          </cell>
        </row>
        <row r="7190">
          <cell r="A7190">
            <v>1500006268</v>
          </cell>
          <cell r="B7190">
            <v>9.4166666666666696</v>
          </cell>
        </row>
        <row r="7191">
          <cell r="A7191">
            <v>1500006288</v>
          </cell>
          <cell r="B7191">
            <v>1.25</v>
          </cell>
        </row>
        <row r="7192">
          <cell r="A7192">
            <v>1500006341</v>
          </cell>
          <cell r="B7192">
            <v>0</v>
          </cell>
        </row>
        <row r="7193">
          <cell r="A7193">
            <v>1500006301</v>
          </cell>
          <cell r="B7193">
            <v>8.3333333333333304</v>
          </cell>
        </row>
        <row r="7194">
          <cell r="A7194">
            <v>1500006302</v>
          </cell>
          <cell r="B7194">
            <v>0</v>
          </cell>
        </row>
        <row r="7195">
          <cell r="A7195">
            <v>1500006307</v>
          </cell>
          <cell r="B7195">
            <v>0</v>
          </cell>
        </row>
        <row r="7196">
          <cell r="A7196">
            <v>1500006314</v>
          </cell>
          <cell r="B7196">
            <v>16.5833333333333</v>
          </cell>
        </row>
        <row r="7197">
          <cell r="A7197">
            <v>1500006315</v>
          </cell>
          <cell r="B7197">
            <v>102.091666666667</v>
          </cell>
        </row>
        <row r="7198">
          <cell r="A7198">
            <v>1500006316</v>
          </cell>
          <cell r="B7198">
            <v>20.1666666666667</v>
          </cell>
        </row>
        <row r="7199">
          <cell r="A7199">
            <v>1500006317</v>
          </cell>
          <cell r="B7199">
            <v>60.3333333333333</v>
          </cell>
        </row>
        <row r="7200">
          <cell r="A7200">
            <v>1500006318</v>
          </cell>
          <cell r="B7200">
            <v>50.3333333333333</v>
          </cell>
        </row>
        <row r="7201">
          <cell r="A7201">
            <v>1500006319</v>
          </cell>
          <cell r="B7201">
            <v>0</v>
          </cell>
        </row>
        <row r="7202">
          <cell r="A7202">
            <v>1500006320</v>
          </cell>
          <cell r="B7202">
            <v>9.1666666666666696</v>
          </cell>
        </row>
        <row r="7203">
          <cell r="A7203">
            <v>1500006322</v>
          </cell>
          <cell r="B7203">
            <v>7.8333333333333304</v>
          </cell>
        </row>
        <row r="7204">
          <cell r="A7204">
            <v>1500006325</v>
          </cell>
          <cell r="B7204">
            <v>0</v>
          </cell>
        </row>
        <row r="7205">
          <cell r="A7205">
            <v>1500006326</v>
          </cell>
          <cell r="B7205">
            <v>28.9166666666667</v>
          </cell>
        </row>
        <row r="7206">
          <cell r="A7206">
            <v>1500006327</v>
          </cell>
          <cell r="B7206">
            <v>20.1666666666667</v>
          </cell>
        </row>
        <row r="7207">
          <cell r="A7207">
            <v>1500006330</v>
          </cell>
          <cell r="B7207">
            <v>0</v>
          </cell>
        </row>
        <row r="7208">
          <cell r="A7208">
            <v>1500006335</v>
          </cell>
          <cell r="B7208">
            <v>1.75</v>
          </cell>
        </row>
        <row r="7209">
          <cell r="A7209">
            <v>1500011945</v>
          </cell>
          <cell r="B7209">
            <v>0</v>
          </cell>
        </row>
        <row r="7210">
          <cell r="A7210">
            <v>1500011671</v>
          </cell>
          <cell r="B7210">
            <v>10.3333333333333</v>
          </cell>
        </row>
        <row r="7211">
          <cell r="A7211">
            <v>1500012404</v>
          </cell>
          <cell r="B7211">
            <v>6.6666666666666696</v>
          </cell>
        </row>
        <row r="7212">
          <cell r="A7212">
            <v>1500011918</v>
          </cell>
          <cell r="B7212">
            <v>0</v>
          </cell>
        </row>
        <row r="7213">
          <cell r="A7213">
            <v>1500011674</v>
          </cell>
          <cell r="B7213">
            <v>0</v>
          </cell>
        </row>
        <row r="7214">
          <cell r="A7214">
            <v>1500011675</v>
          </cell>
          <cell r="B7214">
            <v>0</v>
          </cell>
        </row>
        <row r="7215">
          <cell r="A7215">
            <v>1500011676</v>
          </cell>
          <cell r="B7215">
            <v>0</v>
          </cell>
        </row>
        <row r="7216">
          <cell r="A7216">
            <v>1500011677</v>
          </cell>
          <cell r="B7216">
            <v>1.6666666666666701</v>
          </cell>
        </row>
        <row r="7217">
          <cell r="A7217">
            <v>1500011919</v>
          </cell>
          <cell r="B7217">
            <v>0</v>
          </cell>
        </row>
        <row r="7218">
          <cell r="A7218">
            <v>1500011920</v>
          </cell>
          <cell r="B7218">
            <v>14.5833333333333</v>
          </cell>
        </row>
        <row r="7219">
          <cell r="A7219">
            <v>1500011921</v>
          </cell>
          <cell r="B7219">
            <v>5.4166666666666696</v>
          </cell>
        </row>
        <row r="7220">
          <cell r="A7220">
            <v>1500011923</v>
          </cell>
          <cell r="B7220">
            <v>49.1666666666667</v>
          </cell>
        </row>
        <row r="7221">
          <cell r="A7221">
            <v>1500011924</v>
          </cell>
          <cell r="B7221">
            <v>2.5</v>
          </cell>
        </row>
        <row r="7222">
          <cell r="A7222">
            <v>1500011925</v>
          </cell>
          <cell r="B7222">
            <v>0</v>
          </cell>
        </row>
        <row r="7223">
          <cell r="A7223">
            <v>1500011685</v>
          </cell>
          <cell r="B7223">
            <v>3.3333333333333299</v>
          </cell>
        </row>
        <row r="7224">
          <cell r="A7224">
            <v>1500011926</v>
          </cell>
          <cell r="B7224">
            <v>0</v>
          </cell>
        </row>
        <row r="7225">
          <cell r="A7225">
            <v>1500011927</v>
          </cell>
          <cell r="B7225">
            <v>33.4166666666667</v>
          </cell>
        </row>
        <row r="7226">
          <cell r="A7226">
            <v>1500011928</v>
          </cell>
          <cell r="B7226">
            <v>39.25</v>
          </cell>
        </row>
        <row r="7227">
          <cell r="A7227">
            <v>1500011929</v>
          </cell>
          <cell r="B7227">
            <v>0</v>
          </cell>
        </row>
        <row r="7228">
          <cell r="A7228">
            <v>1500011930</v>
          </cell>
          <cell r="B7228">
            <v>0</v>
          </cell>
        </row>
        <row r="7229">
          <cell r="A7229">
            <v>1500011686</v>
          </cell>
          <cell r="B7229">
            <v>0</v>
          </cell>
        </row>
        <row r="7230">
          <cell r="A7230">
            <v>1500011687</v>
          </cell>
          <cell r="B7230">
            <v>0</v>
          </cell>
        </row>
        <row r="7231">
          <cell r="A7231">
            <v>1500011827</v>
          </cell>
          <cell r="B7231">
            <v>31.5833333333333</v>
          </cell>
        </row>
        <row r="7232">
          <cell r="A7232">
            <v>1500011871</v>
          </cell>
          <cell r="B7232">
            <v>0</v>
          </cell>
        </row>
        <row r="7233">
          <cell r="A7233">
            <v>1500011693</v>
          </cell>
          <cell r="B7233">
            <v>4</v>
          </cell>
        </row>
        <row r="7234">
          <cell r="A7234">
            <v>1500011694</v>
          </cell>
          <cell r="B7234">
            <v>0</v>
          </cell>
        </row>
        <row r="7235">
          <cell r="A7235">
            <v>1500011695</v>
          </cell>
          <cell r="B7235">
            <v>0</v>
          </cell>
        </row>
        <row r="7236">
          <cell r="A7236">
            <v>1500011696</v>
          </cell>
          <cell r="B7236">
            <v>0</v>
          </cell>
        </row>
        <row r="7237">
          <cell r="A7237">
            <v>1500011697</v>
          </cell>
          <cell r="B7237">
            <v>10.8333333333333</v>
          </cell>
        </row>
        <row r="7238">
          <cell r="A7238">
            <v>1500011698</v>
          </cell>
          <cell r="B7238">
            <v>23.6666666666667</v>
          </cell>
        </row>
        <row r="7239">
          <cell r="A7239">
            <v>1500011933</v>
          </cell>
          <cell r="B7239">
            <v>71.5</v>
          </cell>
        </row>
        <row r="7240">
          <cell r="A7240">
            <v>1500011705</v>
          </cell>
          <cell r="B7240">
            <v>0</v>
          </cell>
        </row>
        <row r="7241">
          <cell r="A7241">
            <v>1500011707</v>
          </cell>
          <cell r="B7241">
            <v>62.9166666666667</v>
          </cell>
        </row>
        <row r="7242">
          <cell r="A7242">
            <v>1500011711</v>
          </cell>
          <cell r="B7242">
            <v>26.6666666666667</v>
          </cell>
        </row>
        <row r="7243">
          <cell r="A7243">
            <v>1500011938</v>
          </cell>
          <cell r="B7243">
            <v>8.1666666666666696</v>
          </cell>
        </row>
        <row r="7244">
          <cell r="A7244">
            <v>1500011939</v>
          </cell>
          <cell r="B7244">
            <v>54.1666666666667</v>
          </cell>
        </row>
        <row r="7245">
          <cell r="A7245">
            <v>1500011940</v>
          </cell>
          <cell r="B7245">
            <v>0</v>
          </cell>
        </row>
        <row r="7246">
          <cell r="A7246">
            <v>1500011715</v>
          </cell>
          <cell r="B7246">
            <v>0</v>
          </cell>
        </row>
        <row r="7247">
          <cell r="A7247">
            <v>1500011716</v>
          </cell>
          <cell r="B7247">
            <v>0</v>
          </cell>
        </row>
        <row r="7248">
          <cell r="A7248">
            <v>1500011719</v>
          </cell>
          <cell r="B7248">
            <v>14.75</v>
          </cell>
        </row>
        <row r="7249">
          <cell r="A7249">
            <v>1500011720</v>
          </cell>
          <cell r="B7249">
            <v>0</v>
          </cell>
        </row>
        <row r="7250">
          <cell r="A7250">
            <v>1500011721</v>
          </cell>
          <cell r="B7250">
            <v>7.8333333333333304</v>
          </cell>
        </row>
        <row r="7251">
          <cell r="A7251">
            <v>1500011943</v>
          </cell>
          <cell r="B7251">
            <v>0</v>
          </cell>
        </row>
        <row r="7252">
          <cell r="A7252">
            <v>1500011722</v>
          </cell>
          <cell r="B7252">
            <v>4.1666666666666696</v>
          </cell>
        </row>
        <row r="7253">
          <cell r="A7253">
            <v>1500011723</v>
          </cell>
          <cell r="B7253">
            <v>29.25</v>
          </cell>
        </row>
        <row r="7254">
          <cell r="A7254">
            <v>1500011944</v>
          </cell>
          <cell r="B7254">
            <v>0</v>
          </cell>
        </row>
        <row r="7255">
          <cell r="A7255">
            <v>1500011725</v>
          </cell>
          <cell r="B7255">
            <v>4.1666666666666696</v>
          </cell>
        </row>
        <row r="7256">
          <cell r="A7256">
            <v>1500011727</v>
          </cell>
          <cell r="B7256">
            <v>0</v>
          </cell>
        </row>
        <row r="7257">
          <cell r="A7257">
            <v>1500011729</v>
          </cell>
          <cell r="B7257">
            <v>0</v>
          </cell>
        </row>
        <row r="7258">
          <cell r="A7258">
            <v>1500011730</v>
          </cell>
          <cell r="B7258">
            <v>3.3333333333333299</v>
          </cell>
        </row>
        <row r="7259">
          <cell r="A7259">
            <v>1500011731</v>
          </cell>
          <cell r="B7259">
            <v>0</v>
          </cell>
        </row>
        <row r="7260">
          <cell r="A7260">
            <v>1500011947</v>
          </cell>
          <cell r="B7260">
            <v>18.3333333333333</v>
          </cell>
        </row>
        <row r="7261">
          <cell r="A7261">
            <v>1500011746</v>
          </cell>
          <cell r="B7261">
            <v>0</v>
          </cell>
        </row>
        <row r="7262">
          <cell r="A7262">
            <v>1500011786</v>
          </cell>
          <cell r="B7262">
            <v>23.966666666666701</v>
          </cell>
        </row>
        <row r="7263">
          <cell r="A7263">
            <v>1500011744</v>
          </cell>
          <cell r="B7263">
            <v>0</v>
          </cell>
        </row>
        <row r="7264">
          <cell r="A7264">
            <v>1500011784</v>
          </cell>
          <cell r="B7264">
            <v>0</v>
          </cell>
        </row>
        <row r="7265">
          <cell r="A7265">
            <v>1500011745</v>
          </cell>
          <cell r="B7265">
            <v>0</v>
          </cell>
        </row>
        <row r="7266">
          <cell r="A7266">
            <v>1500011946</v>
          </cell>
          <cell r="B7266">
            <v>0</v>
          </cell>
        </row>
        <row r="7267">
          <cell r="A7267">
            <v>1500011735</v>
          </cell>
          <cell r="B7267">
            <v>70.6666666666667</v>
          </cell>
        </row>
        <row r="7268">
          <cell r="A7268">
            <v>1500011733</v>
          </cell>
          <cell r="B7268">
            <v>1.5</v>
          </cell>
        </row>
        <row r="7269">
          <cell r="A7269">
            <v>1500011790</v>
          </cell>
          <cell r="B7269">
            <v>33.9583333333333</v>
          </cell>
        </row>
        <row r="7270">
          <cell r="A7270">
            <v>1500011749</v>
          </cell>
          <cell r="B7270">
            <v>156.25</v>
          </cell>
        </row>
        <row r="7271">
          <cell r="A7271">
            <v>1500011750</v>
          </cell>
          <cell r="B7271">
            <v>0</v>
          </cell>
        </row>
        <row r="7272">
          <cell r="A7272">
            <v>1500011739</v>
          </cell>
          <cell r="B7272">
            <v>20.8333333333333</v>
          </cell>
        </row>
        <row r="7273">
          <cell r="A7273">
            <v>1500011738</v>
          </cell>
          <cell r="B7273">
            <v>48.1666666666667</v>
          </cell>
        </row>
        <row r="7274">
          <cell r="A7274">
            <v>1500011780</v>
          </cell>
          <cell r="B7274">
            <v>0</v>
          </cell>
        </row>
        <row r="7275">
          <cell r="A7275">
            <v>1500011754</v>
          </cell>
          <cell r="B7275">
            <v>11.9166666666667</v>
          </cell>
        </row>
        <row r="7276">
          <cell r="A7276">
            <v>1500011755</v>
          </cell>
          <cell r="B7276">
            <v>0</v>
          </cell>
        </row>
        <row r="7277">
          <cell r="A7277">
            <v>1500011756</v>
          </cell>
          <cell r="B7277">
            <v>25.875</v>
          </cell>
        </row>
        <row r="7278">
          <cell r="A7278">
            <v>1500011757</v>
          </cell>
          <cell r="B7278">
            <v>48.3333333333333</v>
          </cell>
        </row>
        <row r="7279">
          <cell r="A7279">
            <v>1500011803</v>
          </cell>
          <cell r="B7279">
            <v>0</v>
          </cell>
        </row>
        <row r="7280">
          <cell r="A7280">
            <v>1500011758</v>
          </cell>
          <cell r="B7280">
            <v>32.5833333333333</v>
          </cell>
        </row>
        <row r="7281">
          <cell r="A7281">
            <v>1500011805</v>
          </cell>
          <cell r="B7281">
            <v>0</v>
          </cell>
        </row>
        <row r="7282">
          <cell r="A7282">
            <v>1500011759</v>
          </cell>
          <cell r="B7282">
            <v>0</v>
          </cell>
        </row>
        <row r="7283">
          <cell r="A7283">
            <v>1500011761</v>
          </cell>
          <cell r="B7283">
            <v>0</v>
          </cell>
        </row>
        <row r="7284">
          <cell r="A7284">
            <v>1500011762</v>
          </cell>
          <cell r="B7284">
            <v>22.0833333333333</v>
          </cell>
        </row>
        <row r="7285">
          <cell r="A7285">
            <v>1500011811</v>
          </cell>
          <cell r="B7285">
            <v>8</v>
          </cell>
        </row>
        <row r="7286">
          <cell r="A7286">
            <v>1500011812</v>
          </cell>
          <cell r="B7286">
            <v>14.3333333333333</v>
          </cell>
        </row>
        <row r="7287">
          <cell r="A7287">
            <v>1500011764</v>
          </cell>
          <cell r="B7287">
            <v>20.8333333333333</v>
          </cell>
        </row>
        <row r="7288">
          <cell r="A7288">
            <v>1500011765</v>
          </cell>
          <cell r="B7288">
            <v>2.5</v>
          </cell>
        </row>
        <row r="7289">
          <cell r="A7289">
            <v>1500011771</v>
          </cell>
          <cell r="B7289">
            <v>0</v>
          </cell>
        </row>
        <row r="7290">
          <cell r="A7290">
            <v>1500011773</v>
          </cell>
          <cell r="B7290">
            <v>0</v>
          </cell>
        </row>
        <row r="7291">
          <cell r="A7291">
            <v>1500011788</v>
          </cell>
          <cell r="B7291">
            <v>10.75</v>
          </cell>
        </row>
        <row r="7292">
          <cell r="A7292">
            <v>1500011822</v>
          </cell>
          <cell r="B7292">
            <v>0</v>
          </cell>
        </row>
        <row r="7293">
          <cell r="A7293">
            <v>1500011792</v>
          </cell>
          <cell r="B7293">
            <v>1.6666666666666701</v>
          </cell>
        </row>
        <row r="7294">
          <cell r="A7294">
            <v>1500011824</v>
          </cell>
          <cell r="B7294">
            <v>17.3333333333333</v>
          </cell>
        </row>
        <row r="7295">
          <cell r="A7295">
            <v>1500011826</v>
          </cell>
          <cell r="B7295">
            <v>0.66666666666666696</v>
          </cell>
        </row>
        <row r="7296">
          <cell r="A7296">
            <v>1500011802</v>
          </cell>
          <cell r="B7296">
            <v>18.5</v>
          </cell>
        </row>
        <row r="7297">
          <cell r="A7297">
            <v>1500011810</v>
          </cell>
          <cell r="B7297">
            <v>19.7083333333333</v>
          </cell>
        </row>
        <row r="7298">
          <cell r="A7298">
            <v>1500011813</v>
          </cell>
          <cell r="B7298">
            <v>10.5833333333333</v>
          </cell>
        </row>
        <row r="7299">
          <cell r="A7299">
            <v>1500011830</v>
          </cell>
          <cell r="B7299">
            <v>0</v>
          </cell>
        </row>
        <row r="7300">
          <cell r="A7300">
            <v>1500011831</v>
          </cell>
          <cell r="B7300">
            <v>16.6666666666667</v>
          </cell>
        </row>
        <row r="7301">
          <cell r="A7301">
            <v>1500011833</v>
          </cell>
          <cell r="B7301">
            <v>2.5</v>
          </cell>
        </row>
        <row r="7302">
          <cell r="A7302">
            <v>1500011834</v>
          </cell>
          <cell r="B7302">
            <v>12.0833333333333</v>
          </cell>
        </row>
        <row r="7303">
          <cell r="A7303">
            <v>1500011835</v>
          </cell>
          <cell r="B7303">
            <v>0</v>
          </cell>
        </row>
        <row r="7304">
          <cell r="A7304">
            <v>1500011837</v>
          </cell>
          <cell r="B7304">
            <v>0</v>
          </cell>
        </row>
        <row r="7305">
          <cell r="A7305">
            <v>1500011838</v>
          </cell>
          <cell r="B7305">
            <v>25</v>
          </cell>
        </row>
        <row r="7306">
          <cell r="A7306">
            <v>1500011839</v>
          </cell>
          <cell r="B7306">
            <v>9.1666666666666696</v>
          </cell>
        </row>
        <row r="7307">
          <cell r="A7307">
            <v>1500011840</v>
          </cell>
          <cell r="B7307">
            <v>29.9166666666667</v>
          </cell>
        </row>
        <row r="7308">
          <cell r="A7308">
            <v>1500011841</v>
          </cell>
          <cell r="B7308">
            <v>37.3333333333333</v>
          </cell>
        </row>
        <row r="7309">
          <cell r="A7309">
            <v>1500011843</v>
          </cell>
          <cell r="B7309">
            <v>0</v>
          </cell>
        </row>
        <row r="7310">
          <cell r="A7310">
            <v>1500011852</v>
          </cell>
          <cell r="B7310">
            <v>82.0833333333333</v>
          </cell>
        </row>
        <row r="7311">
          <cell r="A7311">
            <v>1500011853</v>
          </cell>
          <cell r="B7311">
            <v>1.6666666666666701</v>
          </cell>
        </row>
        <row r="7312">
          <cell r="A7312">
            <v>1500011855</v>
          </cell>
          <cell r="B7312">
            <v>14.0833333333333</v>
          </cell>
        </row>
        <row r="7313">
          <cell r="A7313">
            <v>1500011857</v>
          </cell>
          <cell r="B7313">
            <v>4.4166666666666696</v>
          </cell>
        </row>
        <row r="7314">
          <cell r="A7314">
            <v>1500011800</v>
          </cell>
          <cell r="B7314">
            <v>8.9499999999999993</v>
          </cell>
        </row>
        <row r="7315">
          <cell r="A7315">
            <v>1500011807</v>
          </cell>
          <cell r="B7315">
            <v>18.25</v>
          </cell>
        </row>
        <row r="7316">
          <cell r="A7316">
            <v>1500011859</v>
          </cell>
          <cell r="B7316">
            <v>33.3333333333333</v>
          </cell>
        </row>
        <row r="7317">
          <cell r="A7317">
            <v>1500011860</v>
          </cell>
          <cell r="B7317">
            <v>0</v>
          </cell>
        </row>
        <row r="7318">
          <cell r="A7318">
            <v>1500011861</v>
          </cell>
          <cell r="B7318">
            <v>37.4583333333333</v>
          </cell>
        </row>
        <row r="7319">
          <cell r="A7319">
            <v>1500011862</v>
          </cell>
          <cell r="B7319">
            <v>0</v>
          </cell>
        </row>
        <row r="7320">
          <cell r="A7320">
            <v>1500011814</v>
          </cell>
          <cell r="B7320">
            <v>25.4166666666667</v>
          </cell>
        </row>
        <row r="7321">
          <cell r="A7321">
            <v>1500011864</v>
          </cell>
          <cell r="B7321">
            <v>35.733333333333299</v>
          </cell>
        </row>
        <row r="7322">
          <cell r="A7322">
            <v>1500011865</v>
          </cell>
          <cell r="B7322">
            <v>0</v>
          </cell>
        </row>
        <row r="7323">
          <cell r="A7323">
            <v>1500011867</v>
          </cell>
          <cell r="B7323">
            <v>0</v>
          </cell>
        </row>
        <row r="7324">
          <cell r="A7324">
            <v>1500011903</v>
          </cell>
          <cell r="B7324">
            <v>0</v>
          </cell>
        </row>
        <row r="7325">
          <cell r="A7325">
            <v>1500011872</v>
          </cell>
          <cell r="B7325">
            <v>15.4166666666667</v>
          </cell>
        </row>
        <row r="7326">
          <cell r="A7326">
            <v>1500011873</v>
          </cell>
          <cell r="B7326">
            <v>26.6666666666667</v>
          </cell>
        </row>
        <row r="7327">
          <cell r="A7327">
            <v>1500011874</v>
          </cell>
          <cell r="B7327">
            <v>0</v>
          </cell>
        </row>
        <row r="7328">
          <cell r="A7328">
            <v>1500011879</v>
          </cell>
          <cell r="B7328">
            <v>38.6666666666667</v>
          </cell>
        </row>
        <row r="7329">
          <cell r="A7329">
            <v>1500011804</v>
          </cell>
          <cell r="B7329">
            <v>0</v>
          </cell>
        </row>
        <row r="7330">
          <cell r="A7330">
            <v>1500011806</v>
          </cell>
          <cell r="B7330">
            <v>93.5833333333333</v>
          </cell>
        </row>
        <row r="7331">
          <cell r="A7331">
            <v>1500011880</v>
          </cell>
          <cell r="B7331">
            <v>7.5833333333333304</v>
          </cell>
        </row>
        <row r="7332">
          <cell r="A7332">
            <v>1500011820</v>
          </cell>
          <cell r="B7332">
            <v>54.6666666666667</v>
          </cell>
        </row>
        <row r="7333">
          <cell r="A7333">
            <v>1500011809</v>
          </cell>
          <cell r="B7333">
            <v>0</v>
          </cell>
        </row>
        <row r="7334">
          <cell r="A7334">
            <v>1500011881</v>
          </cell>
          <cell r="B7334">
            <v>1.6666666666666701</v>
          </cell>
        </row>
        <row r="7335">
          <cell r="A7335">
            <v>1500011949</v>
          </cell>
          <cell r="B7335">
            <v>5.4166666666666696</v>
          </cell>
        </row>
        <row r="7336">
          <cell r="A7336">
            <v>1500011882</v>
          </cell>
          <cell r="B7336">
            <v>15.8333333333333</v>
          </cell>
        </row>
        <row r="7337">
          <cell r="A7337">
            <v>1500011951</v>
          </cell>
          <cell r="B7337">
            <v>0</v>
          </cell>
        </row>
        <row r="7338">
          <cell r="A7338">
            <v>1500011952</v>
          </cell>
          <cell r="B7338">
            <v>13.9166666666667</v>
          </cell>
        </row>
        <row r="7339">
          <cell r="A7339">
            <v>1500011953</v>
          </cell>
          <cell r="B7339">
            <v>16.6666666666667</v>
          </cell>
        </row>
        <row r="7340">
          <cell r="A7340">
            <v>1500011887</v>
          </cell>
          <cell r="B7340">
            <v>0</v>
          </cell>
        </row>
        <row r="7341">
          <cell r="A7341">
            <v>1500011899</v>
          </cell>
          <cell r="B7341">
            <v>24.5833333333333</v>
          </cell>
        </row>
        <row r="7342">
          <cell r="A7342">
            <v>1500011963</v>
          </cell>
          <cell r="B7342">
            <v>0</v>
          </cell>
        </row>
        <row r="7343">
          <cell r="A7343">
            <v>1500011904</v>
          </cell>
          <cell r="B7343">
            <v>13</v>
          </cell>
        </row>
        <row r="7344">
          <cell r="A7344">
            <v>1500011905</v>
          </cell>
          <cell r="B7344">
            <v>21.0833333333333</v>
          </cell>
        </row>
        <row r="7345">
          <cell r="A7345">
            <v>1500011907</v>
          </cell>
          <cell r="B7345">
            <v>0</v>
          </cell>
        </row>
        <row r="7346">
          <cell r="A7346">
            <v>1500011964</v>
          </cell>
          <cell r="B7346">
            <v>8.75</v>
          </cell>
        </row>
        <row r="7347">
          <cell r="A7347">
            <v>1500011965</v>
          </cell>
          <cell r="B7347">
            <v>36.25</v>
          </cell>
        </row>
        <row r="7348">
          <cell r="A7348">
            <v>1500011908</v>
          </cell>
          <cell r="B7348">
            <v>87.5</v>
          </cell>
        </row>
        <row r="7349">
          <cell r="A7349">
            <v>1500011909</v>
          </cell>
          <cell r="B7349">
            <v>36.25</v>
          </cell>
        </row>
        <row r="7350">
          <cell r="A7350">
            <v>1500011911</v>
          </cell>
          <cell r="B7350">
            <v>28.75</v>
          </cell>
        </row>
        <row r="7351">
          <cell r="A7351">
            <v>1500011900</v>
          </cell>
          <cell r="B7351">
            <v>0</v>
          </cell>
        </row>
        <row r="7352">
          <cell r="A7352">
            <v>1500011901</v>
          </cell>
          <cell r="B7352">
            <v>1.6666666666666701</v>
          </cell>
        </row>
        <row r="7353">
          <cell r="A7353">
            <v>1500011889</v>
          </cell>
          <cell r="B7353">
            <v>0</v>
          </cell>
        </row>
        <row r="7354">
          <cell r="A7354">
            <v>1500011890</v>
          </cell>
          <cell r="B7354">
            <v>16.9166666666667</v>
          </cell>
        </row>
        <row r="7355">
          <cell r="A7355">
            <v>1500011891</v>
          </cell>
          <cell r="B7355">
            <v>17.1666666666667</v>
          </cell>
        </row>
        <row r="7356">
          <cell r="A7356">
            <v>1500011892</v>
          </cell>
          <cell r="B7356">
            <v>0</v>
          </cell>
        </row>
        <row r="7357">
          <cell r="A7357">
            <v>1500011960</v>
          </cell>
          <cell r="B7357">
            <v>0</v>
          </cell>
        </row>
        <row r="7358">
          <cell r="A7358">
            <v>1500011961</v>
          </cell>
          <cell r="B7358">
            <v>6.6666666666666696</v>
          </cell>
        </row>
        <row r="7359">
          <cell r="A7359">
            <v>1500011962</v>
          </cell>
          <cell r="B7359">
            <v>0</v>
          </cell>
        </row>
        <row r="7360">
          <cell r="A7360">
            <v>1500012222</v>
          </cell>
          <cell r="B7360">
            <v>0.41666666666666702</v>
          </cell>
        </row>
        <row r="7361">
          <cell r="A7361">
            <v>1500012254</v>
          </cell>
          <cell r="B7361">
            <v>0</v>
          </cell>
        </row>
        <row r="7362">
          <cell r="A7362">
            <v>1500012215</v>
          </cell>
          <cell r="B7362">
            <v>2.5833333333333299</v>
          </cell>
        </row>
        <row r="7363">
          <cell r="A7363">
            <v>1500012216</v>
          </cell>
          <cell r="B7363">
            <v>2.25</v>
          </cell>
        </row>
        <row r="7364">
          <cell r="A7364">
            <v>1500012217</v>
          </cell>
          <cell r="B7364">
            <v>29.766666666666701</v>
          </cell>
        </row>
        <row r="7365">
          <cell r="A7365">
            <v>1500012223</v>
          </cell>
          <cell r="B7365">
            <v>27.75</v>
          </cell>
        </row>
        <row r="7366">
          <cell r="A7366">
            <v>1500012224</v>
          </cell>
          <cell r="B7366">
            <v>0</v>
          </cell>
        </row>
        <row r="7367">
          <cell r="A7367">
            <v>1500012218</v>
          </cell>
          <cell r="B7367">
            <v>1.6666666666666701</v>
          </cell>
        </row>
        <row r="7368">
          <cell r="A7368">
            <v>1500012219</v>
          </cell>
          <cell r="B7368">
            <v>0</v>
          </cell>
        </row>
        <row r="7369">
          <cell r="A7369">
            <v>1500012220</v>
          </cell>
          <cell r="B7369">
            <v>13.3333333333333</v>
          </cell>
        </row>
        <row r="7370">
          <cell r="A7370">
            <v>1500012221</v>
          </cell>
          <cell r="B7370">
            <v>14.008333333333301</v>
          </cell>
        </row>
        <row r="7371">
          <cell r="A7371">
            <v>1500012207</v>
          </cell>
          <cell r="B7371">
            <v>0.41666666666666702</v>
          </cell>
        </row>
        <row r="7372">
          <cell r="A7372">
            <v>1500012208</v>
          </cell>
          <cell r="B7372">
            <v>6.6666666666666696</v>
          </cell>
        </row>
        <row r="7373">
          <cell r="A7373">
            <v>1500012203</v>
          </cell>
          <cell r="B7373">
            <v>0</v>
          </cell>
        </row>
        <row r="7374">
          <cell r="A7374">
            <v>1500012204</v>
          </cell>
          <cell r="B7374">
            <v>0.83333333333333304</v>
          </cell>
        </row>
        <row r="7375">
          <cell r="A7375">
            <v>1500012205</v>
          </cell>
          <cell r="B7375">
            <v>81.6666666666667</v>
          </cell>
        </row>
        <row r="7376">
          <cell r="A7376">
            <v>1500012206</v>
          </cell>
          <cell r="B7376">
            <v>24.1666666666667</v>
          </cell>
        </row>
        <row r="7377">
          <cell r="A7377">
            <v>1500012238</v>
          </cell>
          <cell r="B7377">
            <v>1.25</v>
          </cell>
        </row>
        <row r="7378">
          <cell r="A7378">
            <v>1500012239</v>
          </cell>
          <cell r="B7378">
            <v>26.6666666666667</v>
          </cell>
        </row>
        <row r="7379">
          <cell r="A7379">
            <v>1500012240</v>
          </cell>
          <cell r="B7379">
            <v>39.3333333333333</v>
          </cell>
        </row>
        <row r="7380">
          <cell r="A7380">
            <v>1500012241</v>
          </cell>
          <cell r="B7380">
            <v>11.3333333333333</v>
          </cell>
        </row>
        <row r="7381">
          <cell r="A7381">
            <v>1500012242</v>
          </cell>
          <cell r="B7381">
            <v>60.5833333333333</v>
          </cell>
        </row>
        <row r="7382">
          <cell r="A7382">
            <v>1500012243</v>
          </cell>
          <cell r="B7382">
            <v>0</v>
          </cell>
        </row>
        <row r="7383">
          <cell r="A7383">
            <v>1500012244</v>
          </cell>
          <cell r="B7383">
            <v>7.1666666666666696</v>
          </cell>
        </row>
        <row r="7384">
          <cell r="A7384">
            <v>1500012246</v>
          </cell>
          <cell r="B7384">
            <v>0</v>
          </cell>
        </row>
        <row r="7385">
          <cell r="A7385">
            <v>1500012387</v>
          </cell>
          <cell r="B7385">
            <v>90.625</v>
          </cell>
        </row>
        <row r="7386">
          <cell r="A7386">
            <v>1500012388</v>
          </cell>
          <cell r="B7386">
            <v>0</v>
          </cell>
        </row>
        <row r="7387">
          <cell r="A7387">
            <v>1500012389</v>
          </cell>
          <cell r="B7387">
            <v>20.8333333333333</v>
          </cell>
        </row>
        <row r="7388">
          <cell r="A7388">
            <v>1500012390</v>
          </cell>
          <cell r="B7388">
            <v>6.25</v>
          </cell>
        </row>
        <row r="7389">
          <cell r="A7389">
            <v>1500012391</v>
          </cell>
          <cell r="B7389">
            <v>0</v>
          </cell>
        </row>
        <row r="7390">
          <cell r="A7390">
            <v>1500012380</v>
          </cell>
          <cell r="B7390">
            <v>0</v>
          </cell>
        </row>
        <row r="7391">
          <cell r="A7391">
            <v>1500012260</v>
          </cell>
          <cell r="B7391">
            <v>0</v>
          </cell>
        </row>
        <row r="7392">
          <cell r="A7392">
            <v>1500012345</v>
          </cell>
          <cell r="B7392">
            <v>7.5833333333333304</v>
          </cell>
        </row>
        <row r="7393">
          <cell r="A7393">
            <v>1500012346</v>
          </cell>
          <cell r="B7393">
            <v>16.25</v>
          </cell>
        </row>
        <row r="7394">
          <cell r="A7394">
            <v>1500012347</v>
          </cell>
          <cell r="B7394">
            <v>3.1666666666666701</v>
          </cell>
        </row>
        <row r="7395">
          <cell r="A7395">
            <v>1500012348</v>
          </cell>
          <cell r="B7395">
            <v>5</v>
          </cell>
        </row>
        <row r="7396">
          <cell r="A7396">
            <v>1500012349</v>
          </cell>
          <cell r="B7396">
            <v>0</v>
          </cell>
        </row>
        <row r="7397">
          <cell r="A7397">
            <v>1500012350</v>
          </cell>
          <cell r="B7397">
            <v>25.4166666666667</v>
          </cell>
        </row>
        <row r="7398">
          <cell r="A7398">
            <v>1500012351</v>
          </cell>
          <cell r="B7398">
            <v>28.6666666666667</v>
          </cell>
        </row>
        <row r="7399">
          <cell r="A7399">
            <v>1500012352</v>
          </cell>
          <cell r="B7399">
            <v>0.33333333333333298</v>
          </cell>
        </row>
        <row r="7400">
          <cell r="A7400">
            <v>1500012355</v>
          </cell>
          <cell r="B7400">
            <v>25.8333333333333</v>
          </cell>
        </row>
        <row r="7401">
          <cell r="A7401">
            <v>1500012356</v>
          </cell>
          <cell r="B7401">
            <v>28.3333333333333</v>
          </cell>
        </row>
        <row r="7402">
          <cell r="A7402">
            <v>1500012357</v>
          </cell>
          <cell r="B7402">
            <v>0</v>
          </cell>
        </row>
        <row r="7403">
          <cell r="A7403">
            <v>1500012358</v>
          </cell>
          <cell r="B7403">
            <v>0</v>
          </cell>
        </row>
        <row r="7404">
          <cell r="A7404">
            <v>1500012359</v>
          </cell>
          <cell r="B7404">
            <v>0</v>
          </cell>
        </row>
        <row r="7405">
          <cell r="A7405">
            <v>1500012360</v>
          </cell>
          <cell r="B7405">
            <v>0</v>
          </cell>
        </row>
        <row r="7406">
          <cell r="A7406">
            <v>1500012361</v>
          </cell>
          <cell r="B7406">
            <v>0</v>
          </cell>
        </row>
        <row r="7407">
          <cell r="A7407">
            <v>1500012405</v>
          </cell>
          <cell r="B7407">
            <v>3.75</v>
          </cell>
        </row>
        <row r="7408">
          <cell r="A7408">
            <v>1500012406</v>
          </cell>
          <cell r="B7408">
            <v>72.5833333333333</v>
          </cell>
        </row>
        <row r="7409">
          <cell r="A7409">
            <v>1500012410</v>
          </cell>
          <cell r="B7409">
            <v>0</v>
          </cell>
        </row>
        <row r="7410">
          <cell r="A7410">
            <v>1500012411</v>
          </cell>
          <cell r="B7410">
            <v>30.8333333333333</v>
          </cell>
        </row>
        <row r="7411">
          <cell r="A7411">
            <v>1500012412</v>
          </cell>
          <cell r="B7411">
            <v>0</v>
          </cell>
        </row>
        <row r="7412">
          <cell r="A7412">
            <v>1500012353</v>
          </cell>
          <cell r="B7412">
            <v>0</v>
          </cell>
        </row>
        <row r="7413">
          <cell r="A7413">
            <v>1500012366</v>
          </cell>
          <cell r="B7413">
            <v>6.6666666666666696</v>
          </cell>
        </row>
        <row r="7414">
          <cell r="A7414">
            <v>1500012354</v>
          </cell>
          <cell r="B7414">
            <v>3.3333333333333299</v>
          </cell>
        </row>
        <row r="7415">
          <cell r="A7415">
            <v>1500012407</v>
          </cell>
          <cell r="B7415">
            <v>0</v>
          </cell>
        </row>
        <row r="7416">
          <cell r="A7416">
            <v>1500012408</v>
          </cell>
          <cell r="B7416">
            <v>52.8333333333333</v>
          </cell>
        </row>
        <row r="7417">
          <cell r="A7417">
            <v>1500012409</v>
          </cell>
          <cell r="B7417">
            <v>10.9166666666667</v>
          </cell>
        </row>
        <row r="7418">
          <cell r="A7418">
            <v>1500012440</v>
          </cell>
          <cell r="B7418">
            <v>0.33333333333333298</v>
          </cell>
        </row>
        <row r="7419">
          <cell r="A7419">
            <v>1500012441</v>
          </cell>
          <cell r="B7419">
            <v>0</v>
          </cell>
        </row>
        <row r="7420">
          <cell r="A7420">
            <v>1500012442</v>
          </cell>
          <cell r="B7420">
            <v>11.6666666666667</v>
          </cell>
        </row>
        <row r="7421">
          <cell r="A7421">
            <v>1500012443</v>
          </cell>
          <cell r="B7421">
            <v>1.6666666666666701</v>
          </cell>
        </row>
        <row r="7422">
          <cell r="A7422">
            <v>1500012444</v>
          </cell>
          <cell r="B7422">
            <v>16.6666666666667</v>
          </cell>
        </row>
        <row r="7423">
          <cell r="A7423">
            <v>1500012445</v>
          </cell>
          <cell r="B7423">
            <v>14.1666666666667</v>
          </cell>
        </row>
        <row r="7424">
          <cell r="A7424">
            <v>1500012446</v>
          </cell>
          <cell r="B7424">
            <v>0</v>
          </cell>
        </row>
        <row r="7425">
          <cell r="A7425">
            <v>1500012475</v>
          </cell>
          <cell r="B7425">
            <v>21.4166666666667</v>
          </cell>
        </row>
        <row r="7426">
          <cell r="A7426">
            <v>1500012476</v>
          </cell>
          <cell r="B7426">
            <v>78.9166666666667</v>
          </cell>
        </row>
        <row r="7427">
          <cell r="A7427">
            <v>1500012477</v>
          </cell>
          <cell r="B7427">
            <v>18.4166666666667</v>
          </cell>
        </row>
        <row r="7428">
          <cell r="A7428">
            <v>1500012484</v>
          </cell>
          <cell r="B7428">
            <v>21.6666666666667</v>
          </cell>
        </row>
        <row r="7429">
          <cell r="A7429">
            <v>1500012485</v>
          </cell>
          <cell r="B7429">
            <v>4.1666666666666696</v>
          </cell>
        </row>
        <row r="7430">
          <cell r="A7430">
            <v>1500012486</v>
          </cell>
          <cell r="B7430">
            <v>33.5833333333333</v>
          </cell>
        </row>
        <row r="7431">
          <cell r="A7431">
            <v>1500012478</v>
          </cell>
          <cell r="B7431">
            <v>0</v>
          </cell>
        </row>
        <row r="7432">
          <cell r="A7432">
            <v>1500012479</v>
          </cell>
          <cell r="B7432">
            <v>0</v>
          </cell>
        </row>
        <row r="7433">
          <cell r="A7433">
            <v>1500012487</v>
          </cell>
          <cell r="B7433">
            <v>4.1666666666666696</v>
          </cell>
        </row>
        <row r="7434">
          <cell r="A7434">
            <v>1500012480</v>
          </cell>
          <cell r="B7434">
            <v>9.1666666666666696</v>
          </cell>
        </row>
        <row r="7435">
          <cell r="A7435">
            <v>1500012481</v>
          </cell>
          <cell r="B7435">
            <v>0</v>
          </cell>
        </row>
        <row r="7436">
          <cell r="A7436">
            <v>1500012488</v>
          </cell>
          <cell r="B7436">
            <v>2.9166666666666701</v>
          </cell>
        </row>
        <row r="7437">
          <cell r="A7437">
            <v>1500012482</v>
          </cell>
          <cell r="B7437">
            <v>2.0833333333333299</v>
          </cell>
        </row>
        <row r="7438">
          <cell r="A7438">
            <v>1500012483</v>
          </cell>
          <cell r="B7438">
            <v>19.75</v>
          </cell>
        </row>
        <row r="7439">
          <cell r="A7439">
            <v>1500012489</v>
          </cell>
          <cell r="B7439">
            <v>0</v>
          </cell>
        </row>
        <row r="7440">
          <cell r="A7440">
            <v>1500012584</v>
          </cell>
          <cell r="B7440">
            <v>1.25</v>
          </cell>
        </row>
        <row r="7441">
          <cell r="A7441">
            <v>1500012585</v>
          </cell>
          <cell r="B7441">
            <v>19</v>
          </cell>
        </row>
        <row r="7442">
          <cell r="A7442">
            <v>1500012586</v>
          </cell>
          <cell r="B7442">
            <v>24.0833333333333</v>
          </cell>
        </row>
        <row r="7443">
          <cell r="A7443">
            <v>1500012587</v>
          </cell>
          <cell r="B7443">
            <v>0</v>
          </cell>
        </row>
        <row r="7444">
          <cell r="A7444">
            <v>1500012602</v>
          </cell>
          <cell r="B7444">
            <v>16.4166666666667</v>
          </cell>
        </row>
        <row r="7445">
          <cell r="A7445">
            <v>1500012592</v>
          </cell>
          <cell r="B7445">
            <v>0</v>
          </cell>
        </row>
        <row r="7446">
          <cell r="A7446">
            <v>1500012596</v>
          </cell>
          <cell r="B7446">
            <v>42.9166666666667</v>
          </cell>
        </row>
        <row r="7447">
          <cell r="A7447">
            <v>1500012624</v>
          </cell>
          <cell r="B7447">
            <v>0</v>
          </cell>
        </row>
        <row r="7448">
          <cell r="A7448">
            <v>1500012625</v>
          </cell>
          <cell r="B7448">
            <v>0</v>
          </cell>
        </row>
        <row r="7449">
          <cell r="A7449">
            <v>1500012626</v>
          </cell>
          <cell r="B7449">
            <v>22.8333333333333</v>
          </cell>
        </row>
        <row r="7450">
          <cell r="A7450">
            <v>1500012589</v>
          </cell>
          <cell r="B7450">
            <v>58.8333333333333</v>
          </cell>
        </row>
        <row r="7451">
          <cell r="A7451">
            <v>1500012590</v>
          </cell>
          <cell r="B7451">
            <v>23.3333333333333</v>
          </cell>
        </row>
        <row r="7452">
          <cell r="A7452">
            <v>1500012591</v>
          </cell>
          <cell r="B7452">
            <v>15.0833333333333</v>
          </cell>
        </row>
        <row r="7453">
          <cell r="A7453">
            <v>1500002882</v>
          </cell>
          <cell r="B7453">
            <v>15.4166666666667</v>
          </cell>
        </row>
        <row r="7454">
          <cell r="A7454">
            <v>1500012593</v>
          </cell>
          <cell r="B7454">
            <v>20</v>
          </cell>
        </row>
        <row r="7455">
          <cell r="A7455">
            <v>1500012594</v>
          </cell>
          <cell r="B7455">
            <v>8.4166666666666696</v>
          </cell>
        </row>
        <row r="7456">
          <cell r="A7456">
            <v>1500012595</v>
          </cell>
          <cell r="B7456">
            <v>12.5</v>
          </cell>
        </row>
        <row r="7457">
          <cell r="A7457">
            <v>1500012623</v>
          </cell>
          <cell r="B7457">
            <v>0</v>
          </cell>
        </row>
        <row r="7458">
          <cell r="A7458">
            <v>1500012650</v>
          </cell>
          <cell r="B7458">
            <v>35.25</v>
          </cell>
        </row>
        <row r="7459">
          <cell r="A7459">
            <v>1500012651</v>
          </cell>
          <cell r="B7459">
            <v>17</v>
          </cell>
        </row>
        <row r="7460">
          <cell r="A7460">
            <v>1500012652</v>
          </cell>
          <cell r="B7460">
            <v>0</v>
          </cell>
        </row>
        <row r="7461">
          <cell r="A7461">
            <v>1500012653</v>
          </cell>
          <cell r="B7461">
            <v>0</v>
          </cell>
        </row>
        <row r="7462">
          <cell r="A7462">
            <v>1500012654</v>
          </cell>
          <cell r="B7462">
            <v>0</v>
          </cell>
        </row>
        <row r="7463">
          <cell r="A7463">
            <v>1500012655</v>
          </cell>
          <cell r="B7463">
            <v>31.25</v>
          </cell>
        </row>
        <row r="7464">
          <cell r="A7464">
            <v>1500012656</v>
          </cell>
          <cell r="B7464">
            <v>86.25</v>
          </cell>
        </row>
        <row r="7465">
          <cell r="A7465">
            <v>1500012657</v>
          </cell>
          <cell r="B7465">
            <v>2.9166666666666701</v>
          </cell>
        </row>
        <row r="7466">
          <cell r="A7466">
            <v>1500012659</v>
          </cell>
          <cell r="B7466">
            <v>0</v>
          </cell>
        </row>
        <row r="7467">
          <cell r="A7467">
            <v>1500012678</v>
          </cell>
          <cell r="B7467">
            <v>23.1666666666667</v>
          </cell>
        </row>
        <row r="7468">
          <cell r="A7468">
            <v>1500012679</v>
          </cell>
          <cell r="B7468">
            <v>0</v>
          </cell>
        </row>
        <row r="7469">
          <cell r="A7469">
            <v>1500012723</v>
          </cell>
          <cell r="B7469">
            <v>0</v>
          </cell>
        </row>
        <row r="7470">
          <cell r="A7470">
            <v>1500012724</v>
          </cell>
          <cell r="B7470">
            <v>14.5</v>
          </cell>
        </row>
        <row r="7471">
          <cell r="A7471">
            <v>1500012725</v>
          </cell>
          <cell r="B7471">
            <v>4.75</v>
          </cell>
        </row>
        <row r="7472">
          <cell r="A7472">
            <v>1500012726</v>
          </cell>
          <cell r="B7472">
            <v>0</v>
          </cell>
        </row>
        <row r="7473">
          <cell r="A7473">
            <v>1500012728</v>
          </cell>
          <cell r="B7473">
            <v>36.25</v>
          </cell>
        </row>
        <row r="7474">
          <cell r="A7474">
            <v>1500012729</v>
          </cell>
          <cell r="B7474">
            <v>17.908333333333299</v>
          </cell>
        </row>
        <row r="7475">
          <cell r="A7475">
            <v>1500012731</v>
          </cell>
          <cell r="B7475">
            <v>0</v>
          </cell>
        </row>
        <row r="7476">
          <cell r="A7476">
            <v>1500012800</v>
          </cell>
          <cell r="B7476">
            <v>0</v>
          </cell>
        </row>
        <row r="7477">
          <cell r="A7477">
            <v>1500012801</v>
          </cell>
          <cell r="B7477">
            <v>17.75</v>
          </cell>
        </row>
        <row r="7478">
          <cell r="A7478">
            <v>1500012802</v>
          </cell>
          <cell r="B7478">
            <v>0</v>
          </cell>
        </row>
        <row r="7479">
          <cell r="A7479">
            <v>1500012804</v>
          </cell>
          <cell r="B7479">
            <v>0</v>
          </cell>
        </row>
        <row r="7480">
          <cell r="A7480">
            <v>1500012805</v>
          </cell>
          <cell r="B7480">
            <v>0</v>
          </cell>
        </row>
        <row r="7481">
          <cell r="A7481">
            <v>1500012807</v>
          </cell>
          <cell r="B7481">
            <v>0</v>
          </cell>
        </row>
        <row r="7482">
          <cell r="A7482">
            <v>1500012811</v>
          </cell>
          <cell r="B7482">
            <v>2.5833333333333299</v>
          </cell>
        </row>
        <row r="7483">
          <cell r="A7483">
            <v>1500012812</v>
          </cell>
          <cell r="B7483">
            <v>1.6666666666666701</v>
          </cell>
        </row>
        <row r="7484">
          <cell r="A7484">
            <v>1500012813</v>
          </cell>
          <cell r="B7484">
            <v>0</v>
          </cell>
        </row>
        <row r="7485">
          <cell r="A7485">
            <v>1500012814</v>
          </cell>
          <cell r="B7485">
            <v>7.0833333333333304</v>
          </cell>
        </row>
        <row r="7486">
          <cell r="A7486">
            <v>1500012815</v>
          </cell>
          <cell r="B7486">
            <v>0</v>
          </cell>
        </row>
        <row r="7487">
          <cell r="A7487">
            <v>1500012816</v>
          </cell>
          <cell r="B7487">
            <v>11.6666666666667</v>
          </cell>
        </row>
        <row r="7488">
          <cell r="A7488">
            <v>1500012817</v>
          </cell>
          <cell r="B7488">
            <v>35.8333333333333</v>
          </cell>
        </row>
        <row r="7489">
          <cell r="A7489">
            <v>1500012818</v>
          </cell>
          <cell r="B7489">
            <v>23.5833333333333</v>
          </cell>
        </row>
        <row r="7490">
          <cell r="A7490">
            <v>1500012894</v>
          </cell>
          <cell r="B7490">
            <v>0</v>
          </cell>
        </row>
        <row r="7491">
          <cell r="A7491">
            <v>1500012896</v>
          </cell>
          <cell r="B7491">
            <v>25.5</v>
          </cell>
        </row>
        <row r="7492">
          <cell r="A7492">
            <v>1500012897</v>
          </cell>
          <cell r="B7492">
            <v>20.0833333333333</v>
          </cell>
        </row>
        <row r="7493">
          <cell r="A7493">
            <v>1500012898</v>
          </cell>
          <cell r="B7493">
            <v>0</v>
          </cell>
        </row>
        <row r="7494">
          <cell r="A7494">
            <v>1500012899</v>
          </cell>
          <cell r="B7494">
            <v>0</v>
          </cell>
        </row>
        <row r="7495">
          <cell r="A7495">
            <v>1500012901</v>
          </cell>
          <cell r="B7495">
            <v>0</v>
          </cell>
        </row>
        <row r="7496">
          <cell r="A7496">
            <v>1500012902</v>
          </cell>
          <cell r="B7496">
            <v>0</v>
          </cell>
        </row>
        <row r="7497">
          <cell r="A7497">
            <v>1500012903</v>
          </cell>
          <cell r="B7497">
            <v>0.83333333333333304</v>
          </cell>
        </row>
        <row r="7498">
          <cell r="A7498">
            <v>1500012904</v>
          </cell>
          <cell r="B7498">
            <v>18.4166666666667</v>
          </cell>
        </row>
        <row r="7499">
          <cell r="A7499">
            <v>1500012920</v>
          </cell>
          <cell r="B7499">
            <v>22.4166666666667</v>
          </cell>
        </row>
        <row r="7500">
          <cell r="A7500">
            <v>1500012921</v>
          </cell>
          <cell r="B7500">
            <v>45.25</v>
          </cell>
        </row>
        <row r="7501">
          <cell r="A7501">
            <v>1500012922</v>
          </cell>
          <cell r="B7501">
            <v>13</v>
          </cell>
        </row>
        <row r="7502">
          <cell r="A7502">
            <v>1500012924</v>
          </cell>
          <cell r="B7502">
            <v>17.5</v>
          </cell>
        </row>
        <row r="7503">
          <cell r="A7503">
            <v>1500012925</v>
          </cell>
          <cell r="B7503">
            <v>0</v>
          </cell>
        </row>
        <row r="7504">
          <cell r="A7504">
            <v>1500012926</v>
          </cell>
          <cell r="B7504">
            <v>0</v>
          </cell>
        </row>
        <row r="7505">
          <cell r="A7505">
            <v>1500012927</v>
          </cell>
          <cell r="B7505">
            <v>0</v>
          </cell>
        </row>
        <row r="7506">
          <cell r="A7506">
            <v>1500012929</v>
          </cell>
          <cell r="B7506">
            <v>8.75</v>
          </cell>
        </row>
        <row r="7507">
          <cell r="A7507">
            <v>1500012930</v>
          </cell>
          <cell r="B7507">
            <v>2.5</v>
          </cell>
        </row>
        <row r="7508">
          <cell r="A7508">
            <v>1500012931</v>
          </cell>
          <cell r="B7508">
            <v>122.791666666667</v>
          </cell>
        </row>
        <row r="7509">
          <cell r="A7509">
            <v>1500012940</v>
          </cell>
          <cell r="B7509">
            <v>0</v>
          </cell>
        </row>
        <row r="7510">
          <cell r="A7510">
            <v>1500012941</v>
          </cell>
          <cell r="B7510">
            <v>13.8333333333333</v>
          </cell>
        </row>
        <row r="7511">
          <cell r="A7511">
            <v>1500012960</v>
          </cell>
          <cell r="B7511">
            <v>10.1666666666667</v>
          </cell>
        </row>
        <row r="7512">
          <cell r="A7512">
            <v>1500012961</v>
          </cell>
          <cell r="B7512">
            <v>8.8333333333333304</v>
          </cell>
        </row>
        <row r="7513">
          <cell r="A7513">
            <v>1500012962</v>
          </cell>
          <cell r="B7513">
            <v>10.8333333333333</v>
          </cell>
        </row>
        <row r="7514">
          <cell r="A7514">
            <v>1500012963</v>
          </cell>
          <cell r="B7514">
            <v>5.9166666666666696</v>
          </cell>
        </row>
        <row r="7515">
          <cell r="A7515">
            <v>1500012965</v>
          </cell>
          <cell r="B7515">
            <v>19.3333333333333</v>
          </cell>
        </row>
        <row r="7516">
          <cell r="A7516">
            <v>1500012966</v>
          </cell>
          <cell r="B7516">
            <v>67.8333333333333</v>
          </cell>
        </row>
        <row r="7517">
          <cell r="A7517">
            <v>1500013012</v>
          </cell>
          <cell r="B7517">
            <v>17.7916666666667</v>
          </cell>
        </row>
        <row r="7518">
          <cell r="A7518">
            <v>1500013013</v>
          </cell>
          <cell r="B7518">
            <v>6.1666666666666696</v>
          </cell>
        </row>
        <row r="7519">
          <cell r="A7519">
            <v>1500013014</v>
          </cell>
          <cell r="B7519">
            <v>0</v>
          </cell>
        </row>
        <row r="7520">
          <cell r="A7520">
            <v>1500013015</v>
          </cell>
          <cell r="B7520">
            <v>5.3333333333333304</v>
          </cell>
        </row>
        <row r="7521">
          <cell r="A7521">
            <v>1500013016</v>
          </cell>
          <cell r="B7521">
            <v>0</v>
          </cell>
        </row>
        <row r="7522">
          <cell r="A7522">
            <v>1500013017</v>
          </cell>
          <cell r="B7522">
            <v>8.0500000000000007</v>
          </cell>
        </row>
        <row r="7523">
          <cell r="A7523">
            <v>1500013018</v>
          </cell>
          <cell r="B7523">
            <v>18.883333333333301</v>
          </cell>
        </row>
        <row r="7524">
          <cell r="A7524">
            <v>1500013019</v>
          </cell>
          <cell r="B7524">
            <v>1.25</v>
          </cell>
        </row>
        <row r="7525">
          <cell r="A7525">
            <v>1500013020</v>
          </cell>
          <cell r="B7525">
            <v>0</v>
          </cell>
        </row>
        <row r="7526">
          <cell r="A7526">
            <v>1500013021</v>
          </cell>
          <cell r="B7526">
            <v>42.0833333333333</v>
          </cell>
        </row>
        <row r="7527">
          <cell r="A7527">
            <v>1500013022</v>
          </cell>
          <cell r="B7527">
            <v>0</v>
          </cell>
        </row>
        <row r="7528">
          <cell r="A7528">
            <v>1500013023</v>
          </cell>
          <cell r="B7528">
            <v>26.25</v>
          </cell>
        </row>
        <row r="7529">
          <cell r="A7529">
            <v>1500013024</v>
          </cell>
          <cell r="B7529">
            <v>14.5</v>
          </cell>
        </row>
        <row r="7530">
          <cell r="A7530">
            <v>1500013025</v>
          </cell>
          <cell r="B7530">
            <v>3.6666666666666701</v>
          </cell>
        </row>
        <row r="7531">
          <cell r="A7531">
            <v>1500013029</v>
          </cell>
          <cell r="B7531">
            <v>1.0833333333333299</v>
          </cell>
        </row>
        <row r="7532">
          <cell r="A7532">
            <v>1500013030</v>
          </cell>
          <cell r="B7532">
            <v>0</v>
          </cell>
        </row>
        <row r="7533">
          <cell r="A7533">
            <v>1500013031</v>
          </cell>
          <cell r="B7533">
            <v>0</v>
          </cell>
        </row>
        <row r="7534">
          <cell r="A7534">
            <v>1500013040</v>
          </cell>
          <cell r="B7534">
            <v>0</v>
          </cell>
        </row>
        <row r="7535">
          <cell r="A7535">
            <v>1500013041</v>
          </cell>
          <cell r="B7535">
            <v>0</v>
          </cell>
        </row>
        <row r="7536">
          <cell r="A7536">
            <v>1500013042</v>
          </cell>
          <cell r="B7536">
            <v>1.9166666666666701</v>
          </cell>
        </row>
        <row r="7537">
          <cell r="A7537">
            <v>1500013044</v>
          </cell>
          <cell r="B7537">
            <v>30.5</v>
          </cell>
        </row>
        <row r="7538">
          <cell r="A7538">
            <v>1500013045</v>
          </cell>
          <cell r="B7538">
            <v>24.3333333333333</v>
          </cell>
        </row>
        <row r="7539">
          <cell r="A7539">
            <v>1500013046</v>
          </cell>
          <cell r="B7539">
            <v>0</v>
          </cell>
        </row>
        <row r="7540">
          <cell r="A7540">
            <v>1500013047</v>
          </cell>
          <cell r="B7540">
            <v>0</v>
          </cell>
        </row>
        <row r="7541">
          <cell r="A7541">
            <v>1500013048</v>
          </cell>
          <cell r="B7541">
            <v>1.5833333333333299</v>
          </cell>
        </row>
        <row r="7542">
          <cell r="A7542">
            <v>1500013098</v>
          </cell>
          <cell r="B7542">
            <v>15.6666666666667</v>
          </cell>
        </row>
        <row r="7543">
          <cell r="A7543">
            <v>1500013120</v>
          </cell>
          <cell r="B7543">
            <v>8.8333333333333304</v>
          </cell>
        </row>
        <row r="7544">
          <cell r="A7544">
            <v>1500013099</v>
          </cell>
          <cell r="B7544">
            <v>27.75</v>
          </cell>
        </row>
        <row r="7545">
          <cell r="A7545">
            <v>1500013100</v>
          </cell>
          <cell r="B7545">
            <v>0</v>
          </cell>
        </row>
        <row r="7546">
          <cell r="A7546">
            <v>1500013101</v>
          </cell>
          <cell r="B7546">
            <v>0.41666666666666702</v>
          </cell>
        </row>
        <row r="7547">
          <cell r="A7547">
            <v>1500013102</v>
          </cell>
          <cell r="B7547">
            <v>0</v>
          </cell>
        </row>
        <row r="7548">
          <cell r="A7548">
            <v>1500013103</v>
          </cell>
          <cell r="B7548">
            <v>55</v>
          </cell>
        </row>
        <row r="7549">
          <cell r="A7549">
            <v>1500013104</v>
          </cell>
          <cell r="B7549">
            <v>25</v>
          </cell>
        </row>
        <row r="7550">
          <cell r="A7550">
            <v>1500013105</v>
          </cell>
          <cell r="B7550">
            <v>8.75</v>
          </cell>
        </row>
        <row r="7551">
          <cell r="A7551">
            <v>1500013106</v>
          </cell>
          <cell r="B7551">
            <v>13.3333333333333</v>
          </cell>
        </row>
        <row r="7552">
          <cell r="A7552">
            <v>1500013107</v>
          </cell>
          <cell r="B7552">
            <v>6.6666666666666696</v>
          </cell>
        </row>
        <row r="7553">
          <cell r="A7553">
            <v>1500013108</v>
          </cell>
          <cell r="B7553">
            <v>17.5</v>
          </cell>
        </row>
        <row r="7554">
          <cell r="A7554">
            <v>1500013109</v>
          </cell>
          <cell r="B7554">
            <v>23.75</v>
          </cell>
        </row>
        <row r="7555">
          <cell r="A7555">
            <v>1500013121</v>
          </cell>
          <cell r="B7555">
            <v>40.8333333333333</v>
          </cell>
        </row>
        <row r="7556">
          <cell r="A7556">
            <v>1500013110</v>
          </cell>
          <cell r="B7556">
            <v>18.883333333333301</v>
          </cell>
        </row>
        <row r="7557">
          <cell r="A7557">
            <v>1500013072</v>
          </cell>
          <cell r="B7557">
            <v>37.5833333333333</v>
          </cell>
        </row>
        <row r="7558">
          <cell r="A7558">
            <v>1500013073</v>
          </cell>
          <cell r="B7558">
            <v>0</v>
          </cell>
        </row>
        <row r="7559">
          <cell r="A7559">
            <v>1500013074</v>
          </cell>
          <cell r="B7559">
            <v>45.8333333333333</v>
          </cell>
        </row>
        <row r="7560">
          <cell r="A7560">
            <v>1500013076</v>
          </cell>
          <cell r="B7560">
            <v>12.5</v>
          </cell>
        </row>
        <row r="7561">
          <cell r="A7561">
            <v>1500013077</v>
          </cell>
          <cell r="B7561">
            <v>29.1666666666667</v>
          </cell>
        </row>
        <row r="7562">
          <cell r="A7562">
            <v>1500013079</v>
          </cell>
          <cell r="B7562">
            <v>0</v>
          </cell>
        </row>
        <row r="7563">
          <cell r="A7563">
            <v>1500013129</v>
          </cell>
          <cell r="B7563">
            <v>0</v>
          </cell>
        </row>
        <row r="7564">
          <cell r="A7564">
            <v>1500013130</v>
          </cell>
          <cell r="B7564">
            <v>11.75</v>
          </cell>
        </row>
        <row r="7565">
          <cell r="A7565">
            <v>1500013132</v>
          </cell>
          <cell r="B7565">
            <v>13.3333333333333</v>
          </cell>
        </row>
        <row r="7566">
          <cell r="A7566">
            <v>1500013133</v>
          </cell>
          <cell r="B7566">
            <v>7.5</v>
          </cell>
        </row>
        <row r="7567">
          <cell r="A7567">
            <v>1500013136</v>
          </cell>
          <cell r="B7567">
            <v>1.3333333333333299</v>
          </cell>
        </row>
        <row r="7568">
          <cell r="A7568">
            <v>1500013138</v>
          </cell>
          <cell r="B7568">
            <v>0</v>
          </cell>
        </row>
        <row r="7569">
          <cell r="A7569">
            <v>1500013139</v>
          </cell>
          <cell r="B7569">
            <v>42.5</v>
          </cell>
        </row>
        <row r="7570">
          <cell r="A7570">
            <v>1500013149</v>
          </cell>
          <cell r="B7570">
            <v>20.283333333333299</v>
          </cell>
        </row>
        <row r="7571">
          <cell r="A7571">
            <v>1500013150</v>
          </cell>
          <cell r="B7571">
            <v>0</v>
          </cell>
        </row>
        <row r="7572">
          <cell r="A7572">
            <v>1500013151</v>
          </cell>
          <cell r="B7572">
            <v>29.0833333333333</v>
          </cell>
        </row>
        <row r="7573">
          <cell r="A7573">
            <v>1500013193</v>
          </cell>
          <cell r="B7573">
            <v>9.625</v>
          </cell>
        </row>
        <row r="7574">
          <cell r="A7574">
            <v>1500013194</v>
          </cell>
          <cell r="B7574">
            <v>0</v>
          </cell>
        </row>
        <row r="7575">
          <cell r="A7575">
            <v>1500013195</v>
          </cell>
          <cell r="B7575">
            <v>0</v>
          </cell>
        </row>
        <row r="7576">
          <cell r="A7576">
            <v>1500013196</v>
          </cell>
          <cell r="B7576">
            <v>0</v>
          </cell>
        </row>
        <row r="7577">
          <cell r="A7577">
            <v>1500013197</v>
          </cell>
          <cell r="B7577">
            <v>0</v>
          </cell>
        </row>
        <row r="7578">
          <cell r="A7578">
            <v>1500013199</v>
          </cell>
          <cell r="B7578">
            <v>14.5833333333333</v>
          </cell>
        </row>
        <row r="7579">
          <cell r="A7579">
            <v>1500013200</v>
          </cell>
          <cell r="B7579">
            <v>0</v>
          </cell>
        </row>
        <row r="7580">
          <cell r="A7580">
            <v>1500013201</v>
          </cell>
          <cell r="B7580">
            <v>0</v>
          </cell>
        </row>
        <row r="7581">
          <cell r="A7581">
            <v>1500013202</v>
          </cell>
          <cell r="B7581">
            <v>0</v>
          </cell>
        </row>
        <row r="7582">
          <cell r="A7582">
            <v>1500013203</v>
          </cell>
          <cell r="B7582">
            <v>50.25</v>
          </cell>
        </row>
        <row r="7583">
          <cell r="A7583">
            <v>1500013204</v>
          </cell>
          <cell r="B7583">
            <v>19.5833333333333</v>
          </cell>
        </row>
        <row r="7584">
          <cell r="A7584">
            <v>1500013205</v>
          </cell>
          <cell r="B7584">
            <v>28.3333333333333</v>
          </cell>
        </row>
        <row r="7585">
          <cell r="A7585">
            <v>1500013206</v>
          </cell>
          <cell r="B7585">
            <v>14.6666666666667</v>
          </cell>
        </row>
        <row r="7586">
          <cell r="A7586">
            <v>1500013207</v>
          </cell>
          <cell r="B7586">
            <v>2.1666666666666701</v>
          </cell>
        </row>
        <row r="7587">
          <cell r="A7587">
            <v>1500013208</v>
          </cell>
          <cell r="B7587">
            <v>5.8333333333333304</v>
          </cell>
        </row>
        <row r="7588">
          <cell r="A7588">
            <v>1500013209</v>
          </cell>
          <cell r="B7588">
            <v>17</v>
          </cell>
        </row>
        <row r="7589">
          <cell r="A7589">
            <v>1500013210</v>
          </cell>
          <cell r="B7589">
            <v>171.833333333333</v>
          </cell>
        </row>
        <row r="7590">
          <cell r="A7590">
            <v>1500013211</v>
          </cell>
          <cell r="B7590">
            <v>0</v>
          </cell>
        </row>
        <row r="7591">
          <cell r="A7591">
            <v>1500013215</v>
          </cell>
          <cell r="B7591">
            <v>14.4166666666667</v>
          </cell>
        </row>
        <row r="7592">
          <cell r="A7592">
            <v>1500013216</v>
          </cell>
          <cell r="B7592">
            <v>8.3333333333333304</v>
          </cell>
        </row>
        <row r="7593">
          <cell r="A7593">
            <v>1500013217</v>
          </cell>
          <cell r="B7593">
            <v>0.91666666666666696</v>
          </cell>
        </row>
        <row r="7594">
          <cell r="A7594">
            <v>1500013218</v>
          </cell>
          <cell r="B7594">
            <v>16.5833333333333</v>
          </cell>
        </row>
        <row r="7595">
          <cell r="A7595">
            <v>1500013219</v>
          </cell>
          <cell r="B7595">
            <v>7.5</v>
          </cell>
        </row>
        <row r="7596">
          <cell r="A7596">
            <v>1500013220</v>
          </cell>
          <cell r="B7596">
            <v>22.1666666666667</v>
          </cell>
        </row>
        <row r="7597">
          <cell r="A7597">
            <v>1500013221</v>
          </cell>
          <cell r="B7597">
            <v>48.616666666666703</v>
          </cell>
        </row>
        <row r="7598">
          <cell r="A7598">
            <v>1500013222</v>
          </cell>
          <cell r="B7598">
            <v>2.5</v>
          </cell>
        </row>
        <row r="7599">
          <cell r="A7599">
            <v>1500013223</v>
          </cell>
          <cell r="B7599">
            <v>0</v>
          </cell>
        </row>
        <row r="7600">
          <cell r="A7600">
            <v>1500013224</v>
          </cell>
          <cell r="B7600">
            <v>150.875</v>
          </cell>
        </row>
        <row r="7601">
          <cell r="A7601">
            <v>1500013225</v>
          </cell>
          <cell r="B7601">
            <v>6.6666666666666696</v>
          </cell>
        </row>
        <row r="7602">
          <cell r="A7602">
            <v>1500013227</v>
          </cell>
          <cell r="B7602">
            <v>0</v>
          </cell>
        </row>
        <row r="7603">
          <cell r="A7603">
            <v>1500013229</v>
          </cell>
          <cell r="B7603">
            <v>26.9583333333333</v>
          </cell>
        </row>
        <row r="7604">
          <cell r="A7604">
            <v>1500013230</v>
          </cell>
          <cell r="B7604">
            <v>3.3333333333333299</v>
          </cell>
        </row>
        <row r="7605">
          <cell r="A7605">
            <v>1500013250</v>
          </cell>
          <cell r="B7605">
            <v>24.4166666666667</v>
          </cell>
        </row>
        <row r="7606">
          <cell r="A7606">
            <v>1500013251</v>
          </cell>
          <cell r="B7606">
            <v>2.75</v>
          </cell>
        </row>
        <row r="7607">
          <cell r="A7607">
            <v>1500013252</v>
          </cell>
          <cell r="B7607">
            <v>9.1666666666666696</v>
          </cell>
        </row>
        <row r="7608">
          <cell r="A7608">
            <v>1500013275</v>
          </cell>
          <cell r="B7608">
            <v>23.9166666666667</v>
          </cell>
        </row>
        <row r="7609">
          <cell r="A7609">
            <v>1500013253</v>
          </cell>
          <cell r="B7609">
            <v>7.6666666666666696</v>
          </cell>
        </row>
        <row r="7610">
          <cell r="A7610">
            <v>1500013254</v>
          </cell>
          <cell r="B7610">
            <v>0</v>
          </cell>
        </row>
        <row r="7611">
          <cell r="A7611">
            <v>1500013255</v>
          </cell>
          <cell r="B7611">
            <v>3.75</v>
          </cell>
        </row>
        <row r="7612">
          <cell r="A7612">
            <v>1500013256</v>
          </cell>
          <cell r="B7612">
            <v>18.8333333333333</v>
          </cell>
        </row>
        <row r="7613">
          <cell r="A7613">
            <v>1500013257</v>
          </cell>
          <cell r="B7613">
            <v>27</v>
          </cell>
        </row>
        <row r="7614">
          <cell r="A7614">
            <v>1500013258</v>
          </cell>
          <cell r="B7614">
            <v>29.5833333333333</v>
          </cell>
        </row>
        <row r="7615">
          <cell r="A7615">
            <v>1500013259</v>
          </cell>
          <cell r="B7615">
            <v>40</v>
          </cell>
        </row>
        <row r="7616">
          <cell r="A7616">
            <v>1500013260</v>
          </cell>
          <cell r="B7616">
            <v>34.5833333333333</v>
          </cell>
        </row>
        <row r="7617">
          <cell r="A7617">
            <v>1500013261</v>
          </cell>
          <cell r="B7617">
            <v>16.6666666666667</v>
          </cell>
        </row>
        <row r="7618">
          <cell r="A7618">
            <v>1500013262</v>
          </cell>
          <cell r="B7618">
            <v>41.25</v>
          </cell>
        </row>
        <row r="7619">
          <cell r="A7619">
            <v>1500013263</v>
          </cell>
          <cell r="B7619">
            <v>23.9166666666667</v>
          </cell>
        </row>
        <row r="7620">
          <cell r="A7620">
            <v>1500013264</v>
          </cell>
          <cell r="B7620">
            <v>0</v>
          </cell>
        </row>
        <row r="7621">
          <cell r="A7621">
            <v>1500013265</v>
          </cell>
          <cell r="B7621">
            <v>6.6666666666666696</v>
          </cell>
        </row>
        <row r="7622">
          <cell r="A7622">
            <v>1500013266</v>
          </cell>
          <cell r="B7622">
            <v>28.3333333333333</v>
          </cell>
        </row>
        <row r="7623">
          <cell r="A7623">
            <v>1500013267</v>
          </cell>
          <cell r="B7623">
            <v>29.1666666666667</v>
          </cell>
        </row>
        <row r="7624">
          <cell r="A7624">
            <v>1500013268</v>
          </cell>
          <cell r="B7624">
            <v>4.1666666666666696</v>
          </cell>
        </row>
        <row r="7625">
          <cell r="A7625">
            <v>1500013269</v>
          </cell>
          <cell r="B7625">
            <v>16.25</v>
          </cell>
        </row>
        <row r="7626">
          <cell r="A7626">
            <v>1500013271</v>
          </cell>
          <cell r="B7626">
            <v>0</v>
          </cell>
        </row>
        <row r="7627">
          <cell r="A7627">
            <v>1500013272</v>
          </cell>
          <cell r="B7627">
            <v>4</v>
          </cell>
        </row>
        <row r="7628">
          <cell r="A7628">
            <v>1500013273</v>
          </cell>
          <cell r="B7628">
            <v>48.75</v>
          </cell>
        </row>
        <row r="7629">
          <cell r="A7629">
            <v>1500013292</v>
          </cell>
          <cell r="B7629">
            <v>19.5</v>
          </cell>
        </row>
        <row r="7630">
          <cell r="A7630">
            <v>1500013293</v>
          </cell>
          <cell r="B7630">
            <v>0</v>
          </cell>
        </row>
        <row r="7631">
          <cell r="A7631">
            <v>1500013294</v>
          </cell>
          <cell r="B7631">
            <v>10.383333333333301</v>
          </cell>
        </row>
        <row r="7632">
          <cell r="A7632">
            <v>1500013295</v>
          </cell>
          <cell r="B7632">
            <v>3.75</v>
          </cell>
        </row>
        <row r="7633">
          <cell r="A7633">
            <v>1500013296</v>
          </cell>
          <cell r="B7633">
            <v>31.6666666666667</v>
          </cell>
        </row>
        <row r="7634">
          <cell r="A7634">
            <v>1500013297</v>
          </cell>
          <cell r="B7634">
            <v>17.3333333333333</v>
          </cell>
        </row>
        <row r="7635">
          <cell r="A7635">
            <v>1500013298</v>
          </cell>
          <cell r="B7635">
            <v>8.75</v>
          </cell>
        </row>
        <row r="7636">
          <cell r="A7636">
            <v>1500013299</v>
          </cell>
          <cell r="B7636">
            <v>0</v>
          </cell>
        </row>
        <row r="7637">
          <cell r="A7637">
            <v>1500013300</v>
          </cell>
          <cell r="B7637">
            <v>19.5</v>
          </cell>
        </row>
        <row r="7638">
          <cell r="A7638">
            <v>1500013342</v>
          </cell>
          <cell r="B7638">
            <v>0</v>
          </cell>
        </row>
        <row r="7639">
          <cell r="A7639">
            <v>1500013343</v>
          </cell>
          <cell r="B7639">
            <v>0</v>
          </cell>
        </row>
        <row r="7640">
          <cell r="A7640">
            <v>1500013344</v>
          </cell>
          <cell r="B7640">
            <v>0</v>
          </cell>
        </row>
        <row r="7641">
          <cell r="A7641">
            <v>1500013345</v>
          </cell>
          <cell r="B7641">
            <v>2.25</v>
          </cell>
        </row>
        <row r="7642">
          <cell r="A7642">
            <v>1500013369</v>
          </cell>
          <cell r="B7642">
            <v>24.9166666666667</v>
          </cell>
        </row>
        <row r="7643">
          <cell r="A7643">
            <v>1500013346</v>
          </cell>
          <cell r="B7643">
            <v>15.8333333333333</v>
          </cell>
        </row>
        <row r="7644">
          <cell r="A7644">
            <v>1500013370</v>
          </cell>
          <cell r="B7644">
            <v>6.75</v>
          </cell>
        </row>
        <row r="7645">
          <cell r="A7645">
            <v>1500013347</v>
          </cell>
          <cell r="B7645">
            <v>24.3333333333333</v>
          </cell>
        </row>
        <row r="7646">
          <cell r="A7646">
            <v>1500013348</v>
          </cell>
          <cell r="B7646">
            <v>9.1666666666666696</v>
          </cell>
        </row>
        <row r="7647">
          <cell r="A7647">
            <v>1500013371</v>
          </cell>
          <cell r="B7647">
            <v>0</v>
          </cell>
        </row>
        <row r="7648">
          <cell r="A7648">
            <v>1500013349</v>
          </cell>
          <cell r="B7648">
            <v>1.6666666666666701</v>
          </cell>
        </row>
        <row r="7649">
          <cell r="A7649">
            <v>1500013372</v>
          </cell>
          <cell r="B7649">
            <v>0</v>
          </cell>
        </row>
        <row r="7650">
          <cell r="A7650">
            <v>1500013386</v>
          </cell>
          <cell r="B7650">
            <v>39.8333333333333</v>
          </cell>
        </row>
        <row r="7651">
          <cell r="A7651">
            <v>1500013388</v>
          </cell>
          <cell r="B7651">
            <v>0</v>
          </cell>
        </row>
        <row r="7652">
          <cell r="A7652">
            <v>1500013389</v>
          </cell>
          <cell r="B7652">
            <v>0</v>
          </cell>
        </row>
        <row r="7653">
          <cell r="A7653">
            <v>1500013390</v>
          </cell>
          <cell r="B7653">
            <v>13.6666666666667</v>
          </cell>
        </row>
        <row r="7654">
          <cell r="A7654">
            <v>1500013396</v>
          </cell>
          <cell r="B7654">
            <v>27.6666666666667</v>
          </cell>
        </row>
        <row r="7655">
          <cell r="A7655">
            <v>1500013397</v>
          </cell>
          <cell r="B7655">
            <v>89</v>
          </cell>
        </row>
        <row r="7656">
          <cell r="A7656">
            <v>1500013420</v>
          </cell>
          <cell r="B7656">
            <v>0</v>
          </cell>
        </row>
        <row r="7657">
          <cell r="A7657">
            <v>1500013446</v>
          </cell>
          <cell r="B7657">
            <v>1.6666666666666701E-2</v>
          </cell>
        </row>
        <row r="7658">
          <cell r="A7658">
            <v>1500013447</v>
          </cell>
          <cell r="B7658">
            <v>9.6666666666666696</v>
          </cell>
        </row>
        <row r="7659">
          <cell r="A7659">
            <v>1500013449</v>
          </cell>
          <cell r="B7659">
            <v>0</v>
          </cell>
        </row>
        <row r="7660">
          <cell r="A7660">
            <v>1500013450</v>
          </cell>
          <cell r="B7660">
            <v>9.1666666666666696</v>
          </cell>
        </row>
        <row r="7661">
          <cell r="A7661">
            <v>1500013451</v>
          </cell>
          <cell r="B7661">
            <v>0</v>
          </cell>
        </row>
        <row r="7662">
          <cell r="A7662">
            <v>1500013452</v>
          </cell>
          <cell r="B7662">
            <v>8.8333333333333304</v>
          </cell>
        </row>
        <row r="7663">
          <cell r="A7663">
            <v>1500013453</v>
          </cell>
          <cell r="B7663">
            <v>27.5833333333333</v>
          </cell>
        </row>
        <row r="7664">
          <cell r="A7664">
            <v>1500013454</v>
          </cell>
          <cell r="B7664">
            <v>19</v>
          </cell>
        </row>
        <row r="7665">
          <cell r="A7665">
            <v>1500013456</v>
          </cell>
          <cell r="B7665">
            <v>40.65</v>
          </cell>
        </row>
        <row r="7666">
          <cell r="A7666">
            <v>1500013457</v>
          </cell>
          <cell r="B7666">
            <v>15.25</v>
          </cell>
        </row>
        <row r="7667">
          <cell r="A7667">
            <v>1500013458</v>
          </cell>
          <cell r="B7667">
            <v>3.0833333333333299</v>
          </cell>
        </row>
        <row r="7668">
          <cell r="A7668">
            <v>1500013460</v>
          </cell>
          <cell r="B7668">
            <v>29.5416666666667</v>
          </cell>
        </row>
        <row r="7669">
          <cell r="A7669">
            <v>1500013461</v>
          </cell>
          <cell r="B7669">
            <v>18.3333333333333</v>
          </cell>
        </row>
        <row r="7670">
          <cell r="A7670">
            <v>1500013462</v>
          </cell>
          <cell r="B7670">
            <v>10</v>
          </cell>
        </row>
        <row r="7671">
          <cell r="A7671">
            <v>1500013463</v>
          </cell>
          <cell r="B7671">
            <v>215</v>
          </cell>
        </row>
        <row r="7672">
          <cell r="A7672">
            <v>1500013464</v>
          </cell>
          <cell r="B7672">
            <v>12.5</v>
          </cell>
        </row>
        <row r="7673">
          <cell r="A7673">
            <v>1500013465</v>
          </cell>
          <cell r="B7673">
            <v>13.3333333333333</v>
          </cell>
        </row>
        <row r="7674">
          <cell r="A7674">
            <v>1500013466</v>
          </cell>
          <cell r="B7674">
            <v>3.3333333333333299</v>
          </cell>
        </row>
        <row r="7675">
          <cell r="A7675">
            <v>1500013542</v>
          </cell>
          <cell r="B7675">
            <v>9.1666666666666696</v>
          </cell>
        </row>
        <row r="7676">
          <cell r="A7676">
            <v>1500013543</v>
          </cell>
          <cell r="B7676">
            <v>0</v>
          </cell>
        </row>
        <row r="7677">
          <cell r="A7677">
            <v>1500013544</v>
          </cell>
          <cell r="B7677">
            <v>27.0833333333333</v>
          </cell>
        </row>
        <row r="7678">
          <cell r="A7678">
            <v>1500013546</v>
          </cell>
          <cell r="B7678">
            <v>32.75</v>
          </cell>
        </row>
        <row r="7679">
          <cell r="A7679">
            <v>1500013548</v>
          </cell>
          <cell r="B7679">
            <v>29.1666666666667</v>
          </cell>
        </row>
        <row r="7680">
          <cell r="A7680">
            <v>1500013549</v>
          </cell>
          <cell r="B7680">
            <v>5.4166666666666696</v>
          </cell>
        </row>
        <row r="7681">
          <cell r="A7681">
            <v>1500013550</v>
          </cell>
          <cell r="B7681">
            <v>34.1666666666667</v>
          </cell>
        </row>
        <row r="7682">
          <cell r="A7682">
            <v>1500013551</v>
          </cell>
          <cell r="B7682">
            <v>20.8333333333333</v>
          </cell>
        </row>
        <row r="7683">
          <cell r="A7683">
            <v>1500013552</v>
          </cell>
          <cell r="B7683">
            <v>16.6666666666667</v>
          </cell>
        </row>
        <row r="7684">
          <cell r="A7684">
            <v>1500013553</v>
          </cell>
          <cell r="B7684">
            <v>47.9166666666667</v>
          </cell>
        </row>
        <row r="7685">
          <cell r="A7685">
            <v>1500013554</v>
          </cell>
          <cell r="B7685">
            <v>14.6666666666667</v>
          </cell>
        </row>
        <row r="7686">
          <cell r="A7686">
            <v>1500013555</v>
          </cell>
          <cell r="B7686">
            <v>0</v>
          </cell>
        </row>
        <row r="7687">
          <cell r="A7687">
            <v>1500013556</v>
          </cell>
          <cell r="B7687">
            <v>0</v>
          </cell>
        </row>
        <row r="7688">
          <cell r="A7688">
            <v>1500013557</v>
          </cell>
          <cell r="B7688">
            <v>12.9166666666667</v>
          </cell>
        </row>
        <row r="7689">
          <cell r="A7689">
            <v>1500013558</v>
          </cell>
          <cell r="B7689">
            <v>11.5</v>
          </cell>
        </row>
        <row r="7690">
          <cell r="A7690">
            <v>1500013559</v>
          </cell>
          <cell r="B7690">
            <v>5</v>
          </cell>
        </row>
        <row r="7691">
          <cell r="A7691">
            <v>1500013589</v>
          </cell>
          <cell r="B7691">
            <v>8.9166666666666696</v>
          </cell>
        </row>
        <row r="7692">
          <cell r="A7692">
            <v>1500013590</v>
          </cell>
          <cell r="B7692">
            <v>0</v>
          </cell>
        </row>
        <row r="7693">
          <cell r="A7693">
            <v>1500013592</v>
          </cell>
          <cell r="B7693">
            <v>0</v>
          </cell>
        </row>
        <row r="7694">
          <cell r="A7694">
            <v>1500013596</v>
          </cell>
          <cell r="B7694">
            <v>0</v>
          </cell>
        </row>
        <row r="7695">
          <cell r="A7695">
            <v>1500013597</v>
          </cell>
          <cell r="B7695">
            <v>28.1666666666667</v>
          </cell>
        </row>
        <row r="7696">
          <cell r="A7696">
            <v>1500013598</v>
          </cell>
          <cell r="B7696">
            <v>0</v>
          </cell>
        </row>
        <row r="7697">
          <cell r="A7697">
            <v>1500013600</v>
          </cell>
          <cell r="B7697">
            <v>0</v>
          </cell>
        </row>
        <row r="7698">
          <cell r="A7698">
            <v>1500013601</v>
          </cell>
          <cell r="B7698">
            <v>0</v>
          </cell>
        </row>
        <row r="7699">
          <cell r="A7699">
            <v>1500013622</v>
          </cell>
          <cell r="B7699">
            <v>14.5833333333333</v>
          </cell>
        </row>
        <row r="7700">
          <cell r="A7700">
            <v>1500013623</v>
          </cell>
          <cell r="B7700">
            <v>17.3333333333333</v>
          </cell>
        </row>
        <row r="7701">
          <cell r="A7701">
            <v>1500013624</v>
          </cell>
          <cell r="B7701">
            <v>6</v>
          </cell>
        </row>
        <row r="7702">
          <cell r="A7702">
            <v>1500013628</v>
          </cell>
          <cell r="B7702">
            <v>58.8333333333333</v>
          </cell>
        </row>
        <row r="7703">
          <cell r="A7703">
            <v>1500013629</v>
          </cell>
          <cell r="B7703">
            <v>17</v>
          </cell>
        </row>
        <row r="7704">
          <cell r="A7704">
            <v>1500013631</v>
          </cell>
          <cell r="B7704">
            <v>0</v>
          </cell>
        </row>
        <row r="7705">
          <cell r="A7705">
            <v>1500013642</v>
          </cell>
          <cell r="B7705">
            <v>8.8333333333333304</v>
          </cell>
        </row>
        <row r="7706">
          <cell r="A7706">
            <v>1500013643</v>
          </cell>
          <cell r="B7706">
            <v>0</v>
          </cell>
        </row>
        <row r="7707">
          <cell r="A7707">
            <v>1500013644</v>
          </cell>
          <cell r="B7707">
            <v>0</v>
          </cell>
        </row>
        <row r="7708">
          <cell r="A7708">
            <v>1500013645</v>
          </cell>
          <cell r="B7708">
            <v>0</v>
          </cell>
        </row>
        <row r="7709">
          <cell r="A7709">
            <v>1500013646</v>
          </cell>
          <cell r="B7709">
            <v>0</v>
          </cell>
        </row>
        <row r="7710">
          <cell r="A7710">
            <v>1500013647</v>
          </cell>
          <cell r="B7710">
            <v>0</v>
          </cell>
        </row>
        <row r="7711">
          <cell r="A7711">
            <v>1500013648</v>
          </cell>
          <cell r="B7711">
            <v>0</v>
          </cell>
        </row>
        <row r="7712">
          <cell r="A7712">
            <v>1500013649</v>
          </cell>
          <cell r="B7712">
            <v>13.4166666666667</v>
          </cell>
        </row>
        <row r="7713">
          <cell r="A7713">
            <v>1500013650</v>
          </cell>
          <cell r="B7713">
            <v>0</v>
          </cell>
        </row>
        <row r="7714">
          <cell r="A7714">
            <v>1500013651</v>
          </cell>
          <cell r="B7714">
            <v>0</v>
          </cell>
        </row>
        <row r="7715">
          <cell r="A7715">
            <v>1500013652</v>
          </cell>
          <cell r="B7715">
            <v>0</v>
          </cell>
        </row>
        <row r="7716">
          <cell r="A7716">
            <v>1500013653</v>
          </cell>
          <cell r="B7716">
            <v>11.1666666666667</v>
          </cell>
        </row>
        <row r="7717">
          <cell r="A7717">
            <v>1500013654</v>
          </cell>
          <cell r="B7717">
            <v>0</v>
          </cell>
        </row>
        <row r="7718">
          <cell r="A7718">
            <v>1500013655</v>
          </cell>
          <cell r="B7718">
            <v>0</v>
          </cell>
        </row>
        <row r="7719">
          <cell r="A7719">
            <v>1500013656</v>
          </cell>
          <cell r="B7719">
            <v>16.1666666666667</v>
          </cell>
        </row>
        <row r="7720">
          <cell r="A7720">
            <v>1500013657</v>
          </cell>
          <cell r="B7720">
            <v>16.8333333333333</v>
          </cell>
        </row>
        <row r="7721">
          <cell r="A7721">
            <v>1500013682</v>
          </cell>
          <cell r="B7721">
            <v>3.9166666666666701</v>
          </cell>
        </row>
        <row r="7722">
          <cell r="A7722">
            <v>1500013683</v>
          </cell>
          <cell r="B7722">
            <v>0</v>
          </cell>
        </row>
        <row r="7723">
          <cell r="A7723">
            <v>1500013684</v>
          </cell>
          <cell r="B7723">
            <v>35.1666666666667</v>
          </cell>
        </row>
        <row r="7724">
          <cell r="A7724">
            <v>1500013685</v>
          </cell>
          <cell r="B7724">
            <v>0</v>
          </cell>
        </row>
        <row r="7725">
          <cell r="A7725">
            <v>1500013686</v>
          </cell>
          <cell r="B7725">
            <v>6.25</v>
          </cell>
        </row>
        <row r="7726">
          <cell r="A7726">
            <v>1500013687</v>
          </cell>
          <cell r="B7726">
            <v>39.75</v>
          </cell>
        </row>
        <row r="7727">
          <cell r="A7727">
            <v>1500013688</v>
          </cell>
          <cell r="B7727">
            <v>31.9166666666667</v>
          </cell>
        </row>
        <row r="7728">
          <cell r="A7728">
            <v>1500013689</v>
          </cell>
          <cell r="B7728">
            <v>12</v>
          </cell>
        </row>
        <row r="7729">
          <cell r="A7729">
            <v>1500013690</v>
          </cell>
          <cell r="B7729">
            <v>11.0833333333333</v>
          </cell>
        </row>
        <row r="7730">
          <cell r="A7730">
            <v>1500013691</v>
          </cell>
          <cell r="B7730">
            <v>15.4166666666667</v>
          </cell>
        </row>
        <row r="7731">
          <cell r="A7731">
            <v>1500013693</v>
          </cell>
          <cell r="B7731">
            <v>19.4166666666667</v>
          </cell>
        </row>
        <row r="7732">
          <cell r="A7732">
            <v>1500013694</v>
          </cell>
          <cell r="B7732">
            <v>6.6666666666666696</v>
          </cell>
        </row>
        <row r="7733">
          <cell r="A7733">
            <v>1500013695</v>
          </cell>
          <cell r="B7733">
            <v>1.6666666666666701</v>
          </cell>
        </row>
        <row r="7734">
          <cell r="A7734">
            <v>1500013714</v>
          </cell>
          <cell r="B7734">
            <v>0</v>
          </cell>
        </row>
        <row r="7735">
          <cell r="A7735">
            <v>1500013715</v>
          </cell>
          <cell r="B7735">
            <v>0</v>
          </cell>
        </row>
        <row r="7736">
          <cell r="A7736">
            <v>1500013716</v>
          </cell>
          <cell r="B7736">
            <v>36.6666666666667</v>
          </cell>
        </row>
        <row r="7737">
          <cell r="A7737">
            <v>1500013718</v>
          </cell>
          <cell r="B7737">
            <v>15</v>
          </cell>
        </row>
        <row r="7738">
          <cell r="A7738">
            <v>1500013720</v>
          </cell>
          <cell r="B7738">
            <v>0</v>
          </cell>
        </row>
        <row r="7739">
          <cell r="A7739">
            <v>1500013721</v>
          </cell>
          <cell r="B7739">
            <v>0</v>
          </cell>
        </row>
        <row r="7740">
          <cell r="A7740">
            <v>1500013722</v>
          </cell>
          <cell r="B7740">
            <v>8.1666666666666696</v>
          </cell>
        </row>
        <row r="7741">
          <cell r="A7741">
            <v>1500013723</v>
          </cell>
          <cell r="B7741">
            <v>25.8333333333333</v>
          </cell>
        </row>
        <row r="7742">
          <cell r="A7742">
            <v>1500013724</v>
          </cell>
          <cell r="B7742">
            <v>0</v>
          </cell>
        </row>
        <row r="7743">
          <cell r="A7743">
            <v>1500013725</v>
          </cell>
          <cell r="B7743">
            <v>0</v>
          </cell>
        </row>
        <row r="7744">
          <cell r="A7744">
            <v>1500013762</v>
          </cell>
          <cell r="B7744">
            <v>0</v>
          </cell>
        </row>
        <row r="7745">
          <cell r="A7745">
            <v>1500013763</v>
          </cell>
          <cell r="B7745">
            <v>17.1666666666667</v>
          </cell>
        </row>
        <row r="7746">
          <cell r="A7746">
            <v>1500013765</v>
          </cell>
          <cell r="B7746">
            <v>16.75</v>
          </cell>
        </row>
        <row r="7747">
          <cell r="A7747">
            <v>1500013768</v>
          </cell>
          <cell r="B7747">
            <v>13.75</v>
          </cell>
        </row>
        <row r="7748">
          <cell r="A7748">
            <v>1500013769</v>
          </cell>
          <cell r="B7748">
            <v>0</v>
          </cell>
        </row>
        <row r="7749">
          <cell r="A7749">
            <v>1500013771</v>
          </cell>
          <cell r="B7749">
            <v>49.4166666666667</v>
          </cell>
        </row>
        <row r="7750">
          <cell r="A7750">
            <v>1500013772</v>
          </cell>
          <cell r="B7750">
            <v>73.3333333333333</v>
          </cell>
        </row>
        <row r="7751">
          <cell r="A7751">
            <v>1500013773</v>
          </cell>
          <cell r="B7751">
            <v>0.5</v>
          </cell>
        </row>
        <row r="7752">
          <cell r="A7752">
            <v>1500013822</v>
          </cell>
          <cell r="B7752">
            <v>2.6666666666666701</v>
          </cell>
        </row>
        <row r="7753">
          <cell r="A7753">
            <v>1500013791</v>
          </cell>
          <cell r="B7753">
            <v>0</v>
          </cell>
        </row>
        <row r="7754">
          <cell r="A7754">
            <v>1500013792</v>
          </cell>
          <cell r="B7754">
            <v>0</v>
          </cell>
        </row>
        <row r="7755">
          <cell r="A7755">
            <v>1500013793</v>
          </cell>
          <cell r="B7755">
            <v>14.1666666666667</v>
          </cell>
        </row>
        <row r="7756">
          <cell r="A7756">
            <v>1500013794</v>
          </cell>
          <cell r="B7756">
            <v>1.6666666666666701</v>
          </cell>
        </row>
        <row r="7757">
          <cell r="A7757">
            <v>1500013795</v>
          </cell>
          <cell r="B7757">
            <v>10.5</v>
          </cell>
        </row>
        <row r="7758">
          <cell r="A7758">
            <v>1500013796</v>
          </cell>
          <cell r="B7758">
            <v>0</v>
          </cell>
        </row>
        <row r="7759">
          <cell r="A7759">
            <v>1500013833</v>
          </cell>
          <cell r="B7759">
            <v>5.8333333333333304</v>
          </cell>
        </row>
        <row r="7760">
          <cell r="A7760">
            <v>1500013835</v>
          </cell>
          <cell r="B7760">
            <v>10.8333333333333</v>
          </cell>
        </row>
        <row r="7761">
          <cell r="A7761">
            <v>1500013836</v>
          </cell>
          <cell r="B7761">
            <v>1</v>
          </cell>
        </row>
        <row r="7762">
          <cell r="A7762">
            <v>1500013837</v>
          </cell>
          <cell r="B7762">
            <v>0</v>
          </cell>
        </row>
        <row r="7763">
          <cell r="A7763">
            <v>1500013839</v>
          </cell>
          <cell r="B7763">
            <v>18.75</v>
          </cell>
        </row>
        <row r="7764">
          <cell r="A7764">
            <v>1500013841</v>
          </cell>
          <cell r="B7764">
            <v>50.4166666666667</v>
          </cell>
        </row>
        <row r="7765">
          <cell r="A7765">
            <v>1500013842</v>
          </cell>
          <cell r="B7765">
            <v>0</v>
          </cell>
        </row>
        <row r="7766">
          <cell r="A7766">
            <v>1500013843</v>
          </cell>
          <cell r="B7766">
            <v>20.8333333333333</v>
          </cell>
        </row>
        <row r="7767">
          <cell r="A7767">
            <v>1500013845</v>
          </cell>
          <cell r="B7767">
            <v>0</v>
          </cell>
        </row>
        <row r="7768">
          <cell r="A7768">
            <v>1500013870</v>
          </cell>
          <cell r="B7768">
            <v>0</v>
          </cell>
        </row>
        <row r="7769">
          <cell r="A7769">
            <v>1500013892</v>
          </cell>
          <cell r="B7769">
            <v>31.25</v>
          </cell>
        </row>
        <row r="7770">
          <cell r="A7770">
            <v>1500013893</v>
          </cell>
          <cell r="B7770">
            <v>13.1666666666667</v>
          </cell>
        </row>
        <row r="7771">
          <cell r="A7771">
            <v>1500013894</v>
          </cell>
          <cell r="B7771">
            <v>45.8333333333333</v>
          </cell>
        </row>
        <row r="7772">
          <cell r="A7772">
            <v>1500013895</v>
          </cell>
          <cell r="B7772">
            <v>74.924166666666693</v>
          </cell>
        </row>
        <row r="7773">
          <cell r="A7773">
            <v>1500013896</v>
          </cell>
          <cell r="B7773">
            <v>12.9166666666667</v>
          </cell>
        </row>
        <row r="7774">
          <cell r="A7774">
            <v>1500013897</v>
          </cell>
          <cell r="B7774">
            <v>10.3333333333333</v>
          </cell>
        </row>
        <row r="7775">
          <cell r="A7775">
            <v>1500013898</v>
          </cell>
          <cell r="B7775">
            <v>7.9166666666666696</v>
          </cell>
        </row>
        <row r="7776">
          <cell r="A7776">
            <v>1500013899</v>
          </cell>
          <cell r="B7776">
            <v>26.5833333333333</v>
          </cell>
        </row>
        <row r="7777">
          <cell r="A7777">
            <v>1500013900</v>
          </cell>
          <cell r="B7777">
            <v>12</v>
          </cell>
        </row>
        <row r="7778">
          <cell r="A7778">
            <v>1500013901</v>
          </cell>
          <cell r="B7778">
            <v>0.41666666666666702</v>
          </cell>
        </row>
        <row r="7779">
          <cell r="A7779">
            <v>1500013902</v>
          </cell>
          <cell r="B7779">
            <v>9.0833333333333304</v>
          </cell>
        </row>
        <row r="7780">
          <cell r="A7780">
            <v>1500013903</v>
          </cell>
          <cell r="B7780">
            <v>6.3333333333333304</v>
          </cell>
        </row>
        <row r="7781">
          <cell r="A7781">
            <v>1500013904</v>
          </cell>
          <cell r="B7781">
            <v>23.3333333333333</v>
          </cell>
        </row>
        <row r="7782">
          <cell r="A7782">
            <v>1500013905</v>
          </cell>
          <cell r="B7782">
            <v>0</v>
          </cell>
        </row>
        <row r="7783">
          <cell r="A7783">
            <v>1500013906</v>
          </cell>
          <cell r="B7783">
            <v>0</v>
          </cell>
        </row>
        <row r="7784">
          <cell r="A7784">
            <v>1500013942</v>
          </cell>
          <cell r="B7784">
            <v>0.41666666666666702</v>
          </cell>
        </row>
        <row r="7785">
          <cell r="A7785">
            <v>1500013943</v>
          </cell>
          <cell r="B7785">
            <v>18.75</v>
          </cell>
        </row>
        <row r="7786">
          <cell r="A7786">
            <v>1500013944</v>
          </cell>
          <cell r="B7786">
            <v>9.1666666666666696</v>
          </cell>
        </row>
        <row r="7787">
          <cell r="A7787">
            <v>1500013945</v>
          </cell>
          <cell r="B7787">
            <v>11.75</v>
          </cell>
        </row>
        <row r="7788">
          <cell r="A7788">
            <v>1500013946</v>
          </cell>
          <cell r="B7788">
            <v>0</v>
          </cell>
        </row>
        <row r="7789">
          <cell r="A7789">
            <v>1500013947</v>
          </cell>
          <cell r="B7789">
            <v>219.333333333333</v>
          </cell>
        </row>
        <row r="7790">
          <cell r="A7790">
            <v>1500013948</v>
          </cell>
          <cell r="B7790">
            <v>0</v>
          </cell>
        </row>
        <row r="7791">
          <cell r="A7791">
            <v>1500013949</v>
          </cell>
          <cell r="B7791">
            <v>0</v>
          </cell>
        </row>
        <row r="7792">
          <cell r="A7792">
            <v>1500013950</v>
          </cell>
          <cell r="B7792">
            <v>17.5</v>
          </cell>
        </row>
        <row r="7793">
          <cell r="A7793">
            <v>1500013951</v>
          </cell>
          <cell r="B7793">
            <v>69.5</v>
          </cell>
        </row>
        <row r="7794">
          <cell r="A7794">
            <v>1500013952</v>
          </cell>
          <cell r="B7794">
            <v>2.5</v>
          </cell>
        </row>
        <row r="7795">
          <cell r="A7795">
            <v>1500013953</v>
          </cell>
          <cell r="B7795">
            <v>31.8333333333333</v>
          </cell>
        </row>
        <row r="7796">
          <cell r="A7796">
            <v>1500013954</v>
          </cell>
          <cell r="B7796">
            <v>36.3333333333333</v>
          </cell>
        </row>
        <row r="7797">
          <cell r="A7797">
            <v>1500013955</v>
          </cell>
          <cell r="B7797">
            <v>47.3333333333333</v>
          </cell>
        </row>
        <row r="7798">
          <cell r="A7798">
            <v>1500013956</v>
          </cell>
          <cell r="B7798">
            <v>26.316666666666698</v>
          </cell>
        </row>
        <row r="7799">
          <cell r="A7799">
            <v>1500013957</v>
          </cell>
          <cell r="B7799">
            <v>0</v>
          </cell>
        </row>
        <row r="7800">
          <cell r="A7800">
            <v>1500013958</v>
          </cell>
          <cell r="B7800">
            <v>4.1666666666666696</v>
          </cell>
        </row>
        <row r="7801">
          <cell r="A7801">
            <v>1500013959</v>
          </cell>
          <cell r="B7801">
            <v>31.75</v>
          </cell>
        </row>
        <row r="7802">
          <cell r="A7802">
            <v>1500013960</v>
          </cell>
          <cell r="B7802">
            <v>10.0833333333333</v>
          </cell>
        </row>
        <row r="7803">
          <cell r="A7803">
            <v>1500013988</v>
          </cell>
          <cell r="B7803">
            <v>1.6666666666666701</v>
          </cell>
        </row>
        <row r="7804">
          <cell r="A7804">
            <v>1500013989</v>
          </cell>
          <cell r="B7804">
            <v>10.4166666666667</v>
          </cell>
        </row>
        <row r="7805">
          <cell r="A7805">
            <v>1500013990</v>
          </cell>
          <cell r="B7805">
            <v>0</v>
          </cell>
        </row>
        <row r="7806">
          <cell r="A7806">
            <v>1500013991</v>
          </cell>
          <cell r="B7806">
            <v>2.5</v>
          </cell>
        </row>
        <row r="7807">
          <cell r="A7807">
            <v>1500013992</v>
          </cell>
          <cell r="B7807">
            <v>7.81666666666667</v>
          </cell>
        </row>
        <row r="7808">
          <cell r="A7808">
            <v>1500013993</v>
          </cell>
          <cell r="B7808">
            <v>10.8333333333333</v>
          </cell>
        </row>
        <row r="7809">
          <cell r="A7809">
            <v>1500013994</v>
          </cell>
          <cell r="B7809">
            <v>6.0833333333333304</v>
          </cell>
        </row>
        <row r="7810">
          <cell r="A7810">
            <v>1500013995</v>
          </cell>
          <cell r="B7810">
            <v>11.25</v>
          </cell>
        </row>
        <row r="7811">
          <cell r="A7811">
            <v>1500013996</v>
          </cell>
          <cell r="B7811">
            <v>0</v>
          </cell>
        </row>
        <row r="7812">
          <cell r="A7812">
            <v>1500013997</v>
          </cell>
          <cell r="B7812">
            <v>25.3333333333333</v>
          </cell>
        </row>
        <row r="7813">
          <cell r="A7813">
            <v>1500013998</v>
          </cell>
          <cell r="B7813">
            <v>19.6666666666667</v>
          </cell>
        </row>
        <row r="7814">
          <cell r="A7814">
            <v>1500014000</v>
          </cell>
          <cell r="B7814">
            <v>9.9166666666666696</v>
          </cell>
        </row>
        <row r="7815">
          <cell r="A7815">
            <v>1500014001</v>
          </cell>
          <cell r="B7815">
            <v>10.4166666666667</v>
          </cell>
        </row>
        <row r="7816">
          <cell r="A7816">
            <v>1500014002</v>
          </cell>
          <cell r="B7816">
            <v>17.9166666666667</v>
          </cell>
        </row>
        <row r="7817">
          <cell r="A7817">
            <v>1500014041</v>
          </cell>
          <cell r="B7817">
            <v>0.16666666666666699</v>
          </cell>
        </row>
        <row r="7818">
          <cell r="A7818">
            <v>1500014042</v>
          </cell>
          <cell r="B7818">
            <v>0</v>
          </cell>
        </row>
        <row r="7819">
          <cell r="A7819">
            <v>1500014043</v>
          </cell>
          <cell r="B7819">
            <v>82.5833333333333</v>
          </cell>
        </row>
        <row r="7820">
          <cell r="A7820">
            <v>1500014044</v>
          </cell>
          <cell r="B7820">
            <v>10.6666666666667</v>
          </cell>
        </row>
        <row r="7821">
          <cell r="A7821">
            <v>1500014045</v>
          </cell>
          <cell r="B7821">
            <v>36.1666666666667</v>
          </cell>
        </row>
        <row r="7822">
          <cell r="A7822">
            <v>1500014046</v>
          </cell>
          <cell r="B7822">
            <v>8.75</v>
          </cell>
        </row>
        <row r="7823">
          <cell r="A7823">
            <v>1500014047</v>
          </cell>
          <cell r="B7823">
            <v>10.8333333333333</v>
          </cell>
        </row>
        <row r="7824">
          <cell r="A7824">
            <v>1500014048</v>
          </cell>
          <cell r="B7824">
            <v>17.5</v>
          </cell>
        </row>
        <row r="7825">
          <cell r="A7825">
            <v>1500014049</v>
          </cell>
          <cell r="B7825">
            <v>4.5833333333333304</v>
          </cell>
        </row>
        <row r="7826">
          <cell r="A7826">
            <v>1500014054</v>
          </cell>
          <cell r="B7826">
            <v>0</v>
          </cell>
        </row>
        <row r="7827">
          <cell r="A7827">
            <v>1500014055</v>
          </cell>
          <cell r="B7827">
            <v>20.8333333333333</v>
          </cell>
        </row>
        <row r="7828">
          <cell r="A7828">
            <v>1500014056</v>
          </cell>
          <cell r="B7828">
            <v>65.9166666666667</v>
          </cell>
        </row>
        <row r="7829">
          <cell r="A7829">
            <v>1500014057</v>
          </cell>
          <cell r="B7829">
            <v>79.5833333333333</v>
          </cell>
        </row>
        <row r="7830">
          <cell r="A7830">
            <v>1500014058</v>
          </cell>
          <cell r="B7830">
            <v>5.4166666666666696</v>
          </cell>
        </row>
        <row r="7831">
          <cell r="A7831">
            <v>1500014059</v>
          </cell>
          <cell r="B7831">
            <v>17.9166666666667</v>
          </cell>
        </row>
        <row r="7832">
          <cell r="A7832">
            <v>1500014079</v>
          </cell>
          <cell r="B7832">
            <v>29.1666666666667</v>
          </cell>
        </row>
        <row r="7833">
          <cell r="A7833">
            <v>1500014080</v>
          </cell>
          <cell r="B7833">
            <v>0</v>
          </cell>
        </row>
        <row r="7834">
          <cell r="A7834">
            <v>1500014081</v>
          </cell>
          <cell r="B7834">
            <v>75.6666666666667</v>
          </cell>
        </row>
        <row r="7835">
          <cell r="A7835">
            <v>1500014092</v>
          </cell>
          <cell r="B7835">
            <v>33.6666666666667</v>
          </cell>
        </row>
        <row r="7836">
          <cell r="A7836">
            <v>1500014093</v>
          </cell>
          <cell r="B7836">
            <v>32.5833333333333</v>
          </cell>
        </row>
        <row r="7837">
          <cell r="A7837">
            <v>1500014094</v>
          </cell>
          <cell r="B7837">
            <v>10.8333333333333</v>
          </cell>
        </row>
        <row r="7838">
          <cell r="A7838">
            <v>1500014095</v>
          </cell>
          <cell r="B7838">
            <v>10.8333333333333</v>
          </cell>
        </row>
        <row r="7839">
          <cell r="A7839">
            <v>1500014096</v>
          </cell>
          <cell r="B7839">
            <v>0</v>
          </cell>
        </row>
        <row r="7840">
          <cell r="A7840">
            <v>1500014118</v>
          </cell>
          <cell r="B7840">
            <v>0</v>
          </cell>
        </row>
        <row r="7841">
          <cell r="A7841">
            <v>1500014121</v>
          </cell>
          <cell r="B7841">
            <v>0</v>
          </cell>
        </row>
        <row r="7842">
          <cell r="A7842">
            <v>1500014137</v>
          </cell>
          <cell r="B7842">
            <v>13.5</v>
          </cell>
        </row>
        <row r="7843">
          <cell r="A7843">
            <v>1500014138</v>
          </cell>
          <cell r="B7843">
            <v>0</v>
          </cell>
        </row>
        <row r="7844">
          <cell r="A7844">
            <v>1500014139</v>
          </cell>
          <cell r="B7844">
            <v>16.9166666666667</v>
          </cell>
        </row>
        <row r="7845">
          <cell r="A7845">
            <v>1500014123</v>
          </cell>
          <cell r="B7845">
            <v>56.6666666666667</v>
          </cell>
        </row>
        <row r="7846">
          <cell r="A7846">
            <v>1500014125</v>
          </cell>
          <cell r="B7846">
            <v>0</v>
          </cell>
        </row>
        <row r="7847">
          <cell r="A7847">
            <v>1500014127</v>
          </cell>
          <cell r="B7847">
            <v>0</v>
          </cell>
        </row>
        <row r="7848">
          <cell r="A7848">
            <v>1500014128</v>
          </cell>
          <cell r="B7848">
            <v>0</v>
          </cell>
        </row>
        <row r="7849">
          <cell r="A7849">
            <v>1500014130</v>
          </cell>
          <cell r="B7849">
            <v>34.5833333333333</v>
          </cell>
        </row>
        <row r="7850">
          <cell r="A7850">
            <v>1500014155</v>
          </cell>
          <cell r="B7850">
            <v>40.1666666666667</v>
          </cell>
        </row>
        <row r="7851">
          <cell r="A7851">
            <v>1500014156</v>
          </cell>
          <cell r="B7851">
            <v>0.16666666666666699</v>
          </cell>
        </row>
        <row r="7852">
          <cell r="A7852">
            <v>1500014157</v>
          </cell>
          <cell r="B7852">
            <v>15.8333333333333</v>
          </cell>
        </row>
        <row r="7853">
          <cell r="A7853">
            <v>1500014160</v>
          </cell>
          <cell r="B7853">
            <v>0</v>
          </cell>
        </row>
        <row r="7854">
          <cell r="A7854">
            <v>1500014162</v>
          </cell>
          <cell r="B7854">
            <v>7.9166666666666696</v>
          </cell>
        </row>
        <row r="7855">
          <cell r="A7855">
            <v>1500014163</v>
          </cell>
          <cell r="B7855">
            <v>10.8333333333333</v>
          </cell>
        </row>
        <row r="7856">
          <cell r="A7856">
            <v>1500014164</v>
          </cell>
          <cell r="B7856">
            <v>34.5833333333333</v>
          </cell>
        </row>
        <row r="7857">
          <cell r="A7857">
            <v>1500014165</v>
          </cell>
          <cell r="B7857">
            <v>0</v>
          </cell>
        </row>
        <row r="7858">
          <cell r="A7858">
            <v>1500014166</v>
          </cell>
          <cell r="B7858">
            <v>128.416666666667</v>
          </cell>
        </row>
        <row r="7859">
          <cell r="A7859">
            <v>1500014168</v>
          </cell>
          <cell r="B7859">
            <v>3.5833333333333299</v>
          </cell>
        </row>
        <row r="7860">
          <cell r="A7860">
            <v>1500014169</v>
          </cell>
          <cell r="B7860">
            <v>1.7166666666666699</v>
          </cell>
        </row>
        <row r="7861">
          <cell r="A7861">
            <v>1500014170</v>
          </cell>
          <cell r="B7861">
            <v>16.4166666666667</v>
          </cell>
        </row>
        <row r="7862">
          <cell r="A7862">
            <v>1500014171</v>
          </cell>
          <cell r="B7862">
            <v>8.9166666666666696</v>
          </cell>
        </row>
        <row r="7863">
          <cell r="A7863">
            <v>1500014089</v>
          </cell>
          <cell r="B7863">
            <v>25.9166666666667</v>
          </cell>
        </row>
        <row r="7864">
          <cell r="A7864">
            <v>1500014091</v>
          </cell>
          <cell r="B7864">
            <v>14.6666666666667</v>
          </cell>
        </row>
        <row r="7865">
          <cell r="A7865">
            <v>1500014182</v>
          </cell>
          <cell r="B7865">
            <v>30</v>
          </cell>
        </row>
        <row r="7866">
          <cell r="A7866">
            <v>1500014183</v>
          </cell>
          <cell r="B7866">
            <v>19.5833333333333</v>
          </cell>
        </row>
        <row r="7867">
          <cell r="A7867">
            <v>1500014184</v>
          </cell>
          <cell r="B7867">
            <v>1.6666666666666701</v>
          </cell>
        </row>
        <row r="7868">
          <cell r="A7868">
            <v>1500014185</v>
          </cell>
          <cell r="B7868">
            <v>0</v>
          </cell>
        </row>
        <row r="7869">
          <cell r="A7869">
            <v>1500014186</v>
          </cell>
          <cell r="B7869">
            <v>0</v>
          </cell>
        </row>
        <row r="7870">
          <cell r="A7870">
            <v>1500014187</v>
          </cell>
          <cell r="B7870">
            <v>19.8333333333333</v>
          </cell>
        </row>
        <row r="7871">
          <cell r="A7871">
            <v>1500014188</v>
          </cell>
          <cell r="B7871">
            <v>0</v>
          </cell>
        </row>
        <row r="7872">
          <cell r="A7872">
            <v>1500014189</v>
          </cell>
          <cell r="B7872">
            <v>54.3333333333333</v>
          </cell>
        </row>
        <row r="7873">
          <cell r="A7873">
            <v>1500014194</v>
          </cell>
          <cell r="B7873">
            <v>0</v>
          </cell>
        </row>
        <row r="7874">
          <cell r="A7874">
            <v>1500014195</v>
          </cell>
          <cell r="B7874">
            <v>14.1666666666667</v>
          </cell>
        </row>
        <row r="7875">
          <cell r="A7875">
            <v>1500014196</v>
          </cell>
          <cell r="B7875">
            <v>0</v>
          </cell>
        </row>
        <row r="7876">
          <cell r="A7876">
            <v>1500014197</v>
          </cell>
          <cell r="B7876">
            <v>14.3333333333333</v>
          </cell>
        </row>
        <row r="7877">
          <cell r="A7877">
            <v>1500014198</v>
          </cell>
          <cell r="B7877">
            <v>0</v>
          </cell>
        </row>
        <row r="7878">
          <cell r="A7878">
            <v>1500014210</v>
          </cell>
          <cell r="B7878">
            <v>12.3333333333333</v>
          </cell>
        </row>
        <row r="7879">
          <cell r="A7879">
            <v>1500014243</v>
          </cell>
          <cell r="B7879">
            <v>12.5</v>
          </cell>
        </row>
        <row r="7880">
          <cell r="A7880">
            <v>1500014244</v>
          </cell>
          <cell r="B7880">
            <v>0</v>
          </cell>
        </row>
        <row r="7881">
          <cell r="A7881">
            <v>1500014245</v>
          </cell>
          <cell r="B7881">
            <v>0</v>
          </cell>
        </row>
        <row r="7882">
          <cell r="A7882">
            <v>1500014246</v>
          </cell>
          <cell r="B7882">
            <v>6.6666666666666696</v>
          </cell>
        </row>
        <row r="7883">
          <cell r="A7883">
            <v>1500014247</v>
          </cell>
          <cell r="B7883">
            <v>11.25</v>
          </cell>
        </row>
        <row r="7884">
          <cell r="A7884">
            <v>1500014248</v>
          </cell>
          <cell r="B7884">
            <v>33</v>
          </cell>
        </row>
        <row r="7885">
          <cell r="A7885">
            <v>1500014235</v>
          </cell>
          <cell r="B7885">
            <v>11.3333333333333</v>
          </cell>
        </row>
        <row r="7886">
          <cell r="A7886">
            <v>1500014249</v>
          </cell>
          <cell r="B7886">
            <v>38.4166666666667</v>
          </cell>
        </row>
        <row r="7887">
          <cell r="A7887">
            <v>1500014250</v>
          </cell>
          <cell r="B7887">
            <v>0</v>
          </cell>
        </row>
        <row r="7888">
          <cell r="A7888">
            <v>1500014251</v>
          </cell>
          <cell r="B7888">
            <v>13</v>
          </cell>
        </row>
        <row r="7889">
          <cell r="A7889">
            <v>1500014252</v>
          </cell>
          <cell r="B7889">
            <v>7.0833333333333304</v>
          </cell>
        </row>
        <row r="7890">
          <cell r="A7890">
            <v>1500014236</v>
          </cell>
          <cell r="B7890">
            <v>5.875</v>
          </cell>
        </row>
        <row r="7891">
          <cell r="A7891">
            <v>1500014237</v>
          </cell>
          <cell r="B7891">
            <v>0</v>
          </cell>
        </row>
        <row r="7892">
          <cell r="A7892">
            <v>1500014238</v>
          </cell>
          <cell r="B7892">
            <v>11.25</v>
          </cell>
        </row>
        <row r="7893">
          <cell r="A7893">
            <v>1500014239</v>
          </cell>
          <cell r="B7893">
            <v>0</v>
          </cell>
        </row>
        <row r="7894">
          <cell r="A7894">
            <v>1500014240</v>
          </cell>
          <cell r="B7894">
            <v>7.6666666666666696</v>
          </cell>
        </row>
        <row r="7895">
          <cell r="A7895">
            <v>1500014262</v>
          </cell>
          <cell r="B7895">
            <v>19.1666666666667</v>
          </cell>
        </row>
        <row r="7896">
          <cell r="A7896">
            <v>1500014258</v>
          </cell>
          <cell r="B7896">
            <v>17.8333333333333</v>
          </cell>
        </row>
        <row r="7897">
          <cell r="A7897">
            <v>1500014259</v>
          </cell>
          <cell r="B7897">
            <v>3.9166666666666701</v>
          </cell>
        </row>
        <row r="7898">
          <cell r="A7898">
            <v>1500014260</v>
          </cell>
          <cell r="B7898">
            <v>0</v>
          </cell>
        </row>
        <row r="7899">
          <cell r="A7899">
            <v>1500014261</v>
          </cell>
          <cell r="B7899">
            <v>6.8333333333333304</v>
          </cell>
        </row>
        <row r="7900">
          <cell r="A7900">
            <v>1500014282</v>
          </cell>
          <cell r="B7900">
            <v>13.3333333333333</v>
          </cell>
        </row>
        <row r="7901">
          <cell r="A7901">
            <v>1500014283</v>
          </cell>
          <cell r="B7901">
            <v>3.3333333333333299</v>
          </cell>
        </row>
        <row r="7902">
          <cell r="A7902">
            <v>1500014284</v>
          </cell>
          <cell r="B7902">
            <v>17.5</v>
          </cell>
        </row>
        <row r="7903">
          <cell r="A7903">
            <v>1500014285</v>
          </cell>
          <cell r="B7903">
            <v>13.3333333333333</v>
          </cell>
        </row>
        <row r="7904">
          <cell r="A7904">
            <v>1500014286</v>
          </cell>
          <cell r="B7904">
            <v>16</v>
          </cell>
        </row>
        <row r="7905">
          <cell r="A7905">
            <v>1500014287</v>
          </cell>
          <cell r="B7905">
            <v>60.5</v>
          </cell>
        </row>
        <row r="7906">
          <cell r="A7906">
            <v>1500014288</v>
          </cell>
          <cell r="B7906">
            <v>12.5</v>
          </cell>
        </row>
        <row r="7907">
          <cell r="A7907">
            <v>1500014289</v>
          </cell>
          <cell r="B7907">
            <v>0</v>
          </cell>
        </row>
        <row r="7908">
          <cell r="A7908">
            <v>1500014290</v>
          </cell>
          <cell r="B7908">
            <v>70.391666666666694</v>
          </cell>
        </row>
        <row r="7909">
          <cell r="A7909">
            <v>1500014291</v>
          </cell>
          <cell r="B7909">
            <v>0</v>
          </cell>
        </row>
        <row r="7910">
          <cell r="A7910">
            <v>1500014292</v>
          </cell>
          <cell r="B7910">
            <v>41.25</v>
          </cell>
        </row>
        <row r="7911">
          <cell r="A7911">
            <v>1500014304</v>
          </cell>
          <cell r="B7911">
            <v>0</v>
          </cell>
        </row>
        <row r="7912">
          <cell r="A7912">
            <v>1500014305</v>
          </cell>
          <cell r="B7912">
            <v>2.1666666666666701</v>
          </cell>
        </row>
        <row r="7913">
          <cell r="A7913">
            <v>1500014306</v>
          </cell>
          <cell r="B7913">
            <v>16.3333333333333</v>
          </cell>
        </row>
        <row r="7914">
          <cell r="A7914">
            <v>1500014307</v>
          </cell>
          <cell r="B7914">
            <v>0</v>
          </cell>
        </row>
        <row r="7915">
          <cell r="A7915">
            <v>1500014309</v>
          </cell>
          <cell r="B7915">
            <v>6.6666666666666696</v>
          </cell>
        </row>
        <row r="7916">
          <cell r="A7916">
            <v>1500014310</v>
          </cell>
          <cell r="B7916">
            <v>23.0833333333333</v>
          </cell>
        </row>
        <row r="7917">
          <cell r="A7917">
            <v>1500014311</v>
          </cell>
          <cell r="B7917">
            <v>0</v>
          </cell>
        </row>
        <row r="7918">
          <cell r="A7918">
            <v>1500014312</v>
          </cell>
          <cell r="B7918">
            <v>36.6666666666667</v>
          </cell>
        </row>
        <row r="7919">
          <cell r="A7919">
            <v>1500014313</v>
          </cell>
          <cell r="B7919">
            <v>5</v>
          </cell>
        </row>
        <row r="7920">
          <cell r="A7920">
            <v>1500014314</v>
          </cell>
          <cell r="B7920">
            <v>42.9166666666667</v>
          </cell>
        </row>
        <row r="7921">
          <cell r="A7921">
            <v>1500014315</v>
          </cell>
          <cell r="B7921">
            <v>2.5</v>
          </cell>
        </row>
        <row r="7922">
          <cell r="A7922">
            <v>1500014316</v>
          </cell>
          <cell r="B7922">
            <v>0</v>
          </cell>
        </row>
        <row r="7923">
          <cell r="A7923">
            <v>1500014317</v>
          </cell>
          <cell r="B7923">
            <v>8.75</v>
          </cell>
        </row>
        <row r="7924">
          <cell r="A7924">
            <v>1500014318</v>
          </cell>
          <cell r="B7924">
            <v>9.25</v>
          </cell>
        </row>
        <row r="7925">
          <cell r="A7925">
            <v>1500014319</v>
          </cell>
          <cell r="B7925">
            <v>12.4166666666667</v>
          </cell>
        </row>
        <row r="7926">
          <cell r="A7926">
            <v>1500014320</v>
          </cell>
          <cell r="B7926">
            <v>0</v>
          </cell>
        </row>
        <row r="7927">
          <cell r="A7927">
            <v>1500014322</v>
          </cell>
          <cell r="B7927">
            <v>32</v>
          </cell>
        </row>
        <row r="7928">
          <cell r="A7928">
            <v>1500014323</v>
          </cell>
          <cell r="B7928">
            <v>41.5416666666667</v>
          </cell>
        </row>
        <row r="7929">
          <cell r="A7929">
            <v>1500014365</v>
          </cell>
          <cell r="B7929">
            <v>0</v>
          </cell>
        </row>
        <row r="7930">
          <cell r="A7930">
            <v>1500014366</v>
          </cell>
          <cell r="B7930">
            <v>0</v>
          </cell>
        </row>
        <row r="7931">
          <cell r="A7931">
            <v>1500014367</v>
          </cell>
          <cell r="B7931">
            <v>22.0833333333333</v>
          </cell>
        </row>
        <row r="7932">
          <cell r="A7932">
            <v>1500014368</v>
          </cell>
          <cell r="B7932">
            <v>0</v>
          </cell>
        </row>
        <row r="7933">
          <cell r="A7933">
            <v>1500014369</v>
          </cell>
          <cell r="B7933">
            <v>13.0833333333333</v>
          </cell>
        </row>
        <row r="7934">
          <cell r="A7934">
            <v>1500014370</v>
          </cell>
          <cell r="B7934">
            <v>15.8333333333333</v>
          </cell>
        </row>
        <row r="7935">
          <cell r="A7935">
            <v>1500014371</v>
          </cell>
          <cell r="B7935">
            <v>0</v>
          </cell>
        </row>
        <row r="7936">
          <cell r="A7936">
            <v>1500014372</v>
          </cell>
          <cell r="B7936">
            <v>0.83333333333333304</v>
          </cell>
        </row>
        <row r="7937">
          <cell r="A7937">
            <v>1500014373</v>
          </cell>
          <cell r="B7937">
            <v>10.3333333333333</v>
          </cell>
        </row>
        <row r="7938">
          <cell r="A7938">
            <v>1500014374</v>
          </cell>
          <cell r="B7938">
            <v>0</v>
          </cell>
        </row>
        <row r="7939">
          <cell r="A7939">
            <v>1500014375</v>
          </cell>
          <cell r="B7939">
            <v>7.9166666666666696</v>
          </cell>
        </row>
        <row r="7940">
          <cell r="A7940">
            <v>1500014376</v>
          </cell>
          <cell r="B7940">
            <v>37.5</v>
          </cell>
        </row>
        <row r="7941">
          <cell r="A7941">
            <v>1500014402</v>
          </cell>
          <cell r="B7941">
            <v>24.466666666666701</v>
          </cell>
        </row>
        <row r="7942">
          <cell r="A7942">
            <v>1500014403</v>
          </cell>
          <cell r="B7942">
            <v>37.3333333333333</v>
          </cell>
        </row>
        <row r="7943">
          <cell r="A7943">
            <v>1500014404</v>
          </cell>
          <cell r="B7943">
            <v>0</v>
          </cell>
        </row>
        <row r="7944">
          <cell r="A7944">
            <v>1500014405</v>
          </cell>
          <cell r="B7944">
            <v>0</v>
          </cell>
        </row>
        <row r="7945">
          <cell r="A7945">
            <v>1500014406</v>
          </cell>
          <cell r="B7945">
            <v>0</v>
          </cell>
        </row>
        <row r="7946">
          <cell r="A7946">
            <v>1500014407</v>
          </cell>
          <cell r="B7946">
            <v>13.1666666666667</v>
          </cell>
        </row>
        <row r="7947">
          <cell r="A7947">
            <v>1500014408</v>
          </cell>
          <cell r="B7947">
            <v>0</v>
          </cell>
        </row>
        <row r="7948">
          <cell r="A7948">
            <v>1500014409</v>
          </cell>
          <cell r="B7948">
            <v>0</v>
          </cell>
        </row>
        <row r="7949">
          <cell r="A7949">
            <v>1500014410</v>
          </cell>
          <cell r="B7949">
            <v>0</v>
          </cell>
        </row>
        <row r="7950">
          <cell r="A7950">
            <v>1500014414</v>
          </cell>
          <cell r="B7950">
            <v>0</v>
          </cell>
        </row>
        <row r="7951">
          <cell r="A7951">
            <v>1500014415</v>
          </cell>
          <cell r="B7951">
            <v>143.833333333333</v>
          </cell>
        </row>
        <row r="7952">
          <cell r="A7952">
            <v>1500014416</v>
          </cell>
          <cell r="B7952">
            <v>27.5</v>
          </cell>
        </row>
        <row r="7953">
          <cell r="A7953">
            <v>1500014417</v>
          </cell>
          <cell r="B7953">
            <v>19.1666666666667</v>
          </cell>
        </row>
        <row r="7954">
          <cell r="A7954">
            <v>1500014418</v>
          </cell>
          <cell r="B7954">
            <v>0</v>
          </cell>
        </row>
        <row r="7955">
          <cell r="A7955">
            <v>1500014419</v>
          </cell>
          <cell r="B7955">
            <v>25</v>
          </cell>
        </row>
        <row r="7956">
          <cell r="A7956">
            <v>1500014420</v>
          </cell>
          <cell r="B7956">
            <v>0</v>
          </cell>
        </row>
        <row r="7957">
          <cell r="A7957">
            <v>1500014421</v>
          </cell>
          <cell r="B7957">
            <v>10.3333333333333</v>
          </cell>
        </row>
        <row r="7958">
          <cell r="A7958">
            <v>1500014432</v>
          </cell>
          <cell r="B7958">
            <v>5.5833333333333304</v>
          </cell>
        </row>
        <row r="7959">
          <cell r="A7959">
            <v>1500014433</v>
          </cell>
          <cell r="B7959">
            <v>5</v>
          </cell>
        </row>
        <row r="7960">
          <cell r="A7960">
            <v>1500014434</v>
          </cell>
          <cell r="B7960">
            <v>0</v>
          </cell>
        </row>
        <row r="7961">
          <cell r="A7961">
            <v>1500014435</v>
          </cell>
          <cell r="B7961">
            <v>17.1666666666667</v>
          </cell>
        </row>
        <row r="7962">
          <cell r="A7962">
            <v>1500014436</v>
          </cell>
          <cell r="B7962">
            <v>1.25</v>
          </cell>
        </row>
        <row r="7963">
          <cell r="A7963">
            <v>1500014437</v>
          </cell>
          <cell r="B7963">
            <v>9.1666666666666696</v>
          </cell>
        </row>
        <row r="7964">
          <cell r="A7964">
            <v>1500014438</v>
          </cell>
          <cell r="B7964">
            <v>16.658333333333299</v>
          </cell>
        </row>
        <row r="7965">
          <cell r="A7965">
            <v>1500014439</v>
          </cell>
          <cell r="B7965">
            <v>12.5</v>
          </cell>
        </row>
        <row r="7966">
          <cell r="A7966">
            <v>1500014440</v>
          </cell>
          <cell r="B7966">
            <v>0</v>
          </cell>
        </row>
        <row r="7967">
          <cell r="A7967">
            <v>1500014441</v>
          </cell>
          <cell r="B7967">
            <v>22.0833333333333</v>
          </cell>
        </row>
        <row r="7968">
          <cell r="A7968">
            <v>1500014442</v>
          </cell>
          <cell r="B7968">
            <v>5.3333333333333304</v>
          </cell>
        </row>
        <row r="7969">
          <cell r="A7969">
            <v>1500014449</v>
          </cell>
          <cell r="B7969">
            <v>0</v>
          </cell>
        </row>
        <row r="7970">
          <cell r="A7970">
            <v>1500014451</v>
          </cell>
          <cell r="B7970">
            <v>3.8333333333333299</v>
          </cell>
        </row>
        <row r="7971">
          <cell r="A7971">
            <v>1500014463</v>
          </cell>
          <cell r="B7971">
            <v>23.25</v>
          </cell>
        </row>
        <row r="7972">
          <cell r="A7972">
            <v>1500014464</v>
          </cell>
          <cell r="B7972">
            <v>0</v>
          </cell>
        </row>
        <row r="7973">
          <cell r="A7973">
            <v>1500014465</v>
          </cell>
          <cell r="B7973">
            <v>0</v>
          </cell>
        </row>
        <row r="7974">
          <cell r="A7974">
            <v>1500014466</v>
          </cell>
          <cell r="B7974">
            <v>231.666666666667</v>
          </cell>
        </row>
        <row r="7975">
          <cell r="A7975">
            <v>1500014467</v>
          </cell>
          <cell r="B7975">
            <v>19.4166666666667</v>
          </cell>
        </row>
        <row r="7976">
          <cell r="A7976">
            <v>1500014468</v>
          </cell>
          <cell r="B7976">
            <v>0</v>
          </cell>
        </row>
        <row r="7977">
          <cell r="A7977">
            <v>1500014469</v>
          </cell>
          <cell r="B7977">
            <v>11.0833333333333</v>
          </cell>
        </row>
        <row r="7978">
          <cell r="A7978">
            <v>1500014471</v>
          </cell>
          <cell r="B7978">
            <v>21.3333333333333</v>
          </cell>
        </row>
        <row r="7979">
          <cell r="A7979">
            <v>1500014472</v>
          </cell>
          <cell r="B7979">
            <v>6.4166666666666696</v>
          </cell>
        </row>
        <row r="7980">
          <cell r="A7980">
            <v>1500014473</v>
          </cell>
          <cell r="B7980">
            <v>280.71666666666698</v>
          </cell>
        </row>
        <row r="7981">
          <cell r="A7981">
            <v>1500014503</v>
          </cell>
          <cell r="B7981">
            <v>7</v>
          </cell>
        </row>
        <row r="7982">
          <cell r="A7982">
            <v>1500014505</v>
          </cell>
          <cell r="B7982">
            <v>1.6666666666666701</v>
          </cell>
        </row>
        <row r="7983">
          <cell r="A7983">
            <v>1500014506</v>
          </cell>
          <cell r="B7983">
            <v>14.3333333333333</v>
          </cell>
        </row>
        <row r="7984">
          <cell r="A7984">
            <v>1500014507</v>
          </cell>
          <cell r="B7984">
            <v>0</v>
          </cell>
        </row>
        <row r="7985">
          <cell r="A7985">
            <v>1500014508</v>
          </cell>
          <cell r="B7985">
            <v>0</v>
          </cell>
        </row>
        <row r="7986">
          <cell r="A7986">
            <v>1500014511</v>
          </cell>
          <cell r="B7986">
            <v>20.6666666666667</v>
          </cell>
        </row>
        <row r="7987">
          <cell r="A7987">
            <v>1500014512</v>
          </cell>
          <cell r="B7987">
            <v>0</v>
          </cell>
        </row>
        <row r="7988">
          <cell r="A7988">
            <v>1500014513</v>
          </cell>
          <cell r="B7988">
            <v>6.5</v>
          </cell>
        </row>
        <row r="7989">
          <cell r="A7989">
            <v>1500014514</v>
          </cell>
          <cell r="B7989">
            <v>13.4166666666667</v>
          </cell>
        </row>
        <row r="7990">
          <cell r="A7990">
            <v>1500014515</v>
          </cell>
          <cell r="B7990">
            <v>0</v>
          </cell>
        </row>
        <row r="7991">
          <cell r="A7991">
            <v>1500014516</v>
          </cell>
          <cell r="B7991">
            <v>71.5</v>
          </cell>
        </row>
        <row r="7992">
          <cell r="A7992">
            <v>1500014517</v>
          </cell>
          <cell r="B7992">
            <v>21.25</v>
          </cell>
        </row>
        <row r="7993">
          <cell r="A7993">
            <v>1500014518</v>
          </cell>
          <cell r="B7993">
            <v>5</v>
          </cell>
        </row>
        <row r="7994">
          <cell r="A7994">
            <v>1500014519</v>
          </cell>
          <cell r="B7994">
            <v>29.1666666666667</v>
          </cell>
        </row>
        <row r="7995">
          <cell r="A7995">
            <v>1500014520</v>
          </cell>
          <cell r="B7995">
            <v>18.4166666666667</v>
          </cell>
        </row>
        <row r="7996">
          <cell r="A7996">
            <v>1500014521</v>
          </cell>
          <cell r="B7996">
            <v>26.6666666666667</v>
          </cell>
        </row>
        <row r="7997">
          <cell r="A7997">
            <v>1500014537</v>
          </cell>
          <cell r="B7997">
            <v>0.58333333333333304</v>
          </cell>
        </row>
        <row r="7998">
          <cell r="A7998">
            <v>1500014539</v>
          </cell>
          <cell r="B7998">
            <v>17.8333333333333</v>
          </cell>
        </row>
        <row r="7999">
          <cell r="A7999">
            <v>1500014540</v>
          </cell>
          <cell r="B7999">
            <v>0</v>
          </cell>
        </row>
        <row r="8000">
          <cell r="A8000">
            <v>1500014541</v>
          </cell>
          <cell r="B8000">
            <v>18.1666666666667</v>
          </cell>
        </row>
        <row r="8001">
          <cell r="A8001">
            <v>1500014542</v>
          </cell>
          <cell r="B8001">
            <v>0</v>
          </cell>
        </row>
        <row r="8002">
          <cell r="A8002">
            <v>1500014543</v>
          </cell>
          <cell r="B8002">
            <v>1.6666666666666701</v>
          </cell>
        </row>
        <row r="8003">
          <cell r="A8003">
            <v>1500014544</v>
          </cell>
          <cell r="B8003">
            <v>46.25</v>
          </cell>
        </row>
        <row r="8004">
          <cell r="A8004">
            <v>1500014545</v>
          </cell>
          <cell r="B8004">
            <v>6</v>
          </cell>
        </row>
        <row r="8005">
          <cell r="A8005">
            <v>1500014547</v>
          </cell>
          <cell r="B8005">
            <v>6.1666666666666696</v>
          </cell>
        </row>
        <row r="8006">
          <cell r="A8006">
            <v>1500014548</v>
          </cell>
          <cell r="B8006">
            <v>0</v>
          </cell>
        </row>
        <row r="8007">
          <cell r="A8007">
            <v>1500014549</v>
          </cell>
          <cell r="B8007">
            <v>0</v>
          </cell>
        </row>
        <row r="8008">
          <cell r="A8008">
            <v>1500014550</v>
          </cell>
          <cell r="B8008">
            <v>59.1666666666667</v>
          </cell>
        </row>
        <row r="8009">
          <cell r="A8009">
            <v>1500014551</v>
          </cell>
          <cell r="B8009">
            <v>8.3333333333333304</v>
          </cell>
        </row>
        <row r="8010">
          <cell r="A8010">
            <v>1500014552</v>
          </cell>
          <cell r="B8010">
            <v>12.5</v>
          </cell>
        </row>
        <row r="8011">
          <cell r="A8011">
            <v>1500014554</v>
          </cell>
          <cell r="B8011">
            <v>105.916666666667</v>
          </cell>
        </row>
        <row r="8012">
          <cell r="A8012">
            <v>1500014558</v>
          </cell>
          <cell r="B8012">
            <v>0</v>
          </cell>
        </row>
        <row r="8013">
          <cell r="A8013">
            <v>1500014559</v>
          </cell>
          <cell r="B8013">
            <v>26.1666666666667</v>
          </cell>
        </row>
        <row r="8014">
          <cell r="A8014">
            <v>1500014560</v>
          </cell>
          <cell r="B8014">
            <v>0.83333333333333304</v>
          </cell>
        </row>
        <row r="8015">
          <cell r="A8015">
            <v>1500014561</v>
          </cell>
          <cell r="B8015">
            <v>21.3333333333333</v>
          </cell>
        </row>
        <row r="8016">
          <cell r="A8016">
            <v>1500014562</v>
          </cell>
          <cell r="B8016">
            <v>11.25</v>
          </cell>
        </row>
        <row r="8017">
          <cell r="A8017">
            <v>1500014563</v>
          </cell>
          <cell r="B8017">
            <v>15.1666666666667</v>
          </cell>
        </row>
        <row r="8018">
          <cell r="A8018">
            <v>1500014564</v>
          </cell>
          <cell r="B8018">
            <v>0</v>
          </cell>
        </row>
        <row r="8019">
          <cell r="A8019">
            <v>1500014565</v>
          </cell>
          <cell r="B8019">
            <v>55.0833333333333</v>
          </cell>
        </row>
        <row r="8020">
          <cell r="A8020">
            <v>1500014566</v>
          </cell>
          <cell r="B8020">
            <v>18.75</v>
          </cell>
        </row>
        <row r="8021">
          <cell r="A8021">
            <v>1500014567</v>
          </cell>
          <cell r="B8021">
            <v>5</v>
          </cell>
        </row>
        <row r="8022">
          <cell r="A8022">
            <v>1500014568</v>
          </cell>
          <cell r="B8022">
            <v>103.916666666667</v>
          </cell>
        </row>
        <row r="8023">
          <cell r="A8023">
            <v>1500014569</v>
          </cell>
          <cell r="B8023">
            <v>15</v>
          </cell>
        </row>
        <row r="8024">
          <cell r="A8024">
            <v>1500014570</v>
          </cell>
          <cell r="B8024">
            <v>73.25</v>
          </cell>
        </row>
        <row r="8025">
          <cell r="A8025">
            <v>1500014571</v>
          </cell>
          <cell r="B8025">
            <v>29.1666666666667</v>
          </cell>
        </row>
        <row r="8026">
          <cell r="A8026">
            <v>1500014572</v>
          </cell>
          <cell r="B8026">
            <v>9.5833333333333304</v>
          </cell>
        </row>
        <row r="8027">
          <cell r="A8027">
            <v>1500014573</v>
          </cell>
          <cell r="B8027">
            <v>0</v>
          </cell>
        </row>
        <row r="8028">
          <cell r="A8028">
            <v>1500014574</v>
          </cell>
          <cell r="B8028">
            <v>4.1666666666666696</v>
          </cell>
        </row>
        <row r="8029">
          <cell r="A8029">
            <v>1500014575</v>
          </cell>
          <cell r="B8029">
            <v>21.5833333333333</v>
          </cell>
        </row>
        <row r="8030">
          <cell r="A8030">
            <v>1500014531</v>
          </cell>
          <cell r="B8030">
            <v>21</v>
          </cell>
        </row>
        <row r="8031">
          <cell r="A8031">
            <v>1500014582</v>
          </cell>
          <cell r="B8031">
            <v>1.6666666666666701</v>
          </cell>
        </row>
        <row r="8032">
          <cell r="A8032">
            <v>1500014583</v>
          </cell>
          <cell r="B8032">
            <v>0</v>
          </cell>
        </row>
        <row r="8033">
          <cell r="A8033">
            <v>1500014584</v>
          </cell>
          <cell r="B8033">
            <v>0</v>
          </cell>
        </row>
        <row r="8034">
          <cell r="A8034">
            <v>1500014585</v>
          </cell>
          <cell r="B8034">
            <v>4.1666666666666696</v>
          </cell>
        </row>
        <row r="8035">
          <cell r="A8035">
            <v>1500014597</v>
          </cell>
          <cell r="B8035">
            <v>11.25</v>
          </cell>
        </row>
        <row r="8036">
          <cell r="A8036">
            <v>1500014598</v>
          </cell>
          <cell r="B8036">
            <v>38.3333333333333</v>
          </cell>
        </row>
        <row r="8037">
          <cell r="A8037">
            <v>1500014599</v>
          </cell>
          <cell r="B8037">
            <v>14.1666666666667</v>
          </cell>
        </row>
        <row r="8038">
          <cell r="A8038">
            <v>1500014600</v>
          </cell>
          <cell r="B8038">
            <v>0</v>
          </cell>
        </row>
        <row r="8039">
          <cell r="A8039">
            <v>1500014601</v>
          </cell>
          <cell r="B8039">
            <v>74.5</v>
          </cell>
        </row>
        <row r="8040">
          <cell r="A8040">
            <v>1500014602</v>
          </cell>
          <cell r="B8040">
            <v>62.5</v>
          </cell>
        </row>
        <row r="8041">
          <cell r="A8041">
            <v>1500014603</v>
          </cell>
          <cell r="B8041">
            <v>13.3333333333333</v>
          </cell>
        </row>
        <row r="8042">
          <cell r="A8042">
            <v>1500014636</v>
          </cell>
          <cell r="B8042">
            <v>49.4166666666667</v>
          </cell>
        </row>
        <row r="8043">
          <cell r="A8043">
            <v>1500014637</v>
          </cell>
          <cell r="B8043">
            <v>0</v>
          </cell>
        </row>
        <row r="8044">
          <cell r="A8044">
            <v>1500014638</v>
          </cell>
          <cell r="B8044">
            <v>0</v>
          </cell>
        </row>
        <row r="8045">
          <cell r="A8045">
            <v>1500014639</v>
          </cell>
          <cell r="B8045">
            <v>0</v>
          </cell>
        </row>
        <row r="8046">
          <cell r="A8046">
            <v>1500014640</v>
          </cell>
          <cell r="B8046">
            <v>108</v>
          </cell>
        </row>
        <row r="8047">
          <cell r="A8047">
            <v>1500014642</v>
          </cell>
          <cell r="B8047">
            <v>0</v>
          </cell>
        </row>
        <row r="8048">
          <cell r="A8048">
            <v>1500014643</v>
          </cell>
          <cell r="B8048">
            <v>2.9166666666666701</v>
          </cell>
        </row>
        <row r="8049">
          <cell r="A8049">
            <v>1500014644</v>
          </cell>
          <cell r="B8049">
            <v>0</v>
          </cell>
        </row>
        <row r="8050">
          <cell r="A8050">
            <v>1500014645</v>
          </cell>
          <cell r="B8050">
            <v>0</v>
          </cell>
        </row>
        <row r="8051">
          <cell r="A8051">
            <v>1500014646</v>
          </cell>
          <cell r="B8051">
            <v>33.0833333333333</v>
          </cell>
        </row>
        <row r="8052">
          <cell r="A8052">
            <v>1500014655</v>
          </cell>
          <cell r="B8052">
            <v>20.8333333333333</v>
          </cell>
        </row>
        <row r="8053">
          <cell r="A8053">
            <v>1500014648</v>
          </cell>
          <cell r="B8053">
            <v>20.8333333333333</v>
          </cell>
        </row>
        <row r="8054">
          <cell r="A8054">
            <v>1500014649</v>
          </cell>
          <cell r="B8054">
            <v>4.8333333333333304</v>
          </cell>
        </row>
        <row r="8055">
          <cell r="A8055">
            <v>1500014650</v>
          </cell>
          <cell r="B8055">
            <v>0.41666666666666702</v>
          </cell>
        </row>
        <row r="8056">
          <cell r="A8056">
            <v>1500014620</v>
          </cell>
          <cell r="B8056">
            <v>1.0833333333333299</v>
          </cell>
        </row>
        <row r="8057">
          <cell r="A8057">
            <v>1500014621</v>
          </cell>
          <cell r="B8057">
            <v>0</v>
          </cell>
        </row>
        <row r="8058">
          <cell r="A8058">
            <v>1500014662</v>
          </cell>
          <cell r="B8058">
            <v>38.783333333333303</v>
          </cell>
        </row>
        <row r="8059">
          <cell r="A8059">
            <v>1500014665</v>
          </cell>
          <cell r="B8059">
            <v>0</v>
          </cell>
        </row>
        <row r="8060">
          <cell r="A8060">
            <v>1500014666</v>
          </cell>
          <cell r="B8060">
            <v>0</v>
          </cell>
        </row>
        <row r="8061">
          <cell r="A8061">
            <v>1500014667</v>
          </cell>
          <cell r="B8061">
            <v>0</v>
          </cell>
        </row>
        <row r="8062">
          <cell r="A8062">
            <v>1500014668</v>
          </cell>
          <cell r="B8062">
            <v>9.1666666666666696</v>
          </cell>
        </row>
        <row r="8063">
          <cell r="A8063">
            <v>1500014669</v>
          </cell>
          <cell r="B8063">
            <v>12.3333333333333</v>
          </cell>
        </row>
        <row r="8064">
          <cell r="A8064">
            <v>1500014692</v>
          </cell>
          <cell r="B8064">
            <v>81.5833333333333</v>
          </cell>
        </row>
        <row r="8065">
          <cell r="A8065">
            <v>1500014693</v>
          </cell>
          <cell r="B8065">
            <v>247.5</v>
          </cell>
        </row>
        <row r="8066">
          <cell r="A8066">
            <v>1500014694</v>
          </cell>
          <cell r="B8066">
            <v>245.666666666667</v>
          </cell>
        </row>
        <row r="8067">
          <cell r="A8067">
            <v>1500014696</v>
          </cell>
          <cell r="B8067">
            <v>10.8333333333333</v>
          </cell>
        </row>
        <row r="8068">
          <cell r="A8068">
            <v>1500014697</v>
          </cell>
          <cell r="B8068">
            <v>12.75</v>
          </cell>
        </row>
        <row r="8069">
          <cell r="A8069">
            <v>1500014698</v>
          </cell>
          <cell r="B8069">
            <v>11.25</v>
          </cell>
        </row>
        <row r="8070">
          <cell r="A8070">
            <v>1500014699</v>
          </cell>
          <cell r="B8070">
            <v>0</v>
          </cell>
        </row>
        <row r="8071">
          <cell r="A8071">
            <v>1500014700</v>
          </cell>
          <cell r="B8071">
            <v>10.4166666666667</v>
          </cell>
        </row>
        <row r="8072">
          <cell r="A8072">
            <v>1500014701</v>
          </cell>
          <cell r="B8072">
            <v>1.25</v>
          </cell>
        </row>
        <row r="8073">
          <cell r="A8073">
            <v>1500014702</v>
          </cell>
          <cell r="B8073">
            <v>0</v>
          </cell>
        </row>
        <row r="8074">
          <cell r="A8074">
            <v>1500014703</v>
          </cell>
          <cell r="B8074">
            <v>39.0833333333333</v>
          </cell>
        </row>
        <row r="8075">
          <cell r="A8075">
            <v>1500014714</v>
          </cell>
          <cell r="B8075">
            <v>20</v>
          </cell>
        </row>
        <row r="8076">
          <cell r="A8076">
            <v>1500014715</v>
          </cell>
          <cell r="B8076">
            <v>34.6666666666667</v>
          </cell>
        </row>
        <row r="8077">
          <cell r="A8077">
            <v>1500014716</v>
          </cell>
          <cell r="B8077">
            <v>0</v>
          </cell>
        </row>
        <row r="8078">
          <cell r="A8078">
            <v>1500014717</v>
          </cell>
          <cell r="B8078">
            <v>64.45</v>
          </cell>
        </row>
        <row r="8079">
          <cell r="A8079">
            <v>1500014718</v>
          </cell>
          <cell r="B8079">
            <v>8.75</v>
          </cell>
        </row>
        <row r="8080">
          <cell r="A8080">
            <v>1500014719</v>
          </cell>
          <cell r="B8080">
            <v>24.574999999999999</v>
          </cell>
        </row>
        <row r="8081">
          <cell r="A8081">
            <v>1500014720</v>
          </cell>
          <cell r="B8081">
            <v>0</v>
          </cell>
        </row>
        <row r="8082">
          <cell r="A8082">
            <v>1500014721</v>
          </cell>
          <cell r="B8082">
            <v>0.41666666666666702</v>
          </cell>
        </row>
        <row r="8083">
          <cell r="A8083">
            <v>1500014722</v>
          </cell>
          <cell r="B8083">
            <v>46.5833333333333</v>
          </cell>
        </row>
        <row r="8084">
          <cell r="A8084">
            <v>1500014772</v>
          </cell>
          <cell r="B8084">
            <v>10.0583333333333</v>
          </cell>
        </row>
        <row r="8085">
          <cell r="A8085">
            <v>1500014773</v>
          </cell>
          <cell r="B8085">
            <v>62.1666666666667</v>
          </cell>
        </row>
        <row r="8086">
          <cell r="A8086">
            <v>1500014774</v>
          </cell>
          <cell r="B8086">
            <v>0</v>
          </cell>
        </row>
        <row r="8087">
          <cell r="A8087">
            <v>1500014777</v>
          </cell>
          <cell r="B8087">
            <v>16.75</v>
          </cell>
        </row>
        <row r="8088">
          <cell r="A8088">
            <v>1500014778</v>
          </cell>
          <cell r="B8088">
            <v>12.5</v>
          </cell>
        </row>
        <row r="8089">
          <cell r="A8089">
            <v>1500014779</v>
          </cell>
          <cell r="B8089">
            <v>3.1666666666666701</v>
          </cell>
        </row>
        <row r="8090">
          <cell r="A8090">
            <v>1500014780</v>
          </cell>
          <cell r="B8090">
            <v>4.5833333333333304</v>
          </cell>
        </row>
        <row r="8091">
          <cell r="A8091">
            <v>1500014781</v>
          </cell>
          <cell r="B8091">
            <v>0</v>
          </cell>
        </row>
        <row r="8092">
          <cell r="A8092">
            <v>1500014782</v>
          </cell>
          <cell r="B8092">
            <v>11.3333333333333</v>
          </cell>
        </row>
        <row r="8093">
          <cell r="A8093">
            <v>1500014783</v>
          </cell>
          <cell r="B8093">
            <v>0</v>
          </cell>
        </row>
        <row r="8094">
          <cell r="A8094">
            <v>1500014784</v>
          </cell>
          <cell r="B8094">
            <v>109.458333333333</v>
          </cell>
        </row>
        <row r="8095">
          <cell r="A8095">
            <v>1500014785</v>
          </cell>
          <cell r="B8095">
            <v>0</v>
          </cell>
        </row>
        <row r="8096">
          <cell r="A8096">
            <v>1500014786</v>
          </cell>
          <cell r="B8096">
            <v>6.6666666666666696</v>
          </cell>
        </row>
        <row r="8097">
          <cell r="A8097">
            <v>1500014787</v>
          </cell>
          <cell r="B8097">
            <v>3.3333333333333299</v>
          </cell>
        </row>
        <row r="8098">
          <cell r="A8098">
            <v>1500014788</v>
          </cell>
          <cell r="B8098">
            <v>8.3333333333333304</v>
          </cell>
        </row>
        <row r="8099">
          <cell r="A8099">
            <v>1500014790</v>
          </cell>
          <cell r="B8099">
            <v>15</v>
          </cell>
        </row>
        <row r="8100">
          <cell r="A8100">
            <v>1500014734</v>
          </cell>
          <cell r="B8100">
            <v>0</v>
          </cell>
        </row>
        <row r="8101">
          <cell r="A8101">
            <v>1500014735</v>
          </cell>
          <cell r="B8101">
            <v>11.9166666666667</v>
          </cell>
        </row>
        <row r="8102">
          <cell r="A8102">
            <v>1500014736</v>
          </cell>
          <cell r="B8102">
            <v>5</v>
          </cell>
        </row>
        <row r="8103">
          <cell r="A8103">
            <v>1500014737</v>
          </cell>
          <cell r="B8103">
            <v>1.6666666666666701</v>
          </cell>
        </row>
        <row r="8104">
          <cell r="A8104">
            <v>1500014738</v>
          </cell>
          <cell r="B8104">
            <v>0</v>
          </cell>
        </row>
        <row r="8105">
          <cell r="A8105">
            <v>1500014739</v>
          </cell>
          <cell r="B8105">
            <v>0</v>
          </cell>
        </row>
        <row r="8106">
          <cell r="A8106">
            <v>1500014740</v>
          </cell>
          <cell r="B8106">
            <v>43.6666666666667</v>
          </cell>
        </row>
        <row r="8107">
          <cell r="A8107">
            <v>1500014741</v>
          </cell>
          <cell r="B8107">
            <v>32.3333333333333</v>
          </cell>
        </row>
        <row r="8108">
          <cell r="A8108">
            <v>1500014742</v>
          </cell>
          <cell r="B8108">
            <v>7.35</v>
          </cell>
        </row>
        <row r="8109">
          <cell r="A8109">
            <v>1500014743</v>
          </cell>
          <cell r="B8109">
            <v>11.75</v>
          </cell>
        </row>
        <row r="8110">
          <cell r="A8110">
            <v>1500014744</v>
          </cell>
          <cell r="B8110">
            <v>27</v>
          </cell>
        </row>
        <row r="8111">
          <cell r="A8111">
            <v>1500014745</v>
          </cell>
          <cell r="B8111">
            <v>0</v>
          </cell>
        </row>
        <row r="8112">
          <cell r="A8112">
            <v>1500014746</v>
          </cell>
          <cell r="B8112">
            <v>48.8333333333333</v>
          </cell>
        </row>
        <row r="8113">
          <cell r="A8113">
            <v>1500014747</v>
          </cell>
          <cell r="B8113">
            <v>129.71666666666701</v>
          </cell>
        </row>
        <row r="8114">
          <cell r="A8114">
            <v>1500014748</v>
          </cell>
          <cell r="B8114">
            <v>0.83333333333333304</v>
          </cell>
        </row>
        <row r="8115">
          <cell r="A8115">
            <v>1500014749</v>
          </cell>
          <cell r="B8115">
            <v>0</v>
          </cell>
        </row>
        <row r="8116">
          <cell r="A8116">
            <v>1500014792</v>
          </cell>
          <cell r="B8116">
            <v>196.5</v>
          </cell>
        </row>
        <row r="8117">
          <cell r="A8117">
            <v>1500014847</v>
          </cell>
          <cell r="B8117">
            <v>0</v>
          </cell>
        </row>
        <row r="8118">
          <cell r="A8118">
            <v>1500014824</v>
          </cell>
          <cell r="B8118">
            <v>52.5</v>
          </cell>
        </row>
        <row r="8119">
          <cell r="A8119">
            <v>1500014825</v>
          </cell>
          <cell r="B8119">
            <v>0</v>
          </cell>
        </row>
        <row r="8120">
          <cell r="A8120">
            <v>1500014826</v>
          </cell>
          <cell r="B8120">
            <v>27.0833333333333</v>
          </cell>
        </row>
        <row r="8121">
          <cell r="A8121">
            <v>1500014827</v>
          </cell>
          <cell r="B8121">
            <v>55</v>
          </cell>
        </row>
        <row r="8122">
          <cell r="A8122">
            <v>1500014828</v>
          </cell>
          <cell r="B8122">
            <v>2.0833333333333299</v>
          </cell>
        </row>
        <row r="8123">
          <cell r="A8123">
            <v>1500014829</v>
          </cell>
          <cell r="B8123">
            <v>2.5833333333333299</v>
          </cell>
        </row>
        <row r="8124">
          <cell r="A8124">
            <v>1500014830</v>
          </cell>
          <cell r="B8124">
            <v>1.3333333333333299</v>
          </cell>
        </row>
        <row r="8125">
          <cell r="A8125">
            <v>1500014831</v>
          </cell>
          <cell r="B8125">
            <v>0</v>
          </cell>
        </row>
        <row r="8126">
          <cell r="A8126">
            <v>1500014832</v>
          </cell>
          <cell r="B8126">
            <v>0</v>
          </cell>
        </row>
        <row r="8127">
          <cell r="A8127">
            <v>1500014833</v>
          </cell>
          <cell r="B8127">
            <v>0</v>
          </cell>
        </row>
        <row r="8128">
          <cell r="A8128">
            <v>1500014834</v>
          </cell>
          <cell r="B8128">
            <v>28.75</v>
          </cell>
        </row>
        <row r="8129">
          <cell r="A8129">
            <v>1500014835</v>
          </cell>
          <cell r="B8129">
            <v>28</v>
          </cell>
        </row>
        <row r="8130">
          <cell r="A8130">
            <v>1500014836</v>
          </cell>
          <cell r="B8130">
            <v>11.1666666666667</v>
          </cell>
        </row>
        <row r="8131">
          <cell r="A8131">
            <v>1500014837</v>
          </cell>
          <cell r="B8131">
            <v>0</v>
          </cell>
        </row>
        <row r="8132">
          <cell r="A8132">
            <v>1500014838</v>
          </cell>
          <cell r="B8132">
            <v>20.8333333333333</v>
          </cell>
        </row>
        <row r="8133">
          <cell r="A8133">
            <v>1500014839</v>
          </cell>
          <cell r="B8133">
            <v>20</v>
          </cell>
        </row>
        <row r="8134">
          <cell r="A8134">
            <v>1500014840</v>
          </cell>
          <cell r="B8134">
            <v>0</v>
          </cell>
        </row>
        <row r="8135">
          <cell r="A8135">
            <v>1500014841</v>
          </cell>
          <cell r="B8135">
            <v>11.6666666666667</v>
          </cell>
        </row>
        <row r="8136">
          <cell r="A8136">
            <v>1500014852</v>
          </cell>
          <cell r="B8136">
            <v>0</v>
          </cell>
        </row>
        <row r="8137">
          <cell r="A8137">
            <v>1500014853</v>
          </cell>
          <cell r="B8137">
            <v>8.5833333333333304</v>
          </cell>
        </row>
        <row r="8138">
          <cell r="A8138">
            <v>1500014854</v>
          </cell>
          <cell r="B8138">
            <v>0</v>
          </cell>
        </row>
        <row r="8139">
          <cell r="A8139">
            <v>1500014855</v>
          </cell>
          <cell r="B8139">
            <v>20</v>
          </cell>
        </row>
        <row r="8140">
          <cell r="A8140">
            <v>1500014856</v>
          </cell>
          <cell r="B8140">
            <v>9.5833333333333304</v>
          </cell>
        </row>
        <row r="8141">
          <cell r="A8141">
            <v>1500014857</v>
          </cell>
          <cell r="B8141">
            <v>0.83333333333333304</v>
          </cell>
        </row>
        <row r="8142">
          <cell r="A8142">
            <v>1500014858</v>
          </cell>
          <cell r="B8142">
            <v>0</v>
          </cell>
        </row>
        <row r="8143">
          <cell r="A8143">
            <v>1500014859</v>
          </cell>
          <cell r="B8143">
            <v>0</v>
          </cell>
        </row>
        <row r="8144">
          <cell r="A8144">
            <v>1500014860</v>
          </cell>
          <cell r="B8144">
            <v>35.4166666666667</v>
          </cell>
        </row>
        <row r="8145">
          <cell r="A8145">
            <v>1500014861</v>
          </cell>
          <cell r="B8145">
            <v>0</v>
          </cell>
        </row>
        <row r="8146">
          <cell r="A8146">
            <v>1500014862</v>
          </cell>
          <cell r="B8146">
            <v>0.83333333333333304</v>
          </cell>
        </row>
        <row r="8147">
          <cell r="A8147">
            <v>1500014863</v>
          </cell>
          <cell r="B8147">
            <v>0</v>
          </cell>
        </row>
        <row r="8148">
          <cell r="A8148">
            <v>1500014874</v>
          </cell>
          <cell r="B8148">
            <v>1.3333333333333299</v>
          </cell>
        </row>
        <row r="8149">
          <cell r="A8149">
            <v>1500014875</v>
          </cell>
          <cell r="B8149">
            <v>131.5</v>
          </cell>
        </row>
        <row r="8150">
          <cell r="A8150">
            <v>1500014876</v>
          </cell>
          <cell r="B8150">
            <v>0</v>
          </cell>
        </row>
        <row r="8151">
          <cell r="A8151">
            <v>1500014877</v>
          </cell>
          <cell r="B8151">
            <v>2.5</v>
          </cell>
        </row>
        <row r="8152">
          <cell r="A8152">
            <v>1500014878</v>
          </cell>
          <cell r="B8152">
            <v>8.3333333333333304</v>
          </cell>
        </row>
        <row r="8153">
          <cell r="A8153">
            <v>1500014879</v>
          </cell>
          <cell r="B8153">
            <v>0</v>
          </cell>
        </row>
        <row r="8154">
          <cell r="A8154">
            <v>1500014880</v>
          </cell>
          <cell r="B8154">
            <v>14.5833333333333</v>
          </cell>
        </row>
        <row r="8155">
          <cell r="A8155">
            <v>1500014881</v>
          </cell>
          <cell r="B8155">
            <v>8.3333333333333304</v>
          </cell>
        </row>
        <row r="8156">
          <cell r="A8156">
            <v>1500014911</v>
          </cell>
          <cell r="B8156">
            <v>1.25</v>
          </cell>
        </row>
        <row r="8157">
          <cell r="A8157">
            <v>1500014912</v>
          </cell>
          <cell r="B8157">
            <v>8.4166666666666696</v>
          </cell>
        </row>
        <row r="8158">
          <cell r="A8158">
            <v>1500014913</v>
          </cell>
          <cell r="B8158">
            <v>0</v>
          </cell>
        </row>
        <row r="8159">
          <cell r="A8159">
            <v>1500014914</v>
          </cell>
          <cell r="B8159">
            <v>26.0833333333333</v>
          </cell>
        </row>
        <row r="8160">
          <cell r="A8160">
            <v>1500014915</v>
          </cell>
          <cell r="B8160">
            <v>13.75</v>
          </cell>
        </row>
        <row r="8161">
          <cell r="A8161">
            <v>1500014916</v>
          </cell>
          <cell r="B8161">
            <v>71.724999999999994</v>
          </cell>
        </row>
        <row r="8162">
          <cell r="A8162">
            <v>1500014917</v>
          </cell>
          <cell r="B8162">
            <v>5.6666666666666696</v>
          </cell>
        </row>
        <row r="8163">
          <cell r="A8163">
            <v>1500014918</v>
          </cell>
          <cell r="B8163">
            <v>0</v>
          </cell>
        </row>
        <row r="8164">
          <cell r="A8164">
            <v>1500014896</v>
          </cell>
          <cell r="B8164">
            <v>0</v>
          </cell>
        </row>
        <row r="8165">
          <cell r="A8165">
            <v>1500014897</v>
          </cell>
          <cell r="B8165">
            <v>0</v>
          </cell>
        </row>
        <row r="8166">
          <cell r="A8166">
            <v>1500014898</v>
          </cell>
          <cell r="B8166">
            <v>10.8333333333333</v>
          </cell>
        </row>
        <row r="8167">
          <cell r="A8167">
            <v>1500014899</v>
          </cell>
          <cell r="B8167">
            <v>10.8333333333333</v>
          </cell>
        </row>
        <row r="8168">
          <cell r="A8168">
            <v>1500014900</v>
          </cell>
          <cell r="B8168">
            <v>20</v>
          </cell>
        </row>
        <row r="8169">
          <cell r="A8169">
            <v>1500014901</v>
          </cell>
          <cell r="B8169">
            <v>17.9166666666667</v>
          </cell>
        </row>
        <row r="8170">
          <cell r="A8170">
            <v>1500014902</v>
          </cell>
          <cell r="B8170">
            <v>2.5</v>
          </cell>
        </row>
        <row r="8171">
          <cell r="A8171">
            <v>1500014903</v>
          </cell>
          <cell r="B8171">
            <v>14.1666666666667</v>
          </cell>
        </row>
        <row r="8172">
          <cell r="A8172">
            <v>1500014922</v>
          </cell>
          <cell r="B8172">
            <v>0</v>
          </cell>
        </row>
        <row r="8173">
          <cell r="A8173">
            <v>1500014923</v>
          </cell>
          <cell r="B8173">
            <v>4.1666666666666696</v>
          </cell>
        </row>
        <row r="8174">
          <cell r="A8174">
            <v>1500014924</v>
          </cell>
          <cell r="B8174">
            <v>14.75</v>
          </cell>
        </row>
        <row r="8175">
          <cell r="A8175">
            <v>1500014925</v>
          </cell>
          <cell r="B8175">
            <v>1.6666666666666701</v>
          </cell>
        </row>
        <row r="8176">
          <cell r="A8176">
            <v>1500014926</v>
          </cell>
          <cell r="B8176">
            <v>42.25</v>
          </cell>
        </row>
        <row r="8177">
          <cell r="A8177">
            <v>1500014927</v>
          </cell>
          <cell r="B8177">
            <v>16.9166666666667</v>
          </cell>
        </row>
        <row r="8178">
          <cell r="A8178">
            <v>1500014928</v>
          </cell>
          <cell r="B8178">
            <v>0</v>
          </cell>
        </row>
        <row r="8179">
          <cell r="A8179">
            <v>1500014929</v>
          </cell>
          <cell r="B8179">
            <v>0</v>
          </cell>
        </row>
        <row r="8180">
          <cell r="A8180">
            <v>1500014931</v>
          </cell>
          <cell r="B8180">
            <v>116.333333333333</v>
          </cell>
        </row>
        <row r="8181">
          <cell r="A8181">
            <v>1500014942</v>
          </cell>
          <cell r="B8181">
            <v>16.6666666666667</v>
          </cell>
        </row>
        <row r="8182">
          <cell r="A8182">
            <v>1500014951</v>
          </cell>
          <cell r="B8182">
            <v>0</v>
          </cell>
        </row>
        <row r="8183">
          <cell r="A8183">
            <v>1500014952</v>
          </cell>
          <cell r="B8183">
            <v>83.75</v>
          </cell>
        </row>
        <row r="8184">
          <cell r="A8184">
            <v>1500014953</v>
          </cell>
          <cell r="B8184">
            <v>2.8333333333333299</v>
          </cell>
        </row>
        <row r="8185">
          <cell r="A8185">
            <v>1500014954</v>
          </cell>
          <cell r="B8185">
            <v>16.25</v>
          </cell>
        </row>
        <row r="8186">
          <cell r="A8186">
            <v>1500014970</v>
          </cell>
          <cell r="B8186">
            <v>19.5</v>
          </cell>
        </row>
        <row r="8187">
          <cell r="A8187">
            <v>1500014955</v>
          </cell>
          <cell r="B8187">
            <v>0</v>
          </cell>
        </row>
        <row r="8188">
          <cell r="A8188">
            <v>1500014956</v>
          </cell>
          <cell r="B8188">
            <v>2.9166666666666701</v>
          </cell>
        </row>
        <row r="8189">
          <cell r="A8189">
            <v>1500014957</v>
          </cell>
          <cell r="B8189">
            <v>0</v>
          </cell>
        </row>
        <row r="8190">
          <cell r="A8190">
            <v>1500014958</v>
          </cell>
          <cell r="B8190">
            <v>65</v>
          </cell>
        </row>
        <row r="8191">
          <cell r="A8191">
            <v>1500014959</v>
          </cell>
          <cell r="B8191">
            <v>0</v>
          </cell>
        </row>
        <row r="8192">
          <cell r="A8192">
            <v>1500014976</v>
          </cell>
          <cell r="B8192">
            <v>42.5833333333333</v>
          </cell>
        </row>
        <row r="8193">
          <cell r="A8193">
            <v>1500014977</v>
          </cell>
          <cell r="B8193">
            <v>9.3333333333333304</v>
          </cell>
        </row>
        <row r="8194">
          <cell r="A8194">
            <v>1500014978</v>
          </cell>
          <cell r="B8194">
            <v>30.0833333333333</v>
          </cell>
        </row>
        <row r="8195">
          <cell r="A8195">
            <v>1500014979</v>
          </cell>
          <cell r="B8195">
            <v>29.6666666666667</v>
          </cell>
        </row>
        <row r="8196">
          <cell r="A8196">
            <v>1500014980</v>
          </cell>
          <cell r="B8196">
            <v>18.125</v>
          </cell>
        </row>
        <row r="8197">
          <cell r="A8197">
            <v>1500014982</v>
          </cell>
          <cell r="B8197">
            <v>5.8333333333333304</v>
          </cell>
        </row>
        <row r="8198">
          <cell r="A8198">
            <v>1500014983</v>
          </cell>
          <cell r="B8198">
            <v>18.75</v>
          </cell>
        </row>
        <row r="8199">
          <cell r="A8199">
            <v>1500014984</v>
          </cell>
          <cell r="B8199">
            <v>12.75</v>
          </cell>
        </row>
        <row r="8200">
          <cell r="A8200">
            <v>1500014985</v>
          </cell>
          <cell r="B8200">
            <v>9.5833333333333304</v>
          </cell>
        </row>
        <row r="8201">
          <cell r="A8201">
            <v>1500014986</v>
          </cell>
          <cell r="B8201">
            <v>13.5833333333333</v>
          </cell>
        </row>
        <row r="8202">
          <cell r="A8202">
            <v>1500014987</v>
          </cell>
          <cell r="B8202">
            <v>0</v>
          </cell>
        </row>
        <row r="8203">
          <cell r="A8203">
            <v>1500014988</v>
          </cell>
          <cell r="B8203">
            <v>38.6666666666667</v>
          </cell>
        </row>
        <row r="8204">
          <cell r="A8204">
            <v>1500014990</v>
          </cell>
          <cell r="B8204">
            <v>2.4166666666666701</v>
          </cell>
        </row>
        <row r="8205">
          <cell r="A8205">
            <v>1500015008</v>
          </cell>
          <cell r="B8205">
            <v>8.75</v>
          </cell>
        </row>
        <row r="8206">
          <cell r="A8206">
            <v>1500015009</v>
          </cell>
          <cell r="B8206">
            <v>0</v>
          </cell>
        </row>
        <row r="8207">
          <cell r="A8207">
            <v>1500015010</v>
          </cell>
          <cell r="B8207">
            <v>27.5</v>
          </cell>
        </row>
        <row r="8208">
          <cell r="A8208">
            <v>1500015011</v>
          </cell>
          <cell r="B8208">
            <v>0</v>
          </cell>
        </row>
        <row r="8209">
          <cell r="A8209">
            <v>1500015012</v>
          </cell>
          <cell r="B8209">
            <v>0</v>
          </cell>
        </row>
        <row r="8210">
          <cell r="A8210">
            <v>1500015013</v>
          </cell>
          <cell r="B8210">
            <v>14.5833333333333</v>
          </cell>
        </row>
        <row r="8211">
          <cell r="A8211">
            <v>1500015014</v>
          </cell>
          <cell r="B8211">
            <v>5.95</v>
          </cell>
        </row>
        <row r="8212">
          <cell r="A8212">
            <v>1500015015</v>
          </cell>
          <cell r="B8212">
            <v>11.25</v>
          </cell>
        </row>
        <row r="8213">
          <cell r="A8213">
            <v>1500015016</v>
          </cell>
          <cell r="B8213">
            <v>28.8333333333333</v>
          </cell>
        </row>
        <row r="8214">
          <cell r="A8214">
            <v>1500015017</v>
          </cell>
          <cell r="B8214">
            <v>21.4166666666667</v>
          </cell>
        </row>
        <row r="8215">
          <cell r="A8215">
            <v>1500015018</v>
          </cell>
          <cell r="B8215">
            <v>14.1666666666667</v>
          </cell>
        </row>
        <row r="8216">
          <cell r="A8216">
            <v>1500015019</v>
          </cell>
          <cell r="B8216">
            <v>0</v>
          </cell>
        </row>
        <row r="8217">
          <cell r="A8217">
            <v>1500015020</v>
          </cell>
          <cell r="B8217">
            <v>19.6666666666667</v>
          </cell>
        </row>
        <row r="8218">
          <cell r="A8218">
            <v>1500015022</v>
          </cell>
          <cell r="B8218">
            <v>20.1666666666667</v>
          </cell>
        </row>
        <row r="8219">
          <cell r="A8219">
            <v>1500015023</v>
          </cell>
          <cell r="B8219">
            <v>79.1666666666667</v>
          </cell>
        </row>
        <row r="8220">
          <cell r="A8220">
            <v>1500015044</v>
          </cell>
          <cell r="B8220">
            <v>6.25</v>
          </cell>
        </row>
        <row r="8221">
          <cell r="A8221">
            <v>1500015045</v>
          </cell>
          <cell r="B8221">
            <v>10.8333333333333</v>
          </cell>
        </row>
        <row r="8222">
          <cell r="A8222">
            <v>1500015046</v>
          </cell>
          <cell r="B8222">
            <v>23.25</v>
          </cell>
        </row>
        <row r="8223">
          <cell r="A8223">
            <v>1500015047</v>
          </cell>
          <cell r="B8223">
            <v>8.75</v>
          </cell>
        </row>
        <row r="8224">
          <cell r="A8224">
            <v>1500015048</v>
          </cell>
          <cell r="B8224">
            <v>11.6666666666667</v>
          </cell>
        </row>
        <row r="8225">
          <cell r="A8225">
            <v>1500015049</v>
          </cell>
          <cell r="B8225">
            <v>0</v>
          </cell>
        </row>
        <row r="8226">
          <cell r="A8226">
            <v>1500015050</v>
          </cell>
          <cell r="B8226">
            <v>6.7916666666666696</v>
          </cell>
        </row>
        <row r="8227">
          <cell r="A8227">
            <v>1500015051</v>
          </cell>
          <cell r="B8227">
            <v>0</v>
          </cell>
        </row>
        <row r="8228">
          <cell r="A8228">
            <v>1500015052</v>
          </cell>
          <cell r="B8228">
            <v>15.8333333333333</v>
          </cell>
        </row>
        <row r="8229">
          <cell r="A8229">
            <v>1500015064</v>
          </cell>
          <cell r="B8229">
            <v>0</v>
          </cell>
        </row>
        <row r="8230">
          <cell r="A8230">
            <v>1500015065</v>
          </cell>
          <cell r="B8230">
            <v>38.441666666666698</v>
          </cell>
        </row>
        <row r="8231">
          <cell r="A8231">
            <v>1500015066</v>
          </cell>
          <cell r="B8231">
            <v>37.75</v>
          </cell>
        </row>
        <row r="8232">
          <cell r="A8232">
            <v>1500015067</v>
          </cell>
          <cell r="B8232">
            <v>0</v>
          </cell>
        </row>
        <row r="8233">
          <cell r="A8233">
            <v>1500015102</v>
          </cell>
          <cell r="B8233">
            <v>21.3333333333333</v>
          </cell>
        </row>
        <row r="8234">
          <cell r="A8234">
            <v>1500015103</v>
          </cell>
          <cell r="B8234">
            <v>0</v>
          </cell>
        </row>
        <row r="8235">
          <cell r="A8235">
            <v>1500015104</v>
          </cell>
          <cell r="B8235">
            <v>0</v>
          </cell>
        </row>
        <row r="8236">
          <cell r="A8236">
            <v>1500015105</v>
          </cell>
          <cell r="B8236">
            <v>15</v>
          </cell>
        </row>
        <row r="8237">
          <cell r="A8237">
            <v>1500015106</v>
          </cell>
          <cell r="B8237">
            <v>26.1666666666667</v>
          </cell>
        </row>
        <row r="8238">
          <cell r="A8238">
            <v>1500015107</v>
          </cell>
          <cell r="B8238">
            <v>2.5</v>
          </cell>
        </row>
        <row r="8239">
          <cell r="A8239">
            <v>1500015108</v>
          </cell>
          <cell r="B8239">
            <v>0</v>
          </cell>
        </row>
        <row r="8240">
          <cell r="A8240">
            <v>1500015109</v>
          </cell>
          <cell r="B8240">
            <v>15.4166666666667</v>
          </cell>
        </row>
        <row r="8241">
          <cell r="A8241">
            <v>1500015110</v>
          </cell>
          <cell r="B8241">
            <v>17.9166666666667</v>
          </cell>
        </row>
        <row r="8242">
          <cell r="A8242">
            <v>1500015111</v>
          </cell>
          <cell r="B8242">
            <v>19.1666666666667</v>
          </cell>
        </row>
        <row r="8243">
          <cell r="A8243">
            <v>1500015112</v>
          </cell>
          <cell r="B8243">
            <v>13.5</v>
          </cell>
        </row>
        <row r="8244">
          <cell r="A8244">
            <v>1500015113</v>
          </cell>
          <cell r="B8244">
            <v>15.4166666666667</v>
          </cell>
        </row>
        <row r="8245">
          <cell r="A8245">
            <v>1500015114</v>
          </cell>
          <cell r="B8245">
            <v>31</v>
          </cell>
        </row>
        <row r="8246">
          <cell r="A8246">
            <v>1500015115</v>
          </cell>
          <cell r="B8246">
            <v>20.8333333333333</v>
          </cell>
        </row>
        <row r="8247">
          <cell r="A8247">
            <v>1500015116</v>
          </cell>
          <cell r="B8247">
            <v>30.8333333333333</v>
          </cell>
        </row>
        <row r="8248">
          <cell r="A8248">
            <v>1500015117</v>
          </cell>
          <cell r="B8248">
            <v>109.925</v>
          </cell>
        </row>
        <row r="8249">
          <cell r="A8249">
            <v>1500015118</v>
          </cell>
          <cell r="B8249">
            <v>39</v>
          </cell>
        </row>
        <row r="8250">
          <cell r="A8250">
            <v>1500015119</v>
          </cell>
          <cell r="B8250">
            <v>40.8333333333333</v>
          </cell>
        </row>
        <row r="8251">
          <cell r="A8251">
            <v>1500015120</v>
          </cell>
          <cell r="B8251">
            <v>22.008333333333301</v>
          </cell>
        </row>
        <row r="8252">
          <cell r="A8252">
            <v>1500015121</v>
          </cell>
          <cell r="B8252">
            <v>22.75</v>
          </cell>
        </row>
        <row r="8253">
          <cell r="A8253">
            <v>1500015122</v>
          </cell>
          <cell r="B8253">
            <v>0</v>
          </cell>
        </row>
        <row r="8254">
          <cell r="A8254">
            <v>1500015123</v>
          </cell>
          <cell r="B8254">
            <v>29.15</v>
          </cell>
        </row>
        <row r="8255">
          <cell r="A8255">
            <v>1500015124</v>
          </cell>
          <cell r="B8255">
            <v>0.33333333333333298</v>
          </cell>
        </row>
        <row r="8256">
          <cell r="A8256">
            <v>1500015125</v>
          </cell>
          <cell r="B8256">
            <v>0</v>
          </cell>
        </row>
        <row r="8257">
          <cell r="A8257">
            <v>1500015126</v>
          </cell>
          <cell r="B8257">
            <v>0</v>
          </cell>
        </row>
        <row r="8258">
          <cell r="A8258">
            <v>1500015128</v>
          </cell>
          <cell r="B8258">
            <v>42.8333333333333</v>
          </cell>
        </row>
        <row r="8259">
          <cell r="A8259">
            <v>1500015129</v>
          </cell>
          <cell r="B8259">
            <v>6.6666666666666696</v>
          </cell>
        </row>
        <row r="8260">
          <cell r="A8260">
            <v>1500015130</v>
          </cell>
          <cell r="B8260">
            <v>8.1666666666666696</v>
          </cell>
        </row>
        <row r="8261">
          <cell r="A8261">
            <v>1500015131</v>
          </cell>
          <cell r="B8261">
            <v>13.4166666666667</v>
          </cell>
        </row>
        <row r="8262">
          <cell r="A8262">
            <v>1500015139</v>
          </cell>
          <cell r="B8262">
            <v>0</v>
          </cell>
        </row>
        <row r="8263">
          <cell r="A8263">
            <v>1500015140</v>
          </cell>
          <cell r="B8263">
            <v>0</v>
          </cell>
        </row>
        <row r="8264">
          <cell r="A8264">
            <v>1500015141</v>
          </cell>
          <cell r="B8264">
            <v>2.5</v>
          </cell>
        </row>
        <row r="8265">
          <cell r="A8265">
            <v>1500015142</v>
          </cell>
          <cell r="B8265">
            <v>28.9166666666667</v>
          </cell>
        </row>
        <row r="8266">
          <cell r="A8266">
            <v>1500015143</v>
          </cell>
          <cell r="B8266">
            <v>0</v>
          </cell>
        </row>
        <row r="8267">
          <cell r="A8267">
            <v>1500015144</v>
          </cell>
          <cell r="B8267">
            <v>6.6666666666666696</v>
          </cell>
        </row>
        <row r="8268">
          <cell r="A8268">
            <v>1500015145</v>
          </cell>
          <cell r="B8268">
            <v>5</v>
          </cell>
        </row>
        <row r="8269">
          <cell r="A8269">
            <v>1500015146</v>
          </cell>
          <cell r="B8269">
            <v>3.3333333333333299</v>
          </cell>
        </row>
        <row r="8270">
          <cell r="A8270">
            <v>1500015147</v>
          </cell>
          <cell r="B8270">
            <v>0.41666666666666702</v>
          </cell>
        </row>
        <row r="8271">
          <cell r="A8271">
            <v>1500015079</v>
          </cell>
          <cell r="B8271">
            <v>10.4166666666667</v>
          </cell>
        </row>
        <row r="8272">
          <cell r="A8272">
            <v>1500015080</v>
          </cell>
          <cell r="B8272">
            <v>0</v>
          </cell>
        </row>
        <row r="8273">
          <cell r="A8273">
            <v>1500015081</v>
          </cell>
          <cell r="B8273">
            <v>29.8333333333333</v>
          </cell>
        </row>
        <row r="8274">
          <cell r="A8274">
            <v>1500015082</v>
          </cell>
          <cell r="B8274">
            <v>2.9166666666666701</v>
          </cell>
        </row>
        <row r="8275">
          <cell r="A8275">
            <v>1500015083</v>
          </cell>
          <cell r="B8275">
            <v>13.6666666666667</v>
          </cell>
        </row>
        <row r="8276">
          <cell r="A8276">
            <v>1500015084</v>
          </cell>
          <cell r="B8276">
            <v>0</v>
          </cell>
        </row>
        <row r="8277">
          <cell r="A8277">
            <v>1500015085</v>
          </cell>
          <cell r="B8277">
            <v>18.933333333333302</v>
          </cell>
        </row>
        <row r="8278">
          <cell r="A8278">
            <v>1500015086</v>
          </cell>
          <cell r="B8278">
            <v>82.5</v>
          </cell>
        </row>
        <row r="8279">
          <cell r="A8279">
            <v>1500015087</v>
          </cell>
          <cell r="B8279">
            <v>3.1666666666666701</v>
          </cell>
        </row>
        <row r="8280">
          <cell r="A8280">
            <v>1500015157</v>
          </cell>
          <cell r="B8280">
            <v>37.1666666666667</v>
          </cell>
        </row>
        <row r="8281">
          <cell r="A8281">
            <v>1500015158</v>
          </cell>
          <cell r="B8281">
            <v>29.3333333333333</v>
          </cell>
        </row>
        <row r="8282">
          <cell r="A8282">
            <v>1500015159</v>
          </cell>
          <cell r="B8282">
            <v>7.0833333333333304</v>
          </cell>
        </row>
        <row r="8283">
          <cell r="A8283">
            <v>1500015160</v>
          </cell>
          <cell r="B8283">
            <v>0</v>
          </cell>
        </row>
        <row r="8284">
          <cell r="A8284">
            <v>1500015161</v>
          </cell>
          <cell r="B8284">
            <v>0</v>
          </cell>
        </row>
        <row r="8285">
          <cell r="A8285">
            <v>1500015162</v>
          </cell>
          <cell r="B8285">
            <v>0</v>
          </cell>
        </row>
        <row r="8286">
          <cell r="A8286">
            <v>1500015172</v>
          </cell>
          <cell r="B8286">
            <v>20</v>
          </cell>
        </row>
        <row r="8287">
          <cell r="A8287">
            <v>1500015192</v>
          </cell>
          <cell r="B8287">
            <v>7.4166666666666696</v>
          </cell>
        </row>
        <row r="8288">
          <cell r="A8288">
            <v>1500015173</v>
          </cell>
          <cell r="B8288">
            <v>0</v>
          </cell>
        </row>
        <row r="8289">
          <cell r="A8289">
            <v>1500015174</v>
          </cell>
          <cell r="B8289">
            <v>30.4166666666667</v>
          </cell>
        </row>
        <row r="8290">
          <cell r="A8290">
            <v>1500015175</v>
          </cell>
          <cell r="B8290">
            <v>5</v>
          </cell>
        </row>
        <row r="8291">
          <cell r="A8291">
            <v>1500015176</v>
          </cell>
          <cell r="B8291">
            <v>9.25</v>
          </cell>
        </row>
        <row r="8292">
          <cell r="A8292">
            <v>1500015177</v>
          </cell>
          <cell r="B8292">
            <v>0</v>
          </cell>
        </row>
        <row r="8293">
          <cell r="A8293">
            <v>1500015178</v>
          </cell>
          <cell r="B8293">
            <v>34.5833333333333</v>
          </cell>
        </row>
        <row r="8294">
          <cell r="A8294">
            <v>1500015179</v>
          </cell>
          <cell r="B8294">
            <v>0</v>
          </cell>
        </row>
        <row r="8295">
          <cell r="A8295">
            <v>1500015180</v>
          </cell>
          <cell r="B8295">
            <v>9.6666666666666696</v>
          </cell>
        </row>
        <row r="8296">
          <cell r="A8296">
            <v>1500015181</v>
          </cell>
          <cell r="B8296">
            <v>16</v>
          </cell>
        </row>
        <row r="8297">
          <cell r="A8297">
            <v>1500015182</v>
          </cell>
          <cell r="B8297">
            <v>0</v>
          </cell>
        </row>
        <row r="8298">
          <cell r="A8298">
            <v>1500015183</v>
          </cell>
          <cell r="B8298">
            <v>0</v>
          </cell>
        </row>
        <row r="8299">
          <cell r="A8299">
            <v>1500015194</v>
          </cell>
          <cell r="B8299">
            <v>2.9166666666666701</v>
          </cell>
        </row>
        <row r="8300">
          <cell r="A8300">
            <v>1500015195</v>
          </cell>
          <cell r="B8300">
            <v>6.1666666666666696</v>
          </cell>
        </row>
        <row r="8301">
          <cell r="A8301">
            <v>1500015196</v>
          </cell>
          <cell r="B8301">
            <v>29.4166666666667</v>
          </cell>
        </row>
        <row r="8302">
          <cell r="A8302">
            <v>1500015197</v>
          </cell>
          <cell r="B8302">
            <v>15.8333333333333</v>
          </cell>
        </row>
        <row r="8303">
          <cell r="A8303">
            <v>1500015198</v>
          </cell>
          <cell r="B8303">
            <v>19.5833333333333</v>
          </cell>
        </row>
        <row r="8304">
          <cell r="A8304">
            <v>1500015199</v>
          </cell>
          <cell r="B8304">
            <v>9.3333333333333304</v>
          </cell>
        </row>
        <row r="8305">
          <cell r="A8305">
            <v>1500015200</v>
          </cell>
          <cell r="B8305">
            <v>20.1666666666667</v>
          </cell>
        </row>
        <row r="8306">
          <cell r="A8306">
            <v>1500015201</v>
          </cell>
          <cell r="B8306">
            <v>11.4166666666667</v>
          </cell>
        </row>
        <row r="8307">
          <cell r="A8307">
            <v>1500015202</v>
          </cell>
          <cell r="B8307">
            <v>24.5833333333333</v>
          </cell>
        </row>
        <row r="8308">
          <cell r="A8308">
            <v>1500015203</v>
          </cell>
          <cell r="B8308">
            <v>0</v>
          </cell>
        </row>
        <row r="8309">
          <cell r="A8309">
            <v>1500015204</v>
          </cell>
          <cell r="B8309">
            <v>0</v>
          </cell>
        </row>
        <row r="8310">
          <cell r="A8310">
            <v>1500015205</v>
          </cell>
          <cell r="B8310">
            <v>3.3333333333333299</v>
          </cell>
        </row>
        <row r="8311">
          <cell r="A8311">
            <v>1500015206</v>
          </cell>
          <cell r="B8311">
            <v>0</v>
          </cell>
        </row>
        <row r="8312">
          <cell r="A8312">
            <v>1500015207</v>
          </cell>
          <cell r="B8312">
            <v>1.5833333333333299</v>
          </cell>
        </row>
        <row r="8313">
          <cell r="A8313">
            <v>1500015214</v>
          </cell>
          <cell r="B8313">
            <v>25.4166666666667</v>
          </cell>
        </row>
        <row r="8314">
          <cell r="A8314">
            <v>1500015215</v>
          </cell>
          <cell r="B8314">
            <v>0</v>
          </cell>
        </row>
        <row r="8315">
          <cell r="A8315">
            <v>1500015216</v>
          </cell>
          <cell r="B8315">
            <v>19.975000000000001</v>
          </cell>
        </row>
        <row r="8316">
          <cell r="A8316">
            <v>1500015217</v>
          </cell>
          <cell r="B8316">
            <v>8.75</v>
          </cell>
        </row>
        <row r="8317">
          <cell r="A8317">
            <v>1500015218</v>
          </cell>
          <cell r="B8317">
            <v>11.6666666666667</v>
          </cell>
        </row>
        <row r="8318">
          <cell r="A8318">
            <v>1500015219</v>
          </cell>
          <cell r="B8318">
            <v>1.6666666666666701</v>
          </cell>
        </row>
        <row r="8319">
          <cell r="A8319">
            <v>1500015220</v>
          </cell>
          <cell r="B8319">
            <v>0</v>
          </cell>
        </row>
        <row r="8320">
          <cell r="A8320">
            <v>1500015221</v>
          </cell>
          <cell r="B8320">
            <v>5</v>
          </cell>
        </row>
        <row r="8321">
          <cell r="A8321">
            <v>1500015261</v>
          </cell>
          <cell r="B8321">
            <v>7.5</v>
          </cell>
        </row>
        <row r="8322">
          <cell r="A8322">
            <v>1500015264</v>
          </cell>
          <cell r="B8322">
            <v>29.1666666666667</v>
          </cell>
        </row>
        <row r="8323">
          <cell r="A8323">
            <v>1500015265</v>
          </cell>
          <cell r="B8323">
            <v>5</v>
          </cell>
        </row>
        <row r="8324">
          <cell r="A8324">
            <v>1500015267</v>
          </cell>
          <cell r="B8324">
            <v>6.6666666666666696</v>
          </cell>
        </row>
        <row r="8325">
          <cell r="A8325">
            <v>1500015268</v>
          </cell>
          <cell r="B8325">
            <v>29.9166666666667</v>
          </cell>
        </row>
        <row r="8326">
          <cell r="A8326">
            <v>1500015269</v>
          </cell>
          <cell r="B8326">
            <v>0</v>
          </cell>
        </row>
        <row r="8327">
          <cell r="A8327">
            <v>1500015278</v>
          </cell>
          <cell r="B8327">
            <v>10.9166666666667</v>
          </cell>
        </row>
        <row r="8328">
          <cell r="A8328">
            <v>1500015279</v>
          </cell>
          <cell r="B8328">
            <v>28.9583333333333</v>
          </cell>
        </row>
        <row r="8329">
          <cell r="A8329">
            <v>1500015281</v>
          </cell>
          <cell r="B8329">
            <v>22.574999999999999</v>
          </cell>
        </row>
        <row r="8330">
          <cell r="A8330">
            <v>1500015282</v>
          </cell>
          <cell r="B8330">
            <v>23.9</v>
          </cell>
        </row>
        <row r="8331">
          <cell r="A8331">
            <v>1500015283</v>
          </cell>
          <cell r="B8331">
            <v>24.1666666666667</v>
          </cell>
        </row>
        <row r="8332">
          <cell r="A8332">
            <v>1500015284</v>
          </cell>
          <cell r="B8332">
            <v>13.75</v>
          </cell>
        </row>
        <row r="8333">
          <cell r="A8333">
            <v>1500015285</v>
          </cell>
          <cell r="B8333">
            <v>0</v>
          </cell>
        </row>
        <row r="8334">
          <cell r="A8334">
            <v>1500015286</v>
          </cell>
          <cell r="B8334">
            <v>48.0833333333333</v>
          </cell>
        </row>
        <row r="8335">
          <cell r="A8335">
            <v>1500015287</v>
          </cell>
          <cell r="B8335">
            <v>13.3333333333333</v>
          </cell>
        </row>
        <row r="8336">
          <cell r="A8336">
            <v>1500015288</v>
          </cell>
          <cell r="B8336">
            <v>0</v>
          </cell>
        </row>
        <row r="8337">
          <cell r="A8337">
            <v>1500015289</v>
          </cell>
          <cell r="B8337">
            <v>0</v>
          </cell>
        </row>
        <row r="8338">
          <cell r="A8338">
            <v>1500015290</v>
          </cell>
          <cell r="B8338">
            <v>11.6666666666667</v>
          </cell>
        </row>
        <row r="8339">
          <cell r="A8339">
            <v>1500015309</v>
          </cell>
          <cell r="B8339">
            <v>11.5833333333333</v>
          </cell>
        </row>
        <row r="8340">
          <cell r="A8340">
            <v>1500015310</v>
          </cell>
          <cell r="B8340">
            <v>2.0833333333333299</v>
          </cell>
        </row>
        <row r="8341">
          <cell r="A8341">
            <v>1500015311</v>
          </cell>
          <cell r="B8341">
            <v>2.5</v>
          </cell>
        </row>
        <row r="8342">
          <cell r="A8342">
            <v>1500015312</v>
          </cell>
          <cell r="B8342">
            <v>0</v>
          </cell>
        </row>
        <row r="8343">
          <cell r="A8343">
            <v>1500015313</v>
          </cell>
          <cell r="B8343">
            <v>47.8333333333333</v>
          </cell>
        </row>
        <row r="8344">
          <cell r="A8344">
            <v>1500015314</v>
          </cell>
          <cell r="B8344">
            <v>1.6666666666666701</v>
          </cell>
        </row>
        <row r="8345">
          <cell r="A8345">
            <v>1500015315</v>
          </cell>
          <cell r="B8345">
            <v>0</v>
          </cell>
        </row>
        <row r="8346">
          <cell r="A8346">
            <v>1500015316</v>
          </cell>
          <cell r="B8346">
            <v>14.1666666666667</v>
          </cell>
        </row>
        <row r="8347">
          <cell r="A8347">
            <v>1500015317</v>
          </cell>
          <cell r="B8347">
            <v>27.8333333333333</v>
          </cell>
        </row>
        <row r="8348">
          <cell r="A8348">
            <v>1500015318</v>
          </cell>
          <cell r="B8348">
            <v>3.3333333333333299</v>
          </cell>
        </row>
        <row r="8349">
          <cell r="A8349">
            <v>1500015319</v>
          </cell>
          <cell r="B8349">
            <v>0</v>
          </cell>
        </row>
        <row r="8350">
          <cell r="A8350">
            <v>1500015320</v>
          </cell>
          <cell r="B8350">
            <v>0</v>
          </cell>
        </row>
        <row r="8351">
          <cell r="A8351">
            <v>1500015321</v>
          </cell>
          <cell r="B8351">
            <v>0</v>
          </cell>
        </row>
        <row r="8352">
          <cell r="A8352">
            <v>1500015322</v>
          </cell>
          <cell r="B8352">
            <v>0</v>
          </cell>
        </row>
        <row r="8353">
          <cell r="A8353">
            <v>1500015323</v>
          </cell>
          <cell r="B8353">
            <v>0.83333333333333304</v>
          </cell>
        </row>
        <row r="8354">
          <cell r="A8354">
            <v>1500015324</v>
          </cell>
          <cell r="B8354">
            <v>1.6666666666666701</v>
          </cell>
        </row>
        <row r="8355">
          <cell r="A8355">
            <v>1500015325</v>
          </cell>
          <cell r="B8355">
            <v>80.8333333333333</v>
          </cell>
        </row>
        <row r="8356">
          <cell r="A8356">
            <v>1500015326</v>
          </cell>
          <cell r="B8356">
            <v>49.1666666666667</v>
          </cell>
        </row>
        <row r="8357">
          <cell r="A8357">
            <v>1500015342</v>
          </cell>
          <cell r="B8357">
            <v>10.9166666666667</v>
          </cell>
        </row>
        <row r="8358">
          <cell r="A8358">
            <v>1500015343</v>
          </cell>
          <cell r="B8358">
            <v>27.5</v>
          </cell>
        </row>
        <row r="8359">
          <cell r="A8359">
            <v>1500015344</v>
          </cell>
          <cell r="B8359">
            <v>12.3333333333333</v>
          </cell>
        </row>
        <row r="8360">
          <cell r="A8360">
            <v>1500015345</v>
          </cell>
          <cell r="B8360">
            <v>10</v>
          </cell>
        </row>
        <row r="8361">
          <cell r="A8361">
            <v>1500015346</v>
          </cell>
          <cell r="B8361">
            <v>20.4166666666667</v>
          </cell>
        </row>
        <row r="8362">
          <cell r="A8362">
            <v>1500015347</v>
          </cell>
          <cell r="B8362">
            <v>0</v>
          </cell>
        </row>
        <row r="8363">
          <cell r="A8363">
            <v>1500015348</v>
          </cell>
          <cell r="B8363">
            <v>0</v>
          </cell>
        </row>
        <row r="8364">
          <cell r="A8364">
            <v>1500015372</v>
          </cell>
          <cell r="B8364">
            <v>9.25</v>
          </cell>
        </row>
        <row r="8365">
          <cell r="A8365">
            <v>1500015374</v>
          </cell>
          <cell r="B8365">
            <v>1.8333333333333299</v>
          </cell>
        </row>
        <row r="8366">
          <cell r="A8366">
            <v>1500015375</v>
          </cell>
          <cell r="B8366">
            <v>47.75</v>
          </cell>
        </row>
        <row r="8367">
          <cell r="A8367">
            <v>1500015376</v>
          </cell>
          <cell r="B8367">
            <v>22.0833333333333</v>
          </cell>
        </row>
        <row r="8368">
          <cell r="A8368">
            <v>1500015377</v>
          </cell>
          <cell r="B8368">
            <v>27.966666666666701</v>
          </cell>
        </row>
        <row r="8369">
          <cell r="A8369">
            <v>1500015378</v>
          </cell>
          <cell r="B8369">
            <v>0</v>
          </cell>
        </row>
        <row r="8370">
          <cell r="A8370">
            <v>1500015379</v>
          </cell>
          <cell r="B8370">
            <v>31.875</v>
          </cell>
        </row>
        <row r="8371">
          <cell r="A8371">
            <v>1500015380</v>
          </cell>
          <cell r="B8371">
            <v>63.75</v>
          </cell>
        </row>
        <row r="8372">
          <cell r="A8372">
            <v>1500015381</v>
          </cell>
          <cell r="B8372">
            <v>0</v>
          </cell>
        </row>
        <row r="8373">
          <cell r="A8373">
            <v>1500015382</v>
          </cell>
          <cell r="B8373">
            <v>30.8333333333333</v>
          </cell>
        </row>
        <row r="8374">
          <cell r="A8374">
            <v>1500015383</v>
          </cell>
          <cell r="B8374">
            <v>20</v>
          </cell>
        </row>
        <row r="8375">
          <cell r="A8375">
            <v>1500015384</v>
          </cell>
          <cell r="B8375">
            <v>31.258333333333301</v>
          </cell>
        </row>
        <row r="8376">
          <cell r="A8376">
            <v>1500015385</v>
          </cell>
          <cell r="B8376">
            <v>12.5</v>
          </cell>
        </row>
        <row r="8377">
          <cell r="A8377">
            <v>1500015386</v>
          </cell>
          <cell r="B8377">
            <v>8.25</v>
          </cell>
        </row>
        <row r="8378">
          <cell r="A8378">
            <v>1500015387</v>
          </cell>
          <cell r="B8378">
            <v>17.9166666666667</v>
          </cell>
        </row>
        <row r="8379">
          <cell r="A8379">
            <v>1500015395</v>
          </cell>
          <cell r="B8379">
            <v>0</v>
          </cell>
        </row>
        <row r="8380">
          <cell r="A8380">
            <v>1500015396</v>
          </cell>
          <cell r="B8380">
            <v>37.5</v>
          </cell>
        </row>
        <row r="8381">
          <cell r="A8381">
            <v>1500015397</v>
          </cell>
          <cell r="B8381">
            <v>26.6666666666667</v>
          </cell>
        </row>
        <row r="8382">
          <cell r="A8382">
            <v>1500015399</v>
          </cell>
          <cell r="B8382">
            <v>0</v>
          </cell>
        </row>
        <row r="8383">
          <cell r="A8383">
            <v>1500015427</v>
          </cell>
          <cell r="B8383">
            <v>23.6666666666667</v>
          </cell>
        </row>
        <row r="8384">
          <cell r="A8384">
            <v>1500015428</v>
          </cell>
          <cell r="B8384">
            <v>291.66666666666703</v>
          </cell>
        </row>
        <row r="8385">
          <cell r="A8385">
            <v>1500015429</v>
          </cell>
          <cell r="B8385">
            <v>29.3333333333333</v>
          </cell>
        </row>
        <row r="8386">
          <cell r="A8386">
            <v>1500015430</v>
          </cell>
          <cell r="B8386">
            <v>0</v>
          </cell>
        </row>
        <row r="8387">
          <cell r="A8387">
            <v>1500015431</v>
          </cell>
          <cell r="B8387">
            <v>84.275000000000006</v>
          </cell>
        </row>
        <row r="8388">
          <cell r="A8388">
            <v>1500015432</v>
          </cell>
          <cell r="B8388">
            <v>10.6666666666667</v>
          </cell>
        </row>
        <row r="8389">
          <cell r="A8389">
            <v>1500015433</v>
          </cell>
          <cell r="B8389">
            <v>0</v>
          </cell>
        </row>
        <row r="8390">
          <cell r="A8390">
            <v>1500015434</v>
          </cell>
          <cell r="B8390">
            <v>18.5</v>
          </cell>
        </row>
        <row r="8391">
          <cell r="A8391">
            <v>1500015435</v>
          </cell>
          <cell r="B8391">
            <v>10</v>
          </cell>
        </row>
        <row r="8392">
          <cell r="A8392">
            <v>1500015436</v>
          </cell>
          <cell r="B8392">
            <v>55.5</v>
          </cell>
        </row>
        <row r="8393">
          <cell r="A8393">
            <v>1500015437</v>
          </cell>
          <cell r="B8393">
            <v>4.4166666666666696</v>
          </cell>
        </row>
        <row r="8394">
          <cell r="A8394">
            <v>1500015438</v>
          </cell>
          <cell r="B8394">
            <v>0</v>
          </cell>
        </row>
        <row r="8395">
          <cell r="A8395">
            <v>1500015462</v>
          </cell>
          <cell r="B8395">
            <v>7.0833333333333304</v>
          </cell>
        </row>
        <row r="8396">
          <cell r="A8396">
            <v>1500015463</v>
          </cell>
          <cell r="B8396">
            <v>28.9166666666667</v>
          </cell>
        </row>
        <row r="8397">
          <cell r="A8397">
            <v>1500015464</v>
          </cell>
          <cell r="B8397">
            <v>17.5</v>
          </cell>
        </row>
        <row r="8398">
          <cell r="A8398">
            <v>1500015465</v>
          </cell>
          <cell r="B8398">
            <v>0</v>
          </cell>
        </row>
        <row r="8399">
          <cell r="A8399">
            <v>1500015466</v>
          </cell>
          <cell r="B8399">
            <v>4.5833333333333304</v>
          </cell>
        </row>
        <row r="8400">
          <cell r="A8400">
            <v>1500015467</v>
          </cell>
          <cell r="B8400">
            <v>8</v>
          </cell>
        </row>
        <row r="8401">
          <cell r="A8401">
            <v>1500015468</v>
          </cell>
          <cell r="B8401">
            <v>44.174999999999997</v>
          </cell>
        </row>
        <row r="8402">
          <cell r="A8402">
            <v>1500015469</v>
          </cell>
          <cell r="B8402">
            <v>0</v>
          </cell>
        </row>
        <row r="8403">
          <cell r="A8403">
            <v>1500015470</v>
          </cell>
          <cell r="B8403">
            <v>25</v>
          </cell>
        </row>
        <row r="8404">
          <cell r="A8404">
            <v>1500015471</v>
          </cell>
          <cell r="B8404">
            <v>0</v>
          </cell>
        </row>
        <row r="8405">
          <cell r="A8405">
            <v>1500015484</v>
          </cell>
          <cell r="B8405">
            <v>20.3333333333333</v>
          </cell>
        </row>
        <row r="8406">
          <cell r="A8406">
            <v>1500015485</v>
          </cell>
          <cell r="B8406">
            <v>15</v>
          </cell>
        </row>
        <row r="8407">
          <cell r="A8407">
            <v>1500015486</v>
          </cell>
          <cell r="B8407">
            <v>20.0833333333333</v>
          </cell>
        </row>
        <row r="8408">
          <cell r="A8408">
            <v>1500015487</v>
          </cell>
          <cell r="B8408">
            <v>24.4166666666667</v>
          </cell>
        </row>
        <row r="8409">
          <cell r="A8409">
            <v>1500015488</v>
          </cell>
          <cell r="B8409">
            <v>52.1</v>
          </cell>
        </row>
        <row r="8410">
          <cell r="A8410">
            <v>1500015489</v>
          </cell>
          <cell r="B8410">
            <v>3.4166666666666701</v>
          </cell>
        </row>
        <row r="8411">
          <cell r="A8411">
            <v>1500015490</v>
          </cell>
          <cell r="B8411">
            <v>0</v>
          </cell>
        </row>
        <row r="8412">
          <cell r="A8412">
            <v>1500015491</v>
          </cell>
          <cell r="B8412">
            <v>4.1666666666666696</v>
          </cell>
        </row>
        <row r="8413">
          <cell r="A8413">
            <v>1500015492</v>
          </cell>
          <cell r="B8413">
            <v>8.6666666666666696</v>
          </cell>
        </row>
        <row r="8414">
          <cell r="A8414">
            <v>1500015493</v>
          </cell>
          <cell r="B8414">
            <v>5</v>
          </cell>
        </row>
        <row r="8415">
          <cell r="A8415">
            <v>1500015494</v>
          </cell>
          <cell r="B8415">
            <v>0</v>
          </cell>
        </row>
        <row r="8416">
          <cell r="A8416">
            <v>1500015495</v>
          </cell>
          <cell r="B8416">
            <v>24.1666666666667</v>
          </cell>
        </row>
        <row r="8417">
          <cell r="A8417">
            <v>1500015514</v>
          </cell>
          <cell r="B8417">
            <v>59.375</v>
          </cell>
        </row>
        <row r="8418">
          <cell r="A8418">
            <v>1500015515</v>
          </cell>
          <cell r="B8418">
            <v>0</v>
          </cell>
        </row>
        <row r="8419">
          <cell r="A8419">
            <v>1500015517</v>
          </cell>
          <cell r="B8419">
            <v>12.5</v>
          </cell>
        </row>
        <row r="8420">
          <cell r="A8420">
            <v>1500015518</v>
          </cell>
          <cell r="B8420">
            <v>31.75</v>
          </cell>
        </row>
        <row r="8421">
          <cell r="A8421">
            <v>1500015519</v>
          </cell>
          <cell r="B8421">
            <v>13.75</v>
          </cell>
        </row>
        <row r="8422">
          <cell r="A8422">
            <v>1500015520</v>
          </cell>
          <cell r="B8422">
            <v>0</v>
          </cell>
        </row>
        <row r="8423">
          <cell r="A8423">
            <v>1500015521</v>
          </cell>
          <cell r="B8423">
            <v>0</v>
          </cell>
        </row>
        <row r="8424">
          <cell r="A8424">
            <v>1500015552</v>
          </cell>
          <cell r="B8424">
            <v>1.25</v>
          </cell>
        </row>
        <row r="8425">
          <cell r="A8425">
            <v>1500015553</v>
          </cell>
          <cell r="B8425">
            <v>0.91666666666666696</v>
          </cell>
        </row>
        <row r="8426">
          <cell r="A8426">
            <v>1500015554</v>
          </cell>
          <cell r="B8426">
            <v>36</v>
          </cell>
        </row>
        <row r="8427">
          <cell r="A8427">
            <v>1500015555</v>
          </cell>
          <cell r="B8427">
            <v>0</v>
          </cell>
        </row>
        <row r="8428">
          <cell r="A8428">
            <v>1500015556</v>
          </cell>
          <cell r="B8428">
            <v>23.75</v>
          </cell>
        </row>
        <row r="8429">
          <cell r="A8429">
            <v>1500015557</v>
          </cell>
          <cell r="B8429">
            <v>8.5</v>
          </cell>
        </row>
        <row r="8430">
          <cell r="A8430">
            <v>1500015558</v>
          </cell>
          <cell r="B8430">
            <v>17.9166666666667</v>
          </cell>
        </row>
        <row r="8431">
          <cell r="A8431">
            <v>1500015559</v>
          </cell>
          <cell r="B8431">
            <v>0</v>
          </cell>
        </row>
        <row r="8432">
          <cell r="A8432">
            <v>1500015560</v>
          </cell>
          <cell r="B8432">
            <v>0</v>
          </cell>
        </row>
        <row r="8433">
          <cell r="A8433">
            <v>1500015561</v>
          </cell>
          <cell r="B8433">
            <v>25.5833333333333</v>
          </cell>
        </row>
        <row r="8434">
          <cell r="A8434">
            <v>1500015562</v>
          </cell>
          <cell r="B8434">
            <v>41.3333333333333</v>
          </cell>
        </row>
        <row r="8435">
          <cell r="A8435">
            <v>1500015563</v>
          </cell>
          <cell r="B8435">
            <v>16.6666666666667</v>
          </cell>
        </row>
        <row r="8436">
          <cell r="A8436">
            <v>1500015564</v>
          </cell>
          <cell r="B8436">
            <v>4.6666666666666696</v>
          </cell>
        </row>
        <row r="8437">
          <cell r="A8437">
            <v>1500015566</v>
          </cell>
          <cell r="B8437">
            <v>13.1666666666667</v>
          </cell>
        </row>
        <row r="8438">
          <cell r="A8438">
            <v>1500015567</v>
          </cell>
          <cell r="B8438">
            <v>12.5833333333333</v>
          </cell>
        </row>
        <row r="8439">
          <cell r="A8439">
            <v>1500015568</v>
          </cell>
          <cell r="B8439">
            <v>2.9166666666666701</v>
          </cell>
        </row>
        <row r="8440">
          <cell r="A8440">
            <v>1500015569</v>
          </cell>
          <cell r="B8440">
            <v>33.3333333333333</v>
          </cell>
        </row>
        <row r="8441">
          <cell r="A8441">
            <v>1500015570</v>
          </cell>
          <cell r="B8441">
            <v>56.6666666666667</v>
          </cell>
        </row>
        <row r="8442">
          <cell r="A8442">
            <v>1500015571</v>
          </cell>
          <cell r="B8442">
            <v>0</v>
          </cell>
        </row>
        <row r="8443">
          <cell r="A8443">
            <v>1500015572</v>
          </cell>
          <cell r="B8443">
            <v>0</v>
          </cell>
        </row>
        <row r="8444">
          <cell r="A8444">
            <v>1500015573</v>
          </cell>
          <cell r="B8444">
            <v>17.3333333333333</v>
          </cell>
        </row>
        <row r="8445">
          <cell r="A8445">
            <v>1500015549</v>
          </cell>
          <cell r="B8445">
            <v>29.75</v>
          </cell>
        </row>
        <row r="8446">
          <cell r="A8446">
            <v>1500015550</v>
          </cell>
          <cell r="B8446">
            <v>0.83333333333333304</v>
          </cell>
        </row>
        <row r="8447">
          <cell r="A8447">
            <v>1500015551</v>
          </cell>
          <cell r="B8447">
            <v>0</v>
          </cell>
        </row>
        <row r="8448">
          <cell r="A8448">
            <v>1500015582</v>
          </cell>
          <cell r="B8448">
            <v>2.9166666666666701</v>
          </cell>
        </row>
        <row r="8449">
          <cell r="A8449">
            <v>1500015583</v>
          </cell>
          <cell r="B8449">
            <v>3.3333333333333299</v>
          </cell>
        </row>
        <row r="8450">
          <cell r="A8450">
            <v>1500015584</v>
          </cell>
          <cell r="B8450">
            <v>0</v>
          </cell>
        </row>
        <row r="8451">
          <cell r="A8451">
            <v>1500015585</v>
          </cell>
          <cell r="B8451">
            <v>60.0833333333333</v>
          </cell>
        </row>
        <row r="8452">
          <cell r="A8452">
            <v>1500015596</v>
          </cell>
          <cell r="B8452">
            <v>15.1666666666667</v>
          </cell>
        </row>
        <row r="8453">
          <cell r="A8453">
            <v>1500015597</v>
          </cell>
          <cell r="B8453">
            <v>57.9166666666667</v>
          </cell>
        </row>
        <row r="8454">
          <cell r="A8454">
            <v>1500015598</v>
          </cell>
          <cell r="B8454">
            <v>9.5</v>
          </cell>
        </row>
        <row r="8455">
          <cell r="A8455">
            <v>1500015599</v>
          </cell>
          <cell r="B8455">
            <v>0</v>
          </cell>
        </row>
        <row r="8456">
          <cell r="A8456">
            <v>1500015600</v>
          </cell>
          <cell r="B8456">
            <v>37.1666666666667</v>
          </cell>
        </row>
        <row r="8457">
          <cell r="A8457">
            <v>1500015602</v>
          </cell>
          <cell r="B8457">
            <v>0</v>
          </cell>
        </row>
        <row r="8458">
          <cell r="A8458">
            <v>1500015603</v>
          </cell>
          <cell r="B8458">
            <v>0</v>
          </cell>
        </row>
        <row r="8459">
          <cell r="A8459">
            <v>1500015604</v>
          </cell>
          <cell r="B8459">
            <v>0</v>
          </cell>
        </row>
        <row r="8460">
          <cell r="A8460">
            <v>1500015605</v>
          </cell>
          <cell r="B8460">
            <v>2.5</v>
          </cell>
        </row>
        <row r="8461">
          <cell r="A8461">
            <v>1500015607</v>
          </cell>
          <cell r="B8461">
            <v>0</v>
          </cell>
        </row>
        <row r="8462">
          <cell r="A8462">
            <v>1500015608</v>
          </cell>
          <cell r="B8462">
            <v>0</v>
          </cell>
        </row>
        <row r="8463">
          <cell r="A8463">
            <v>1500015609</v>
          </cell>
          <cell r="B8463">
            <v>23.3333333333333</v>
          </cell>
        </row>
        <row r="8464">
          <cell r="A8464">
            <v>1500015610</v>
          </cell>
          <cell r="B8464">
            <v>53.4583333333333</v>
          </cell>
        </row>
        <row r="8465">
          <cell r="A8465">
            <v>1500015612</v>
          </cell>
          <cell r="B8465">
            <v>79.3333333333333</v>
          </cell>
        </row>
        <row r="8466">
          <cell r="A8466">
            <v>1500015619</v>
          </cell>
          <cell r="B8466">
            <v>21.4166666666667</v>
          </cell>
        </row>
        <row r="8467">
          <cell r="A8467">
            <v>1500015620</v>
          </cell>
          <cell r="B8467">
            <v>0.41666666666666702</v>
          </cell>
        </row>
        <row r="8468">
          <cell r="A8468">
            <v>1500015621</v>
          </cell>
          <cell r="B8468">
            <v>33.5</v>
          </cell>
        </row>
        <row r="8469">
          <cell r="A8469">
            <v>1500015622</v>
          </cell>
          <cell r="B8469">
            <v>1.5</v>
          </cell>
        </row>
        <row r="8470">
          <cell r="A8470">
            <v>1500015623</v>
          </cell>
          <cell r="B8470">
            <v>0</v>
          </cell>
        </row>
        <row r="8471">
          <cell r="A8471">
            <v>1500015624</v>
          </cell>
          <cell r="B8471">
            <v>21.6666666666667</v>
          </cell>
        </row>
        <row r="8472">
          <cell r="A8472">
            <v>1500015625</v>
          </cell>
          <cell r="B8472">
            <v>10</v>
          </cell>
        </row>
        <row r="8473">
          <cell r="A8473">
            <v>1500015626</v>
          </cell>
          <cell r="B8473">
            <v>0</v>
          </cell>
        </row>
        <row r="8474">
          <cell r="A8474">
            <v>1500015635</v>
          </cell>
          <cell r="B8474">
            <v>0</v>
          </cell>
        </row>
        <row r="8475">
          <cell r="A8475">
            <v>1500015628</v>
          </cell>
          <cell r="B8475">
            <v>28.608333333333299</v>
          </cell>
        </row>
        <row r="8476">
          <cell r="A8476">
            <v>1500015629</v>
          </cell>
          <cell r="B8476">
            <v>46.6666666666667</v>
          </cell>
        </row>
        <row r="8477">
          <cell r="A8477">
            <v>1500015646</v>
          </cell>
          <cell r="B8477">
            <v>16.75</v>
          </cell>
        </row>
        <row r="8478">
          <cell r="A8478">
            <v>1500015647</v>
          </cell>
          <cell r="B8478">
            <v>7.0833333333333304</v>
          </cell>
        </row>
        <row r="8479">
          <cell r="A8479">
            <v>1500015648</v>
          </cell>
          <cell r="B8479">
            <v>14.5</v>
          </cell>
        </row>
        <row r="8480">
          <cell r="A8480">
            <v>1500015649</v>
          </cell>
          <cell r="B8480">
            <v>26.9583333333333</v>
          </cell>
        </row>
        <row r="8481">
          <cell r="A8481">
            <v>1500015650</v>
          </cell>
          <cell r="B8481">
            <v>20.1666666666667</v>
          </cell>
        </row>
        <row r="8482">
          <cell r="A8482">
            <v>1500015651</v>
          </cell>
          <cell r="B8482">
            <v>3.5</v>
          </cell>
        </row>
        <row r="8483">
          <cell r="A8483">
            <v>1500015652</v>
          </cell>
          <cell r="B8483">
            <v>17.975000000000001</v>
          </cell>
        </row>
        <row r="8484">
          <cell r="A8484">
            <v>1500015653</v>
          </cell>
          <cell r="B8484">
            <v>0</v>
          </cell>
        </row>
        <row r="8485">
          <cell r="A8485">
            <v>1500015654</v>
          </cell>
          <cell r="B8485">
            <v>15.4416666666667</v>
          </cell>
        </row>
        <row r="8486">
          <cell r="A8486">
            <v>1500015655</v>
          </cell>
          <cell r="B8486">
            <v>9.8333333333333304</v>
          </cell>
        </row>
        <row r="8487">
          <cell r="A8487">
            <v>1500015656</v>
          </cell>
          <cell r="B8487">
            <v>8.1666666666666696</v>
          </cell>
        </row>
        <row r="8488">
          <cell r="A8488">
            <v>1500015657</v>
          </cell>
          <cell r="B8488">
            <v>29</v>
          </cell>
        </row>
        <row r="8489">
          <cell r="A8489">
            <v>1500015658</v>
          </cell>
          <cell r="B8489">
            <v>0</v>
          </cell>
        </row>
        <row r="8490">
          <cell r="A8490">
            <v>1500015659</v>
          </cell>
          <cell r="B8490">
            <v>224.23333333333301</v>
          </cell>
        </row>
        <row r="8491">
          <cell r="A8491">
            <v>1500015660</v>
          </cell>
          <cell r="B8491">
            <v>6.9166666666666696</v>
          </cell>
        </row>
        <row r="8492">
          <cell r="A8492">
            <v>1500015661</v>
          </cell>
          <cell r="B8492">
            <v>8.9166666666666696</v>
          </cell>
        </row>
        <row r="8493">
          <cell r="A8493">
            <v>1500015684</v>
          </cell>
          <cell r="B8493">
            <v>15.75</v>
          </cell>
        </row>
        <row r="8494">
          <cell r="A8494">
            <v>1500015685</v>
          </cell>
          <cell r="B8494">
            <v>111.166666666667</v>
          </cell>
        </row>
        <row r="8495">
          <cell r="A8495">
            <v>1500015686</v>
          </cell>
          <cell r="B8495">
            <v>53.0833333333333</v>
          </cell>
        </row>
        <row r="8496">
          <cell r="A8496">
            <v>1500015687</v>
          </cell>
          <cell r="B8496">
            <v>12.008333333333301</v>
          </cell>
        </row>
        <row r="8497">
          <cell r="A8497">
            <v>1500015688</v>
          </cell>
          <cell r="B8497">
            <v>14.75</v>
          </cell>
        </row>
        <row r="8498">
          <cell r="A8498">
            <v>1500015689</v>
          </cell>
          <cell r="B8498">
            <v>0</v>
          </cell>
        </row>
        <row r="8499">
          <cell r="A8499">
            <v>1500015690</v>
          </cell>
          <cell r="B8499">
            <v>5</v>
          </cell>
        </row>
        <row r="8500">
          <cell r="A8500">
            <v>1500015691</v>
          </cell>
          <cell r="B8500">
            <v>5</v>
          </cell>
        </row>
        <row r="8501">
          <cell r="A8501">
            <v>1500015692</v>
          </cell>
          <cell r="B8501">
            <v>12.0833333333333</v>
          </cell>
        </row>
        <row r="8502">
          <cell r="A8502">
            <v>1500015693</v>
          </cell>
          <cell r="B8502">
            <v>7.9166666666666696</v>
          </cell>
        </row>
        <row r="8503">
          <cell r="A8503">
            <v>1500015694</v>
          </cell>
          <cell r="B8503">
            <v>43.75</v>
          </cell>
        </row>
        <row r="8504">
          <cell r="A8504">
            <v>1500015695</v>
          </cell>
          <cell r="B8504">
            <v>4.0833333333333304</v>
          </cell>
        </row>
        <row r="8505">
          <cell r="A8505">
            <v>1500015697</v>
          </cell>
          <cell r="B8505">
            <v>31.5</v>
          </cell>
        </row>
        <row r="8506">
          <cell r="A8506">
            <v>1500015698</v>
          </cell>
          <cell r="B8506">
            <v>0</v>
          </cell>
        </row>
        <row r="8507">
          <cell r="A8507">
            <v>1500015699</v>
          </cell>
          <cell r="B8507">
            <v>0</v>
          </cell>
        </row>
        <row r="8508">
          <cell r="A8508">
            <v>1500015715</v>
          </cell>
          <cell r="B8508">
            <v>18.1666666666667</v>
          </cell>
        </row>
        <row r="8509">
          <cell r="A8509">
            <v>1500015716</v>
          </cell>
          <cell r="B8509">
            <v>14.9166666666667</v>
          </cell>
        </row>
        <row r="8510">
          <cell r="A8510">
            <v>1500015717</v>
          </cell>
          <cell r="B8510">
            <v>72.2916666666667</v>
          </cell>
        </row>
        <row r="8511">
          <cell r="A8511">
            <v>1500015718</v>
          </cell>
          <cell r="B8511">
            <v>0</v>
          </cell>
        </row>
        <row r="8512">
          <cell r="A8512">
            <v>1500015719</v>
          </cell>
          <cell r="B8512">
            <v>0</v>
          </cell>
        </row>
        <row r="8513">
          <cell r="A8513">
            <v>1500015720</v>
          </cell>
          <cell r="B8513">
            <v>89.6666666666667</v>
          </cell>
        </row>
        <row r="8514">
          <cell r="A8514">
            <v>1500015721</v>
          </cell>
          <cell r="B8514">
            <v>6.6666666666666696</v>
          </cell>
        </row>
        <row r="8515">
          <cell r="A8515">
            <v>1500015735</v>
          </cell>
          <cell r="B8515">
            <v>7.1666666666666696</v>
          </cell>
        </row>
        <row r="8516">
          <cell r="A8516">
            <v>1500015737</v>
          </cell>
          <cell r="B8516">
            <v>15.9166666666667</v>
          </cell>
        </row>
        <row r="8517">
          <cell r="A8517">
            <v>1500015738</v>
          </cell>
          <cell r="B8517">
            <v>31.0833333333333</v>
          </cell>
        </row>
        <row r="8518">
          <cell r="A8518">
            <v>1500015739</v>
          </cell>
          <cell r="B8518">
            <v>13.6833333333333</v>
          </cell>
        </row>
        <row r="8519">
          <cell r="A8519">
            <v>1500015740</v>
          </cell>
          <cell r="B8519">
            <v>9.75</v>
          </cell>
        </row>
        <row r="8520">
          <cell r="A8520">
            <v>1500015741</v>
          </cell>
          <cell r="B8520">
            <v>0</v>
          </cell>
        </row>
        <row r="8521">
          <cell r="A8521">
            <v>1500015742</v>
          </cell>
          <cell r="B8521">
            <v>0</v>
          </cell>
        </row>
        <row r="8522">
          <cell r="A8522">
            <v>1500015743</v>
          </cell>
          <cell r="B8522">
            <v>24.1666666666667</v>
          </cell>
        </row>
        <row r="8523">
          <cell r="A8523">
            <v>1500015745</v>
          </cell>
          <cell r="B8523">
            <v>47.5</v>
          </cell>
        </row>
        <row r="8524">
          <cell r="A8524">
            <v>1500015746</v>
          </cell>
          <cell r="B8524">
            <v>1.6666666666666701</v>
          </cell>
        </row>
        <row r="8525">
          <cell r="A8525">
            <v>1500015747</v>
          </cell>
          <cell r="B8525">
            <v>0.41666666666666702</v>
          </cell>
        </row>
        <row r="8526">
          <cell r="A8526">
            <v>1500015748</v>
          </cell>
          <cell r="B8526">
            <v>26.1666666666667</v>
          </cell>
        </row>
        <row r="8527">
          <cell r="A8527">
            <v>1500015749</v>
          </cell>
          <cell r="B8527">
            <v>25.8333333333333</v>
          </cell>
        </row>
        <row r="8528">
          <cell r="A8528">
            <v>1500015750</v>
          </cell>
          <cell r="B8528">
            <v>19.1666666666667</v>
          </cell>
        </row>
        <row r="8529">
          <cell r="A8529">
            <v>1500015751</v>
          </cell>
          <cell r="B8529">
            <v>13.1666666666667</v>
          </cell>
        </row>
        <row r="8530">
          <cell r="A8530">
            <v>1500015752</v>
          </cell>
          <cell r="B8530">
            <v>42.8333333333333</v>
          </cell>
        </row>
        <row r="8531">
          <cell r="A8531">
            <v>1500015753</v>
          </cell>
          <cell r="B8531">
            <v>32.533333333333303</v>
          </cell>
        </row>
        <row r="8532">
          <cell r="A8532">
            <v>1500015754</v>
          </cell>
          <cell r="B8532">
            <v>14.75</v>
          </cell>
        </row>
        <row r="8533">
          <cell r="A8533">
            <v>1500015755</v>
          </cell>
          <cell r="B8533">
            <v>0</v>
          </cell>
        </row>
        <row r="8534">
          <cell r="A8534">
            <v>1500015756</v>
          </cell>
          <cell r="B8534">
            <v>40.75</v>
          </cell>
        </row>
        <row r="8535">
          <cell r="A8535">
            <v>1500015757</v>
          </cell>
          <cell r="B8535">
            <v>0</v>
          </cell>
        </row>
        <row r="8536">
          <cell r="A8536">
            <v>1500015758</v>
          </cell>
          <cell r="B8536">
            <v>0</v>
          </cell>
        </row>
        <row r="8537">
          <cell r="A8537">
            <v>1500015759</v>
          </cell>
          <cell r="B8537">
            <v>0</v>
          </cell>
        </row>
        <row r="8538">
          <cell r="A8538">
            <v>1500015760</v>
          </cell>
          <cell r="B8538">
            <v>0</v>
          </cell>
        </row>
        <row r="8539">
          <cell r="A8539">
            <v>1500015772</v>
          </cell>
          <cell r="B8539">
            <v>0</v>
          </cell>
        </row>
        <row r="8540">
          <cell r="A8540">
            <v>1500015773</v>
          </cell>
          <cell r="B8540">
            <v>10</v>
          </cell>
        </row>
        <row r="8541">
          <cell r="A8541">
            <v>1500015775</v>
          </cell>
          <cell r="B8541">
            <v>2.8333333333333299</v>
          </cell>
        </row>
        <row r="8542">
          <cell r="A8542">
            <v>1500015776</v>
          </cell>
          <cell r="B8542">
            <v>29.65</v>
          </cell>
        </row>
        <row r="8543">
          <cell r="A8543">
            <v>1500015777</v>
          </cell>
          <cell r="B8543">
            <v>0</v>
          </cell>
        </row>
        <row r="8544">
          <cell r="A8544">
            <v>1500015778</v>
          </cell>
          <cell r="B8544">
            <v>48.5833333333333</v>
          </cell>
        </row>
        <row r="8545">
          <cell r="A8545">
            <v>1500015779</v>
          </cell>
          <cell r="B8545">
            <v>12.6666666666667</v>
          </cell>
        </row>
        <row r="8546">
          <cell r="A8546">
            <v>1500015791</v>
          </cell>
          <cell r="B8546">
            <v>39.5</v>
          </cell>
        </row>
        <row r="8547">
          <cell r="A8547">
            <v>1500015780</v>
          </cell>
          <cell r="B8547">
            <v>0</v>
          </cell>
        </row>
        <row r="8548">
          <cell r="A8548">
            <v>1500015781</v>
          </cell>
          <cell r="B8548">
            <v>2.6666666666666701</v>
          </cell>
        </row>
        <row r="8549">
          <cell r="A8549">
            <v>1500015782</v>
          </cell>
          <cell r="B8549">
            <v>0</v>
          </cell>
        </row>
        <row r="8550">
          <cell r="A8550">
            <v>1500015783</v>
          </cell>
          <cell r="B8550">
            <v>11.25</v>
          </cell>
        </row>
        <row r="8551">
          <cell r="A8551">
            <v>1500015784</v>
          </cell>
          <cell r="B8551">
            <v>12.9166666666667</v>
          </cell>
        </row>
        <row r="8552">
          <cell r="A8552">
            <v>1500015785</v>
          </cell>
          <cell r="B8552">
            <v>17.1666666666667</v>
          </cell>
        </row>
        <row r="8553">
          <cell r="A8553">
            <v>1500015786</v>
          </cell>
          <cell r="B8553">
            <v>2.5</v>
          </cell>
        </row>
        <row r="8554">
          <cell r="A8554">
            <v>1500015787</v>
          </cell>
          <cell r="B8554">
            <v>395</v>
          </cell>
        </row>
        <row r="8555">
          <cell r="A8555">
            <v>1500015788</v>
          </cell>
          <cell r="B8555">
            <v>46.6666666666667</v>
          </cell>
        </row>
        <row r="8556">
          <cell r="A8556">
            <v>1500015789</v>
          </cell>
          <cell r="B8556">
            <v>0</v>
          </cell>
        </row>
        <row r="8557">
          <cell r="A8557">
            <v>1500015575</v>
          </cell>
          <cell r="B8557">
            <v>82.983333333333306</v>
          </cell>
        </row>
        <row r="8558">
          <cell r="A8558">
            <v>1500015576</v>
          </cell>
          <cell r="B8558">
            <v>16.6666666666667</v>
          </cell>
        </row>
        <row r="8559">
          <cell r="A8559">
            <v>1500015577</v>
          </cell>
          <cell r="B8559">
            <v>0</v>
          </cell>
        </row>
        <row r="8560">
          <cell r="A8560">
            <v>1500015578</v>
          </cell>
          <cell r="B8560">
            <v>31.024999999999999</v>
          </cell>
        </row>
        <row r="8561">
          <cell r="A8561">
            <v>1500015580</v>
          </cell>
          <cell r="B8561">
            <v>15.4166666666667</v>
          </cell>
        </row>
        <row r="8562">
          <cell r="A8562">
            <v>1500015581</v>
          </cell>
          <cell r="B8562">
            <v>2.9166666666666701</v>
          </cell>
        </row>
        <row r="8563">
          <cell r="A8563">
            <v>1500015872</v>
          </cell>
          <cell r="B8563">
            <v>0</v>
          </cell>
        </row>
        <row r="8564">
          <cell r="A8564">
            <v>1500015873</v>
          </cell>
          <cell r="B8564">
            <v>4.3333333333333304</v>
          </cell>
        </row>
        <row r="8565">
          <cell r="A8565">
            <v>1500015874</v>
          </cell>
          <cell r="B8565">
            <v>10.6666666666667</v>
          </cell>
        </row>
        <row r="8566">
          <cell r="A8566">
            <v>1500015875</v>
          </cell>
          <cell r="B8566">
            <v>10.4166666666667</v>
          </cell>
        </row>
        <row r="8567">
          <cell r="A8567">
            <v>1500015876</v>
          </cell>
          <cell r="B8567">
            <v>0</v>
          </cell>
        </row>
        <row r="8568">
          <cell r="A8568">
            <v>1500015877</v>
          </cell>
          <cell r="B8568">
            <v>10</v>
          </cell>
        </row>
        <row r="8569">
          <cell r="A8569">
            <v>1500015878</v>
          </cell>
          <cell r="B8569">
            <v>25.8333333333333</v>
          </cell>
        </row>
        <row r="8570">
          <cell r="A8570">
            <v>1500015879</v>
          </cell>
          <cell r="B8570">
            <v>0</v>
          </cell>
        </row>
        <row r="8571">
          <cell r="A8571">
            <v>1500015880</v>
          </cell>
          <cell r="B8571">
            <v>17.9166666666667</v>
          </cell>
        </row>
        <row r="8572">
          <cell r="A8572">
            <v>1500015881</v>
          </cell>
          <cell r="B8572">
            <v>17.3333333333333</v>
          </cell>
        </row>
        <row r="8573">
          <cell r="A8573">
            <v>1500015882</v>
          </cell>
          <cell r="B8573">
            <v>0</v>
          </cell>
        </row>
        <row r="8574">
          <cell r="A8574">
            <v>1500015883</v>
          </cell>
          <cell r="B8574">
            <v>0</v>
          </cell>
        </row>
        <row r="8575">
          <cell r="A8575">
            <v>1500015884</v>
          </cell>
          <cell r="B8575">
            <v>21.4166666666667</v>
          </cell>
        </row>
        <row r="8576">
          <cell r="A8576">
            <v>1500015885</v>
          </cell>
          <cell r="B8576">
            <v>0</v>
          </cell>
        </row>
        <row r="8577">
          <cell r="A8577">
            <v>1500015886</v>
          </cell>
          <cell r="B8577">
            <v>0</v>
          </cell>
        </row>
        <row r="8578">
          <cell r="A8578">
            <v>1500015835</v>
          </cell>
          <cell r="B8578">
            <v>1.6666666666666701</v>
          </cell>
        </row>
        <row r="8579">
          <cell r="A8579">
            <v>1500015836</v>
          </cell>
          <cell r="B8579">
            <v>0</v>
          </cell>
        </row>
        <row r="8580">
          <cell r="A8580">
            <v>1500015837</v>
          </cell>
          <cell r="B8580">
            <v>12.5</v>
          </cell>
        </row>
        <row r="8581">
          <cell r="A8581">
            <v>1500015838</v>
          </cell>
          <cell r="B8581">
            <v>0</v>
          </cell>
        </row>
        <row r="8582">
          <cell r="A8582">
            <v>1500015839</v>
          </cell>
          <cell r="B8582">
            <v>0</v>
          </cell>
        </row>
        <row r="8583">
          <cell r="A8583">
            <v>1500015840</v>
          </cell>
          <cell r="B8583">
            <v>0</v>
          </cell>
        </row>
        <row r="8584">
          <cell r="A8584">
            <v>1500015841</v>
          </cell>
          <cell r="B8584">
            <v>13.3333333333333</v>
          </cell>
        </row>
        <row r="8585">
          <cell r="A8585">
            <v>1500015842</v>
          </cell>
          <cell r="B8585">
            <v>12.0833333333333</v>
          </cell>
        </row>
        <row r="8586">
          <cell r="A8586">
            <v>1500015843</v>
          </cell>
          <cell r="B8586">
            <v>24.1666666666667</v>
          </cell>
        </row>
        <row r="8587">
          <cell r="A8587">
            <v>1500015844</v>
          </cell>
          <cell r="B8587">
            <v>0.83333333333333304</v>
          </cell>
        </row>
        <row r="8588">
          <cell r="A8588">
            <v>1500015847</v>
          </cell>
          <cell r="B8588">
            <v>3.75</v>
          </cell>
        </row>
        <row r="8589">
          <cell r="A8589">
            <v>1500015848</v>
          </cell>
          <cell r="B8589">
            <v>14.3333333333333</v>
          </cell>
        </row>
        <row r="8590">
          <cell r="A8590">
            <v>1500015807</v>
          </cell>
          <cell r="B8590">
            <v>10.716666666666701</v>
          </cell>
        </row>
        <row r="8591">
          <cell r="A8591">
            <v>1500015808</v>
          </cell>
          <cell r="B8591">
            <v>2.75</v>
          </cell>
        </row>
        <row r="8592">
          <cell r="A8592">
            <v>1500015809</v>
          </cell>
          <cell r="B8592">
            <v>23.8333333333333</v>
          </cell>
        </row>
        <row r="8593">
          <cell r="A8593">
            <v>1500015810</v>
          </cell>
          <cell r="B8593">
            <v>4.5833333333333304</v>
          </cell>
        </row>
        <row r="8594">
          <cell r="A8594">
            <v>1500015811</v>
          </cell>
          <cell r="B8594">
            <v>26.75</v>
          </cell>
        </row>
        <row r="8595">
          <cell r="A8595">
            <v>1500015812</v>
          </cell>
          <cell r="B8595">
            <v>13.1666666666667</v>
          </cell>
        </row>
        <row r="8596">
          <cell r="A8596">
            <v>1500015813</v>
          </cell>
          <cell r="B8596">
            <v>0.83333333333333304</v>
          </cell>
        </row>
        <row r="8597">
          <cell r="A8597">
            <v>1500015814</v>
          </cell>
          <cell r="B8597">
            <v>22.0833333333333</v>
          </cell>
        </row>
        <row r="8598">
          <cell r="A8598">
            <v>1500015815</v>
          </cell>
          <cell r="B8598">
            <v>22.5</v>
          </cell>
        </row>
        <row r="8599">
          <cell r="A8599">
            <v>1500015816</v>
          </cell>
          <cell r="B8599">
            <v>11.25</v>
          </cell>
        </row>
        <row r="8600">
          <cell r="A8600">
            <v>1500015817</v>
          </cell>
          <cell r="B8600">
            <v>21.6666666666667</v>
          </cell>
        </row>
        <row r="8601">
          <cell r="A8601">
            <v>1500015818</v>
          </cell>
          <cell r="B8601">
            <v>6.6666666666666696</v>
          </cell>
        </row>
        <row r="8602">
          <cell r="A8602">
            <v>1500015819</v>
          </cell>
          <cell r="B8602">
            <v>39.5833333333333</v>
          </cell>
        </row>
        <row r="8603">
          <cell r="A8603">
            <v>1500015820</v>
          </cell>
          <cell r="B8603">
            <v>0</v>
          </cell>
        </row>
        <row r="8604">
          <cell r="A8604">
            <v>1500015821</v>
          </cell>
          <cell r="B8604">
            <v>18.75</v>
          </cell>
        </row>
        <row r="8605">
          <cell r="A8605">
            <v>1500015822</v>
          </cell>
          <cell r="B8605">
            <v>75.5833333333333</v>
          </cell>
        </row>
        <row r="8606">
          <cell r="A8606">
            <v>1500015823</v>
          </cell>
          <cell r="B8606">
            <v>60</v>
          </cell>
        </row>
        <row r="8607">
          <cell r="A8607">
            <v>1500015824</v>
          </cell>
          <cell r="B8607">
            <v>33.75</v>
          </cell>
        </row>
        <row r="8608">
          <cell r="A8608">
            <v>1500015825</v>
          </cell>
          <cell r="B8608">
            <v>29.5</v>
          </cell>
        </row>
        <row r="8609">
          <cell r="A8609">
            <v>1500015871</v>
          </cell>
          <cell r="B8609">
            <v>20.133333333333301</v>
          </cell>
        </row>
        <row r="8610">
          <cell r="A8610">
            <v>1500015902</v>
          </cell>
          <cell r="B8610">
            <v>14.5833333333333</v>
          </cell>
        </row>
        <row r="8611">
          <cell r="A8611">
            <v>1500015907</v>
          </cell>
          <cell r="B8611">
            <v>0</v>
          </cell>
        </row>
        <row r="8612">
          <cell r="A8612">
            <v>1500015908</v>
          </cell>
          <cell r="B8612">
            <v>25.75</v>
          </cell>
        </row>
        <row r="8613">
          <cell r="A8613">
            <v>1500015909</v>
          </cell>
          <cell r="B8613">
            <v>0</v>
          </cell>
        </row>
        <row r="8614">
          <cell r="A8614">
            <v>1500015911</v>
          </cell>
          <cell r="B8614">
            <v>52.9166666666667</v>
          </cell>
        </row>
        <row r="8615">
          <cell r="A8615">
            <v>1500015912</v>
          </cell>
          <cell r="B8615">
            <v>38.3333333333333</v>
          </cell>
        </row>
        <row r="8616">
          <cell r="A8616">
            <v>1500015913</v>
          </cell>
          <cell r="B8616">
            <v>14.1666666666667</v>
          </cell>
        </row>
        <row r="8617">
          <cell r="A8617">
            <v>1500015914</v>
          </cell>
          <cell r="B8617">
            <v>7.5</v>
          </cell>
        </row>
        <row r="8618">
          <cell r="A8618">
            <v>1500015934</v>
          </cell>
          <cell r="B8618">
            <v>8.7666666666666693</v>
          </cell>
        </row>
        <row r="8619">
          <cell r="A8619">
            <v>1500015915</v>
          </cell>
          <cell r="B8619">
            <v>28.9166666666667</v>
          </cell>
        </row>
        <row r="8620">
          <cell r="A8620">
            <v>1500015916</v>
          </cell>
          <cell r="B8620">
            <v>8.3333333333333304</v>
          </cell>
        </row>
        <row r="8621">
          <cell r="A8621">
            <v>1500015918</v>
          </cell>
          <cell r="B8621">
            <v>12.0833333333333</v>
          </cell>
        </row>
        <row r="8622">
          <cell r="A8622">
            <v>1500015919</v>
          </cell>
          <cell r="B8622">
            <v>22.8333333333333</v>
          </cell>
        </row>
        <row r="8623">
          <cell r="A8623">
            <v>1500015920</v>
          </cell>
          <cell r="B8623">
            <v>0</v>
          </cell>
        </row>
        <row r="8624">
          <cell r="A8624">
            <v>1500015922</v>
          </cell>
          <cell r="B8624">
            <v>6.6666666666666696</v>
          </cell>
        </row>
        <row r="8625">
          <cell r="A8625">
            <v>1500015923</v>
          </cell>
          <cell r="B8625">
            <v>10.8333333333333</v>
          </cell>
        </row>
        <row r="8626">
          <cell r="A8626">
            <v>1500015924</v>
          </cell>
          <cell r="B8626">
            <v>0</v>
          </cell>
        </row>
        <row r="8627">
          <cell r="A8627">
            <v>1500015925</v>
          </cell>
          <cell r="B8627">
            <v>35</v>
          </cell>
        </row>
        <row r="8628">
          <cell r="A8628">
            <v>1500015926</v>
          </cell>
          <cell r="B8628">
            <v>15.0833333333333</v>
          </cell>
        </row>
        <row r="8629">
          <cell r="A8629">
            <v>1500015927</v>
          </cell>
          <cell r="B8629">
            <v>0</v>
          </cell>
        </row>
        <row r="8630">
          <cell r="A8630">
            <v>1500015928</v>
          </cell>
          <cell r="B8630">
            <v>1.6666666666666701</v>
          </cell>
        </row>
        <row r="8631">
          <cell r="A8631">
            <v>1500015929</v>
          </cell>
          <cell r="B8631">
            <v>0</v>
          </cell>
        </row>
        <row r="8632">
          <cell r="A8632">
            <v>1500015930</v>
          </cell>
          <cell r="B8632">
            <v>0</v>
          </cell>
        </row>
        <row r="8633">
          <cell r="A8633">
            <v>1500015935</v>
          </cell>
          <cell r="B8633">
            <v>15.6833333333333</v>
          </cell>
        </row>
        <row r="8634">
          <cell r="A8634">
            <v>1500015936</v>
          </cell>
          <cell r="B8634">
            <v>0</v>
          </cell>
        </row>
        <row r="8635">
          <cell r="A8635">
            <v>1500015937</v>
          </cell>
          <cell r="B8635">
            <v>6.4166666666666696</v>
          </cell>
        </row>
        <row r="8636">
          <cell r="A8636">
            <v>1500015938</v>
          </cell>
          <cell r="B8636">
            <v>10.8333333333333</v>
          </cell>
        </row>
        <row r="8637">
          <cell r="A8637">
            <v>1500015939</v>
          </cell>
          <cell r="B8637">
            <v>16.4166666666667</v>
          </cell>
        </row>
        <row r="8638">
          <cell r="A8638">
            <v>1500015940</v>
          </cell>
          <cell r="B8638">
            <v>45.3333333333333</v>
          </cell>
        </row>
        <row r="8639">
          <cell r="A8639">
            <v>1500015941</v>
          </cell>
          <cell r="B8639">
            <v>2.0833333333333299</v>
          </cell>
        </row>
        <row r="8640">
          <cell r="A8640">
            <v>1500015942</v>
          </cell>
          <cell r="B8640">
            <v>58.0833333333333</v>
          </cell>
        </row>
        <row r="8641">
          <cell r="A8641">
            <v>1500015943</v>
          </cell>
          <cell r="B8641">
            <v>0</v>
          </cell>
        </row>
        <row r="8642">
          <cell r="A8642">
            <v>1500015944</v>
          </cell>
          <cell r="B8642">
            <v>0.83333333333333304</v>
          </cell>
        </row>
        <row r="8643">
          <cell r="A8643">
            <v>1500015945</v>
          </cell>
          <cell r="B8643">
            <v>35.4166666666667</v>
          </cell>
        </row>
        <row r="8644">
          <cell r="A8644">
            <v>1500015946</v>
          </cell>
          <cell r="B8644">
            <v>7.25</v>
          </cell>
        </row>
        <row r="8645">
          <cell r="A8645">
            <v>1500015947</v>
          </cell>
          <cell r="B8645">
            <v>0</v>
          </cell>
        </row>
        <row r="8646">
          <cell r="A8646">
            <v>1500015948</v>
          </cell>
          <cell r="B8646">
            <v>2.1666666666666701</v>
          </cell>
        </row>
        <row r="8647">
          <cell r="A8647">
            <v>1500015950</v>
          </cell>
          <cell r="B8647">
            <v>0</v>
          </cell>
        </row>
        <row r="8648">
          <cell r="A8648">
            <v>1500015951</v>
          </cell>
          <cell r="B8648">
            <v>11.6666666666667</v>
          </cell>
        </row>
        <row r="8649">
          <cell r="A8649">
            <v>1500015952</v>
          </cell>
          <cell r="B8649">
            <v>14.3333333333333</v>
          </cell>
        </row>
        <row r="8650">
          <cell r="A8650">
            <v>1500015953</v>
          </cell>
          <cell r="B8650">
            <v>0</v>
          </cell>
        </row>
        <row r="8651">
          <cell r="A8651">
            <v>1500015967</v>
          </cell>
          <cell r="B8651">
            <v>11.1666666666667</v>
          </cell>
        </row>
        <row r="8652">
          <cell r="A8652">
            <v>1500015968</v>
          </cell>
          <cell r="B8652">
            <v>1.6666666666666701</v>
          </cell>
        </row>
        <row r="8653">
          <cell r="A8653">
            <v>1500015969</v>
          </cell>
          <cell r="B8653">
            <v>20.3333333333333</v>
          </cell>
        </row>
        <row r="8654">
          <cell r="A8654">
            <v>1500015970</v>
          </cell>
          <cell r="B8654">
            <v>7.3333333333333304</v>
          </cell>
        </row>
        <row r="8655">
          <cell r="A8655">
            <v>1500015971</v>
          </cell>
          <cell r="B8655">
            <v>11.25</v>
          </cell>
        </row>
        <row r="8656">
          <cell r="A8656">
            <v>1500015972</v>
          </cell>
          <cell r="B8656">
            <v>10.4166666666667</v>
          </cell>
        </row>
        <row r="8657">
          <cell r="A8657">
            <v>1500015973</v>
          </cell>
          <cell r="B8657">
            <v>98.5833333333333</v>
          </cell>
        </row>
        <row r="8658">
          <cell r="A8658">
            <v>1500015974</v>
          </cell>
          <cell r="B8658">
            <v>5.8333333333333304</v>
          </cell>
        </row>
        <row r="8659">
          <cell r="A8659">
            <v>1500015975</v>
          </cell>
          <cell r="B8659">
            <v>17.5</v>
          </cell>
        </row>
        <row r="8660">
          <cell r="A8660">
            <v>1500015976</v>
          </cell>
          <cell r="B8660">
            <v>1.6666666666666701</v>
          </cell>
        </row>
        <row r="8661">
          <cell r="A8661">
            <v>1500015977</v>
          </cell>
          <cell r="B8661">
            <v>1.25</v>
          </cell>
        </row>
        <row r="8662">
          <cell r="A8662">
            <v>1500015978</v>
          </cell>
          <cell r="B8662">
            <v>0</v>
          </cell>
        </row>
        <row r="8663">
          <cell r="A8663">
            <v>1500015979</v>
          </cell>
          <cell r="B8663">
            <v>6.8333333333333304</v>
          </cell>
        </row>
        <row r="8664">
          <cell r="A8664">
            <v>1500015980</v>
          </cell>
          <cell r="B8664">
            <v>21.5833333333333</v>
          </cell>
        </row>
        <row r="8665">
          <cell r="A8665">
            <v>1500015981</v>
          </cell>
          <cell r="B8665">
            <v>0</v>
          </cell>
        </row>
        <row r="8666">
          <cell r="A8666">
            <v>1500015982</v>
          </cell>
          <cell r="B8666">
            <v>25.8333333333333</v>
          </cell>
        </row>
        <row r="8667">
          <cell r="A8667">
            <v>1500015984</v>
          </cell>
          <cell r="B8667">
            <v>26.883333333333301</v>
          </cell>
        </row>
        <row r="8668">
          <cell r="A8668">
            <v>1500015985</v>
          </cell>
          <cell r="B8668">
            <v>8.5</v>
          </cell>
        </row>
        <row r="8669">
          <cell r="A8669">
            <v>1500015986</v>
          </cell>
          <cell r="B8669">
            <v>56.15</v>
          </cell>
        </row>
        <row r="8670">
          <cell r="A8670">
            <v>1500015987</v>
          </cell>
          <cell r="B8670">
            <v>11.6666666666667</v>
          </cell>
        </row>
        <row r="8671">
          <cell r="A8671">
            <v>1500015988</v>
          </cell>
          <cell r="B8671">
            <v>12.0833333333333</v>
          </cell>
        </row>
        <row r="8672">
          <cell r="A8672">
            <v>1500015989</v>
          </cell>
          <cell r="B8672">
            <v>38.0833333333333</v>
          </cell>
        </row>
        <row r="8673">
          <cell r="A8673">
            <v>1500015990</v>
          </cell>
          <cell r="B8673">
            <v>0.5</v>
          </cell>
        </row>
        <row r="8674">
          <cell r="A8674">
            <v>1500015991</v>
          </cell>
          <cell r="B8674">
            <v>1.25</v>
          </cell>
        </row>
        <row r="8675">
          <cell r="A8675">
            <v>1500015992</v>
          </cell>
          <cell r="B8675">
            <v>0</v>
          </cell>
        </row>
        <row r="8676">
          <cell r="A8676">
            <v>1500015993</v>
          </cell>
          <cell r="B8676">
            <v>5.8333333333333304</v>
          </cell>
        </row>
        <row r="8677">
          <cell r="A8677">
            <v>1500015994</v>
          </cell>
          <cell r="B8677">
            <v>11.6666666666667</v>
          </cell>
        </row>
        <row r="8678">
          <cell r="A8678">
            <v>1500015995</v>
          </cell>
          <cell r="B8678">
            <v>48.5</v>
          </cell>
        </row>
        <row r="8679">
          <cell r="A8679">
            <v>1500015996</v>
          </cell>
          <cell r="B8679">
            <v>0</v>
          </cell>
        </row>
        <row r="8680">
          <cell r="A8680">
            <v>1500015997</v>
          </cell>
          <cell r="B8680">
            <v>27</v>
          </cell>
        </row>
        <row r="8681">
          <cell r="A8681">
            <v>1500015998</v>
          </cell>
          <cell r="B8681">
            <v>21.6666666666667</v>
          </cell>
        </row>
        <row r="8682">
          <cell r="A8682">
            <v>1500015999</v>
          </cell>
          <cell r="B8682">
            <v>23.1666666666667</v>
          </cell>
        </row>
        <row r="8683">
          <cell r="A8683">
            <v>1500016000</v>
          </cell>
          <cell r="B8683">
            <v>34.1666666666667</v>
          </cell>
        </row>
        <row r="8684">
          <cell r="A8684">
            <v>1500016001</v>
          </cell>
          <cell r="B8684">
            <v>49.5</v>
          </cell>
        </row>
        <row r="8685">
          <cell r="A8685">
            <v>1500016002</v>
          </cell>
          <cell r="B8685">
            <v>1.6666666666666701</v>
          </cell>
        </row>
        <row r="8686">
          <cell r="A8686">
            <v>1500016003</v>
          </cell>
          <cell r="B8686">
            <v>0</v>
          </cell>
        </row>
        <row r="8687">
          <cell r="A8687">
            <v>1500016009</v>
          </cell>
          <cell r="B8687">
            <v>1.3333333333333299</v>
          </cell>
        </row>
        <row r="8688">
          <cell r="A8688">
            <v>1500016010</v>
          </cell>
          <cell r="B8688">
            <v>0</v>
          </cell>
        </row>
        <row r="8689">
          <cell r="A8689">
            <v>1500016011</v>
          </cell>
          <cell r="B8689">
            <v>25</v>
          </cell>
        </row>
        <row r="8690">
          <cell r="A8690">
            <v>1500016025</v>
          </cell>
          <cell r="B8690">
            <v>47.9583333333333</v>
          </cell>
        </row>
        <row r="8691">
          <cell r="A8691">
            <v>1500016026</v>
          </cell>
          <cell r="B8691">
            <v>21.8333333333333</v>
          </cell>
        </row>
        <row r="8692">
          <cell r="A8692">
            <v>1500016027</v>
          </cell>
          <cell r="B8692">
            <v>0</v>
          </cell>
        </row>
        <row r="8693">
          <cell r="A8693">
            <v>1500016028</v>
          </cell>
          <cell r="B8693">
            <v>0</v>
          </cell>
        </row>
        <row r="8694">
          <cell r="A8694">
            <v>1500016029</v>
          </cell>
          <cell r="B8694">
            <v>22.8333333333333</v>
          </cell>
        </row>
        <row r="8695">
          <cell r="A8695">
            <v>1500016030</v>
          </cell>
          <cell r="B8695">
            <v>26.5833333333333</v>
          </cell>
        </row>
        <row r="8696">
          <cell r="A8696">
            <v>1500016031</v>
          </cell>
          <cell r="B8696">
            <v>13.8333333333333</v>
          </cell>
        </row>
        <row r="8697">
          <cell r="A8697">
            <v>1500016032</v>
          </cell>
          <cell r="B8697">
            <v>0</v>
          </cell>
        </row>
        <row r="8698">
          <cell r="A8698">
            <v>1500016033</v>
          </cell>
          <cell r="B8698">
            <v>60</v>
          </cell>
        </row>
        <row r="8699">
          <cell r="A8699">
            <v>1500016035</v>
          </cell>
          <cell r="B8699">
            <v>23.3333333333333</v>
          </cell>
        </row>
        <row r="8700">
          <cell r="A8700">
            <v>1500016036</v>
          </cell>
          <cell r="B8700">
            <v>0</v>
          </cell>
        </row>
        <row r="8701">
          <cell r="A8701">
            <v>1500016037</v>
          </cell>
          <cell r="B8701">
            <v>45.6666666666667</v>
          </cell>
        </row>
        <row r="8702">
          <cell r="A8702">
            <v>1500016038</v>
          </cell>
          <cell r="B8702">
            <v>0</v>
          </cell>
        </row>
        <row r="8703">
          <cell r="A8703">
            <v>1500016039</v>
          </cell>
          <cell r="B8703">
            <v>2.5</v>
          </cell>
        </row>
        <row r="8704">
          <cell r="A8704">
            <v>1500016040</v>
          </cell>
          <cell r="B8704">
            <v>25.4166666666667</v>
          </cell>
        </row>
        <row r="8705">
          <cell r="A8705">
            <v>1500016041</v>
          </cell>
          <cell r="B8705">
            <v>13.75</v>
          </cell>
        </row>
        <row r="8706">
          <cell r="A8706">
            <v>1500016042</v>
          </cell>
          <cell r="B8706">
            <v>21.25</v>
          </cell>
        </row>
        <row r="8707">
          <cell r="A8707">
            <v>1500016043</v>
          </cell>
          <cell r="B8707">
            <v>31.6666666666667</v>
          </cell>
        </row>
        <row r="8708">
          <cell r="A8708">
            <v>1500016065</v>
          </cell>
          <cell r="B8708">
            <v>23.75</v>
          </cell>
        </row>
        <row r="8709">
          <cell r="A8709">
            <v>1500016066</v>
          </cell>
          <cell r="B8709">
            <v>20.4166666666667</v>
          </cell>
        </row>
        <row r="8710">
          <cell r="A8710">
            <v>1500016067</v>
          </cell>
          <cell r="B8710">
            <v>0</v>
          </cell>
        </row>
        <row r="8711">
          <cell r="A8711">
            <v>1500016068</v>
          </cell>
          <cell r="B8711">
            <v>6.25</v>
          </cell>
        </row>
        <row r="8712">
          <cell r="A8712">
            <v>1500016069</v>
          </cell>
          <cell r="B8712">
            <v>12.408333333333299</v>
          </cell>
        </row>
        <row r="8713">
          <cell r="A8713">
            <v>1500016070</v>
          </cell>
          <cell r="B8713">
            <v>8.8333333333333304</v>
          </cell>
        </row>
        <row r="8714">
          <cell r="A8714">
            <v>1500016071</v>
          </cell>
          <cell r="B8714">
            <v>0</v>
          </cell>
        </row>
        <row r="8715">
          <cell r="A8715">
            <v>1500016072</v>
          </cell>
          <cell r="B8715">
            <v>51.0833333333333</v>
          </cell>
        </row>
        <row r="8716">
          <cell r="A8716">
            <v>1500016073</v>
          </cell>
          <cell r="B8716">
            <v>19.9166666666667</v>
          </cell>
        </row>
        <row r="8717">
          <cell r="A8717">
            <v>1500016074</v>
          </cell>
          <cell r="B8717">
            <v>0.75</v>
          </cell>
        </row>
        <row r="8718">
          <cell r="A8718">
            <v>1500016075</v>
          </cell>
          <cell r="B8718">
            <v>0.41666666666666702</v>
          </cell>
        </row>
        <row r="8719">
          <cell r="A8719">
            <v>1500016076</v>
          </cell>
          <cell r="B8719">
            <v>1.4166666666666701</v>
          </cell>
        </row>
        <row r="8720">
          <cell r="A8720">
            <v>1500016077</v>
          </cell>
          <cell r="B8720">
            <v>0</v>
          </cell>
        </row>
        <row r="8721">
          <cell r="A8721">
            <v>1500016078</v>
          </cell>
          <cell r="B8721">
            <v>1.9166666666666701</v>
          </cell>
        </row>
        <row r="8722">
          <cell r="A8722">
            <v>1500016079</v>
          </cell>
          <cell r="B8722">
            <v>3.3333333333333299</v>
          </cell>
        </row>
        <row r="8723">
          <cell r="A8723">
            <v>1500016080</v>
          </cell>
          <cell r="B8723">
            <v>15.8333333333333</v>
          </cell>
        </row>
        <row r="8724">
          <cell r="A8724">
            <v>1500016081</v>
          </cell>
          <cell r="B8724">
            <v>9.1666666666666696</v>
          </cell>
        </row>
        <row r="8725">
          <cell r="A8725">
            <v>1500016082</v>
          </cell>
          <cell r="B8725">
            <v>39.1666666666667</v>
          </cell>
        </row>
        <row r="8726">
          <cell r="A8726">
            <v>1500016083</v>
          </cell>
          <cell r="B8726">
            <v>0</v>
          </cell>
        </row>
        <row r="8727">
          <cell r="A8727">
            <v>1500016092</v>
          </cell>
          <cell r="B8727">
            <v>0</v>
          </cell>
        </row>
        <row r="8728">
          <cell r="A8728">
            <v>1500016093</v>
          </cell>
          <cell r="B8728">
            <v>8.3333333333333304</v>
          </cell>
        </row>
        <row r="8729">
          <cell r="A8729">
            <v>1500016109</v>
          </cell>
          <cell r="B8729">
            <v>32.75</v>
          </cell>
        </row>
        <row r="8730">
          <cell r="A8730">
            <v>1500016094</v>
          </cell>
          <cell r="B8730">
            <v>2.6666666666666701</v>
          </cell>
        </row>
        <row r="8731">
          <cell r="A8731">
            <v>1500016095</v>
          </cell>
          <cell r="B8731">
            <v>6</v>
          </cell>
        </row>
        <row r="8732">
          <cell r="A8732">
            <v>1500016096</v>
          </cell>
          <cell r="B8732">
            <v>20.5833333333333</v>
          </cell>
        </row>
        <row r="8733">
          <cell r="A8733">
            <v>1500016097</v>
          </cell>
          <cell r="B8733">
            <v>21.883333333333301</v>
          </cell>
        </row>
        <row r="8734">
          <cell r="A8734">
            <v>1500016110</v>
          </cell>
          <cell r="B8734">
            <v>7.6666666666666696</v>
          </cell>
        </row>
        <row r="8735">
          <cell r="A8735">
            <v>1500016098</v>
          </cell>
          <cell r="B8735">
            <v>21.6666666666667</v>
          </cell>
        </row>
        <row r="8736">
          <cell r="A8736">
            <v>1500016099</v>
          </cell>
          <cell r="B8736">
            <v>0</v>
          </cell>
        </row>
        <row r="8737">
          <cell r="A8737">
            <v>1500016111</v>
          </cell>
          <cell r="B8737">
            <v>5.9166666666666696</v>
          </cell>
        </row>
        <row r="8738">
          <cell r="A8738">
            <v>1500016100</v>
          </cell>
          <cell r="B8738">
            <v>9.1666666666666696</v>
          </cell>
        </row>
        <row r="8739">
          <cell r="A8739">
            <v>1500016101</v>
          </cell>
          <cell r="B8739">
            <v>19.0833333333333</v>
          </cell>
        </row>
        <row r="8740">
          <cell r="A8740">
            <v>1500016112</v>
          </cell>
          <cell r="B8740">
            <v>71.9166666666667</v>
          </cell>
        </row>
        <row r="8741">
          <cell r="A8741">
            <v>1500016113</v>
          </cell>
          <cell r="B8741">
            <v>15.5</v>
          </cell>
        </row>
        <row r="8742">
          <cell r="A8742">
            <v>1500016114</v>
          </cell>
          <cell r="B8742">
            <v>30.4166666666667</v>
          </cell>
        </row>
        <row r="8743">
          <cell r="A8743">
            <v>1500016102</v>
          </cell>
          <cell r="B8743">
            <v>42.5</v>
          </cell>
        </row>
        <row r="8744">
          <cell r="A8744">
            <v>1500016103</v>
          </cell>
          <cell r="B8744">
            <v>5</v>
          </cell>
        </row>
        <row r="8745">
          <cell r="A8745">
            <v>1500016104</v>
          </cell>
          <cell r="B8745">
            <v>0</v>
          </cell>
        </row>
        <row r="8746">
          <cell r="A8746">
            <v>1500016116</v>
          </cell>
          <cell r="B8746">
            <v>86.6666666666667</v>
          </cell>
        </row>
        <row r="8747">
          <cell r="A8747">
            <v>1500016135</v>
          </cell>
          <cell r="B8747">
            <v>33</v>
          </cell>
        </row>
        <row r="8748">
          <cell r="A8748">
            <v>1500016136</v>
          </cell>
          <cell r="B8748">
            <v>5.9166666666666696</v>
          </cell>
        </row>
        <row r="8749">
          <cell r="A8749">
            <v>1500016137</v>
          </cell>
          <cell r="B8749">
            <v>15.3333333333333</v>
          </cell>
        </row>
        <row r="8750">
          <cell r="A8750">
            <v>1500016138</v>
          </cell>
          <cell r="B8750">
            <v>0</v>
          </cell>
        </row>
        <row r="8751">
          <cell r="A8751">
            <v>1500016139</v>
          </cell>
          <cell r="B8751">
            <v>14</v>
          </cell>
        </row>
        <row r="8752">
          <cell r="A8752">
            <v>1500016140</v>
          </cell>
          <cell r="B8752">
            <v>20.9166666666667</v>
          </cell>
        </row>
        <row r="8753">
          <cell r="A8753">
            <v>1500016141</v>
          </cell>
          <cell r="B8753">
            <v>0</v>
          </cell>
        </row>
        <row r="8754">
          <cell r="A8754">
            <v>1500016142</v>
          </cell>
          <cell r="B8754">
            <v>12.9166666666667</v>
          </cell>
        </row>
        <row r="8755">
          <cell r="A8755">
            <v>1500016143</v>
          </cell>
          <cell r="B8755">
            <v>0</v>
          </cell>
        </row>
        <row r="8756">
          <cell r="A8756">
            <v>1500016144</v>
          </cell>
          <cell r="B8756">
            <v>13</v>
          </cell>
        </row>
        <row r="8757">
          <cell r="A8757">
            <v>1500016145</v>
          </cell>
          <cell r="B8757">
            <v>0</v>
          </cell>
        </row>
        <row r="8758">
          <cell r="A8758">
            <v>1500016146</v>
          </cell>
          <cell r="B8758">
            <v>27.4166666666667</v>
          </cell>
        </row>
        <row r="8759">
          <cell r="A8759">
            <v>1500016147</v>
          </cell>
          <cell r="B8759">
            <v>39.0833333333333</v>
          </cell>
        </row>
        <row r="8760">
          <cell r="A8760">
            <v>1500016148</v>
          </cell>
          <cell r="B8760">
            <v>0</v>
          </cell>
        </row>
        <row r="8761">
          <cell r="A8761">
            <v>1500016149</v>
          </cell>
          <cell r="B8761">
            <v>70.991666666666703</v>
          </cell>
        </row>
        <row r="8762">
          <cell r="A8762">
            <v>1500016150</v>
          </cell>
          <cell r="B8762">
            <v>30</v>
          </cell>
        </row>
        <row r="8763">
          <cell r="A8763">
            <v>1500016151</v>
          </cell>
          <cell r="B8763">
            <v>0.83333333333333304</v>
          </cell>
        </row>
        <row r="8764">
          <cell r="A8764">
            <v>1500016152</v>
          </cell>
          <cell r="B8764">
            <v>117.083333333333</v>
          </cell>
        </row>
        <row r="8765">
          <cell r="A8765">
            <v>1500016153</v>
          </cell>
          <cell r="B8765">
            <v>2.0833333333333299</v>
          </cell>
        </row>
        <row r="8766">
          <cell r="A8766">
            <v>1500016154</v>
          </cell>
          <cell r="B8766">
            <v>6.6666666666666696</v>
          </cell>
        </row>
        <row r="8767">
          <cell r="A8767">
            <v>1500016155</v>
          </cell>
          <cell r="B8767">
            <v>0</v>
          </cell>
        </row>
        <row r="8768">
          <cell r="A8768">
            <v>1500016156</v>
          </cell>
          <cell r="B8768">
            <v>64.1666666666667</v>
          </cell>
        </row>
        <row r="8769">
          <cell r="A8769">
            <v>1500016172</v>
          </cell>
          <cell r="B8769">
            <v>0.41666666666666702</v>
          </cell>
        </row>
        <row r="8770">
          <cell r="A8770">
            <v>1500016173</v>
          </cell>
          <cell r="B8770">
            <v>3.4166666666666701</v>
          </cell>
        </row>
        <row r="8771">
          <cell r="A8771">
            <v>1500016174</v>
          </cell>
          <cell r="B8771">
            <v>14.5416666666667</v>
          </cell>
        </row>
        <row r="8772">
          <cell r="A8772">
            <v>1500016175</v>
          </cell>
          <cell r="B8772">
            <v>4.1666666666666696</v>
          </cell>
        </row>
        <row r="8773">
          <cell r="A8773">
            <v>1500016176</v>
          </cell>
          <cell r="B8773">
            <v>12.6666666666667</v>
          </cell>
        </row>
        <row r="8774">
          <cell r="A8774">
            <v>1500016177</v>
          </cell>
          <cell r="B8774">
            <v>0</v>
          </cell>
        </row>
        <row r="8775">
          <cell r="A8775">
            <v>1500016179</v>
          </cell>
          <cell r="B8775">
            <v>0</v>
          </cell>
        </row>
        <row r="8776">
          <cell r="A8776">
            <v>1500016180</v>
          </cell>
          <cell r="B8776">
            <v>0.83333333333333304</v>
          </cell>
        </row>
        <row r="8777">
          <cell r="A8777">
            <v>1500016182</v>
          </cell>
          <cell r="B8777">
            <v>0</v>
          </cell>
        </row>
        <row r="8778">
          <cell r="A8778">
            <v>1500016198</v>
          </cell>
          <cell r="B8778">
            <v>7.1666666666666696</v>
          </cell>
        </row>
        <row r="8779">
          <cell r="A8779">
            <v>1500016199</v>
          </cell>
          <cell r="B8779">
            <v>54.5833333333333</v>
          </cell>
        </row>
        <row r="8780">
          <cell r="A8780">
            <v>1500016200</v>
          </cell>
          <cell r="B8780">
            <v>10.75</v>
          </cell>
        </row>
        <row r="8781">
          <cell r="A8781">
            <v>1500016201</v>
          </cell>
          <cell r="B8781">
            <v>9.0833333333333304</v>
          </cell>
        </row>
        <row r="8782">
          <cell r="A8782">
            <v>1500016202</v>
          </cell>
          <cell r="B8782">
            <v>93.1666666666667</v>
          </cell>
        </row>
        <row r="8783">
          <cell r="A8783">
            <v>1500016203</v>
          </cell>
          <cell r="B8783">
            <v>117.85</v>
          </cell>
        </row>
        <row r="8784">
          <cell r="A8784">
            <v>1500016204</v>
          </cell>
          <cell r="B8784">
            <v>44.4583333333333</v>
          </cell>
        </row>
        <row r="8785">
          <cell r="A8785">
            <v>1500016205</v>
          </cell>
          <cell r="B8785">
            <v>9.1666666666666696</v>
          </cell>
        </row>
        <row r="8786">
          <cell r="A8786">
            <v>1500016252</v>
          </cell>
          <cell r="B8786">
            <v>58.3333333333333</v>
          </cell>
        </row>
        <row r="8787">
          <cell r="A8787">
            <v>1500016253</v>
          </cell>
          <cell r="B8787">
            <v>1.25</v>
          </cell>
        </row>
        <row r="8788">
          <cell r="A8788">
            <v>1500016254</v>
          </cell>
          <cell r="B8788">
            <v>0</v>
          </cell>
        </row>
        <row r="8789">
          <cell r="A8789">
            <v>1500016255</v>
          </cell>
          <cell r="B8789">
            <v>406.66666666666703</v>
          </cell>
        </row>
        <row r="8790">
          <cell r="A8790">
            <v>1500016256</v>
          </cell>
          <cell r="B8790">
            <v>12.9166666666667</v>
          </cell>
        </row>
        <row r="8791">
          <cell r="A8791">
            <v>1500016257</v>
          </cell>
          <cell r="B8791">
            <v>14.1666666666667</v>
          </cell>
        </row>
        <row r="8792">
          <cell r="A8792">
            <v>1500016258</v>
          </cell>
          <cell r="B8792">
            <v>0</v>
          </cell>
        </row>
        <row r="8793">
          <cell r="A8793">
            <v>1500016259</v>
          </cell>
          <cell r="B8793">
            <v>11.6666666666667</v>
          </cell>
        </row>
        <row r="8794">
          <cell r="A8794">
            <v>1500016260</v>
          </cell>
          <cell r="B8794">
            <v>12.5833333333333</v>
          </cell>
        </row>
        <row r="8795">
          <cell r="A8795">
            <v>1500016261</v>
          </cell>
          <cell r="B8795">
            <v>38.75</v>
          </cell>
        </row>
        <row r="8796">
          <cell r="A8796">
            <v>1500016262</v>
          </cell>
          <cell r="B8796">
            <v>25</v>
          </cell>
        </row>
        <row r="8797">
          <cell r="A8797">
            <v>1500016263</v>
          </cell>
          <cell r="B8797">
            <v>0</v>
          </cell>
        </row>
        <row r="8798">
          <cell r="A8798">
            <v>1500016264</v>
          </cell>
          <cell r="B8798">
            <v>43.0833333333333</v>
          </cell>
        </row>
        <row r="8799">
          <cell r="A8799">
            <v>1500016265</v>
          </cell>
          <cell r="B8799">
            <v>5.5</v>
          </cell>
        </row>
        <row r="8800">
          <cell r="A8800">
            <v>1500016267</v>
          </cell>
          <cell r="B8800">
            <v>18.25</v>
          </cell>
        </row>
        <row r="8801">
          <cell r="A8801">
            <v>1500016222</v>
          </cell>
          <cell r="B8801">
            <v>0</v>
          </cell>
        </row>
        <row r="8802">
          <cell r="A8802">
            <v>1500016223</v>
          </cell>
          <cell r="B8802">
            <v>28.9166666666667</v>
          </cell>
        </row>
        <row r="8803">
          <cell r="A8803">
            <v>1500016224</v>
          </cell>
          <cell r="B8803">
            <v>25.5</v>
          </cell>
        </row>
        <row r="8804">
          <cell r="A8804">
            <v>1500016225</v>
          </cell>
          <cell r="B8804">
            <v>35.3333333333333</v>
          </cell>
        </row>
        <row r="8805">
          <cell r="A8805">
            <v>1500016226</v>
          </cell>
          <cell r="B8805">
            <v>39</v>
          </cell>
        </row>
        <row r="8806">
          <cell r="A8806">
            <v>1500016227</v>
          </cell>
          <cell r="B8806">
            <v>9.5833333333333304</v>
          </cell>
        </row>
        <row r="8807">
          <cell r="A8807">
            <v>1500016228</v>
          </cell>
          <cell r="B8807">
            <v>21.5</v>
          </cell>
        </row>
        <row r="8808">
          <cell r="A8808">
            <v>1500016229</v>
          </cell>
          <cell r="B8808">
            <v>0</v>
          </cell>
        </row>
        <row r="8809">
          <cell r="A8809">
            <v>1500016230</v>
          </cell>
          <cell r="B8809">
            <v>64.1666666666667</v>
          </cell>
        </row>
        <row r="8810">
          <cell r="A8810">
            <v>1500016231</v>
          </cell>
          <cell r="B8810">
            <v>0</v>
          </cell>
        </row>
        <row r="8811">
          <cell r="A8811">
            <v>1500016232</v>
          </cell>
          <cell r="B8811">
            <v>6.56666666666667</v>
          </cell>
        </row>
        <row r="8812">
          <cell r="A8812">
            <v>1500016233</v>
          </cell>
          <cell r="B8812">
            <v>0</v>
          </cell>
        </row>
        <row r="8813">
          <cell r="A8813">
            <v>1500016234</v>
          </cell>
          <cell r="B8813">
            <v>0</v>
          </cell>
        </row>
        <row r="8814">
          <cell r="A8814">
            <v>1500016235</v>
          </cell>
          <cell r="B8814">
            <v>0</v>
          </cell>
        </row>
        <row r="8815">
          <cell r="A8815">
            <v>1500016236</v>
          </cell>
          <cell r="B8815">
            <v>14.6666666666667</v>
          </cell>
        </row>
        <row r="8816">
          <cell r="A8816">
            <v>1500016237</v>
          </cell>
          <cell r="B8816">
            <v>1.25</v>
          </cell>
        </row>
        <row r="8817">
          <cell r="A8817">
            <v>1500016238</v>
          </cell>
          <cell r="B8817">
            <v>37.0833333333333</v>
          </cell>
        </row>
        <row r="8818">
          <cell r="A8818">
            <v>1500016239</v>
          </cell>
          <cell r="B8818">
            <v>18.3333333333333</v>
          </cell>
        </row>
        <row r="8819">
          <cell r="A8819">
            <v>1500016240</v>
          </cell>
          <cell r="B8819">
            <v>10.6666666666667</v>
          </cell>
        </row>
        <row r="8820">
          <cell r="A8820">
            <v>1500016241</v>
          </cell>
          <cell r="B8820">
            <v>7.9166666666666696</v>
          </cell>
        </row>
        <row r="8821">
          <cell r="A8821">
            <v>1500016242</v>
          </cell>
          <cell r="B8821">
            <v>0</v>
          </cell>
        </row>
        <row r="8822">
          <cell r="A8822">
            <v>1500016243</v>
          </cell>
          <cell r="B8822">
            <v>24.0833333333333</v>
          </cell>
        </row>
        <row r="8823">
          <cell r="A8823">
            <v>1500016244</v>
          </cell>
          <cell r="B8823">
            <v>5</v>
          </cell>
        </row>
        <row r="8824">
          <cell r="A8824">
            <v>1500016245</v>
          </cell>
          <cell r="B8824">
            <v>0</v>
          </cell>
        </row>
        <row r="8825">
          <cell r="A8825">
            <v>1500016246</v>
          </cell>
          <cell r="B8825">
            <v>0</v>
          </cell>
        </row>
        <row r="8826">
          <cell r="A8826">
            <v>1500016247</v>
          </cell>
          <cell r="B8826">
            <v>50.5833333333333</v>
          </cell>
        </row>
        <row r="8827">
          <cell r="A8827">
            <v>1500016248</v>
          </cell>
          <cell r="B8827">
            <v>56.25</v>
          </cell>
        </row>
        <row r="8828">
          <cell r="A8828">
            <v>1500016282</v>
          </cell>
          <cell r="B8828">
            <v>11.7083333333333</v>
          </cell>
        </row>
        <row r="8829">
          <cell r="A8829">
            <v>1500016283</v>
          </cell>
          <cell r="B8829">
            <v>6.5</v>
          </cell>
        </row>
        <row r="8830">
          <cell r="A8830">
            <v>1500016284</v>
          </cell>
          <cell r="B8830">
            <v>0</v>
          </cell>
        </row>
        <row r="8831">
          <cell r="A8831">
            <v>1500016285</v>
          </cell>
          <cell r="B8831">
            <v>0.83333333333333304</v>
          </cell>
        </row>
        <row r="8832">
          <cell r="A8832">
            <v>1500016286</v>
          </cell>
          <cell r="B8832">
            <v>4.05</v>
          </cell>
        </row>
        <row r="8833">
          <cell r="A8833">
            <v>1500016287</v>
          </cell>
          <cell r="B8833">
            <v>5.25</v>
          </cell>
        </row>
        <row r="8834">
          <cell r="A8834">
            <v>1500016288</v>
          </cell>
          <cell r="B8834">
            <v>14.4166666666667</v>
          </cell>
        </row>
        <row r="8835">
          <cell r="A8835">
            <v>1500016289</v>
          </cell>
          <cell r="B8835">
            <v>9.3333333333333304</v>
          </cell>
        </row>
        <row r="8836">
          <cell r="A8836">
            <v>1500016290</v>
          </cell>
          <cell r="B8836">
            <v>0</v>
          </cell>
        </row>
        <row r="8837">
          <cell r="A8837">
            <v>1500016292</v>
          </cell>
          <cell r="B8837">
            <v>0</v>
          </cell>
        </row>
        <row r="8838">
          <cell r="A8838">
            <v>1500016293</v>
          </cell>
          <cell r="B8838">
            <v>4.6666666666666696</v>
          </cell>
        </row>
        <row r="8839">
          <cell r="A8839">
            <v>1500016316</v>
          </cell>
          <cell r="B8839">
            <v>14.9166666666667</v>
          </cell>
        </row>
        <row r="8840">
          <cell r="A8840">
            <v>1500016317</v>
          </cell>
          <cell r="B8840">
            <v>9.75</v>
          </cell>
        </row>
        <row r="8841">
          <cell r="A8841">
            <v>1500016319</v>
          </cell>
          <cell r="B8841">
            <v>0</v>
          </cell>
        </row>
        <row r="8842">
          <cell r="A8842">
            <v>1500016320</v>
          </cell>
          <cell r="B8842">
            <v>0</v>
          </cell>
        </row>
        <row r="8843">
          <cell r="A8843">
            <v>1500016321</v>
          </cell>
          <cell r="B8843">
            <v>0</v>
          </cell>
        </row>
        <row r="8844">
          <cell r="A8844">
            <v>1500016322</v>
          </cell>
          <cell r="B8844">
            <v>18.8333333333333</v>
          </cell>
        </row>
        <row r="8845">
          <cell r="A8845">
            <v>1500016323</v>
          </cell>
          <cell r="B8845">
            <v>0</v>
          </cell>
        </row>
        <row r="8846">
          <cell r="A8846">
            <v>1500016324</v>
          </cell>
          <cell r="B8846">
            <v>18.75</v>
          </cell>
        </row>
        <row r="8847">
          <cell r="A8847">
            <v>1500016325</v>
          </cell>
          <cell r="B8847">
            <v>13.3333333333333</v>
          </cell>
        </row>
        <row r="8848">
          <cell r="A8848">
            <v>1500016326</v>
          </cell>
          <cell r="B8848">
            <v>0</v>
          </cell>
        </row>
        <row r="8849">
          <cell r="A8849">
            <v>1500016327</v>
          </cell>
          <cell r="B8849">
            <v>3.3333333333333299</v>
          </cell>
        </row>
        <row r="8850">
          <cell r="A8850">
            <v>1500016328</v>
          </cell>
          <cell r="B8850">
            <v>37.533333333333303</v>
          </cell>
        </row>
        <row r="8851">
          <cell r="A8851">
            <v>1500016329</v>
          </cell>
          <cell r="B8851">
            <v>0</v>
          </cell>
        </row>
        <row r="8852">
          <cell r="A8852">
            <v>1500016330</v>
          </cell>
          <cell r="B8852">
            <v>25.85</v>
          </cell>
        </row>
        <row r="8853">
          <cell r="A8853">
            <v>1500016413</v>
          </cell>
          <cell r="B8853">
            <v>40.5</v>
          </cell>
        </row>
        <row r="8854">
          <cell r="A8854">
            <v>1500016397</v>
          </cell>
          <cell r="B8854">
            <v>25.3333333333333</v>
          </cell>
        </row>
        <row r="8855">
          <cell r="A8855">
            <v>1500016398</v>
          </cell>
          <cell r="B8855">
            <v>53.5</v>
          </cell>
        </row>
        <row r="8856">
          <cell r="A8856">
            <v>1500016399</v>
          </cell>
          <cell r="B8856">
            <v>1.25</v>
          </cell>
        </row>
        <row r="8857">
          <cell r="A8857">
            <v>1500016400</v>
          </cell>
          <cell r="B8857">
            <v>8.625</v>
          </cell>
        </row>
        <row r="8858">
          <cell r="A8858">
            <v>1500016401</v>
          </cell>
          <cell r="B8858">
            <v>22.9166666666667</v>
          </cell>
        </row>
        <row r="8859">
          <cell r="A8859">
            <v>1500016402</v>
          </cell>
          <cell r="B8859">
            <v>30.5</v>
          </cell>
        </row>
        <row r="8860">
          <cell r="A8860">
            <v>1500016403</v>
          </cell>
          <cell r="B8860">
            <v>5</v>
          </cell>
        </row>
        <row r="8861">
          <cell r="A8861">
            <v>1500016404</v>
          </cell>
          <cell r="B8861">
            <v>1.6666666666666701</v>
          </cell>
        </row>
        <row r="8862">
          <cell r="A8862">
            <v>1500016405</v>
          </cell>
          <cell r="B8862">
            <v>11.6666666666667</v>
          </cell>
        </row>
        <row r="8863">
          <cell r="A8863">
            <v>1500016406</v>
          </cell>
          <cell r="B8863">
            <v>15.8333333333333</v>
          </cell>
        </row>
        <row r="8864">
          <cell r="A8864">
            <v>1500016408</v>
          </cell>
          <cell r="B8864">
            <v>36.1666666666667</v>
          </cell>
        </row>
        <row r="8865">
          <cell r="A8865">
            <v>1500016409</v>
          </cell>
          <cell r="B8865">
            <v>27.0833333333333</v>
          </cell>
        </row>
        <row r="8866">
          <cell r="A8866">
            <v>1500016363</v>
          </cell>
          <cell r="B8866">
            <v>58.8333333333333</v>
          </cell>
        </row>
        <row r="8867">
          <cell r="A8867">
            <v>1500016364</v>
          </cell>
          <cell r="B8867">
            <v>1.25</v>
          </cell>
        </row>
        <row r="8868">
          <cell r="A8868">
            <v>1500016365</v>
          </cell>
          <cell r="B8868">
            <v>16.4166666666667</v>
          </cell>
        </row>
        <row r="8869">
          <cell r="A8869">
            <v>1500016366</v>
          </cell>
          <cell r="B8869">
            <v>25.8333333333333</v>
          </cell>
        </row>
        <row r="8870">
          <cell r="A8870">
            <v>1500016367</v>
          </cell>
          <cell r="B8870">
            <v>44.8333333333333</v>
          </cell>
        </row>
        <row r="8871">
          <cell r="A8871">
            <v>1500016368</v>
          </cell>
          <cell r="B8871">
            <v>22.8333333333333</v>
          </cell>
        </row>
        <row r="8872">
          <cell r="A8872">
            <v>1500016369</v>
          </cell>
          <cell r="B8872">
            <v>22.5833333333333</v>
          </cell>
        </row>
        <row r="8873">
          <cell r="A8873">
            <v>1500016370</v>
          </cell>
          <cell r="B8873">
            <v>41.375</v>
          </cell>
        </row>
        <row r="8874">
          <cell r="A8874">
            <v>1500016371</v>
          </cell>
          <cell r="B8874">
            <v>3.8333333333333299</v>
          </cell>
        </row>
        <row r="8875">
          <cell r="A8875">
            <v>1500016372</v>
          </cell>
          <cell r="B8875">
            <v>1.0833333333333299</v>
          </cell>
        </row>
        <row r="8876">
          <cell r="A8876">
            <v>1500016374</v>
          </cell>
          <cell r="B8876">
            <v>3.75</v>
          </cell>
        </row>
        <row r="8877">
          <cell r="A8877">
            <v>1500016375</v>
          </cell>
          <cell r="B8877">
            <v>0</v>
          </cell>
        </row>
        <row r="8878">
          <cell r="A8878">
            <v>1500016376</v>
          </cell>
          <cell r="B8878">
            <v>0</v>
          </cell>
        </row>
        <row r="8879">
          <cell r="A8879">
            <v>1500016377</v>
          </cell>
          <cell r="B8879">
            <v>23.75</v>
          </cell>
        </row>
        <row r="8880">
          <cell r="A8880">
            <v>1500016378</v>
          </cell>
          <cell r="B8880">
            <v>15</v>
          </cell>
        </row>
        <row r="8881">
          <cell r="A8881">
            <v>1500016379</v>
          </cell>
          <cell r="B8881">
            <v>29.9166666666667</v>
          </cell>
        </row>
        <row r="8882">
          <cell r="A8882">
            <v>1500016380</v>
          </cell>
          <cell r="B8882">
            <v>15</v>
          </cell>
        </row>
        <row r="8883">
          <cell r="A8883">
            <v>1500016381</v>
          </cell>
          <cell r="B8883">
            <v>34.5833333333333</v>
          </cell>
        </row>
        <row r="8884">
          <cell r="A8884">
            <v>1500016382</v>
          </cell>
          <cell r="B8884">
            <v>32.5</v>
          </cell>
        </row>
        <row r="8885">
          <cell r="A8885">
            <v>1500016427</v>
          </cell>
          <cell r="B8885">
            <v>9.3333333333333304</v>
          </cell>
        </row>
        <row r="8886">
          <cell r="A8886">
            <v>1500016428</v>
          </cell>
          <cell r="B8886">
            <v>30.3333333333333</v>
          </cell>
        </row>
        <row r="8887">
          <cell r="A8887">
            <v>1500016429</v>
          </cell>
          <cell r="B8887">
            <v>45.8333333333333</v>
          </cell>
        </row>
        <row r="8888">
          <cell r="A8888">
            <v>1500016430</v>
          </cell>
          <cell r="B8888">
            <v>20.8333333333333</v>
          </cell>
        </row>
        <row r="8889">
          <cell r="A8889">
            <v>1500016431</v>
          </cell>
          <cell r="B8889">
            <v>7.0833333333333304</v>
          </cell>
        </row>
        <row r="8890">
          <cell r="A8890">
            <v>1500016432</v>
          </cell>
          <cell r="B8890">
            <v>28.991666666666699</v>
          </cell>
        </row>
        <row r="8891">
          <cell r="A8891">
            <v>1500016433</v>
          </cell>
          <cell r="B8891">
            <v>1.8333333333333299</v>
          </cell>
        </row>
        <row r="8892">
          <cell r="A8892">
            <v>1500016434</v>
          </cell>
          <cell r="B8892">
            <v>50</v>
          </cell>
        </row>
        <row r="8893">
          <cell r="A8893">
            <v>1500016435</v>
          </cell>
          <cell r="B8893">
            <v>11.1666666666667</v>
          </cell>
        </row>
        <row r="8894">
          <cell r="A8894">
            <v>1500016436</v>
          </cell>
          <cell r="B8894">
            <v>0</v>
          </cell>
        </row>
        <row r="8895">
          <cell r="A8895">
            <v>1500016437</v>
          </cell>
          <cell r="B8895">
            <v>0</v>
          </cell>
        </row>
        <row r="8896">
          <cell r="A8896">
            <v>1500016438</v>
          </cell>
          <cell r="B8896">
            <v>7.3333333333333304</v>
          </cell>
        </row>
        <row r="8897">
          <cell r="A8897">
            <v>1500016439</v>
          </cell>
          <cell r="B8897">
            <v>2</v>
          </cell>
        </row>
        <row r="8898">
          <cell r="A8898">
            <v>1500016440</v>
          </cell>
          <cell r="B8898">
            <v>1.25</v>
          </cell>
        </row>
        <row r="8899">
          <cell r="A8899">
            <v>1500016447</v>
          </cell>
          <cell r="B8899">
            <v>30.2083333333333</v>
          </cell>
        </row>
        <row r="8900">
          <cell r="A8900">
            <v>1500016454</v>
          </cell>
          <cell r="B8900">
            <v>5.75</v>
          </cell>
        </row>
        <row r="8901">
          <cell r="A8901">
            <v>1500016455</v>
          </cell>
          <cell r="B8901">
            <v>18.8333333333333</v>
          </cell>
        </row>
        <row r="8902">
          <cell r="A8902">
            <v>1500016456</v>
          </cell>
          <cell r="B8902">
            <v>7.3333333333333304</v>
          </cell>
        </row>
        <row r="8903">
          <cell r="A8903">
            <v>1500016457</v>
          </cell>
          <cell r="B8903">
            <v>0</v>
          </cell>
        </row>
        <row r="8904">
          <cell r="A8904">
            <v>1500016458</v>
          </cell>
          <cell r="B8904">
            <v>0</v>
          </cell>
        </row>
        <row r="8905">
          <cell r="A8905">
            <v>1500016459</v>
          </cell>
          <cell r="B8905">
            <v>15</v>
          </cell>
        </row>
        <row r="8906">
          <cell r="A8906">
            <v>1500016461</v>
          </cell>
          <cell r="B8906">
            <v>9.4166666666666696</v>
          </cell>
        </row>
        <row r="8907">
          <cell r="A8907">
            <v>1500016462</v>
          </cell>
          <cell r="B8907">
            <v>14.75</v>
          </cell>
        </row>
        <row r="8908">
          <cell r="A8908">
            <v>1500016463</v>
          </cell>
          <cell r="B8908">
            <v>2.3333333333333299</v>
          </cell>
        </row>
        <row r="8909">
          <cell r="A8909">
            <v>1500016464</v>
          </cell>
          <cell r="B8909">
            <v>0</v>
          </cell>
        </row>
        <row r="8910">
          <cell r="A8910">
            <v>1500016465</v>
          </cell>
          <cell r="B8910">
            <v>7.3333333333333304</v>
          </cell>
        </row>
        <row r="8911">
          <cell r="A8911">
            <v>1500016466</v>
          </cell>
          <cell r="B8911">
            <v>46.1</v>
          </cell>
        </row>
        <row r="8912">
          <cell r="A8912">
            <v>1500016467</v>
          </cell>
          <cell r="B8912">
            <v>0.83333333333333304</v>
          </cell>
        </row>
        <row r="8913">
          <cell r="A8913">
            <v>1500016469</v>
          </cell>
          <cell r="B8913">
            <v>20.8333333333333</v>
          </cell>
        </row>
        <row r="8914">
          <cell r="A8914">
            <v>1500016470</v>
          </cell>
          <cell r="B8914">
            <v>30.466666666666701</v>
          </cell>
        </row>
        <row r="8915">
          <cell r="A8915">
            <v>1500016471</v>
          </cell>
          <cell r="B8915">
            <v>5.8333333333333304</v>
          </cell>
        </row>
        <row r="8916">
          <cell r="A8916">
            <v>1500016472</v>
          </cell>
          <cell r="B8916">
            <v>2.5833333333333299</v>
          </cell>
        </row>
        <row r="8917">
          <cell r="A8917">
            <v>1500016473</v>
          </cell>
          <cell r="B8917">
            <v>37.5</v>
          </cell>
        </row>
        <row r="8918">
          <cell r="A8918">
            <v>1500016498</v>
          </cell>
          <cell r="B8918">
            <v>18.5833333333333</v>
          </cell>
        </row>
        <row r="8919">
          <cell r="A8919">
            <v>1500016499</v>
          </cell>
          <cell r="B8919">
            <v>13.1666666666667</v>
          </cell>
        </row>
        <row r="8920">
          <cell r="A8920">
            <v>1500016500</v>
          </cell>
          <cell r="B8920">
            <v>2.6666666666666701</v>
          </cell>
        </row>
        <row r="8921">
          <cell r="A8921">
            <v>1500016501</v>
          </cell>
          <cell r="B8921">
            <v>16.4166666666667</v>
          </cell>
        </row>
        <row r="8922">
          <cell r="A8922">
            <v>1500016502</v>
          </cell>
          <cell r="B8922">
            <v>6.5833333333333304</v>
          </cell>
        </row>
        <row r="8923">
          <cell r="A8923">
            <v>1500016503</v>
          </cell>
          <cell r="B8923">
            <v>8.75</v>
          </cell>
        </row>
        <row r="8924">
          <cell r="A8924">
            <v>1500016504</v>
          </cell>
          <cell r="B8924">
            <v>13.3333333333333</v>
          </cell>
        </row>
        <row r="8925">
          <cell r="A8925">
            <v>1500016505</v>
          </cell>
          <cell r="B8925">
            <v>10</v>
          </cell>
        </row>
        <row r="8926">
          <cell r="A8926">
            <v>1500016506</v>
          </cell>
          <cell r="B8926">
            <v>15.8333333333333</v>
          </cell>
        </row>
        <row r="8927">
          <cell r="A8927">
            <v>1500016507</v>
          </cell>
          <cell r="B8927">
            <v>0</v>
          </cell>
        </row>
        <row r="8928">
          <cell r="A8928">
            <v>1500016508</v>
          </cell>
          <cell r="B8928">
            <v>0</v>
          </cell>
        </row>
        <row r="8929">
          <cell r="A8929">
            <v>1500016509</v>
          </cell>
          <cell r="B8929">
            <v>3.8333333333333299</v>
          </cell>
        </row>
        <row r="8930">
          <cell r="A8930">
            <v>1500016510</v>
          </cell>
          <cell r="B8930">
            <v>3.75</v>
          </cell>
        </row>
        <row r="8931">
          <cell r="A8931">
            <v>1500016511</v>
          </cell>
          <cell r="B8931">
            <v>16.25</v>
          </cell>
        </row>
        <row r="8932">
          <cell r="A8932">
            <v>1500016512</v>
          </cell>
          <cell r="B8932">
            <v>21.6666666666667</v>
          </cell>
        </row>
        <row r="8933">
          <cell r="A8933">
            <v>1500016513</v>
          </cell>
          <cell r="B8933">
            <v>50.15</v>
          </cell>
        </row>
        <row r="8934">
          <cell r="A8934">
            <v>1500016514</v>
          </cell>
          <cell r="B8934">
            <v>3.3333333333333299</v>
          </cell>
        </row>
        <row r="8935">
          <cell r="A8935">
            <v>1500016515</v>
          </cell>
          <cell r="B8935">
            <v>68.633333333333297</v>
          </cell>
        </row>
        <row r="8936">
          <cell r="A8936">
            <v>1500016516</v>
          </cell>
          <cell r="B8936">
            <v>88.3</v>
          </cell>
        </row>
        <row r="8937">
          <cell r="A8937">
            <v>1500016517</v>
          </cell>
          <cell r="B8937">
            <v>150.25</v>
          </cell>
        </row>
        <row r="8938">
          <cell r="A8938">
            <v>1500016518</v>
          </cell>
          <cell r="B8938">
            <v>37.7083333333333</v>
          </cell>
        </row>
        <row r="8939">
          <cell r="A8939">
            <v>1500016519</v>
          </cell>
          <cell r="B8939">
            <v>39.0416666666667</v>
          </cell>
        </row>
        <row r="8940">
          <cell r="A8940">
            <v>1500016546</v>
          </cell>
          <cell r="B8940">
            <v>4.6666666666666696</v>
          </cell>
        </row>
        <row r="8941">
          <cell r="A8941">
            <v>1500016547</v>
          </cell>
          <cell r="B8941">
            <v>27.5</v>
          </cell>
        </row>
        <row r="8942">
          <cell r="A8942">
            <v>1500016548</v>
          </cell>
          <cell r="B8942">
            <v>14.0833333333333</v>
          </cell>
        </row>
        <row r="8943">
          <cell r="A8943">
            <v>1500016549</v>
          </cell>
          <cell r="B8943">
            <v>112.1</v>
          </cell>
        </row>
        <row r="8944">
          <cell r="A8944">
            <v>1500016550</v>
          </cell>
          <cell r="B8944">
            <v>0</v>
          </cell>
        </row>
        <row r="8945">
          <cell r="A8945">
            <v>1500016552</v>
          </cell>
          <cell r="B8945">
            <v>15.8333333333333</v>
          </cell>
        </row>
        <row r="8946">
          <cell r="A8946">
            <v>1500016553</v>
          </cell>
          <cell r="B8946">
            <v>2.0833333333333299</v>
          </cell>
        </row>
        <row r="8947">
          <cell r="A8947">
            <v>1500016554</v>
          </cell>
          <cell r="B8947">
            <v>13.25</v>
          </cell>
        </row>
        <row r="8948">
          <cell r="A8948">
            <v>1500016555</v>
          </cell>
          <cell r="B8948">
            <v>19.3333333333333</v>
          </cell>
        </row>
        <row r="8949">
          <cell r="A8949">
            <v>1500016556</v>
          </cell>
          <cell r="B8949">
            <v>1.3333333333333299</v>
          </cell>
        </row>
        <row r="8950">
          <cell r="A8950">
            <v>1500016557</v>
          </cell>
          <cell r="B8950">
            <v>40.1816666666667</v>
          </cell>
        </row>
        <row r="8951">
          <cell r="A8951">
            <v>1500016558</v>
          </cell>
          <cell r="B8951">
            <v>0</v>
          </cell>
        </row>
        <row r="8952">
          <cell r="A8952">
            <v>1500016559</v>
          </cell>
          <cell r="B8952">
            <v>29.4166666666667</v>
          </cell>
        </row>
        <row r="8953">
          <cell r="A8953">
            <v>1500016560</v>
          </cell>
          <cell r="B8953">
            <v>3.6666666666666701</v>
          </cell>
        </row>
        <row r="8954">
          <cell r="A8954">
            <v>1500016561</v>
          </cell>
          <cell r="B8954">
            <v>41.966666666666697</v>
          </cell>
        </row>
        <row r="8955">
          <cell r="A8955">
            <v>1500016562</v>
          </cell>
          <cell r="B8955">
            <v>0</v>
          </cell>
        </row>
        <row r="8956">
          <cell r="A8956">
            <v>1500016563</v>
          </cell>
          <cell r="B8956">
            <v>0</v>
          </cell>
        </row>
        <row r="8957">
          <cell r="A8957">
            <v>1500016564</v>
          </cell>
          <cell r="B8957">
            <v>20.016666666666701</v>
          </cell>
        </row>
        <row r="8958">
          <cell r="A8958">
            <v>1500016565</v>
          </cell>
          <cell r="B8958">
            <v>5.9166666666666696</v>
          </cell>
        </row>
        <row r="8959">
          <cell r="A8959">
            <v>1500016566</v>
          </cell>
          <cell r="B8959">
            <v>9.5833333333333304</v>
          </cell>
        </row>
        <row r="8960">
          <cell r="A8960">
            <v>1500016567</v>
          </cell>
          <cell r="B8960">
            <v>12.6666666666667</v>
          </cell>
        </row>
        <row r="8961">
          <cell r="A8961">
            <v>1500016568</v>
          </cell>
          <cell r="B8961">
            <v>6.3333333333333304</v>
          </cell>
        </row>
        <row r="8962">
          <cell r="A8962">
            <v>1500016569</v>
          </cell>
          <cell r="B8962">
            <v>0</v>
          </cell>
        </row>
        <row r="8963">
          <cell r="A8963">
            <v>1500016570</v>
          </cell>
          <cell r="B8963">
            <v>11.6666666666667</v>
          </cell>
        </row>
        <row r="8964">
          <cell r="A8964">
            <v>1500016596</v>
          </cell>
          <cell r="B8964">
            <v>16.1666666666667</v>
          </cell>
        </row>
        <row r="8965">
          <cell r="A8965">
            <v>1500016597</v>
          </cell>
          <cell r="B8965">
            <v>35.25</v>
          </cell>
        </row>
        <row r="8966">
          <cell r="A8966">
            <v>1500016598</v>
          </cell>
          <cell r="B8966">
            <v>0</v>
          </cell>
        </row>
        <row r="8967">
          <cell r="A8967">
            <v>1500016600</v>
          </cell>
          <cell r="B8967">
            <v>15.8333333333333</v>
          </cell>
        </row>
        <row r="8968">
          <cell r="A8968">
            <v>1500016601</v>
          </cell>
          <cell r="B8968">
            <v>44.25</v>
          </cell>
        </row>
        <row r="8969">
          <cell r="A8969">
            <v>1500016602</v>
          </cell>
          <cell r="B8969">
            <v>49.5833333333333</v>
          </cell>
        </row>
        <row r="8970">
          <cell r="A8970">
            <v>1500016603</v>
          </cell>
          <cell r="B8970">
            <v>19.3333333333333</v>
          </cell>
        </row>
        <row r="8971">
          <cell r="A8971">
            <v>1500016604</v>
          </cell>
          <cell r="B8971">
            <v>34.924999999999997</v>
          </cell>
        </row>
        <row r="8972">
          <cell r="A8972">
            <v>1500016605</v>
          </cell>
          <cell r="B8972">
            <v>28.9166666666667</v>
          </cell>
        </row>
        <row r="8973">
          <cell r="A8973">
            <v>1500016606</v>
          </cell>
          <cell r="B8973">
            <v>0</v>
          </cell>
        </row>
        <row r="8974">
          <cell r="A8974">
            <v>1500016607</v>
          </cell>
          <cell r="B8974">
            <v>9.5833333333333304</v>
          </cell>
        </row>
        <row r="8975">
          <cell r="A8975">
            <v>1500016608</v>
          </cell>
          <cell r="B8975">
            <v>17.4166666666667</v>
          </cell>
        </row>
        <row r="8976">
          <cell r="A8976">
            <v>1500016609</v>
          </cell>
          <cell r="B8976">
            <v>0.83333333333333304</v>
          </cell>
        </row>
        <row r="8977">
          <cell r="A8977">
            <v>1500016610</v>
          </cell>
          <cell r="B8977">
            <v>9.6666666666666696</v>
          </cell>
        </row>
        <row r="8978">
          <cell r="A8978">
            <v>1500016611</v>
          </cell>
          <cell r="B8978">
            <v>8.75</v>
          </cell>
        </row>
        <row r="8979">
          <cell r="A8979">
            <v>1500016612</v>
          </cell>
          <cell r="B8979">
            <v>0</v>
          </cell>
        </row>
        <row r="8980">
          <cell r="A8980">
            <v>1500016613</v>
          </cell>
          <cell r="B8980">
            <v>12.9166666666667</v>
          </cell>
        </row>
        <row r="8981">
          <cell r="A8981">
            <v>1500016614</v>
          </cell>
          <cell r="B8981">
            <v>26.066666666666698</v>
          </cell>
        </row>
        <row r="8982">
          <cell r="A8982">
            <v>1500016615</v>
          </cell>
          <cell r="B8982">
            <v>0</v>
          </cell>
        </row>
        <row r="8983">
          <cell r="A8983">
            <v>1500016642</v>
          </cell>
          <cell r="B8983">
            <v>0</v>
          </cell>
        </row>
        <row r="8984">
          <cell r="A8984">
            <v>1500016643</v>
          </cell>
          <cell r="B8984">
            <v>0</v>
          </cell>
        </row>
        <row r="8985">
          <cell r="A8985">
            <v>1500016644</v>
          </cell>
          <cell r="B8985">
            <v>0</v>
          </cell>
        </row>
        <row r="8986">
          <cell r="A8986">
            <v>1500016645</v>
          </cell>
          <cell r="B8986">
            <v>2.0833333333333299</v>
          </cell>
        </row>
        <row r="8987">
          <cell r="A8987">
            <v>1500016646</v>
          </cell>
          <cell r="B8987">
            <v>12.6666666666667</v>
          </cell>
        </row>
        <row r="8988">
          <cell r="A8988">
            <v>1500016647</v>
          </cell>
          <cell r="B8988">
            <v>17.066666666666698</v>
          </cell>
        </row>
        <row r="8989">
          <cell r="A8989">
            <v>1500016648</v>
          </cell>
          <cell r="B8989">
            <v>4.4166666666666696</v>
          </cell>
        </row>
        <row r="8990">
          <cell r="A8990">
            <v>1500016649</v>
          </cell>
          <cell r="B8990">
            <v>57.5</v>
          </cell>
        </row>
        <row r="8991">
          <cell r="A8991">
            <v>1500016651</v>
          </cell>
          <cell r="B8991">
            <v>15.4166666666667</v>
          </cell>
        </row>
        <row r="8992">
          <cell r="A8992">
            <v>1500016652</v>
          </cell>
          <cell r="B8992">
            <v>13.3333333333333</v>
          </cell>
        </row>
        <row r="8993">
          <cell r="A8993">
            <v>1500016654</v>
          </cell>
          <cell r="B8993">
            <v>4.1666666666666696</v>
          </cell>
        </row>
        <row r="8994">
          <cell r="A8994">
            <v>1500016655</v>
          </cell>
          <cell r="B8994">
            <v>6.6666666666666696</v>
          </cell>
        </row>
        <row r="8995">
          <cell r="A8995">
            <v>1500016656</v>
          </cell>
          <cell r="B8995">
            <v>54.1666666666667</v>
          </cell>
        </row>
        <row r="8996">
          <cell r="A8996">
            <v>1500016662</v>
          </cell>
          <cell r="B8996">
            <v>22.3333333333333</v>
          </cell>
        </row>
        <row r="8997">
          <cell r="A8997">
            <v>1500016663</v>
          </cell>
          <cell r="B8997">
            <v>5.75</v>
          </cell>
        </row>
        <row r="8998">
          <cell r="A8998">
            <v>1500016664</v>
          </cell>
          <cell r="B8998">
            <v>0.66666666666666696</v>
          </cell>
        </row>
        <row r="8999">
          <cell r="A8999">
            <v>1500016665</v>
          </cell>
          <cell r="B8999">
            <v>7</v>
          </cell>
        </row>
        <row r="9000">
          <cell r="A9000">
            <v>1500016666</v>
          </cell>
          <cell r="B9000">
            <v>10.5</v>
          </cell>
        </row>
        <row r="9001">
          <cell r="A9001">
            <v>1500016667</v>
          </cell>
          <cell r="B9001">
            <v>9.25</v>
          </cell>
        </row>
        <row r="9002">
          <cell r="A9002">
            <v>1500016668</v>
          </cell>
          <cell r="B9002">
            <v>10</v>
          </cell>
        </row>
        <row r="9003">
          <cell r="A9003">
            <v>1500016669</v>
          </cell>
          <cell r="B9003">
            <v>15.25</v>
          </cell>
        </row>
        <row r="9004">
          <cell r="A9004">
            <v>1500016670</v>
          </cell>
          <cell r="B9004">
            <v>31.8333333333333</v>
          </cell>
        </row>
        <row r="9005">
          <cell r="A9005">
            <v>1500016671</v>
          </cell>
          <cell r="B9005">
            <v>30.8333333333333</v>
          </cell>
        </row>
        <row r="9006">
          <cell r="A9006">
            <v>1500016672</v>
          </cell>
          <cell r="B9006">
            <v>0</v>
          </cell>
        </row>
        <row r="9007">
          <cell r="A9007">
            <v>1500016673</v>
          </cell>
          <cell r="B9007">
            <v>0</v>
          </cell>
        </row>
        <row r="9008">
          <cell r="A9008">
            <v>1500016674</v>
          </cell>
          <cell r="B9008">
            <v>3.75</v>
          </cell>
        </row>
        <row r="9009">
          <cell r="A9009">
            <v>1500016675</v>
          </cell>
          <cell r="B9009">
            <v>1.6666666666666701</v>
          </cell>
        </row>
        <row r="9010">
          <cell r="A9010">
            <v>1500016676</v>
          </cell>
          <cell r="B9010">
            <v>28</v>
          </cell>
        </row>
        <row r="9011">
          <cell r="A9011">
            <v>1500016677</v>
          </cell>
          <cell r="B9011">
            <v>0</v>
          </cell>
        </row>
        <row r="9012">
          <cell r="A9012">
            <v>1500016678</v>
          </cell>
          <cell r="B9012">
            <v>27.4166666666667</v>
          </cell>
        </row>
        <row r="9013">
          <cell r="A9013">
            <v>1500016679</v>
          </cell>
          <cell r="B9013">
            <v>14.0833333333333</v>
          </cell>
        </row>
        <row r="9014">
          <cell r="A9014">
            <v>1500016680</v>
          </cell>
          <cell r="B9014">
            <v>0</v>
          </cell>
        </row>
        <row r="9015">
          <cell r="A9015">
            <v>1500016686</v>
          </cell>
          <cell r="B9015">
            <v>25.25</v>
          </cell>
        </row>
        <row r="9016">
          <cell r="A9016">
            <v>1500016687</v>
          </cell>
          <cell r="B9016">
            <v>150.75</v>
          </cell>
        </row>
        <row r="9017">
          <cell r="A9017">
            <v>1500016688</v>
          </cell>
          <cell r="B9017">
            <v>6.75</v>
          </cell>
        </row>
        <row r="9018">
          <cell r="A9018">
            <v>1500016689</v>
          </cell>
          <cell r="B9018">
            <v>18.6666666666667</v>
          </cell>
        </row>
        <row r="9019">
          <cell r="A9019">
            <v>1500016690</v>
          </cell>
          <cell r="B9019">
            <v>2.0833333333333299</v>
          </cell>
        </row>
        <row r="9020">
          <cell r="A9020">
            <v>1500016691</v>
          </cell>
          <cell r="B9020">
            <v>95</v>
          </cell>
        </row>
        <row r="9021">
          <cell r="A9021">
            <v>1500016692</v>
          </cell>
          <cell r="B9021">
            <v>20.3333333333333</v>
          </cell>
        </row>
        <row r="9022">
          <cell r="A9022">
            <v>1500016693</v>
          </cell>
          <cell r="B9022">
            <v>17.9166666666667</v>
          </cell>
        </row>
        <row r="9023">
          <cell r="A9023">
            <v>1500016694</v>
          </cell>
          <cell r="B9023">
            <v>15.6666666666667</v>
          </cell>
        </row>
        <row r="9024">
          <cell r="A9024">
            <v>1500016695</v>
          </cell>
          <cell r="B9024">
            <v>14.5833333333333</v>
          </cell>
        </row>
        <row r="9025">
          <cell r="A9025">
            <v>1500016696</v>
          </cell>
          <cell r="B9025">
            <v>5.8333333333333304</v>
          </cell>
        </row>
        <row r="9026">
          <cell r="A9026">
            <v>1500016697</v>
          </cell>
          <cell r="B9026">
            <v>17.5</v>
          </cell>
        </row>
        <row r="9027">
          <cell r="A9027">
            <v>1500016698</v>
          </cell>
          <cell r="B9027">
            <v>13.6666666666667</v>
          </cell>
        </row>
        <row r="9028">
          <cell r="A9028">
            <v>1500016699</v>
          </cell>
          <cell r="B9028">
            <v>13.3333333333333</v>
          </cell>
        </row>
        <row r="9029">
          <cell r="A9029">
            <v>1500016700</v>
          </cell>
          <cell r="B9029">
            <v>32.5</v>
          </cell>
        </row>
        <row r="9030">
          <cell r="A9030">
            <v>1500016701</v>
          </cell>
          <cell r="B9030">
            <v>2.5</v>
          </cell>
        </row>
        <row r="9031">
          <cell r="A9031">
            <v>1500016702</v>
          </cell>
          <cell r="B9031">
            <v>27.5</v>
          </cell>
        </row>
        <row r="9032">
          <cell r="A9032">
            <v>1500016703</v>
          </cell>
          <cell r="B9032">
            <v>8.1666666666666696</v>
          </cell>
        </row>
        <row r="9033">
          <cell r="A9033">
            <v>1500016704</v>
          </cell>
          <cell r="B9033">
            <v>149.558333333333</v>
          </cell>
        </row>
        <row r="9034">
          <cell r="A9034">
            <v>1500016705</v>
          </cell>
          <cell r="B9034">
            <v>44.616666666666703</v>
          </cell>
        </row>
        <row r="9035">
          <cell r="A9035">
            <v>1500016706</v>
          </cell>
          <cell r="B9035">
            <v>0</v>
          </cell>
        </row>
        <row r="9036">
          <cell r="A9036">
            <v>1500016707</v>
          </cell>
          <cell r="B9036">
            <v>43.6666666666667</v>
          </cell>
        </row>
        <row r="9037">
          <cell r="A9037">
            <v>1500016708</v>
          </cell>
          <cell r="B9037">
            <v>10</v>
          </cell>
        </row>
        <row r="9038">
          <cell r="A9038">
            <v>1500016741</v>
          </cell>
          <cell r="B9038">
            <v>0</v>
          </cell>
        </row>
        <row r="9039">
          <cell r="A9039">
            <v>1500016742</v>
          </cell>
          <cell r="B9039">
            <v>1.1666666666666701</v>
          </cell>
        </row>
        <row r="9040">
          <cell r="A9040">
            <v>1500016743</v>
          </cell>
          <cell r="B9040">
            <v>13.0833333333333</v>
          </cell>
        </row>
        <row r="9041">
          <cell r="A9041">
            <v>1500016744</v>
          </cell>
          <cell r="B9041">
            <v>6.8333333333333304</v>
          </cell>
        </row>
        <row r="9042">
          <cell r="A9042">
            <v>1500016777</v>
          </cell>
          <cell r="B9042">
            <v>31.25</v>
          </cell>
        </row>
        <row r="9043">
          <cell r="A9043">
            <v>1500016746</v>
          </cell>
          <cell r="B9043">
            <v>28.3333333333333</v>
          </cell>
        </row>
        <row r="9044">
          <cell r="A9044">
            <v>1500016747</v>
          </cell>
          <cell r="B9044">
            <v>10.9166666666667</v>
          </cell>
        </row>
        <row r="9045">
          <cell r="A9045">
            <v>1500016748</v>
          </cell>
          <cell r="B9045">
            <v>5.8333333333333304</v>
          </cell>
        </row>
        <row r="9046">
          <cell r="A9046">
            <v>1500016749</v>
          </cell>
          <cell r="B9046">
            <v>29.2916666666667</v>
          </cell>
        </row>
        <row r="9047">
          <cell r="A9047">
            <v>1500016750</v>
          </cell>
          <cell r="B9047">
            <v>39.4</v>
          </cell>
        </row>
        <row r="9048">
          <cell r="A9048">
            <v>1500016751</v>
          </cell>
          <cell r="B9048">
            <v>29.75</v>
          </cell>
        </row>
        <row r="9049">
          <cell r="A9049">
            <v>1500016752</v>
          </cell>
          <cell r="B9049">
            <v>19.0833333333333</v>
          </cell>
        </row>
        <row r="9050">
          <cell r="A9050">
            <v>1500016753</v>
          </cell>
          <cell r="B9050">
            <v>0.91666666666666696</v>
          </cell>
        </row>
        <row r="9051">
          <cell r="A9051">
            <v>1500016754</v>
          </cell>
          <cell r="B9051">
            <v>5.1666666666666696</v>
          </cell>
        </row>
        <row r="9052">
          <cell r="A9052">
            <v>1500016755</v>
          </cell>
          <cell r="B9052">
            <v>10.1666666666667</v>
          </cell>
        </row>
        <row r="9053">
          <cell r="A9053">
            <v>1500016756</v>
          </cell>
          <cell r="B9053">
            <v>55.4166666666667</v>
          </cell>
        </row>
        <row r="9054">
          <cell r="A9054">
            <v>1500016757</v>
          </cell>
          <cell r="B9054">
            <v>16.25</v>
          </cell>
        </row>
        <row r="9055">
          <cell r="A9055">
            <v>1500016758</v>
          </cell>
          <cell r="B9055">
            <v>19.3333333333333</v>
          </cell>
        </row>
        <row r="9056">
          <cell r="A9056">
            <v>1500016759</v>
          </cell>
          <cell r="B9056">
            <v>6.5</v>
          </cell>
        </row>
        <row r="9057">
          <cell r="A9057">
            <v>1500016760</v>
          </cell>
          <cell r="B9057">
            <v>117.5</v>
          </cell>
        </row>
        <row r="9058">
          <cell r="A9058">
            <v>1500016761</v>
          </cell>
          <cell r="B9058">
            <v>102.958333333333</v>
          </cell>
        </row>
        <row r="9059">
          <cell r="A9059">
            <v>1500016762</v>
          </cell>
          <cell r="B9059">
            <v>32.375</v>
          </cell>
        </row>
        <row r="9060">
          <cell r="A9060">
            <v>1500016763</v>
          </cell>
          <cell r="B9060">
            <v>13.175000000000001</v>
          </cell>
        </row>
        <row r="9061">
          <cell r="A9061">
            <v>1500016764</v>
          </cell>
          <cell r="B9061">
            <v>0</v>
          </cell>
        </row>
        <row r="9062">
          <cell r="A9062">
            <v>1500016765</v>
          </cell>
          <cell r="B9062">
            <v>12.9166666666667</v>
          </cell>
        </row>
        <row r="9063">
          <cell r="A9063">
            <v>1500016778</v>
          </cell>
          <cell r="B9063">
            <v>0.83333333333333304</v>
          </cell>
        </row>
        <row r="9064">
          <cell r="A9064">
            <v>1500016779</v>
          </cell>
          <cell r="B9064">
            <v>33.3333333333333</v>
          </cell>
        </row>
        <row r="9065">
          <cell r="A9065">
            <v>1500016780</v>
          </cell>
          <cell r="B9065">
            <v>0.91666666666666696</v>
          </cell>
        </row>
        <row r="9066">
          <cell r="A9066">
            <v>1500016781</v>
          </cell>
          <cell r="B9066">
            <v>13.3333333333333</v>
          </cell>
        </row>
        <row r="9067">
          <cell r="A9067">
            <v>1500016782</v>
          </cell>
          <cell r="B9067">
            <v>10.8333333333333</v>
          </cell>
        </row>
        <row r="9068">
          <cell r="A9068">
            <v>1500016790</v>
          </cell>
          <cell r="B9068">
            <v>13.3333333333333</v>
          </cell>
        </row>
        <row r="9069">
          <cell r="A9069">
            <v>1500016791</v>
          </cell>
          <cell r="B9069">
            <v>52.5833333333333</v>
          </cell>
        </row>
        <row r="9070">
          <cell r="A9070">
            <v>1500016792</v>
          </cell>
          <cell r="B9070">
            <v>0</v>
          </cell>
        </row>
        <row r="9071">
          <cell r="A9071">
            <v>1500016793</v>
          </cell>
          <cell r="B9071">
            <v>3.6666666666666701</v>
          </cell>
        </row>
        <row r="9072">
          <cell r="A9072">
            <v>1500016794</v>
          </cell>
          <cell r="B9072">
            <v>0</v>
          </cell>
        </row>
        <row r="9073">
          <cell r="A9073">
            <v>1500016795</v>
          </cell>
          <cell r="B9073">
            <v>23.3333333333333</v>
          </cell>
        </row>
        <row r="9074">
          <cell r="A9074">
            <v>1500016796</v>
          </cell>
          <cell r="B9074">
            <v>0</v>
          </cell>
        </row>
        <row r="9075">
          <cell r="A9075">
            <v>1500016797</v>
          </cell>
          <cell r="B9075">
            <v>0</v>
          </cell>
        </row>
        <row r="9076">
          <cell r="A9076">
            <v>1500016798</v>
          </cell>
          <cell r="B9076">
            <v>9.3333333333333304</v>
          </cell>
        </row>
        <row r="9077">
          <cell r="A9077">
            <v>1500016799</v>
          </cell>
          <cell r="B9077">
            <v>0</v>
          </cell>
        </row>
        <row r="9078">
          <cell r="A9078">
            <v>1500016800</v>
          </cell>
          <cell r="B9078">
            <v>26.6666666666667</v>
          </cell>
        </row>
        <row r="9079">
          <cell r="A9079">
            <v>1500016802</v>
          </cell>
          <cell r="B9079">
            <v>20.8333333333333</v>
          </cell>
        </row>
        <row r="9080">
          <cell r="A9080">
            <v>1500016803</v>
          </cell>
          <cell r="B9080">
            <v>6.3333333333333304</v>
          </cell>
        </row>
        <row r="9081">
          <cell r="A9081">
            <v>1500016804</v>
          </cell>
          <cell r="B9081">
            <v>10</v>
          </cell>
        </row>
        <row r="9082">
          <cell r="A9082">
            <v>1500016805</v>
          </cell>
          <cell r="B9082">
            <v>6.8333333333333304</v>
          </cell>
        </row>
        <row r="9083">
          <cell r="A9083">
            <v>1500016806</v>
          </cell>
          <cell r="B9083">
            <v>89.1666666666667</v>
          </cell>
        </row>
        <row r="9084">
          <cell r="A9084">
            <v>1500016807</v>
          </cell>
          <cell r="B9084">
            <v>0</v>
          </cell>
        </row>
        <row r="9085">
          <cell r="A9085">
            <v>1500016809</v>
          </cell>
          <cell r="B9085">
            <v>0</v>
          </cell>
        </row>
        <row r="9086">
          <cell r="A9086">
            <v>1500016828</v>
          </cell>
          <cell r="B9086">
            <v>17.9166666666667</v>
          </cell>
        </row>
        <row r="9087">
          <cell r="A9087">
            <v>1500016834</v>
          </cell>
          <cell r="B9087">
            <v>18.4166666666667</v>
          </cell>
        </row>
        <row r="9088">
          <cell r="A9088">
            <v>1500016835</v>
          </cell>
          <cell r="B9088">
            <v>17.866666666666699</v>
          </cell>
        </row>
        <row r="9089">
          <cell r="A9089">
            <v>1500016836</v>
          </cell>
          <cell r="B9089">
            <v>2.9166666666666701</v>
          </cell>
        </row>
        <row r="9090">
          <cell r="A9090">
            <v>1500016837</v>
          </cell>
          <cell r="B9090">
            <v>0</v>
          </cell>
        </row>
        <row r="9091">
          <cell r="A9091">
            <v>1500016838</v>
          </cell>
          <cell r="B9091">
            <v>0</v>
          </cell>
        </row>
        <row r="9092">
          <cell r="A9092">
            <v>1500016839</v>
          </cell>
          <cell r="B9092">
            <v>47.3333333333333</v>
          </cell>
        </row>
        <row r="9093">
          <cell r="A9093">
            <v>1500016840</v>
          </cell>
          <cell r="B9093">
            <v>15.5833333333333</v>
          </cell>
        </row>
        <row r="9094">
          <cell r="A9094">
            <v>1500016841</v>
          </cell>
          <cell r="B9094">
            <v>17.5</v>
          </cell>
        </row>
        <row r="9095">
          <cell r="A9095">
            <v>1500016842</v>
          </cell>
          <cell r="B9095">
            <v>13.75</v>
          </cell>
        </row>
        <row r="9096">
          <cell r="A9096">
            <v>1500016844</v>
          </cell>
          <cell r="B9096">
            <v>38.3333333333333</v>
          </cell>
        </row>
        <row r="9097">
          <cell r="A9097">
            <v>1500016846</v>
          </cell>
          <cell r="B9097">
            <v>17.1666666666667</v>
          </cell>
        </row>
        <row r="9098">
          <cell r="A9098">
            <v>1500016847</v>
          </cell>
          <cell r="B9098">
            <v>21.4166666666667</v>
          </cell>
        </row>
        <row r="9099">
          <cell r="A9099">
            <v>1500016848</v>
          </cell>
          <cell r="B9099">
            <v>22.716666666666701</v>
          </cell>
        </row>
        <row r="9100">
          <cell r="A9100">
            <v>1500016862</v>
          </cell>
          <cell r="B9100">
            <v>16.5833333333333</v>
          </cell>
        </row>
        <row r="9101">
          <cell r="A9101">
            <v>1500016863</v>
          </cell>
          <cell r="B9101">
            <v>0</v>
          </cell>
        </row>
        <row r="9102">
          <cell r="A9102">
            <v>1500016864</v>
          </cell>
          <cell r="B9102">
            <v>9.1666666666666696</v>
          </cell>
        </row>
        <row r="9103">
          <cell r="A9103">
            <v>1500016865</v>
          </cell>
          <cell r="B9103">
            <v>14.233333333333301</v>
          </cell>
        </row>
        <row r="9104">
          <cell r="A9104">
            <v>1500016866</v>
          </cell>
          <cell r="B9104">
            <v>2.0416666666666701</v>
          </cell>
        </row>
        <row r="9105">
          <cell r="A9105">
            <v>1500016867</v>
          </cell>
          <cell r="B9105">
            <v>16.9166666666667</v>
          </cell>
        </row>
        <row r="9106">
          <cell r="A9106">
            <v>1500016868</v>
          </cell>
          <cell r="B9106">
            <v>0</v>
          </cell>
        </row>
        <row r="9107">
          <cell r="A9107">
            <v>1500016869</v>
          </cell>
          <cell r="B9107">
            <v>0</v>
          </cell>
        </row>
        <row r="9108">
          <cell r="A9108">
            <v>1500016870</v>
          </cell>
          <cell r="B9108">
            <v>9.0833333333333304</v>
          </cell>
        </row>
        <row r="9109">
          <cell r="A9109">
            <v>1500016871</v>
          </cell>
          <cell r="B9109">
            <v>11.3333333333333</v>
          </cell>
        </row>
        <row r="9110">
          <cell r="A9110">
            <v>1500016872</v>
          </cell>
          <cell r="B9110">
            <v>0</v>
          </cell>
        </row>
        <row r="9111">
          <cell r="A9111">
            <v>1500016873</v>
          </cell>
          <cell r="B9111">
            <v>22</v>
          </cell>
        </row>
        <row r="9112">
          <cell r="A9112">
            <v>1500016874</v>
          </cell>
          <cell r="B9112">
            <v>1.6666666666666701</v>
          </cell>
        </row>
        <row r="9113">
          <cell r="A9113">
            <v>1500016875</v>
          </cell>
          <cell r="B9113">
            <v>0.41666666666666702</v>
          </cell>
        </row>
        <row r="9114">
          <cell r="A9114">
            <v>1500016876</v>
          </cell>
          <cell r="B9114">
            <v>12.5</v>
          </cell>
        </row>
        <row r="9115">
          <cell r="A9115">
            <v>1500016877</v>
          </cell>
          <cell r="B9115">
            <v>14.5833333333333</v>
          </cell>
        </row>
        <row r="9116">
          <cell r="A9116">
            <v>1500016878</v>
          </cell>
          <cell r="B9116">
            <v>19.1666666666667</v>
          </cell>
        </row>
        <row r="9117">
          <cell r="A9117">
            <v>1500016879</v>
          </cell>
          <cell r="B9117">
            <v>80.8333333333333</v>
          </cell>
        </row>
        <row r="9118">
          <cell r="A9118">
            <v>1500016880</v>
          </cell>
          <cell r="B9118">
            <v>29.8333333333333</v>
          </cell>
        </row>
        <row r="9119">
          <cell r="A9119">
            <v>1500016881</v>
          </cell>
          <cell r="B9119">
            <v>2.5</v>
          </cell>
        </row>
        <row r="9120">
          <cell r="A9120">
            <v>1500016882</v>
          </cell>
          <cell r="B9120">
            <v>0</v>
          </cell>
        </row>
        <row r="9121">
          <cell r="A9121">
            <v>1500016917</v>
          </cell>
          <cell r="B9121">
            <v>0</v>
          </cell>
        </row>
        <row r="9122">
          <cell r="A9122">
            <v>1500016918</v>
          </cell>
          <cell r="B9122">
            <v>0</v>
          </cell>
        </row>
        <row r="9123">
          <cell r="A9123">
            <v>1500016919</v>
          </cell>
          <cell r="B9123">
            <v>18.3333333333333</v>
          </cell>
        </row>
        <row r="9124">
          <cell r="A9124">
            <v>1500016920</v>
          </cell>
          <cell r="B9124">
            <v>35.5833333333333</v>
          </cell>
        </row>
        <row r="9125">
          <cell r="A9125">
            <v>1500016940</v>
          </cell>
          <cell r="B9125">
            <v>20.8333333333333</v>
          </cell>
        </row>
        <row r="9126">
          <cell r="A9126">
            <v>1500016937</v>
          </cell>
          <cell r="B9126">
            <v>0</v>
          </cell>
        </row>
        <row r="9127">
          <cell r="A9127">
            <v>1500016938</v>
          </cell>
          <cell r="B9127">
            <v>0</v>
          </cell>
        </row>
        <row r="9128">
          <cell r="A9128">
            <v>1500016939</v>
          </cell>
          <cell r="B9128">
            <v>1.6666666666666701</v>
          </cell>
        </row>
        <row r="9129">
          <cell r="A9129">
            <v>1500016925</v>
          </cell>
          <cell r="B9129">
            <v>45.3333333333333</v>
          </cell>
        </row>
        <row r="9130">
          <cell r="A9130">
            <v>1500016944</v>
          </cell>
          <cell r="B9130">
            <v>2.9166666666666701</v>
          </cell>
        </row>
        <row r="9131">
          <cell r="A9131">
            <v>1500016926</v>
          </cell>
          <cell r="B9131">
            <v>25.9166666666667</v>
          </cell>
        </row>
        <row r="9132">
          <cell r="A9132">
            <v>1500016927</v>
          </cell>
          <cell r="B9132">
            <v>17.5833333333333</v>
          </cell>
        </row>
        <row r="9133">
          <cell r="A9133">
            <v>1500016928</v>
          </cell>
          <cell r="B9133">
            <v>40</v>
          </cell>
        </row>
        <row r="9134">
          <cell r="A9134">
            <v>1500016922</v>
          </cell>
          <cell r="B9134">
            <v>0</v>
          </cell>
        </row>
        <row r="9135">
          <cell r="A9135">
            <v>1500016923</v>
          </cell>
          <cell r="B9135">
            <v>7.9166666666666696</v>
          </cell>
        </row>
        <row r="9136">
          <cell r="A9136">
            <v>1500016924</v>
          </cell>
          <cell r="B9136">
            <v>37.9166666666667</v>
          </cell>
        </row>
        <row r="9137">
          <cell r="A9137">
            <v>1500016915</v>
          </cell>
          <cell r="B9137">
            <v>16.5</v>
          </cell>
        </row>
        <row r="9138">
          <cell r="A9138">
            <v>1500016916</v>
          </cell>
          <cell r="B9138">
            <v>0</v>
          </cell>
        </row>
        <row r="9139">
          <cell r="A9139">
            <v>1500016921</v>
          </cell>
          <cell r="B9139">
            <v>15.8333333333333</v>
          </cell>
        </row>
        <row r="9140">
          <cell r="A9140">
            <v>1500016904</v>
          </cell>
          <cell r="B9140">
            <v>31.5</v>
          </cell>
        </row>
        <row r="9141">
          <cell r="A9141">
            <v>1500016905</v>
          </cell>
          <cell r="B9141">
            <v>0.83333333333333304</v>
          </cell>
        </row>
        <row r="9142">
          <cell r="A9142">
            <v>1500016906</v>
          </cell>
          <cell r="B9142">
            <v>0</v>
          </cell>
        </row>
        <row r="9143">
          <cell r="A9143">
            <v>1500016907</v>
          </cell>
          <cell r="B9143">
            <v>2.3333333333333299</v>
          </cell>
        </row>
        <row r="9144">
          <cell r="A9144">
            <v>1500016908</v>
          </cell>
          <cell r="B9144">
            <v>22.8333333333333</v>
          </cell>
        </row>
        <row r="9145">
          <cell r="A9145">
            <v>1500016903</v>
          </cell>
          <cell r="B9145">
            <v>2.0416666666666701</v>
          </cell>
        </row>
        <row r="9146">
          <cell r="A9146">
            <v>1500016909</v>
          </cell>
          <cell r="B9146">
            <v>69.4166666666667</v>
          </cell>
        </row>
        <row r="9147">
          <cell r="A9147">
            <v>1500016910</v>
          </cell>
          <cell r="B9147">
            <v>7.5</v>
          </cell>
        </row>
        <row r="9148">
          <cell r="A9148">
            <v>1500016912</v>
          </cell>
          <cell r="B9148">
            <v>26.8</v>
          </cell>
        </row>
        <row r="9149">
          <cell r="A9149">
            <v>1500016913</v>
          </cell>
          <cell r="B9149">
            <v>3.9166666666666701</v>
          </cell>
        </row>
        <row r="9150">
          <cell r="A9150">
            <v>1500016914</v>
          </cell>
          <cell r="B9150">
            <v>1.3333333333333299</v>
          </cell>
        </row>
        <row r="9151">
          <cell r="A9151">
            <v>1500016934</v>
          </cell>
          <cell r="B9151">
            <v>0</v>
          </cell>
        </row>
        <row r="9152">
          <cell r="A9152">
            <v>1500016946</v>
          </cell>
          <cell r="B9152">
            <v>15.1666666666667</v>
          </cell>
        </row>
        <row r="9153">
          <cell r="A9153">
            <v>1500016947</v>
          </cell>
          <cell r="B9153">
            <v>4.25</v>
          </cell>
        </row>
        <row r="9154">
          <cell r="A9154">
            <v>1500016948</v>
          </cell>
          <cell r="B9154">
            <v>39.9166666666667</v>
          </cell>
        </row>
        <row r="9155">
          <cell r="A9155">
            <v>1500016949</v>
          </cell>
          <cell r="B9155">
            <v>13.5</v>
          </cell>
        </row>
        <row r="9156">
          <cell r="A9156">
            <v>1500016950</v>
          </cell>
          <cell r="B9156">
            <v>11.4166666666667</v>
          </cell>
        </row>
        <row r="9157">
          <cell r="A9157">
            <v>1500016951</v>
          </cell>
          <cell r="B9157">
            <v>194.625</v>
          </cell>
        </row>
        <row r="9158">
          <cell r="A9158">
            <v>1500016953</v>
          </cell>
          <cell r="B9158">
            <v>15.25</v>
          </cell>
        </row>
        <row r="9159">
          <cell r="A9159">
            <v>1500016954</v>
          </cell>
          <cell r="B9159">
            <v>0</v>
          </cell>
        </row>
        <row r="9160">
          <cell r="A9160">
            <v>1500016955</v>
          </cell>
          <cell r="B9160">
            <v>3.3333333333333299</v>
          </cell>
        </row>
        <row r="9161">
          <cell r="A9161">
            <v>1500016956</v>
          </cell>
          <cell r="B9161">
            <v>33.3333333333333</v>
          </cell>
        </row>
        <row r="9162">
          <cell r="A9162">
            <v>1500016957</v>
          </cell>
          <cell r="B9162">
            <v>24.5</v>
          </cell>
        </row>
        <row r="9163">
          <cell r="A9163">
            <v>1500016958</v>
          </cell>
          <cell r="B9163">
            <v>3</v>
          </cell>
        </row>
        <row r="9164">
          <cell r="A9164">
            <v>1500016959</v>
          </cell>
          <cell r="B9164">
            <v>8.5833333333333304</v>
          </cell>
        </row>
        <row r="9165">
          <cell r="A9165">
            <v>1500016960</v>
          </cell>
          <cell r="B9165">
            <v>383.83333333333297</v>
          </cell>
        </row>
        <row r="9166">
          <cell r="A9166">
            <v>1500016961</v>
          </cell>
          <cell r="B9166">
            <v>0</v>
          </cell>
        </row>
        <row r="9167">
          <cell r="A9167">
            <v>1500016962</v>
          </cell>
          <cell r="B9167">
            <v>0.83333333333333304</v>
          </cell>
        </row>
        <row r="9168">
          <cell r="A9168">
            <v>1500016963</v>
          </cell>
          <cell r="B9168">
            <v>24.25</v>
          </cell>
        </row>
        <row r="9169">
          <cell r="A9169">
            <v>1500016964</v>
          </cell>
          <cell r="B9169">
            <v>0</v>
          </cell>
        </row>
        <row r="9170">
          <cell r="A9170">
            <v>1500016965</v>
          </cell>
          <cell r="B9170">
            <v>21.383333333333301</v>
          </cell>
        </row>
        <row r="9171">
          <cell r="A9171">
            <v>1500016966</v>
          </cell>
          <cell r="B9171">
            <v>4.1666666666666696</v>
          </cell>
        </row>
        <row r="9172">
          <cell r="A9172">
            <v>1500016978</v>
          </cell>
          <cell r="B9172">
            <v>22.8333333333333</v>
          </cell>
        </row>
        <row r="9173">
          <cell r="A9173">
            <v>1500016979</v>
          </cell>
          <cell r="B9173">
            <v>23.75</v>
          </cell>
        </row>
        <row r="9174">
          <cell r="A9174">
            <v>1500016980</v>
          </cell>
          <cell r="B9174">
            <v>24.5833333333333</v>
          </cell>
        </row>
        <row r="9175">
          <cell r="A9175">
            <v>1500016981</v>
          </cell>
          <cell r="B9175">
            <v>1.6666666666666701</v>
          </cell>
        </row>
        <row r="9176">
          <cell r="A9176">
            <v>1500016982</v>
          </cell>
          <cell r="B9176">
            <v>10.8333333333333</v>
          </cell>
        </row>
        <row r="9177">
          <cell r="A9177">
            <v>1500016983</v>
          </cell>
          <cell r="B9177">
            <v>3</v>
          </cell>
        </row>
        <row r="9178">
          <cell r="A9178">
            <v>1500016984</v>
          </cell>
          <cell r="B9178">
            <v>11.6666666666667</v>
          </cell>
        </row>
        <row r="9179">
          <cell r="A9179">
            <v>1500016985</v>
          </cell>
          <cell r="B9179">
            <v>35.4166666666667</v>
          </cell>
        </row>
        <row r="9180">
          <cell r="A9180">
            <v>1500016986</v>
          </cell>
          <cell r="B9180">
            <v>0</v>
          </cell>
        </row>
        <row r="9181">
          <cell r="A9181">
            <v>1500016987</v>
          </cell>
          <cell r="B9181">
            <v>0.83333333333333304</v>
          </cell>
        </row>
        <row r="9182">
          <cell r="A9182">
            <v>1500016988</v>
          </cell>
          <cell r="B9182">
            <v>0</v>
          </cell>
        </row>
        <row r="9183">
          <cell r="A9183">
            <v>1500016989</v>
          </cell>
          <cell r="B9183">
            <v>2.9166666666666701</v>
          </cell>
        </row>
        <row r="9184">
          <cell r="A9184">
            <v>1500016990</v>
          </cell>
          <cell r="B9184">
            <v>8.3333333333333304</v>
          </cell>
        </row>
        <row r="9185">
          <cell r="A9185">
            <v>1500016991</v>
          </cell>
          <cell r="B9185">
            <v>16.6666666666667</v>
          </cell>
        </row>
        <row r="9186">
          <cell r="A9186">
            <v>1500016992</v>
          </cell>
          <cell r="B9186">
            <v>12.5</v>
          </cell>
        </row>
        <row r="9187">
          <cell r="A9187">
            <v>1500016993</v>
          </cell>
          <cell r="B9187">
            <v>0</v>
          </cell>
        </row>
        <row r="9188">
          <cell r="A9188">
            <v>1500016994</v>
          </cell>
          <cell r="B9188">
            <v>10.4166666666667</v>
          </cell>
        </row>
        <row r="9189">
          <cell r="A9189">
            <v>1500016995</v>
          </cell>
          <cell r="B9189">
            <v>150.916666666667</v>
          </cell>
        </row>
        <row r="9190">
          <cell r="A9190">
            <v>1500017056</v>
          </cell>
          <cell r="B9190">
            <v>19.3333333333333</v>
          </cell>
        </row>
        <row r="9191">
          <cell r="A9191">
            <v>1500017033</v>
          </cell>
          <cell r="B9191">
            <v>20.9166666666667</v>
          </cell>
        </row>
        <row r="9192">
          <cell r="A9192">
            <v>1500017034</v>
          </cell>
          <cell r="B9192">
            <v>0</v>
          </cell>
        </row>
        <row r="9193">
          <cell r="A9193">
            <v>1500017035</v>
          </cell>
          <cell r="B9193">
            <v>12.3333333333333</v>
          </cell>
        </row>
        <row r="9194">
          <cell r="A9194">
            <v>1500017036</v>
          </cell>
          <cell r="B9194">
            <v>5.9166666666666696</v>
          </cell>
        </row>
        <row r="9195">
          <cell r="A9195">
            <v>1500017037</v>
          </cell>
          <cell r="B9195">
            <v>0</v>
          </cell>
        </row>
        <row r="9196">
          <cell r="A9196">
            <v>1500017038</v>
          </cell>
          <cell r="B9196">
            <v>0</v>
          </cell>
        </row>
        <row r="9197">
          <cell r="A9197">
            <v>1500017001</v>
          </cell>
          <cell r="B9197">
            <v>4.3333333333333304</v>
          </cell>
        </row>
        <row r="9198">
          <cell r="A9198">
            <v>1500017002</v>
          </cell>
          <cell r="B9198">
            <v>9.9166666666666696</v>
          </cell>
        </row>
        <row r="9199">
          <cell r="A9199">
            <v>1500017003</v>
          </cell>
          <cell r="B9199">
            <v>3.75</v>
          </cell>
        </row>
        <row r="9200">
          <cell r="A9200">
            <v>1500017004</v>
          </cell>
          <cell r="B9200">
            <v>0</v>
          </cell>
        </row>
        <row r="9201">
          <cell r="A9201">
            <v>1500017005</v>
          </cell>
          <cell r="B9201">
            <v>1.25</v>
          </cell>
        </row>
        <row r="9202">
          <cell r="A9202">
            <v>1500017006</v>
          </cell>
          <cell r="B9202">
            <v>6.75</v>
          </cell>
        </row>
        <row r="9203">
          <cell r="A9203">
            <v>1500017007</v>
          </cell>
          <cell r="B9203">
            <v>38.6666666666667</v>
          </cell>
        </row>
        <row r="9204">
          <cell r="A9204">
            <v>1500017008</v>
          </cell>
          <cell r="B9204">
            <v>5</v>
          </cell>
        </row>
        <row r="9205">
          <cell r="A9205">
            <v>1500017009</v>
          </cell>
          <cell r="B9205">
            <v>41</v>
          </cell>
        </row>
        <row r="9206">
          <cell r="A9206">
            <v>1500017010</v>
          </cell>
          <cell r="B9206">
            <v>17.9166666666667</v>
          </cell>
        </row>
        <row r="9207">
          <cell r="A9207">
            <v>1500017011</v>
          </cell>
          <cell r="B9207">
            <v>16.600000000000001</v>
          </cell>
        </row>
        <row r="9208">
          <cell r="A9208">
            <v>1500017012</v>
          </cell>
          <cell r="B9208">
            <v>37.5</v>
          </cell>
        </row>
        <row r="9209">
          <cell r="A9209">
            <v>1500017013</v>
          </cell>
          <cell r="B9209">
            <v>2.9166666666666701</v>
          </cell>
        </row>
        <row r="9210">
          <cell r="A9210">
            <v>1500017014</v>
          </cell>
          <cell r="B9210">
            <v>0</v>
          </cell>
        </row>
        <row r="9211">
          <cell r="A9211">
            <v>1500017015</v>
          </cell>
          <cell r="B9211">
            <v>0</v>
          </cell>
        </row>
        <row r="9212">
          <cell r="A9212">
            <v>1500017016</v>
          </cell>
          <cell r="B9212">
            <v>4.1666666666666696</v>
          </cell>
        </row>
        <row r="9213">
          <cell r="A9213">
            <v>1500017017</v>
          </cell>
          <cell r="B9213">
            <v>13.75</v>
          </cell>
        </row>
        <row r="9214">
          <cell r="A9214">
            <v>1500017018</v>
          </cell>
          <cell r="B9214">
            <v>38.75</v>
          </cell>
        </row>
        <row r="9215">
          <cell r="A9215">
            <v>1500017019</v>
          </cell>
          <cell r="B9215">
            <v>6.3333333333333304</v>
          </cell>
        </row>
        <row r="9216">
          <cell r="A9216">
            <v>1500017020</v>
          </cell>
          <cell r="B9216">
            <v>9.9166666666666696</v>
          </cell>
        </row>
        <row r="9217">
          <cell r="A9217">
            <v>1500017021</v>
          </cell>
          <cell r="B9217">
            <v>18.375</v>
          </cell>
        </row>
        <row r="9218">
          <cell r="A9218">
            <v>1500017022</v>
          </cell>
          <cell r="B9218">
            <v>16.6666666666667</v>
          </cell>
        </row>
        <row r="9219">
          <cell r="A9219">
            <v>1500017062</v>
          </cell>
          <cell r="B9219">
            <v>0</v>
          </cell>
        </row>
        <row r="9220">
          <cell r="A9220">
            <v>1500017023</v>
          </cell>
          <cell r="B9220">
            <v>16.6666666666667</v>
          </cell>
        </row>
        <row r="9221">
          <cell r="A9221">
            <v>1500017024</v>
          </cell>
          <cell r="B9221">
            <v>3.3333333333333299</v>
          </cell>
        </row>
        <row r="9222">
          <cell r="A9222">
            <v>1500017047</v>
          </cell>
          <cell r="B9222">
            <v>10</v>
          </cell>
        </row>
        <row r="9223">
          <cell r="A9223">
            <v>1500017048</v>
          </cell>
          <cell r="B9223">
            <v>13.3333333333333</v>
          </cell>
        </row>
        <row r="9224">
          <cell r="A9224">
            <v>1500017061</v>
          </cell>
          <cell r="B9224">
            <v>20.2916666666667</v>
          </cell>
        </row>
        <row r="9225">
          <cell r="A9225">
            <v>1500017049</v>
          </cell>
          <cell r="B9225">
            <v>0</v>
          </cell>
        </row>
        <row r="9226">
          <cell r="A9226">
            <v>1500017053</v>
          </cell>
          <cell r="B9226">
            <v>11.1666666666667</v>
          </cell>
        </row>
        <row r="9227">
          <cell r="A9227">
            <v>1500017054</v>
          </cell>
          <cell r="B9227">
            <v>9.75</v>
          </cell>
        </row>
        <row r="9228">
          <cell r="A9228">
            <v>1500017066</v>
          </cell>
          <cell r="B9228">
            <v>55.4166666666667</v>
          </cell>
        </row>
        <row r="9229">
          <cell r="A9229">
            <v>1500017071</v>
          </cell>
          <cell r="B9229">
            <v>0</v>
          </cell>
        </row>
        <row r="9230">
          <cell r="A9230">
            <v>1500017069</v>
          </cell>
          <cell r="B9230">
            <v>0</v>
          </cell>
        </row>
        <row r="9231">
          <cell r="A9231">
            <v>1500017076</v>
          </cell>
          <cell r="B9231">
            <v>3.3333333333333299</v>
          </cell>
        </row>
        <row r="9232">
          <cell r="A9232">
            <v>1500017073</v>
          </cell>
          <cell r="B9232">
            <v>30.9166666666667</v>
          </cell>
        </row>
        <row r="9233">
          <cell r="A9233">
            <v>1500017074</v>
          </cell>
          <cell r="B9233">
            <v>0</v>
          </cell>
        </row>
        <row r="9234">
          <cell r="A9234">
            <v>1500017075</v>
          </cell>
          <cell r="B9234">
            <v>13.95</v>
          </cell>
        </row>
        <row r="9235">
          <cell r="A9235">
            <v>1500017077</v>
          </cell>
          <cell r="B9235">
            <v>1.25</v>
          </cell>
        </row>
        <row r="9236">
          <cell r="A9236">
            <v>1500017078</v>
          </cell>
          <cell r="B9236">
            <v>3.4166666666666701</v>
          </cell>
        </row>
        <row r="9237">
          <cell r="A9237">
            <v>1500017079</v>
          </cell>
          <cell r="B9237">
            <v>63.5833333333333</v>
          </cell>
        </row>
        <row r="9238">
          <cell r="A9238">
            <v>1500017080</v>
          </cell>
          <cell r="B9238">
            <v>1.6666666666666701</v>
          </cell>
        </row>
        <row r="9239">
          <cell r="A9239">
            <v>1500017081</v>
          </cell>
          <cell r="B9239">
            <v>1.6666666666666701</v>
          </cell>
        </row>
        <row r="9240">
          <cell r="A9240">
            <v>1500017082</v>
          </cell>
          <cell r="B9240">
            <v>0</v>
          </cell>
        </row>
        <row r="9241">
          <cell r="A9241">
            <v>1500016859</v>
          </cell>
          <cell r="B9241">
            <v>0</v>
          </cell>
        </row>
        <row r="9242">
          <cell r="A9242">
            <v>1500016861</v>
          </cell>
          <cell r="B9242">
            <v>1.6666666666666701</v>
          </cell>
        </row>
        <row r="9243">
          <cell r="A9243">
            <v>1500017085</v>
          </cell>
          <cell r="B9243">
            <v>26.6666666666667</v>
          </cell>
        </row>
        <row r="9244">
          <cell r="A9244">
            <v>1500017086</v>
          </cell>
          <cell r="B9244">
            <v>15</v>
          </cell>
        </row>
        <row r="9245">
          <cell r="A9245">
            <v>1500017087</v>
          </cell>
          <cell r="B9245">
            <v>0.46666666666666701</v>
          </cell>
        </row>
        <row r="9246">
          <cell r="A9246">
            <v>1500017088</v>
          </cell>
          <cell r="B9246">
            <v>48.75</v>
          </cell>
        </row>
        <row r="9247">
          <cell r="A9247">
            <v>1500017089</v>
          </cell>
          <cell r="B9247">
            <v>26.6666666666667</v>
          </cell>
        </row>
        <row r="9248">
          <cell r="A9248">
            <v>1500017090</v>
          </cell>
          <cell r="B9248">
            <v>16.4166666666667</v>
          </cell>
        </row>
        <row r="9249">
          <cell r="A9249">
            <v>1500017094</v>
          </cell>
          <cell r="B9249">
            <v>8</v>
          </cell>
        </row>
        <row r="9250">
          <cell r="A9250">
            <v>1500017108</v>
          </cell>
          <cell r="B9250">
            <v>0</v>
          </cell>
        </row>
        <row r="9251">
          <cell r="A9251">
            <v>1500017110</v>
          </cell>
          <cell r="B9251">
            <v>15.0833333333333</v>
          </cell>
        </row>
        <row r="9252">
          <cell r="A9252">
            <v>1500017111</v>
          </cell>
          <cell r="B9252">
            <v>10.5833333333333</v>
          </cell>
        </row>
        <row r="9253">
          <cell r="A9253">
            <v>1500017125</v>
          </cell>
          <cell r="B9253">
            <v>59.25</v>
          </cell>
        </row>
        <row r="9254">
          <cell r="A9254">
            <v>1500017126</v>
          </cell>
          <cell r="B9254">
            <v>0.83333333333333304</v>
          </cell>
        </row>
        <row r="9255">
          <cell r="A9255">
            <v>1500017127</v>
          </cell>
          <cell r="B9255">
            <v>15</v>
          </cell>
        </row>
        <row r="9256">
          <cell r="A9256">
            <v>1500017128</v>
          </cell>
          <cell r="B9256">
            <v>15.0833333333333</v>
          </cell>
        </row>
        <row r="9257">
          <cell r="A9257">
            <v>1500017129</v>
          </cell>
          <cell r="B9257">
            <v>0</v>
          </cell>
        </row>
        <row r="9258">
          <cell r="A9258">
            <v>1500017130</v>
          </cell>
          <cell r="B9258">
            <v>18.3333333333333</v>
          </cell>
        </row>
        <row r="9259">
          <cell r="A9259">
            <v>1500017131</v>
          </cell>
          <cell r="B9259">
            <v>5.8333333333333304</v>
          </cell>
        </row>
        <row r="9260">
          <cell r="A9260">
            <v>1500017132</v>
          </cell>
          <cell r="B9260">
            <v>22.1666666666667</v>
          </cell>
        </row>
        <row r="9261">
          <cell r="A9261">
            <v>1500017133</v>
          </cell>
          <cell r="B9261">
            <v>4.75</v>
          </cell>
        </row>
        <row r="9262">
          <cell r="A9262">
            <v>1500017135</v>
          </cell>
          <cell r="B9262">
            <v>17.2083333333333</v>
          </cell>
        </row>
        <row r="9263">
          <cell r="A9263">
            <v>1500017136</v>
          </cell>
          <cell r="B9263">
            <v>5.8333333333333304</v>
          </cell>
        </row>
        <row r="9264">
          <cell r="A9264">
            <v>1500017137</v>
          </cell>
          <cell r="B9264">
            <v>0</v>
          </cell>
        </row>
        <row r="9265">
          <cell r="A9265">
            <v>1500017138</v>
          </cell>
          <cell r="B9265">
            <v>5.8333333333333304</v>
          </cell>
        </row>
        <row r="9266">
          <cell r="A9266">
            <v>1500017141</v>
          </cell>
          <cell r="B9266">
            <v>4.25</v>
          </cell>
        </row>
        <row r="9267">
          <cell r="A9267">
            <v>1500017142</v>
          </cell>
          <cell r="B9267">
            <v>0</v>
          </cell>
        </row>
        <row r="9268">
          <cell r="A9268">
            <v>1500017145</v>
          </cell>
          <cell r="B9268">
            <v>5.9166666666666696</v>
          </cell>
        </row>
        <row r="9269">
          <cell r="A9269">
            <v>1500017146</v>
          </cell>
          <cell r="B9269">
            <v>0</v>
          </cell>
        </row>
        <row r="9270">
          <cell r="A9270">
            <v>1500017147</v>
          </cell>
          <cell r="B9270">
            <v>11.25</v>
          </cell>
        </row>
        <row r="9271">
          <cell r="A9271">
            <v>1500017148</v>
          </cell>
          <cell r="B9271">
            <v>13</v>
          </cell>
        </row>
        <row r="9272">
          <cell r="A9272">
            <v>1500017149</v>
          </cell>
          <cell r="B9272">
            <v>0</v>
          </cell>
        </row>
        <row r="9273">
          <cell r="A9273">
            <v>1500017150</v>
          </cell>
          <cell r="B9273">
            <v>0</v>
          </cell>
        </row>
        <row r="9274">
          <cell r="A9274">
            <v>1500017151</v>
          </cell>
          <cell r="B9274">
            <v>10.5</v>
          </cell>
        </row>
        <row r="9275">
          <cell r="A9275">
            <v>1500017152</v>
          </cell>
          <cell r="B9275">
            <v>0</v>
          </cell>
        </row>
        <row r="9276">
          <cell r="A9276">
            <v>1500017154</v>
          </cell>
          <cell r="B9276">
            <v>8.3333333333333304</v>
          </cell>
        </row>
        <row r="9277">
          <cell r="A9277">
            <v>1500017155</v>
          </cell>
          <cell r="B9277">
            <v>37.9166666666667</v>
          </cell>
        </row>
        <row r="9278">
          <cell r="A9278">
            <v>1500017156</v>
          </cell>
          <cell r="B9278">
            <v>20.033333333333299</v>
          </cell>
        </row>
        <row r="9279">
          <cell r="A9279">
            <v>1500017163</v>
          </cell>
          <cell r="B9279">
            <v>4.7833333333333297</v>
          </cell>
        </row>
        <row r="9280">
          <cell r="A9280">
            <v>1500017164</v>
          </cell>
          <cell r="B9280">
            <v>1.25</v>
          </cell>
        </row>
        <row r="9281">
          <cell r="A9281">
            <v>1500017165</v>
          </cell>
          <cell r="B9281">
            <v>5</v>
          </cell>
        </row>
        <row r="9282">
          <cell r="A9282">
            <v>1500017166</v>
          </cell>
          <cell r="B9282">
            <v>0</v>
          </cell>
        </row>
        <row r="9283">
          <cell r="A9283">
            <v>1500017167</v>
          </cell>
          <cell r="B9283">
            <v>0</v>
          </cell>
        </row>
        <row r="9284">
          <cell r="A9284">
            <v>1500017168</v>
          </cell>
          <cell r="B9284">
            <v>27.875</v>
          </cell>
        </row>
        <row r="9285">
          <cell r="A9285">
            <v>1500017170</v>
          </cell>
          <cell r="B9285">
            <v>32.5833333333333</v>
          </cell>
        </row>
        <row r="9286">
          <cell r="A9286">
            <v>1500017174</v>
          </cell>
          <cell r="B9286">
            <v>9.6666666666666696</v>
          </cell>
        </row>
        <row r="9287">
          <cell r="A9287">
            <v>1500017175</v>
          </cell>
          <cell r="B9287">
            <v>14.116666666666699</v>
          </cell>
        </row>
        <row r="9288">
          <cell r="A9288">
            <v>1500017176</v>
          </cell>
          <cell r="B9288">
            <v>15</v>
          </cell>
        </row>
        <row r="9289">
          <cell r="A9289">
            <v>1500017177</v>
          </cell>
          <cell r="B9289">
            <v>9.1666666666666696</v>
          </cell>
        </row>
        <row r="9290">
          <cell r="A9290">
            <v>1500017184</v>
          </cell>
          <cell r="B9290">
            <v>0</v>
          </cell>
        </row>
        <row r="9291">
          <cell r="A9291">
            <v>1500017185</v>
          </cell>
          <cell r="B9291">
            <v>25.8333333333333</v>
          </cell>
        </row>
        <row r="9292">
          <cell r="A9292">
            <v>1500017186</v>
          </cell>
          <cell r="B9292">
            <v>20</v>
          </cell>
        </row>
        <row r="9293">
          <cell r="A9293">
            <v>1500017193</v>
          </cell>
          <cell r="B9293">
            <v>22.125</v>
          </cell>
        </row>
        <row r="9294">
          <cell r="A9294">
            <v>1500017194</v>
          </cell>
          <cell r="B9294">
            <v>0</v>
          </cell>
        </row>
        <row r="9295">
          <cell r="A9295">
            <v>1500017195</v>
          </cell>
          <cell r="B9295">
            <v>12.9166666666667</v>
          </cell>
        </row>
        <row r="9296">
          <cell r="A9296">
            <v>1500017196</v>
          </cell>
          <cell r="B9296">
            <v>16.9166666666667</v>
          </cell>
        </row>
        <row r="9297">
          <cell r="A9297">
            <v>1500017197</v>
          </cell>
          <cell r="B9297">
            <v>97.5</v>
          </cell>
        </row>
        <row r="9298">
          <cell r="A9298">
            <v>1500017198</v>
          </cell>
          <cell r="B9298">
            <v>0</v>
          </cell>
        </row>
        <row r="9299">
          <cell r="A9299">
            <v>1500017199</v>
          </cell>
          <cell r="B9299">
            <v>77.633333333333297</v>
          </cell>
        </row>
        <row r="9300">
          <cell r="A9300">
            <v>1500017200</v>
          </cell>
          <cell r="B9300">
            <v>5.3333333333333304</v>
          </cell>
        </row>
        <row r="9301">
          <cell r="A9301">
            <v>1500017201</v>
          </cell>
          <cell r="B9301">
            <v>88.8333333333333</v>
          </cell>
        </row>
        <row r="9302">
          <cell r="A9302">
            <v>1500017203</v>
          </cell>
          <cell r="B9302">
            <v>0</v>
          </cell>
        </row>
        <row r="9303">
          <cell r="A9303">
            <v>1500017224</v>
          </cell>
          <cell r="B9303">
            <v>0</v>
          </cell>
        </row>
        <row r="9304">
          <cell r="A9304">
            <v>1500017228</v>
          </cell>
          <cell r="B9304">
            <v>14.4166666666667</v>
          </cell>
        </row>
        <row r="9305">
          <cell r="A9305">
            <v>1500017229</v>
          </cell>
          <cell r="B9305">
            <v>0</v>
          </cell>
        </row>
        <row r="9306">
          <cell r="A9306">
            <v>1500017230</v>
          </cell>
          <cell r="B9306">
            <v>19.75</v>
          </cell>
        </row>
        <row r="9307">
          <cell r="A9307">
            <v>1500017231</v>
          </cell>
          <cell r="B9307">
            <v>26.5</v>
          </cell>
        </row>
        <row r="9308">
          <cell r="A9308">
            <v>1500017232</v>
          </cell>
          <cell r="B9308">
            <v>428.33333333333297</v>
          </cell>
        </row>
        <row r="9309">
          <cell r="A9309">
            <v>1500017234</v>
          </cell>
          <cell r="B9309">
            <v>5</v>
          </cell>
        </row>
        <row r="9310">
          <cell r="A9310">
            <v>1500017235</v>
          </cell>
          <cell r="B9310">
            <v>21.6666666666667</v>
          </cell>
        </row>
        <row r="9311">
          <cell r="A9311">
            <v>1500017237</v>
          </cell>
          <cell r="B9311">
            <v>12.0833333333333</v>
          </cell>
        </row>
        <row r="9312">
          <cell r="A9312">
            <v>1500017240</v>
          </cell>
          <cell r="B9312">
            <v>18.8333333333333</v>
          </cell>
        </row>
        <row r="9313">
          <cell r="A9313">
            <v>1500017250</v>
          </cell>
          <cell r="B9313">
            <v>16.5</v>
          </cell>
        </row>
        <row r="9314">
          <cell r="A9314">
            <v>1500017251</v>
          </cell>
          <cell r="B9314">
            <v>0.83333333333333304</v>
          </cell>
        </row>
        <row r="9315">
          <cell r="A9315">
            <v>1500017253</v>
          </cell>
          <cell r="B9315">
            <v>5</v>
          </cell>
        </row>
        <row r="9316">
          <cell r="A9316">
            <v>1500017254</v>
          </cell>
          <cell r="B9316">
            <v>0</v>
          </cell>
        </row>
        <row r="9317">
          <cell r="A9317">
            <v>1500017284</v>
          </cell>
          <cell r="B9317">
            <v>26.8333333333333</v>
          </cell>
        </row>
        <row r="9318">
          <cell r="A9318">
            <v>1500017285</v>
          </cell>
          <cell r="B9318">
            <v>17.25</v>
          </cell>
        </row>
        <row r="9319">
          <cell r="A9319">
            <v>1500017286</v>
          </cell>
          <cell r="B9319">
            <v>13.3333333333333</v>
          </cell>
        </row>
        <row r="9320">
          <cell r="A9320">
            <v>1500017287</v>
          </cell>
          <cell r="B9320">
            <v>1.25</v>
          </cell>
        </row>
        <row r="9321">
          <cell r="A9321">
            <v>1500017288</v>
          </cell>
          <cell r="B9321">
            <v>0</v>
          </cell>
        </row>
        <row r="9322">
          <cell r="A9322">
            <v>1500017289</v>
          </cell>
          <cell r="B9322">
            <v>6.8150000000000004</v>
          </cell>
        </row>
        <row r="9323">
          <cell r="A9323">
            <v>1500017290</v>
          </cell>
          <cell r="B9323">
            <v>0</v>
          </cell>
        </row>
        <row r="9324">
          <cell r="A9324">
            <v>1500017291</v>
          </cell>
          <cell r="B9324">
            <v>23.1666666666667</v>
          </cell>
        </row>
        <row r="9325">
          <cell r="A9325">
            <v>1500017292</v>
          </cell>
          <cell r="B9325">
            <v>47.25</v>
          </cell>
        </row>
        <row r="9326">
          <cell r="A9326">
            <v>1500017293</v>
          </cell>
          <cell r="B9326">
            <v>14.7083333333333</v>
          </cell>
        </row>
        <row r="9327">
          <cell r="A9327">
            <v>1500017294</v>
          </cell>
          <cell r="B9327">
            <v>37.3333333333333</v>
          </cell>
        </row>
        <row r="9328">
          <cell r="A9328">
            <v>1500017295</v>
          </cell>
          <cell r="B9328">
            <v>6.6666666666666696</v>
          </cell>
        </row>
        <row r="9329">
          <cell r="A9329">
            <v>1500017319</v>
          </cell>
          <cell r="B9329">
            <v>2.3333333333333299</v>
          </cell>
        </row>
        <row r="9330">
          <cell r="A9330">
            <v>1500017296</v>
          </cell>
          <cell r="B9330">
            <v>1.1666666666666701</v>
          </cell>
        </row>
        <row r="9331">
          <cell r="A9331">
            <v>1500017298</v>
          </cell>
          <cell r="B9331">
            <v>0</v>
          </cell>
        </row>
        <row r="9332">
          <cell r="A9332">
            <v>1500017299</v>
          </cell>
          <cell r="B9332">
            <v>4.1666666666666696</v>
          </cell>
        </row>
        <row r="9333">
          <cell r="A9333">
            <v>1500017320</v>
          </cell>
          <cell r="B9333">
            <v>5.25</v>
          </cell>
        </row>
        <row r="9334">
          <cell r="A9334">
            <v>1500017321</v>
          </cell>
          <cell r="B9334">
            <v>20.683333333333302</v>
          </cell>
        </row>
        <row r="9335">
          <cell r="A9335">
            <v>1500017302</v>
          </cell>
          <cell r="B9335">
            <v>14.1666666666667</v>
          </cell>
        </row>
        <row r="9336">
          <cell r="A9336">
            <v>1500017303</v>
          </cell>
          <cell r="B9336">
            <v>8.5</v>
          </cell>
        </row>
        <row r="9337">
          <cell r="A9337">
            <v>1500017304</v>
          </cell>
          <cell r="B9337">
            <v>0</v>
          </cell>
        </row>
        <row r="9338">
          <cell r="A9338">
            <v>1500017305</v>
          </cell>
          <cell r="B9338">
            <v>2.0833333333333299</v>
          </cell>
        </row>
        <row r="9339">
          <cell r="A9339">
            <v>1500017307</v>
          </cell>
          <cell r="B9339">
            <v>14.0833333333333</v>
          </cell>
        </row>
        <row r="9340">
          <cell r="A9340">
            <v>1500017308</v>
          </cell>
          <cell r="B9340">
            <v>1.25</v>
          </cell>
        </row>
        <row r="9341">
          <cell r="A9341">
            <v>1500017322</v>
          </cell>
          <cell r="B9341">
            <v>14.1666666666667</v>
          </cell>
        </row>
        <row r="9342">
          <cell r="A9342">
            <v>1500017325</v>
          </cell>
          <cell r="B9342">
            <v>74.3333333333333</v>
          </cell>
        </row>
        <row r="9343">
          <cell r="A9343">
            <v>1500017326</v>
          </cell>
          <cell r="B9343">
            <v>30.5</v>
          </cell>
        </row>
        <row r="9344">
          <cell r="A9344">
            <v>1500017327</v>
          </cell>
          <cell r="B9344">
            <v>18.6666666666667</v>
          </cell>
        </row>
        <row r="9345">
          <cell r="A9345">
            <v>1500017330</v>
          </cell>
          <cell r="B9345">
            <v>1.4166666666666701</v>
          </cell>
        </row>
        <row r="9346">
          <cell r="A9346">
            <v>1500017331</v>
          </cell>
          <cell r="B9346">
            <v>5.06666666666667</v>
          </cell>
        </row>
        <row r="9347">
          <cell r="A9347">
            <v>1500017332</v>
          </cell>
          <cell r="B9347">
            <v>130</v>
          </cell>
        </row>
        <row r="9348">
          <cell r="A9348">
            <v>1500017333</v>
          </cell>
          <cell r="B9348">
            <v>0</v>
          </cell>
        </row>
        <row r="9349">
          <cell r="A9349">
            <v>1500017337</v>
          </cell>
          <cell r="B9349">
            <v>0.41666666666666702</v>
          </cell>
        </row>
        <row r="9350">
          <cell r="A9350">
            <v>1500017335</v>
          </cell>
          <cell r="B9350">
            <v>6.3333333333333304</v>
          </cell>
        </row>
        <row r="9351">
          <cell r="A9351">
            <v>1500017344</v>
          </cell>
          <cell r="B9351">
            <v>0</v>
          </cell>
        </row>
        <row r="9352">
          <cell r="A9352">
            <v>1500017345</v>
          </cell>
          <cell r="B9352">
            <v>0</v>
          </cell>
        </row>
        <row r="9353">
          <cell r="A9353">
            <v>1500017346</v>
          </cell>
          <cell r="B9353">
            <v>10.5833333333333</v>
          </cell>
        </row>
        <row r="9354">
          <cell r="A9354">
            <v>1500017347</v>
          </cell>
          <cell r="B9354">
            <v>0</v>
          </cell>
        </row>
        <row r="9355">
          <cell r="A9355">
            <v>1500017348</v>
          </cell>
          <cell r="B9355">
            <v>15.75</v>
          </cell>
        </row>
        <row r="9356">
          <cell r="A9356">
            <v>1500017350</v>
          </cell>
          <cell r="B9356">
            <v>27.5</v>
          </cell>
        </row>
        <row r="9357">
          <cell r="A9357">
            <v>1500017243</v>
          </cell>
          <cell r="B9357">
            <v>6.6666666666666696</v>
          </cell>
        </row>
        <row r="9358">
          <cell r="A9358">
            <v>1500017244</v>
          </cell>
          <cell r="B9358">
            <v>8.3333333333333304</v>
          </cell>
        </row>
        <row r="9359">
          <cell r="A9359">
            <v>1500017245</v>
          </cell>
          <cell r="B9359">
            <v>48.3333333333333</v>
          </cell>
        </row>
        <row r="9360">
          <cell r="A9360">
            <v>1500017246</v>
          </cell>
          <cell r="B9360">
            <v>12.9166666666667</v>
          </cell>
        </row>
        <row r="9361">
          <cell r="A9361">
            <v>1500017247</v>
          </cell>
          <cell r="B9361">
            <v>13.0833333333333</v>
          </cell>
        </row>
        <row r="9362">
          <cell r="A9362">
            <v>1500017255</v>
          </cell>
          <cell r="B9362">
            <v>28.4166666666667</v>
          </cell>
        </row>
        <row r="9363">
          <cell r="A9363">
            <v>1500017259</v>
          </cell>
          <cell r="B9363">
            <v>54.25</v>
          </cell>
        </row>
        <row r="9364">
          <cell r="A9364">
            <v>1500017260</v>
          </cell>
          <cell r="B9364">
            <v>0</v>
          </cell>
        </row>
        <row r="9365">
          <cell r="A9365">
            <v>1500017261</v>
          </cell>
          <cell r="B9365">
            <v>27.3333333333333</v>
          </cell>
        </row>
        <row r="9366">
          <cell r="A9366">
            <v>1500017273</v>
          </cell>
          <cell r="B9366">
            <v>2.9166666666666701</v>
          </cell>
        </row>
        <row r="9367">
          <cell r="A9367">
            <v>1500017275</v>
          </cell>
          <cell r="B9367">
            <v>29.716666666666701</v>
          </cell>
        </row>
        <row r="9368">
          <cell r="A9368">
            <v>1500017277</v>
          </cell>
          <cell r="B9368">
            <v>19.5833333333333</v>
          </cell>
        </row>
        <row r="9369">
          <cell r="A9369">
            <v>1500017278</v>
          </cell>
          <cell r="B9369">
            <v>2.0833333333333299</v>
          </cell>
        </row>
        <row r="9370">
          <cell r="A9370">
            <v>1500017279</v>
          </cell>
          <cell r="B9370">
            <v>33.466666666666697</v>
          </cell>
        </row>
        <row r="9371">
          <cell r="A9371">
            <v>1500017248</v>
          </cell>
          <cell r="B9371">
            <v>0</v>
          </cell>
        </row>
        <row r="9372">
          <cell r="A9372">
            <v>1500017356</v>
          </cell>
          <cell r="B9372">
            <v>35</v>
          </cell>
        </row>
        <row r="9373">
          <cell r="A9373">
            <v>1500017374</v>
          </cell>
          <cell r="B9373">
            <v>34</v>
          </cell>
        </row>
        <row r="9374">
          <cell r="A9374">
            <v>1500017357</v>
          </cell>
          <cell r="B9374">
            <v>27.75</v>
          </cell>
        </row>
        <row r="9375">
          <cell r="A9375">
            <v>1500017359</v>
          </cell>
          <cell r="B9375">
            <v>0.41666666666666702</v>
          </cell>
        </row>
        <row r="9376">
          <cell r="A9376">
            <v>1500017362</v>
          </cell>
          <cell r="B9376">
            <v>18.850000000000001</v>
          </cell>
        </row>
        <row r="9377">
          <cell r="A9377">
            <v>1500017363</v>
          </cell>
          <cell r="B9377">
            <v>11.75</v>
          </cell>
        </row>
        <row r="9378">
          <cell r="A9378">
            <v>1500017378</v>
          </cell>
          <cell r="B9378">
            <v>0</v>
          </cell>
        </row>
        <row r="9379">
          <cell r="A9379">
            <v>1500017379</v>
          </cell>
          <cell r="B9379">
            <v>10.1833333333333</v>
          </cell>
        </row>
        <row r="9380">
          <cell r="A9380">
            <v>1500017380</v>
          </cell>
          <cell r="B9380">
            <v>1.75</v>
          </cell>
        </row>
        <row r="9381">
          <cell r="A9381">
            <v>1500017381</v>
          </cell>
          <cell r="B9381">
            <v>71.5833333333333</v>
          </cell>
        </row>
        <row r="9382">
          <cell r="A9382">
            <v>1500017382</v>
          </cell>
          <cell r="B9382">
            <v>0</v>
          </cell>
        </row>
        <row r="9383">
          <cell r="A9383">
            <v>1500017383</v>
          </cell>
          <cell r="B9383">
            <v>11.1666666666667</v>
          </cell>
        </row>
        <row r="9384">
          <cell r="A9384">
            <v>1500017384</v>
          </cell>
          <cell r="B9384">
            <v>28.6666666666667</v>
          </cell>
        </row>
        <row r="9385">
          <cell r="A9385">
            <v>1500017385</v>
          </cell>
          <cell r="B9385">
            <v>19.6666666666667</v>
          </cell>
        </row>
        <row r="9386">
          <cell r="A9386">
            <v>1500017392</v>
          </cell>
          <cell r="B9386">
            <v>100.666666666667</v>
          </cell>
        </row>
        <row r="9387">
          <cell r="A9387">
            <v>1500017406</v>
          </cell>
          <cell r="B9387">
            <v>0</v>
          </cell>
        </row>
        <row r="9388">
          <cell r="A9388">
            <v>1500017393</v>
          </cell>
          <cell r="B9388">
            <v>10.9166666666667</v>
          </cell>
        </row>
        <row r="9389">
          <cell r="A9389">
            <v>1500017394</v>
          </cell>
          <cell r="B9389">
            <v>17.0833333333333</v>
          </cell>
        </row>
        <row r="9390">
          <cell r="A9390">
            <v>1500017395</v>
          </cell>
          <cell r="B9390">
            <v>23.0833333333333</v>
          </cell>
        </row>
        <row r="9391">
          <cell r="A9391">
            <v>1500017396</v>
          </cell>
          <cell r="B9391">
            <v>0</v>
          </cell>
        </row>
        <row r="9392">
          <cell r="A9392">
            <v>1500017368</v>
          </cell>
          <cell r="B9392">
            <v>4.8333333333333304</v>
          </cell>
        </row>
        <row r="9393">
          <cell r="A9393">
            <v>1500017369</v>
          </cell>
          <cell r="B9393">
            <v>0</v>
          </cell>
        </row>
        <row r="9394">
          <cell r="A9394">
            <v>1500017370</v>
          </cell>
          <cell r="B9394">
            <v>0</v>
          </cell>
        </row>
        <row r="9395">
          <cell r="A9395">
            <v>1500017371</v>
          </cell>
          <cell r="B9395">
            <v>9.5833333333333304</v>
          </cell>
        </row>
        <row r="9396">
          <cell r="A9396">
            <v>1500017372</v>
          </cell>
          <cell r="B9396">
            <v>16.0833333333333</v>
          </cell>
        </row>
        <row r="9397">
          <cell r="A9397">
            <v>1500017430</v>
          </cell>
          <cell r="B9397">
            <v>3.75</v>
          </cell>
        </row>
        <row r="9398">
          <cell r="A9398">
            <v>1500017403</v>
          </cell>
          <cell r="B9398">
            <v>1.6666666666666701</v>
          </cell>
        </row>
        <row r="9399">
          <cell r="A9399">
            <v>1500017412</v>
          </cell>
          <cell r="B9399">
            <v>0</v>
          </cell>
        </row>
        <row r="9400">
          <cell r="A9400">
            <v>1500017413</v>
          </cell>
          <cell r="B9400">
            <v>3.3333333333333299</v>
          </cell>
        </row>
        <row r="9401">
          <cell r="A9401">
            <v>1500017414</v>
          </cell>
          <cell r="B9401">
            <v>9.1666666666666696</v>
          </cell>
        </row>
        <row r="9402">
          <cell r="A9402">
            <v>1500017416</v>
          </cell>
          <cell r="B9402">
            <v>21.4166666666667</v>
          </cell>
        </row>
        <row r="9403">
          <cell r="A9403">
            <v>1500017417</v>
          </cell>
          <cell r="B9403">
            <v>32.1666666666667</v>
          </cell>
        </row>
        <row r="9404">
          <cell r="A9404">
            <v>1500017418</v>
          </cell>
          <cell r="B9404">
            <v>21.6666666666667</v>
          </cell>
        </row>
        <row r="9405">
          <cell r="A9405">
            <v>1500017431</v>
          </cell>
          <cell r="B9405">
            <v>0</v>
          </cell>
        </row>
        <row r="9406">
          <cell r="A9406">
            <v>1500017442</v>
          </cell>
          <cell r="B9406">
            <v>2.9166666666666701</v>
          </cell>
        </row>
        <row r="9407">
          <cell r="A9407">
            <v>1500017443</v>
          </cell>
          <cell r="B9407">
            <v>0.83333333333333304</v>
          </cell>
        </row>
        <row r="9408">
          <cell r="A9408">
            <v>1500017444</v>
          </cell>
          <cell r="B9408">
            <v>12.5</v>
          </cell>
        </row>
        <row r="9409">
          <cell r="A9409">
            <v>1500017445</v>
          </cell>
          <cell r="B9409">
            <v>22.6666666666667</v>
          </cell>
        </row>
        <row r="9410">
          <cell r="A9410">
            <v>1500017446</v>
          </cell>
          <cell r="B9410">
            <v>1.9166666666666701</v>
          </cell>
        </row>
        <row r="9411">
          <cell r="A9411">
            <v>1500017464</v>
          </cell>
          <cell r="B9411">
            <v>0</v>
          </cell>
        </row>
        <row r="9412">
          <cell r="A9412">
            <v>1500017466</v>
          </cell>
          <cell r="B9412">
            <v>0</v>
          </cell>
        </row>
        <row r="9413">
          <cell r="A9413">
            <v>1500017467</v>
          </cell>
          <cell r="B9413">
            <v>0</v>
          </cell>
        </row>
        <row r="9414">
          <cell r="A9414">
            <v>1500017409</v>
          </cell>
          <cell r="B9414">
            <v>12.8333333333333</v>
          </cell>
        </row>
        <row r="9415">
          <cell r="A9415">
            <v>1500017411</v>
          </cell>
          <cell r="B9415">
            <v>9.5833333333333304</v>
          </cell>
        </row>
        <row r="9416">
          <cell r="A9416">
            <v>1500017422</v>
          </cell>
          <cell r="B9416">
            <v>27.25</v>
          </cell>
        </row>
        <row r="9417">
          <cell r="A9417">
            <v>1500017423</v>
          </cell>
          <cell r="B9417">
            <v>1.25</v>
          </cell>
        </row>
        <row r="9418">
          <cell r="A9418">
            <v>1500017424</v>
          </cell>
          <cell r="B9418">
            <v>22.5</v>
          </cell>
        </row>
        <row r="9419">
          <cell r="A9419">
            <v>1500017425</v>
          </cell>
          <cell r="B9419">
            <v>8.6666666666666696</v>
          </cell>
        </row>
        <row r="9420">
          <cell r="A9420">
            <v>1500017427</v>
          </cell>
          <cell r="B9420">
            <v>8</v>
          </cell>
        </row>
        <row r="9421">
          <cell r="A9421">
            <v>1500017428</v>
          </cell>
          <cell r="B9421">
            <v>128.441666666667</v>
          </cell>
        </row>
        <row r="9422">
          <cell r="A9422">
            <v>1500017429</v>
          </cell>
          <cell r="B9422">
            <v>9.0500000000000007</v>
          </cell>
        </row>
        <row r="9423">
          <cell r="A9423">
            <v>1500017485</v>
          </cell>
          <cell r="B9423">
            <v>30</v>
          </cell>
        </row>
        <row r="9424">
          <cell r="A9424">
            <v>1500017486</v>
          </cell>
          <cell r="B9424">
            <v>76.6666666666667</v>
          </cell>
        </row>
        <row r="9425">
          <cell r="A9425">
            <v>1500017487</v>
          </cell>
          <cell r="B9425">
            <v>9.25</v>
          </cell>
        </row>
        <row r="9426">
          <cell r="A9426">
            <v>1500017489</v>
          </cell>
          <cell r="B9426">
            <v>9.8333333333333304</v>
          </cell>
        </row>
        <row r="9427">
          <cell r="A9427">
            <v>1500017490</v>
          </cell>
          <cell r="B9427">
            <v>0</v>
          </cell>
        </row>
        <row r="9428">
          <cell r="A9428">
            <v>1500017491</v>
          </cell>
          <cell r="B9428">
            <v>48.866666666666703</v>
          </cell>
        </row>
        <row r="9429">
          <cell r="A9429">
            <v>1500017492</v>
          </cell>
          <cell r="B9429">
            <v>0</v>
          </cell>
        </row>
        <row r="9430">
          <cell r="A9430">
            <v>1500017493</v>
          </cell>
          <cell r="B9430">
            <v>18.3333333333333</v>
          </cell>
        </row>
        <row r="9431">
          <cell r="A9431">
            <v>1500017500</v>
          </cell>
          <cell r="B9431">
            <v>30.1666666666667</v>
          </cell>
        </row>
        <row r="9432">
          <cell r="A9432">
            <v>1500017501</v>
          </cell>
          <cell r="B9432">
            <v>50.191666666666698</v>
          </cell>
        </row>
        <row r="9433">
          <cell r="A9433">
            <v>1500017502</v>
          </cell>
          <cell r="B9433">
            <v>0</v>
          </cell>
        </row>
        <row r="9434">
          <cell r="A9434">
            <v>1500017503</v>
          </cell>
          <cell r="B9434">
            <v>0</v>
          </cell>
        </row>
        <row r="9435">
          <cell r="A9435">
            <v>1500017514</v>
          </cell>
          <cell r="B9435">
            <v>11.6666666666667</v>
          </cell>
        </row>
        <row r="9436">
          <cell r="A9436">
            <v>1500017478</v>
          </cell>
          <cell r="B9436">
            <v>16</v>
          </cell>
        </row>
        <row r="9437">
          <cell r="A9437">
            <v>1500017479</v>
          </cell>
          <cell r="B9437">
            <v>50.5416666666667</v>
          </cell>
        </row>
        <row r="9438">
          <cell r="A9438">
            <v>1500017480</v>
          </cell>
          <cell r="B9438">
            <v>11.5833333333333</v>
          </cell>
        </row>
        <row r="9439">
          <cell r="A9439">
            <v>1500017481</v>
          </cell>
          <cell r="B9439">
            <v>42.5</v>
          </cell>
        </row>
        <row r="9440">
          <cell r="A9440">
            <v>1500017476</v>
          </cell>
          <cell r="B9440">
            <v>39.5833333333333</v>
          </cell>
        </row>
        <row r="9441">
          <cell r="A9441">
            <v>1500017477</v>
          </cell>
          <cell r="B9441">
            <v>0</v>
          </cell>
        </row>
        <row r="9442">
          <cell r="A9442">
            <v>1500017518</v>
          </cell>
          <cell r="B9442">
            <v>10</v>
          </cell>
        </row>
        <row r="9443">
          <cell r="A9443">
            <v>1500017519</v>
          </cell>
          <cell r="B9443">
            <v>30.8333333333333</v>
          </cell>
        </row>
        <row r="9444">
          <cell r="A9444">
            <v>1500017520</v>
          </cell>
          <cell r="B9444">
            <v>59.8333333333333</v>
          </cell>
        </row>
        <row r="9445">
          <cell r="A9445">
            <v>1500017521</v>
          </cell>
          <cell r="B9445">
            <v>5.8333333333333304</v>
          </cell>
        </row>
        <row r="9446">
          <cell r="A9446">
            <v>1500017505</v>
          </cell>
          <cell r="B9446">
            <v>17.3333333333333</v>
          </cell>
        </row>
        <row r="9447">
          <cell r="A9447">
            <v>1500017509</v>
          </cell>
          <cell r="B9447">
            <v>41.758333333333297</v>
          </cell>
        </row>
        <row r="9448">
          <cell r="A9448">
            <v>1500017506</v>
          </cell>
          <cell r="B9448">
            <v>6.8333333333333304</v>
          </cell>
        </row>
        <row r="9449">
          <cell r="A9449">
            <v>1500017507</v>
          </cell>
          <cell r="B9449">
            <v>0</v>
          </cell>
        </row>
        <row r="9450">
          <cell r="A9450">
            <v>1500017508</v>
          </cell>
          <cell r="B9450">
            <v>2.9166666666666701</v>
          </cell>
        </row>
        <row r="9451">
          <cell r="A9451">
            <v>1500017522</v>
          </cell>
          <cell r="B9451">
            <v>10.8333333333333</v>
          </cell>
        </row>
        <row r="9452">
          <cell r="A9452">
            <v>1500017523</v>
          </cell>
          <cell r="B9452">
            <v>8.75</v>
          </cell>
        </row>
        <row r="9453">
          <cell r="A9453">
            <v>1500017524</v>
          </cell>
          <cell r="B9453">
            <v>7.5</v>
          </cell>
        </row>
        <row r="9454">
          <cell r="A9454">
            <v>1500017525</v>
          </cell>
          <cell r="B9454">
            <v>21</v>
          </cell>
        </row>
        <row r="9455">
          <cell r="A9455">
            <v>1500017526</v>
          </cell>
          <cell r="B9455">
            <v>0</v>
          </cell>
        </row>
        <row r="9456">
          <cell r="A9456">
            <v>1500017535</v>
          </cell>
          <cell r="B9456">
            <v>9</v>
          </cell>
        </row>
        <row r="9457">
          <cell r="A9457">
            <v>1500017536</v>
          </cell>
          <cell r="B9457">
            <v>44</v>
          </cell>
        </row>
        <row r="9458">
          <cell r="A9458">
            <v>1500017537</v>
          </cell>
          <cell r="B9458">
            <v>21.5</v>
          </cell>
        </row>
        <row r="9459">
          <cell r="A9459">
            <v>1500017538</v>
          </cell>
          <cell r="B9459">
            <v>15.783333333333299</v>
          </cell>
        </row>
        <row r="9460">
          <cell r="A9460">
            <v>1500017539</v>
          </cell>
          <cell r="B9460">
            <v>9.75</v>
          </cell>
        </row>
        <row r="9461">
          <cell r="A9461">
            <v>1500017540</v>
          </cell>
          <cell r="B9461">
            <v>6.1666666666666696</v>
          </cell>
        </row>
        <row r="9462">
          <cell r="A9462">
            <v>1500017541</v>
          </cell>
          <cell r="B9462">
            <v>16.75</v>
          </cell>
        </row>
        <row r="9463">
          <cell r="A9463">
            <v>1500017542</v>
          </cell>
          <cell r="B9463">
            <v>15</v>
          </cell>
        </row>
        <row r="9464">
          <cell r="A9464">
            <v>1500017543</v>
          </cell>
          <cell r="B9464">
            <v>79.1666666666667</v>
          </cell>
        </row>
        <row r="9465">
          <cell r="A9465">
            <v>1500017544</v>
          </cell>
          <cell r="B9465">
            <v>3.75</v>
          </cell>
        </row>
        <row r="9466">
          <cell r="A9466">
            <v>1500017583</v>
          </cell>
          <cell r="B9466">
            <v>18.6666666666667</v>
          </cell>
        </row>
        <row r="9467">
          <cell r="A9467">
            <v>1500017585</v>
          </cell>
          <cell r="B9467">
            <v>7.5833333333333304</v>
          </cell>
        </row>
        <row r="9468">
          <cell r="A9468">
            <v>1500017586</v>
          </cell>
          <cell r="B9468">
            <v>30.5833333333333</v>
          </cell>
        </row>
        <row r="9469">
          <cell r="A9469">
            <v>1500017587</v>
          </cell>
          <cell r="B9469">
            <v>0.41666666666666702</v>
          </cell>
        </row>
        <row r="9470">
          <cell r="A9470">
            <v>1500017589</v>
          </cell>
          <cell r="B9470">
            <v>35.7083333333333</v>
          </cell>
        </row>
        <row r="9471">
          <cell r="A9471">
            <v>1500017590</v>
          </cell>
          <cell r="B9471">
            <v>5.9166666666666696</v>
          </cell>
        </row>
        <row r="9472">
          <cell r="A9472">
            <v>1500017591</v>
          </cell>
          <cell r="B9472">
            <v>14.5833333333333</v>
          </cell>
        </row>
        <row r="9473">
          <cell r="A9473">
            <v>1500017592</v>
          </cell>
          <cell r="B9473">
            <v>0</v>
          </cell>
        </row>
        <row r="9474">
          <cell r="A9474">
            <v>1500017593</v>
          </cell>
          <cell r="B9474">
            <v>42.0833333333333</v>
          </cell>
        </row>
        <row r="9475">
          <cell r="A9475">
            <v>1500017595</v>
          </cell>
          <cell r="B9475">
            <v>52.524999999999999</v>
          </cell>
        </row>
        <row r="9476">
          <cell r="A9476">
            <v>1500017596</v>
          </cell>
          <cell r="B9476">
            <v>23.3333333333333</v>
          </cell>
        </row>
        <row r="9477">
          <cell r="A9477">
            <v>1500017597</v>
          </cell>
          <cell r="B9477">
            <v>0</v>
          </cell>
        </row>
        <row r="9478">
          <cell r="A9478">
            <v>1500017601</v>
          </cell>
          <cell r="B9478">
            <v>5.8333333333333304</v>
          </cell>
        </row>
        <row r="9479">
          <cell r="A9479">
            <v>1500017602</v>
          </cell>
          <cell r="B9479">
            <v>18.3333333333333</v>
          </cell>
        </row>
        <row r="9480">
          <cell r="A9480">
            <v>1500017604</v>
          </cell>
          <cell r="B9480">
            <v>25.4166666666667</v>
          </cell>
        </row>
        <row r="9481">
          <cell r="A9481">
            <v>1500017607</v>
          </cell>
          <cell r="B9481">
            <v>9.5833333333333304</v>
          </cell>
        </row>
        <row r="9482">
          <cell r="A9482">
            <v>1500017608</v>
          </cell>
          <cell r="B9482">
            <v>24.2</v>
          </cell>
        </row>
        <row r="9483">
          <cell r="A9483">
            <v>1500017610</v>
          </cell>
          <cell r="B9483">
            <v>12.9166666666667</v>
          </cell>
        </row>
        <row r="9484">
          <cell r="A9484">
            <v>1500017559</v>
          </cell>
          <cell r="B9484">
            <v>20.75</v>
          </cell>
        </row>
        <row r="9485">
          <cell r="A9485">
            <v>1500017560</v>
          </cell>
          <cell r="B9485">
            <v>0</v>
          </cell>
        </row>
        <row r="9486">
          <cell r="A9486">
            <v>1500017561</v>
          </cell>
          <cell r="B9486">
            <v>13.75</v>
          </cell>
        </row>
        <row r="9487">
          <cell r="A9487">
            <v>1500017562</v>
          </cell>
          <cell r="B9487">
            <v>34.5833333333333</v>
          </cell>
        </row>
        <row r="9488">
          <cell r="A9488">
            <v>1500017563</v>
          </cell>
          <cell r="B9488">
            <v>5.3333333333333304</v>
          </cell>
        </row>
        <row r="9489">
          <cell r="A9489">
            <v>1500017564</v>
          </cell>
          <cell r="B9489">
            <v>12.1666666666667</v>
          </cell>
        </row>
        <row r="9490">
          <cell r="A9490">
            <v>1500017565</v>
          </cell>
          <cell r="B9490">
            <v>22.0416666666667</v>
          </cell>
        </row>
        <row r="9491">
          <cell r="A9491">
            <v>1500017566</v>
          </cell>
          <cell r="B9491">
            <v>30.8333333333333</v>
          </cell>
        </row>
        <row r="9492">
          <cell r="A9492">
            <v>1500017570</v>
          </cell>
          <cell r="B9492">
            <v>1.25</v>
          </cell>
        </row>
        <row r="9493">
          <cell r="A9493">
            <v>1500017571</v>
          </cell>
          <cell r="B9493">
            <v>58.4166666666667</v>
          </cell>
        </row>
        <row r="9494">
          <cell r="A9494">
            <v>1500017577</v>
          </cell>
          <cell r="B9494">
            <v>33.3333333333333</v>
          </cell>
        </row>
        <row r="9495">
          <cell r="A9495">
            <v>1500017685</v>
          </cell>
          <cell r="B9495">
            <v>13.675000000000001</v>
          </cell>
        </row>
        <row r="9496">
          <cell r="A9496">
            <v>1500017578</v>
          </cell>
          <cell r="B9496">
            <v>108.5</v>
          </cell>
        </row>
        <row r="9497">
          <cell r="A9497">
            <v>1500017638</v>
          </cell>
          <cell r="B9497">
            <v>14.1666666666667</v>
          </cell>
        </row>
        <row r="9498">
          <cell r="A9498">
            <v>1500017639</v>
          </cell>
          <cell r="B9498">
            <v>0</v>
          </cell>
        </row>
        <row r="9499">
          <cell r="A9499">
            <v>1500017640</v>
          </cell>
          <cell r="B9499">
            <v>13.3333333333333</v>
          </cell>
        </row>
        <row r="9500">
          <cell r="A9500">
            <v>1500017641</v>
          </cell>
          <cell r="B9500">
            <v>40.5</v>
          </cell>
        </row>
        <row r="9501">
          <cell r="A9501">
            <v>1500017642</v>
          </cell>
          <cell r="B9501">
            <v>0</v>
          </cell>
        </row>
        <row r="9502">
          <cell r="A9502">
            <v>1500017643</v>
          </cell>
          <cell r="B9502">
            <v>15</v>
          </cell>
        </row>
        <row r="9503">
          <cell r="A9503">
            <v>1500017618</v>
          </cell>
          <cell r="B9503">
            <v>2.9166666666666701</v>
          </cell>
        </row>
        <row r="9504">
          <cell r="A9504">
            <v>1500017619</v>
          </cell>
          <cell r="B9504">
            <v>5</v>
          </cell>
        </row>
        <row r="9505">
          <cell r="A9505">
            <v>1500017620</v>
          </cell>
          <cell r="B9505">
            <v>9.1666666666666696</v>
          </cell>
        </row>
        <row r="9506">
          <cell r="A9506">
            <v>1500017621</v>
          </cell>
          <cell r="B9506">
            <v>35.9166666666667</v>
          </cell>
        </row>
        <row r="9507">
          <cell r="A9507">
            <v>1500017622</v>
          </cell>
          <cell r="B9507">
            <v>0</v>
          </cell>
        </row>
        <row r="9508">
          <cell r="A9508">
            <v>1500017623</v>
          </cell>
          <cell r="B9508">
            <v>29.941666666666698</v>
          </cell>
        </row>
        <row r="9509">
          <cell r="A9509">
            <v>1500017624</v>
          </cell>
          <cell r="B9509">
            <v>6.6666666666666696</v>
          </cell>
        </row>
        <row r="9510">
          <cell r="A9510">
            <v>1500017625</v>
          </cell>
          <cell r="B9510">
            <v>0</v>
          </cell>
        </row>
        <row r="9511">
          <cell r="A9511">
            <v>1500017626</v>
          </cell>
          <cell r="B9511">
            <v>14.0833333333333</v>
          </cell>
        </row>
        <row r="9512">
          <cell r="A9512">
            <v>1500017627</v>
          </cell>
          <cell r="B9512">
            <v>10</v>
          </cell>
        </row>
        <row r="9513">
          <cell r="A9513">
            <v>1500017628</v>
          </cell>
          <cell r="B9513">
            <v>61.4583333333333</v>
          </cell>
        </row>
        <row r="9514">
          <cell r="A9514">
            <v>1500017629</v>
          </cell>
          <cell r="B9514">
            <v>27.4166666666667</v>
          </cell>
        </row>
        <row r="9515">
          <cell r="A9515">
            <v>1500017630</v>
          </cell>
          <cell r="B9515">
            <v>9.5833333333333304</v>
          </cell>
        </row>
        <row r="9516">
          <cell r="A9516">
            <v>1500017632</v>
          </cell>
          <cell r="B9516">
            <v>16.6666666666667</v>
          </cell>
        </row>
        <row r="9517">
          <cell r="A9517">
            <v>1500017633</v>
          </cell>
          <cell r="B9517">
            <v>11.6666666666667</v>
          </cell>
        </row>
        <row r="9518">
          <cell r="A9518">
            <v>1500017634</v>
          </cell>
          <cell r="B9518">
            <v>34.25</v>
          </cell>
        </row>
        <row r="9519">
          <cell r="A9519">
            <v>1500017635</v>
          </cell>
          <cell r="B9519">
            <v>10.8333333333333</v>
          </cell>
        </row>
        <row r="9520">
          <cell r="A9520">
            <v>1500017733</v>
          </cell>
          <cell r="B9520">
            <v>0</v>
          </cell>
        </row>
        <row r="9521">
          <cell r="A9521">
            <v>1500017636</v>
          </cell>
          <cell r="B9521">
            <v>8.9166666666666696</v>
          </cell>
        </row>
        <row r="9522">
          <cell r="A9522">
            <v>1500017637</v>
          </cell>
          <cell r="B9522">
            <v>21.6666666666667</v>
          </cell>
        </row>
        <row r="9523">
          <cell r="A9523">
            <v>1500017644</v>
          </cell>
          <cell r="B9523">
            <v>0</v>
          </cell>
        </row>
        <row r="9524">
          <cell r="A9524">
            <v>1500017645</v>
          </cell>
          <cell r="B9524">
            <v>25.783333333333299</v>
          </cell>
        </row>
        <row r="9525">
          <cell r="A9525">
            <v>1500017646</v>
          </cell>
          <cell r="B9525">
            <v>0</v>
          </cell>
        </row>
        <row r="9526">
          <cell r="A9526">
            <v>1500017656</v>
          </cell>
          <cell r="B9526">
            <v>13.3333333333333</v>
          </cell>
        </row>
        <row r="9527">
          <cell r="A9527">
            <v>1500017657</v>
          </cell>
          <cell r="B9527">
            <v>4.5</v>
          </cell>
        </row>
        <row r="9528">
          <cell r="A9528">
            <v>1500017658</v>
          </cell>
          <cell r="B9528">
            <v>0</v>
          </cell>
        </row>
        <row r="9529">
          <cell r="A9529">
            <v>1500017676</v>
          </cell>
          <cell r="B9529">
            <v>8</v>
          </cell>
        </row>
        <row r="9530">
          <cell r="A9530">
            <v>1500017677</v>
          </cell>
          <cell r="B9530">
            <v>33.424999999999997</v>
          </cell>
        </row>
        <row r="9531">
          <cell r="A9531">
            <v>1500017678</v>
          </cell>
          <cell r="B9531">
            <v>20.1666666666667</v>
          </cell>
        </row>
        <row r="9532">
          <cell r="A9532">
            <v>1500017679</v>
          </cell>
          <cell r="B9532">
            <v>6.9166666666666696</v>
          </cell>
        </row>
        <row r="9533">
          <cell r="A9533">
            <v>1500017680</v>
          </cell>
          <cell r="B9533">
            <v>0.25</v>
          </cell>
        </row>
        <row r="9534">
          <cell r="A9534">
            <v>1500017681</v>
          </cell>
          <cell r="B9534">
            <v>0</v>
          </cell>
        </row>
        <row r="9535">
          <cell r="A9535">
            <v>1500017682</v>
          </cell>
          <cell r="B9535">
            <v>2.9166666666666701</v>
          </cell>
        </row>
        <row r="9536">
          <cell r="A9536">
            <v>1500017686</v>
          </cell>
          <cell r="B9536">
            <v>6.5</v>
          </cell>
        </row>
        <row r="9537">
          <cell r="A9537">
            <v>1500017687</v>
          </cell>
          <cell r="B9537">
            <v>0</v>
          </cell>
        </row>
        <row r="9538">
          <cell r="A9538">
            <v>1500017688</v>
          </cell>
          <cell r="B9538">
            <v>56.8333333333333</v>
          </cell>
        </row>
        <row r="9539">
          <cell r="A9539">
            <v>1500017689</v>
          </cell>
          <cell r="B9539">
            <v>5.5</v>
          </cell>
        </row>
        <row r="9540">
          <cell r="A9540">
            <v>1500017690</v>
          </cell>
          <cell r="B9540">
            <v>15.9583333333333</v>
          </cell>
        </row>
        <row r="9541">
          <cell r="A9541">
            <v>1500017691</v>
          </cell>
          <cell r="B9541">
            <v>0</v>
          </cell>
        </row>
        <row r="9542">
          <cell r="A9542">
            <v>1500017692</v>
          </cell>
          <cell r="B9542">
            <v>25.3333333333333</v>
          </cell>
        </row>
        <row r="9543">
          <cell r="A9543">
            <v>1500017694</v>
          </cell>
          <cell r="B9543">
            <v>4.3333333333333304</v>
          </cell>
        </row>
        <row r="9544">
          <cell r="A9544">
            <v>1500017695</v>
          </cell>
          <cell r="B9544">
            <v>3.75</v>
          </cell>
        </row>
        <row r="9545">
          <cell r="A9545">
            <v>1500017696</v>
          </cell>
          <cell r="B9545">
            <v>5.4166666666666696</v>
          </cell>
        </row>
        <row r="9546">
          <cell r="A9546">
            <v>1500017697</v>
          </cell>
          <cell r="B9546">
            <v>24.1666666666667</v>
          </cell>
        </row>
        <row r="9547">
          <cell r="A9547">
            <v>1500017698</v>
          </cell>
          <cell r="B9547">
            <v>12</v>
          </cell>
        </row>
        <row r="9548">
          <cell r="A9548">
            <v>1500017699</v>
          </cell>
          <cell r="B9548">
            <v>8.25</v>
          </cell>
        </row>
        <row r="9549">
          <cell r="A9549">
            <v>1500017700</v>
          </cell>
          <cell r="B9549">
            <v>11.1666666666667</v>
          </cell>
        </row>
        <row r="9550">
          <cell r="A9550">
            <v>1500017701</v>
          </cell>
          <cell r="B9550">
            <v>12.9166666666667</v>
          </cell>
        </row>
        <row r="9551">
          <cell r="A9551">
            <v>1500017702</v>
          </cell>
          <cell r="B9551">
            <v>17.0833333333333</v>
          </cell>
        </row>
        <row r="9552">
          <cell r="A9552">
            <v>1500017703</v>
          </cell>
          <cell r="B9552">
            <v>48.325000000000003</v>
          </cell>
        </row>
        <row r="9553">
          <cell r="A9553">
            <v>1500017704</v>
          </cell>
          <cell r="B9553">
            <v>1.25</v>
          </cell>
        </row>
        <row r="9554">
          <cell r="A9554">
            <v>1500017705</v>
          </cell>
          <cell r="B9554">
            <v>5.5</v>
          </cell>
        </row>
        <row r="9555">
          <cell r="A9555">
            <v>1500017706</v>
          </cell>
          <cell r="B9555">
            <v>7.25</v>
          </cell>
        </row>
        <row r="9556">
          <cell r="A9556">
            <v>1500017709</v>
          </cell>
          <cell r="B9556">
            <v>13.9166666666667</v>
          </cell>
        </row>
        <row r="9557">
          <cell r="A9557">
            <v>1500017710</v>
          </cell>
          <cell r="B9557">
            <v>36.0833333333333</v>
          </cell>
        </row>
        <row r="9558">
          <cell r="A9558">
            <v>1500017711</v>
          </cell>
          <cell r="B9558">
            <v>7.5</v>
          </cell>
        </row>
        <row r="9559">
          <cell r="A9559">
            <v>1500017712</v>
          </cell>
          <cell r="B9559">
            <v>2.5</v>
          </cell>
        </row>
        <row r="9560">
          <cell r="A9560">
            <v>1500017713</v>
          </cell>
          <cell r="B9560">
            <v>8.75</v>
          </cell>
        </row>
        <row r="9561">
          <cell r="A9561">
            <v>1500017714</v>
          </cell>
          <cell r="B9561">
            <v>0</v>
          </cell>
        </row>
        <row r="9562">
          <cell r="A9562">
            <v>1500017715</v>
          </cell>
          <cell r="B9562">
            <v>306.58333333333297</v>
          </cell>
        </row>
        <row r="9563">
          <cell r="A9563">
            <v>1500017716</v>
          </cell>
          <cell r="B9563">
            <v>13.3333333333333</v>
          </cell>
        </row>
        <row r="9564">
          <cell r="A9564">
            <v>1500017717</v>
          </cell>
          <cell r="B9564">
            <v>162</v>
          </cell>
        </row>
        <row r="9565">
          <cell r="A9565">
            <v>1500017718</v>
          </cell>
          <cell r="B9565">
            <v>15</v>
          </cell>
        </row>
        <row r="9566">
          <cell r="A9566">
            <v>1500017721</v>
          </cell>
          <cell r="B9566">
            <v>0</v>
          </cell>
        </row>
        <row r="9567">
          <cell r="A9567">
            <v>1500017722</v>
          </cell>
          <cell r="B9567">
            <v>33.3333333333333</v>
          </cell>
        </row>
        <row r="9568">
          <cell r="A9568">
            <v>1500017723</v>
          </cell>
          <cell r="B9568">
            <v>0.66666666666666696</v>
          </cell>
        </row>
        <row r="9569">
          <cell r="A9569">
            <v>1500017724</v>
          </cell>
          <cell r="B9569">
            <v>9.4166666666666696</v>
          </cell>
        </row>
        <row r="9570">
          <cell r="A9570">
            <v>1500017726</v>
          </cell>
          <cell r="B9570">
            <v>2.1666666666666701</v>
          </cell>
        </row>
        <row r="9571">
          <cell r="A9571">
            <v>1500017727</v>
          </cell>
          <cell r="B9571">
            <v>8.9166666666666696</v>
          </cell>
        </row>
        <row r="9572">
          <cell r="A9572">
            <v>1500017728</v>
          </cell>
          <cell r="B9572">
            <v>37.0833333333333</v>
          </cell>
        </row>
        <row r="9573">
          <cell r="A9573">
            <v>1500017729</v>
          </cell>
          <cell r="B9573">
            <v>11.1666666666667</v>
          </cell>
        </row>
        <row r="9574">
          <cell r="A9574">
            <v>1500017730</v>
          </cell>
          <cell r="B9574">
            <v>6.5833333333333304</v>
          </cell>
        </row>
        <row r="9575">
          <cell r="A9575">
            <v>1500017731</v>
          </cell>
          <cell r="B9575">
            <v>0</v>
          </cell>
        </row>
        <row r="9576">
          <cell r="A9576">
            <v>1500017732</v>
          </cell>
          <cell r="B9576">
            <v>26.3333333333333</v>
          </cell>
        </row>
        <row r="9577">
          <cell r="A9577">
            <v>1500017734</v>
          </cell>
          <cell r="B9577">
            <v>9.1666666666666696</v>
          </cell>
        </row>
        <row r="9578">
          <cell r="A9578">
            <v>1500017735</v>
          </cell>
          <cell r="B9578">
            <v>11.6666666666667</v>
          </cell>
        </row>
        <row r="9579">
          <cell r="A9579">
            <v>1500017736</v>
          </cell>
          <cell r="B9579">
            <v>5</v>
          </cell>
        </row>
        <row r="9580">
          <cell r="A9580">
            <v>1500017737</v>
          </cell>
          <cell r="B9580">
            <v>0</v>
          </cell>
        </row>
        <row r="9581">
          <cell r="A9581">
            <v>1500017773</v>
          </cell>
          <cell r="B9581">
            <v>5.1666666666666696</v>
          </cell>
        </row>
        <row r="9582">
          <cell r="A9582">
            <v>1500017774</v>
          </cell>
          <cell r="B9582">
            <v>29</v>
          </cell>
        </row>
        <row r="9583">
          <cell r="A9583">
            <v>1500017838</v>
          </cell>
          <cell r="B9583">
            <v>1.3333333333333299</v>
          </cell>
        </row>
        <row r="9584">
          <cell r="A9584">
            <v>1500017839</v>
          </cell>
          <cell r="B9584">
            <v>14.3333333333333</v>
          </cell>
        </row>
        <row r="9585">
          <cell r="A9585">
            <v>1500017840</v>
          </cell>
          <cell r="B9585">
            <v>48.225000000000001</v>
          </cell>
        </row>
        <row r="9586">
          <cell r="A9586">
            <v>1500017841</v>
          </cell>
          <cell r="B9586">
            <v>10.1666666666667</v>
          </cell>
        </row>
        <row r="9587">
          <cell r="A9587">
            <v>1500017842</v>
          </cell>
          <cell r="B9587">
            <v>72.0833333333333</v>
          </cell>
        </row>
        <row r="9588">
          <cell r="A9588">
            <v>1500017786</v>
          </cell>
          <cell r="B9588">
            <v>3.3333333333333299</v>
          </cell>
        </row>
        <row r="9589">
          <cell r="A9589">
            <v>1500017787</v>
          </cell>
          <cell r="B9589">
            <v>8.3333333333333304</v>
          </cell>
        </row>
        <row r="9590">
          <cell r="A9590">
            <v>1500017788</v>
          </cell>
          <cell r="B9590">
            <v>12.5</v>
          </cell>
        </row>
        <row r="9591">
          <cell r="A9591">
            <v>1500017789</v>
          </cell>
          <cell r="B9591">
            <v>50.383333333333297</v>
          </cell>
        </row>
        <row r="9592">
          <cell r="A9592">
            <v>1500017790</v>
          </cell>
          <cell r="B9592">
            <v>7.3333333333333304</v>
          </cell>
        </row>
        <row r="9593">
          <cell r="A9593">
            <v>1500017791</v>
          </cell>
          <cell r="B9593">
            <v>11.4166666666667</v>
          </cell>
        </row>
        <row r="9594">
          <cell r="A9594">
            <v>1500017792</v>
          </cell>
          <cell r="B9594">
            <v>0.83333333333333304</v>
          </cell>
        </row>
        <row r="9595">
          <cell r="A9595">
            <v>1500017793</v>
          </cell>
          <cell r="B9595">
            <v>6.25</v>
          </cell>
        </row>
        <row r="9596">
          <cell r="A9596">
            <v>1500017794</v>
          </cell>
          <cell r="B9596">
            <v>55.9166666666667</v>
          </cell>
        </row>
        <row r="9597">
          <cell r="A9597">
            <v>1500017804</v>
          </cell>
          <cell r="B9597">
            <v>0</v>
          </cell>
        </row>
        <row r="9598">
          <cell r="A9598">
            <v>1500017805</v>
          </cell>
          <cell r="B9598">
            <v>0</v>
          </cell>
        </row>
        <row r="9599">
          <cell r="A9599">
            <v>1500017806</v>
          </cell>
          <cell r="B9599">
            <v>9.5</v>
          </cell>
        </row>
        <row r="9600">
          <cell r="A9600">
            <v>1500017807</v>
          </cell>
          <cell r="B9600">
            <v>0</v>
          </cell>
        </row>
        <row r="9601">
          <cell r="A9601">
            <v>1500017808</v>
          </cell>
          <cell r="B9601">
            <v>9.5833333333333304</v>
          </cell>
        </row>
        <row r="9602">
          <cell r="A9602">
            <v>1500017809</v>
          </cell>
          <cell r="B9602">
            <v>6.25</v>
          </cell>
        </row>
        <row r="9603">
          <cell r="A9603">
            <v>1500017810</v>
          </cell>
          <cell r="B9603">
            <v>5.0833333333333304</v>
          </cell>
        </row>
        <row r="9604">
          <cell r="A9604">
            <v>1500017811</v>
          </cell>
          <cell r="B9604">
            <v>0</v>
          </cell>
        </row>
        <row r="9605">
          <cell r="A9605">
            <v>1500017812</v>
          </cell>
          <cell r="B9605">
            <v>2.5833333333333299</v>
          </cell>
        </row>
        <row r="9606">
          <cell r="A9606">
            <v>1500017813</v>
          </cell>
          <cell r="B9606">
            <v>2.75</v>
          </cell>
        </row>
        <row r="9607">
          <cell r="A9607">
            <v>1500017814</v>
          </cell>
          <cell r="B9607">
            <v>19.0833333333333</v>
          </cell>
        </row>
        <row r="9608">
          <cell r="A9608">
            <v>1500017815</v>
          </cell>
          <cell r="B9608">
            <v>11.4166666666667</v>
          </cell>
        </row>
        <row r="9609">
          <cell r="A9609">
            <v>1500017816</v>
          </cell>
          <cell r="B9609">
            <v>5.0833333333333304</v>
          </cell>
        </row>
        <row r="9610">
          <cell r="A9610">
            <v>1500017817</v>
          </cell>
          <cell r="B9610">
            <v>7.3333333333333304</v>
          </cell>
        </row>
        <row r="9611">
          <cell r="A9611">
            <v>1500017819</v>
          </cell>
          <cell r="B9611">
            <v>6.6666666666666696</v>
          </cell>
        </row>
        <row r="9612">
          <cell r="A9612">
            <v>1500017820</v>
          </cell>
          <cell r="B9612">
            <v>53.924999999999997</v>
          </cell>
        </row>
        <row r="9613">
          <cell r="A9613">
            <v>1500017821</v>
          </cell>
          <cell r="B9613">
            <v>47.9166666666667</v>
          </cell>
        </row>
        <row r="9614">
          <cell r="A9614">
            <v>1500017822</v>
          </cell>
          <cell r="B9614">
            <v>26.6666666666667</v>
          </cell>
        </row>
        <row r="9615">
          <cell r="A9615">
            <v>1500017824</v>
          </cell>
          <cell r="B9615">
            <v>49.9166666666667</v>
          </cell>
        </row>
        <row r="9616">
          <cell r="A9616">
            <v>1500017825</v>
          </cell>
          <cell r="B9616">
            <v>44.1666666666667</v>
          </cell>
        </row>
        <row r="9617">
          <cell r="A9617">
            <v>1500017828</v>
          </cell>
          <cell r="B9617">
            <v>38.4166666666667</v>
          </cell>
        </row>
        <row r="9618">
          <cell r="A9618">
            <v>1500017829</v>
          </cell>
          <cell r="B9618">
            <v>17.1666666666667</v>
          </cell>
        </row>
        <row r="9619">
          <cell r="A9619">
            <v>1500017830</v>
          </cell>
          <cell r="B9619">
            <v>0</v>
          </cell>
        </row>
        <row r="9620">
          <cell r="A9620">
            <v>1500017831</v>
          </cell>
          <cell r="B9620">
            <v>33.75</v>
          </cell>
        </row>
        <row r="9621">
          <cell r="A9621">
            <v>1500017832</v>
          </cell>
          <cell r="B9621">
            <v>1.25</v>
          </cell>
        </row>
        <row r="9622">
          <cell r="A9622">
            <v>1500017833</v>
          </cell>
          <cell r="B9622">
            <v>13.1666666666667</v>
          </cell>
        </row>
        <row r="9623">
          <cell r="A9623">
            <v>1500017834</v>
          </cell>
          <cell r="B9623">
            <v>0.5</v>
          </cell>
        </row>
        <row r="9624">
          <cell r="A9624">
            <v>1500017835</v>
          </cell>
          <cell r="B9624">
            <v>34.0833333333333</v>
          </cell>
        </row>
        <row r="9625">
          <cell r="A9625">
            <v>1500017844</v>
          </cell>
          <cell r="B9625">
            <v>14.5833333333333</v>
          </cell>
        </row>
        <row r="9626">
          <cell r="A9626">
            <v>1500017855</v>
          </cell>
          <cell r="B9626">
            <v>89</v>
          </cell>
        </row>
        <row r="9627">
          <cell r="A9627">
            <v>1500017845</v>
          </cell>
          <cell r="B9627">
            <v>36.8333333333333</v>
          </cell>
        </row>
        <row r="9628">
          <cell r="A9628">
            <v>1500017846</v>
          </cell>
          <cell r="B9628">
            <v>27.9166666666667</v>
          </cell>
        </row>
        <row r="9629">
          <cell r="A9629">
            <v>1500017848</v>
          </cell>
          <cell r="B9629">
            <v>3</v>
          </cell>
        </row>
        <row r="9630">
          <cell r="A9630">
            <v>1500017849</v>
          </cell>
          <cell r="B9630">
            <v>8.3333333333333304</v>
          </cell>
        </row>
        <row r="9631">
          <cell r="A9631">
            <v>1500017850</v>
          </cell>
          <cell r="B9631">
            <v>6.0833333333333304</v>
          </cell>
        </row>
        <row r="9632">
          <cell r="A9632">
            <v>1500017851</v>
          </cell>
          <cell r="B9632">
            <v>0</v>
          </cell>
        </row>
        <row r="9633">
          <cell r="A9633">
            <v>1500017852</v>
          </cell>
          <cell r="B9633">
            <v>0</v>
          </cell>
        </row>
        <row r="9634">
          <cell r="A9634">
            <v>1500017853</v>
          </cell>
          <cell r="B9634">
            <v>0</v>
          </cell>
        </row>
        <row r="9635">
          <cell r="A9635">
            <v>1500017796</v>
          </cell>
          <cell r="B9635">
            <v>0</v>
          </cell>
        </row>
        <row r="9636">
          <cell r="A9636">
            <v>1500017797</v>
          </cell>
          <cell r="B9636">
            <v>16.5833333333333</v>
          </cell>
        </row>
        <row r="9637">
          <cell r="A9637">
            <v>1500017854</v>
          </cell>
          <cell r="B9637">
            <v>0</v>
          </cell>
        </row>
        <row r="9638">
          <cell r="A9638">
            <v>1500017857</v>
          </cell>
          <cell r="B9638">
            <v>31.25</v>
          </cell>
        </row>
        <row r="9639">
          <cell r="A9639">
            <v>1500017858</v>
          </cell>
          <cell r="B9639">
            <v>0.83333333333333304</v>
          </cell>
        </row>
        <row r="9640">
          <cell r="A9640">
            <v>1500017859</v>
          </cell>
          <cell r="B9640">
            <v>10.9166666666667</v>
          </cell>
        </row>
        <row r="9641">
          <cell r="A9641">
            <v>1500017860</v>
          </cell>
          <cell r="B9641">
            <v>6.0833333333333304</v>
          </cell>
        </row>
        <row r="9642">
          <cell r="A9642">
            <v>1500017861</v>
          </cell>
          <cell r="B9642">
            <v>42.9166666666667</v>
          </cell>
        </row>
        <row r="9643">
          <cell r="A9643">
            <v>1500017882</v>
          </cell>
          <cell r="B9643">
            <v>12.5</v>
          </cell>
        </row>
        <row r="9644">
          <cell r="A9644">
            <v>1500017883</v>
          </cell>
          <cell r="B9644">
            <v>34.6666666666667</v>
          </cell>
        </row>
        <row r="9645">
          <cell r="A9645">
            <v>1500017884</v>
          </cell>
          <cell r="B9645">
            <v>13.75</v>
          </cell>
        </row>
        <row r="9646">
          <cell r="A9646">
            <v>1500017890</v>
          </cell>
          <cell r="B9646">
            <v>6.6666666666666696</v>
          </cell>
        </row>
        <row r="9647">
          <cell r="A9647">
            <v>1500017891</v>
          </cell>
          <cell r="B9647">
            <v>31.25</v>
          </cell>
        </row>
        <row r="9648">
          <cell r="A9648">
            <v>1500017892</v>
          </cell>
          <cell r="B9648">
            <v>12.5</v>
          </cell>
        </row>
        <row r="9649">
          <cell r="A9649">
            <v>1500017893</v>
          </cell>
          <cell r="B9649">
            <v>0</v>
          </cell>
        </row>
        <row r="9650">
          <cell r="A9650">
            <v>1500017887</v>
          </cell>
          <cell r="B9650">
            <v>8.9166666666666696</v>
          </cell>
        </row>
        <row r="9651">
          <cell r="A9651">
            <v>1500017895</v>
          </cell>
          <cell r="B9651">
            <v>0.83333333333333304</v>
          </cell>
        </row>
        <row r="9652">
          <cell r="A9652">
            <v>1500017896</v>
          </cell>
          <cell r="B9652">
            <v>0</v>
          </cell>
        </row>
        <row r="9653">
          <cell r="A9653">
            <v>1500017897</v>
          </cell>
          <cell r="B9653">
            <v>16.6666666666667</v>
          </cell>
        </row>
        <row r="9654">
          <cell r="A9654">
            <v>1500017898</v>
          </cell>
          <cell r="B9654">
            <v>4.4916666666666698</v>
          </cell>
        </row>
        <row r="9655">
          <cell r="A9655">
            <v>1500017899</v>
          </cell>
          <cell r="B9655">
            <v>15</v>
          </cell>
        </row>
        <row r="9656">
          <cell r="A9656">
            <v>1500017900</v>
          </cell>
          <cell r="B9656">
            <v>10.8333333333333</v>
          </cell>
        </row>
        <row r="9657">
          <cell r="A9657">
            <v>1500017901</v>
          </cell>
          <cell r="B9657">
            <v>8.625</v>
          </cell>
        </row>
        <row r="9658">
          <cell r="A9658">
            <v>1500017902</v>
          </cell>
          <cell r="B9658">
            <v>34.1666666666667</v>
          </cell>
        </row>
        <row r="9659">
          <cell r="A9659">
            <v>1500017874</v>
          </cell>
          <cell r="B9659">
            <v>4.1666666666666696</v>
          </cell>
        </row>
        <row r="9660">
          <cell r="A9660">
            <v>1500017875</v>
          </cell>
          <cell r="B9660">
            <v>10.9166666666667</v>
          </cell>
        </row>
        <row r="9661">
          <cell r="A9661">
            <v>1500017876</v>
          </cell>
          <cell r="B9661">
            <v>10.5</v>
          </cell>
        </row>
        <row r="9662">
          <cell r="A9662">
            <v>1500017877</v>
          </cell>
          <cell r="B9662">
            <v>47.9166666666667</v>
          </cell>
        </row>
        <row r="9663">
          <cell r="A9663">
            <v>1500017878</v>
          </cell>
          <cell r="B9663">
            <v>11.4166666666667</v>
          </cell>
        </row>
        <row r="9664">
          <cell r="A9664">
            <v>1500017880</v>
          </cell>
          <cell r="B9664">
            <v>22.5</v>
          </cell>
        </row>
        <row r="9665">
          <cell r="A9665">
            <v>1500017881</v>
          </cell>
          <cell r="B9665">
            <v>19.0833333333333</v>
          </cell>
        </row>
        <row r="9666">
          <cell r="A9666">
            <v>1500017912</v>
          </cell>
          <cell r="B9666">
            <v>4.8333333333333304</v>
          </cell>
        </row>
        <row r="9667">
          <cell r="A9667">
            <v>1500017913</v>
          </cell>
          <cell r="B9667">
            <v>38.3333333333333</v>
          </cell>
        </row>
        <row r="9668">
          <cell r="A9668">
            <v>1500017926</v>
          </cell>
          <cell r="B9668">
            <v>20.2916666666667</v>
          </cell>
        </row>
        <row r="9669">
          <cell r="A9669">
            <v>1500017928</v>
          </cell>
          <cell r="B9669">
            <v>27.5</v>
          </cell>
        </row>
        <row r="9670">
          <cell r="A9670">
            <v>1500017929</v>
          </cell>
          <cell r="B9670">
            <v>6.6666666666666696</v>
          </cell>
        </row>
        <row r="9671">
          <cell r="A9671">
            <v>1500017930</v>
          </cell>
          <cell r="B9671">
            <v>6.43333333333333</v>
          </cell>
        </row>
        <row r="9672">
          <cell r="A9672">
            <v>1500017931</v>
          </cell>
          <cell r="B9672">
            <v>25</v>
          </cell>
        </row>
        <row r="9673">
          <cell r="A9673">
            <v>1500017907</v>
          </cell>
          <cell r="B9673">
            <v>14.1666666666667</v>
          </cell>
        </row>
        <row r="9674">
          <cell r="A9674">
            <v>1500017938</v>
          </cell>
          <cell r="B9674">
            <v>11.6666666666667</v>
          </cell>
        </row>
        <row r="9675">
          <cell r="A9675">
            <v>1500017909</v>
          </cell>
          <cell r="B9675">
            <v>3.75</v>
          </cell>
        </row>
        <row r="9676">
          <cell r="A9676">
            <v>1500017910</v>
          </cell>
          <cell r="B9676">
            <v>29.1666666666667</v>
          </cell>
        </row>
        <row r="9677">
          <cell r="A9677">
            <v>1500017911</v>
          </cell>
          <cell r="B9677">
            <v>2.5</v>
          </cell>
        </row>
        <row r="9678">
          <cell r="A9678">
            <v>1500017932</v>
          </cell>
          <cell r="B9678">
            <v>9.4166666666666696</v>
          </cell>
        </row>
        <row r="9679">
          <cell r="A9679">
            <v>1500017863</v>
          </cell>
          <cell r="B9679">
            <v>10.4166666666667</v>
          </cell>
        </row>
        <row r="9680">
          <cell r="A9680">
            <v>1500017864</v>
          </cell>
          <cell r="B9680">
            <v>9.1666666666666696</v>
          </cell>
        </row>
        <row r="9681">
          <cell r="A9681">
            <v>1500017865</v>
          </cell>
          <cell r="B9681">
            <v>3.3333333333333299</v>
          </cell>
        </row>
        <row r="9682">
          <cell r="A9682">
            <v>1500017866</v>
          </cell>
          <cell r="B9682">
            <v>0</v>
          </cell>
        </row>
        <row r="9683">
          <cell r="A9683">
            <v>1500017867</v>
          </cell>
          <cell r="B9683">
            <v>18.75</v>
          </cell>
        </row>
        <row r="9684">
          <cell r="A9684">
            <v>1500017869</v>
          </cell>
          <cell r="B9684">
            <v>37</v>
          </cell>
        </row>
        <row r="9685">
          <cell r="A9685">
            <v>1500017870</v>
          </cell>
          <cell r="B9685">
            <v>24.6666666666667</v>
          </cell>
        </row>
        <row r="9686">
          <cell r="A9686">
            <v>1500017871</v>
          </cell>
          <cell r="B9686">
            <v>10</v>
          </cell>
        </row>
        <row r="9687">
          <cell r="A9687">
            <v>1500017872</v>
          </cell>
          <cell r="B9687">
            <v>2.1666666666666701</v>
          </cell>
        </row>
        <row r="9688">
          <cell r="A9688">
            <v>1500017873</v>
          </cell>
          <cell r="B9688">
            <v>19.6666666666667</v>
          </cell>
        </row>
        <row r="9689">
          <cell r="A9689">
            <v>1500017916</v>
          </cell>
          <cell r="B9689">
            <v>60.8333333333333</v>
          </cell>
        </row>
        <row r="9690">
          <cell r="A9690">
            <v>1500017918</v>
          </cell>
          <cell r="B9690">
            <v>0.83333333333333304</v>
          </cell>
        </row>
        <row r="9691">
          <cell r="A9691">
            <v>1500017919</v>
          </cell>
          <cell r="B9691">
            <v>9.8333333333333304</v>
          </cell>
        </row>
        <row r="9692">
          <cell r="A9692">
            <v>1500017923</v>
          </cell>
          <cell r="B9692">
            <v>22.9166666666667</v>
          </cell>
        </row>
        <row r="9693">
          <cell r="A9693">
            <v>1500017924</v>
          </cell>
          <cell r="B9693">
            <v>0</v>
          </cell>
        </row>
        <row r="9694">
          <cell r="A9694">
            <v>1500017925</v>
          </cell>
          <cell r="B9694">
            <v>73.75</v>
          </cell>
        </row>
        <row r="9695">
          <cell r="A9695">
            <v>1500017944</v>
          </cell>
          <cell r="B9695">
            <v>0</v>
          </cell>
        </row>
        <row r="9696">
          <cell r="A9696">
            <v>1500017945</v>
          </cell>
          <cell r="B9696">
            <v>11.4</v>
          </cell>
        </row>
        <row r="9697">
          <cell r="A9697">
            <v>1500017949</v>
          </cell>
          <cell r="B9697">
            <v>0</v>
          </cell>
        </row>
        <row r="9698">
          <cell r="A9698">
            <v>1500017964</v>
          </cell>
          <cell r="B9698">
            <v>28.8333333333333</v>
          </cell>
        </row>
        <row r="9699">
          <cell r="A9699">
            <v>1500017965</v>
          </cell>
          <cell r="B9699">
            <v>4.1666666666666696</v>
          </cell>
        </row>
        <row r="9700">
          <cell r="A9700">
            <v>1500017966</v>
          </cell>
          <cell r="B9700">
            <v>13.3333333333333</v>
          </cell>
        </row>
        <row r="9701">
          <cell r="A9701">
            <v>1500017967</v>
          </cell>
          <cell r="B9701">
            <v>23.25</v>
          </cell>
        </row>
        <row r="9702">
          <cell r="A9702">
            <v>1500017968</v>
          </cell>
          <cell r="B9702">
            <v>0</v>
          </cell>
        </row>
        <row r="9703">
          <cell r="A9703">
            <v>1500017969</v>
          </cell>
          <cell r="B9703">
            <v>8.3333333333333304</v>
          </cell>
        </row>
        <row r="9704">
          <cell r="A9704">
            <v>1500017970</v>
          </cell>
          <cell r="B9704">
            <v>12.3333333333333</v>
          </cell>
        </row>
        <row r="9705">
          <cell r="A9705">
            <v>1500018002</v>
          </cell>
          <cell r="B9705">
            <v>248.916666666667</v>
          </cell>
        </row>
        <row r="9706">
          <cell r="A9706">
            <v>1500017994</v>
          </cell>
          <cell r="B9706">
            <v>8</v>
          </cell>
        </row>
        <row r="9707">
          <cell r="A9707">
            <v>1500017995</v>
          </cell>
          <cell r="B9707">
            <v>7.1666666666666696</v>
          </cell>
        </row>
        <row r="9708">
          <cell r="A9708">
            <v>1500017997</v>
          </cell>
          <cell r="B9708">
            <v>20</v>
          </cell>
        </row>
        <row r="9709">
          <cell r="A9709">
            <v>1500017998</v>
          </cell>
          <cell r="B9709">
            <v>1.5</v>
          </cell>
        </row>
        <row r="9710">
          <cell r="A9710">
            <v>1500017999</v>
          </cell>
          <cell r="B9710">
            <v>20.25</v>
          </cell>
        </row>
        <row r="9711">
          <cell r="A9711">
            <v>1500018000</v>
          </cell>
          <cell r="B9711">
            <v>0</v>
          </cell>
        </row>
        <row r="9712">
          <cell r="A9712">
            <v>1500018001</v>
          </cell>
          <cell r="B9712">
            <v>14</v>
          </cell>
        </row>
        <row r="9713">
          <cell r="A9713">
            <v>1500017972</v>
          </cell>
          <cell r="B9713">
            <v>4.5833333333333304</v>
          </cell>
        </row>
        <row r="9714">
          <cell r="A9714">
            <v>1500017973</v>
          </cell>
          <cell r="B9714">
            <v>2.9166666666666701</v>
          </cell>
        </row>
        <row r="9715">
          <cell r="A9715">
            <v>1500017974</v>
          </cell>
          <cell r="B9715">
            <v>8.3333333333333304</v>
          </cell>
        </row>
        <row r="9716">
          <cell r="A9716">
            <v>1500017960</v>
          </cell>
          <cell r="B9716">
            <v>48.3333333333333</v>
          </cell>
        </row>
        <row r="9717">
          <cell r="A9717">
            <v>1500017961</v>
          </cell>
          <cell r="B9717">
            <v>51.7916666666667</v>
          </cell>
        </row>
        <row r="9718">
          <cell r="A9718">
            <v>1500017982</v>
          </cell>
          <cell r="B9718">
            <v>0</v>
          </cell>
        </row>
        <row r="9719">
          <cell r="A9719">
            <v>1500017983</v>
          </cell>
          <cell r="B9719">
            <v>9.5833333333333304</v>
          </cell>
        </row>
        <row r="9720">
          <cell r="A9720">
            <v>1500017984</v>
          </cell>
          <cell r="B9720">
            <v>24</v>
          </cell>
        </row>
        <row r="9721">
          <cell r="A9721">
            <v>1500017985</v>
          </cell>
          <cell r="B9721">
            <v>28</v>
          </cell>
        </row>
        <row r="9722">
          <cell r="A9722">
            <v>1500017986</v>
          </cell>
          <cell r="B9722">
            <v>31.4166666666667</v>
          </cell>
        </row>
        <row r="9723">
          <cell r="A9723">
            <v>1500017987</v>
          </cell>
          <cell r="B9723">
            <v>22.75</v>
          </cell>
        </row>
        <row r="9724">
          <cell r="A9724">
            <v>1500018005</v>
          </cell>
          <cell r="B9724">
            <v>23.1666666666667</v>
          </cell>
        </row>
        <row r="9725">
          <cell r="A9725">
            <v>1500018009</v>
          </cell>
          <cell r="B9725">
            <v>6.75</v>
          </cell>
        </row>
        <row r="9726">
          <cell r="A9726">
            <v>1500018010</v>
          </cell>
          <cell r="B9726">
            <v>6.6666666666666696</v>
          </cell>
        </row>
        <row r="9727">
          <cell r="A9727">
            <v>1500018011</v>
          </cell>
          <cell r="B9727">
            <v>42.3333333333333</v>
          </cell>
        </row>
        <row r="9728">
          <cell r="A9728">
            <v>1500018012</v>
          </cell>
          <cell r="B9728">
            <v>2.5</v>
          </cell>
        </row>
        <row r="9729">
          <cell r="A9729">
            <v>1500018013</v>
          </cell>
          <cell r="B9729">
            <v>15.6666666666667</v>
          </cell>
        </row>
        <row r="9730">
          <cell r="A9730">
            <v>1500018014</v>
          </cell>
          <cell r="B9730">
            <v>3.3333333333333299</v>
          </cell>
        </row>
        <row r="9731">
          <cell r="A9731">
            <v>1500018016</v>
          </cell>
          <cell r="B9731">
            <v>15</v>
          </cell>
        </row>
        <row r="9732">
          <cell r="A9732">
            <v>1500018017</v>
          </cell>
          <cell r="B9732">
            <v>16.6666666666667</v>
          </cell>
        </row>
        <row r="9733">
          <cell r="A9733">
            <v>1500018018</v>
          </cell>
          <cell r="B9733">
            <v>8.4166666666666696</v>
          </cell>
        </row>
        <row r="9734">
          <cell r="A9734">
            <v>1500018019</v>
          </cell>
          <cell r="B9734">
            <v>43.75</v>
          </cell>
        </row>
        <row r="9735">
          <cell r="A9735">
            <v>1500018020</v>
          </cell>
          <cell r="B9735">
            <v>2.9166666666666701</v>
          </cell>
        </row>
        <row r="9736">
          <cell r="A9736">
            <v>1500018021</v>
          </cell>
          <cell r="B9736">
            <v>92.491666666666703</v>
          </cell>
        </row>
        <row r="9737">
          <cell r="A9737">
            <v>1500018022</v>
          </cell>
          <cell r="B9737">
            <v>14.1666666666667</v>
          </cell>
        </row>
        <row r="9738">
          <cell r="A9738">
            <v>1500018024</v>
          </cell>
          <cell r="B9738">
            <v>37.5</v>
          </cell>
        </row>
        <row r="9739">
          <cell r="A9739">
            <v>1500018042</v>
          </cell>
          <cell r="B9739">
            <v>12.5</v>
          </cell>
        </row>
        <row r="9740">
          <cell r="A9740">
            <v>1500018043</v>
          </cell>
          <cell r="B9740">
            <v>34.1666666666667</v>
          </cell>
        </row>
        <row r="9741">
          <cell r="A9741">
            <v>1500018044</v>
          </cell>
          <cell r="B9741">
            <v>10.8333333333333</v>
          </cell>
        </row>
        <row r="9742">
          <cell r="A9742">
            <v>1500018045</v>
          </cell>
          <cell r="B9742">
            <v>40.8333333333333</v>
          </cell>
        </row>
        <row r="9743">
          <cell r="A9743">
            <v>1500018046</v>
          </cell>
          <cell r="B9743">
            <v>43.3333333333333</v>
          </cell>
        </row>
        <row r="9744">
          <cell r="A9744">
            <v>1500018047</v>
          </cell>
          <cell r="B9744">
            <v>1</v>
          </cell>
        </row>
        <row r="9745">
          <cell r="A9745">
            <v>1500018048</v>
          </cell>
          <cell r="B9745">
            <v>106.35</v>
          </cell>
        </row>
        <row r="9746">
          <cell r="A9746">
            <v>1500018049</v>
          </cell>
          <cell r="B9746">
            <v>52.75</v>
          </cell>
        </row>
        <row r="9747">
          <cell r="A9747">
            <v>1500018050</v>
          </cell>
          <cell r="B9747">
            <v>6.3333333333333304</v>
          </cell>
        </row>
        <row r="9748">
          <cell r="A9748">
            <v>1500018051</v>
          </cell>
          <cell r="B9748">
            <v>113.958333333333</v>
          </cell>
        </row>
        <row r="9749">
          <cell r="A9749">
            <v>1500018052</v>
          </cell>
          <cell r="B9749">
            <v>0</v>
          </cell>
        </row>
        <row r="9750">
          <cell r="A9750">
            <v>1500018053</v>
          </cell>
          <cell r="B9750">
            <v>35</v>
          </cell>
        </row>
        <row r="9751">
          <cell r="A9751">
            <v>1500018054</v>
          </cell>
          <cell r="B9751">
            <v>0</v>
          </cell>
        </row>
        <row r="9752">
          <cell r="A9752">
            <v>1500018055</v>
          </cell>
          <cell r="B9752">
            <v>90.0416666666667</v>
          </cell>
        </row>
        <row r="9753">
          <cell r="A9753">
            <v>1500018056</v>
          </cell>
          <cell r="B9753">
            <v>3.3333333333333299</v>
          </cell>
        </row>
        <row r="9754">
          <cell r="A9754">
            <v>1500018057</v>
          </cell>
          <cell r="B9754">
            <v>63.1666666666667</v>
          </cell>
        </row>
        <row r="9755">
          <cell r="A9755">
            <v>1500018058</v>
          </cell>
          <cell r="B9755">
            <v>34.5833333333333</v>
          </cell>
        </row>
        <row r="9756">
          <cell r="A9756">
            <v>1500018059</v>
          </cell>
          <cell r="B9756">
            <v>18.75</v>
          </cell>
        </row>
        <row r="9757">
          <cell r="A9757">
            <v>1500018060</v>
          </cell>
          <cell r="B9757">
            <v>19.1666666666667</v>
          </cell>
        </row>
        <row r="9758">
          <cell r="A9758">
            <v>1500018061</v>
          </cell>
          <cell r="B9758">
            <v>10.875</v>
          </cell>
        </row>
        <row r="9759">
          <cell r="A9759">
            <v>1500018063</v>
          </cell>
          <cell r="B9759">
            <v>5.1666666666666696</v>
          </cell>
        </row>
        <row r="9760">
          <cell r="A9760">
            <v>1500018064</v>
          </cell>
          <cell r="B9760">
            <v>13.5666666666667</v>
          </cell>
        </row>
        <row r="9761">
          <cell r="A9761">
            <v>1500018065</v>
          </cell>
          <cell r="B9761">
            <v>4.1666666666666696</v>
          </cell>
        </row>
        <row r="9762">
          <cell r="A9762">
            <v>1500018066</v>
          </cell>
          <cell r="B9762">
            <v>6.6666666666666696</v>
          </cell>
        </row>
        <row r="9763">
          <cell r="A9763">
            <v>1500018067</v>
          </cell>
          <cell r="B9763">
            <v>23.65</v>
          </cell>
        </row>
        <row r="9764">
          <cell r="A9764">
            <v>1500018068</v>
          </cell>
          <cell r="B9764">
            <v>38.8333333333333</v>
          </cell>
        </row>
        <row r="9765">
          <cell r="A9765">
            <v>1500018069</v>
          </cell>
          <cell r="B9765">
            <v>19.3333333333333</v>
          </cell>
        </row>
        <row r="9766">
          <cell r="A9766">
            <v>1500018072</v>
          </cell>
          <cell r="B9766">
            <v>16.25</v>
          </cell>
        </row>
        <row r="9767">
          <cell r="A9767">
            <v>1500018073</v>
          </cell>
          <cell r="B9767">
            <v>0.83333333333333304</v>
          </cell>
        </row>
        <row r="9768">
          <cell r="A9768">
            <v>1500018074</v>
          </cell>
          <cell r="B9768">
            <v>49.5833333333333</v>
          </cell>
        </row>
        <row r="9769">
          <cell r="A9769">
            <v>1500018075</v>
          </cell>
          <cell r="B9769">
            <v>1.4166666666666701</v>
          </cell>
        </row>
        <row r="9770">
          <cell r="A9770">
            <v>1500018078</v>
          </cell>
          <cell r="B9770">
            <v>9.5833333333333304</v>
          </cell>
        </row>
        <row r="9771">
          <cell r="A9771">
            <v>1500018079</v>
          </cell>
          <cell r="B9771">
            <v>21.1666666666667</v>
          </cell>
        </row>
        <row r="9772">
          <cell r="A9772">
            <v>1500018034</v>
          </cell>
          <cell r="B9772">
            <v>12.5833333333333</v>
          </cell>
        </row>
        <row r="9773">
          <cell r="A9773">
            <v>1500018035</v>
          </cell>
          <cell r="B9773">
            <v>22.5</v>
          </cell>
        </row>
        <row r="9774">
          <cell r="A9774">
            <v>1500018036</v>
          </cell>
          <cell r="B9774">
            <v>89.1666666666667</v>
          </cell>
        </row>
        <row r="9775">
          <cell r="A9775">
            <v>1500018037</v>
          </cell>
          <cell r="B9775">
            <v>15.2083333333333</v>
          </cell>
        </row>
        <row r="9776">
          <cell r="A9776">
            <v>1500018038</v>
          </cell>
          <cell r="B9776">
            <v>0</v>
          </cell>
        </row>
        <row r="9777">
          <cell r="A9777">
            <v>1500018039</v>
          </cell>
          <cell r="B9777">
            <v>54.341666666666697</v>
          </cell>
        </row>
        <row r="9778">
          <cell r="A9778">
            <v>1500018070</v>
          </cell>
          <cell r="B9778">
            <v>11.25</v>
          </cell>
        </row>
        <row r="9779">
          <cell r="A9779">
            <v>1500018071</v>
          </cell>
          <cell r="B9779">
            <v>12.5833333333333</v>
          </cell>
        </row>
        <row r="9780">
          <cell r="A9780">
            <v>1500018082</v>
          </cell>
          <cell r="B9780">
            <v>21.5833333333333</v>
          </cell>
        </row>
        <row r="9781">
          <cell r="A9781">
            <v>1500018083</v>
          </cell>
          <cell r="B9781">
            <v>9.1666666666666696</v>
          </cell>
        </row>
        <row r="9782">
          <cell r="A9782">
            <v>1500018084</v>
          </cell>
          <cell r="B9782">
            <v>15.3333333333333</v>
          </cell>
        </row>
        <row r="9783">
          <cell r="A9783">
            <v>1500018080</v>
          </cell>
          <cell r="B9783">
            <v>0</v>
          </cell>
        </row>
        <row r="9784">
          <cell r="A9784">
            <v>1500018081</v>
          </cell>
          <cell r="B9784">
            <v>9.5833333333333304</v>
          </cell>
        </row>
        <row r="9785">
          <cell r="A9785">
            <v>1500018094</v>
          </cell>
          <cell r="B9785">
            <v>29.9166666666667</v>
          </cell>
        </row>
        <row r="9786">
          <cell r="A9786">
            <v>1500018095</v>
          </cell>
          <cell r="B9786">
            <v>3.3333333333333299</v>
          </cell>
        </row>
        <row r="9787">
          <cell r="A9787">
            <v>1500018096</v>
          </cell>
          <cell r="B9787">
            <v>4.6666666666666696</v>
          </cell>
        </row>
        <row r="9788">
          <cell r="A9788">
            <v>1500018097</v>
          </cell>
          <cell r="B9788">
            <v>0</v>
          </cell>
        </row>
        <row r="9789">
          <cell r="A9789">
            <v>1500018098</v>
          </cell>
          <cell r="B9789">
            <v>13.5833333333333</v>
          </cell>
        </row>
        <row r="9790">
          <cell r="A9790">
            <v>1500018090</v>
          </cell>
          <cell r="B9790">
            <v>4.5833333333333304</v>
          </cell>
        </row>
        <row r="9791">
          <cell r="A9791">
            <v>1500018091</v>
          </cell>
          <cell r="B9791">
            <v>15.5</v>
          </cell>
        </row>
        <row r="9792">
          <cell r="A9792">
            <v>1500018102</v>
          </cell>
          <cell r="B9792">
            <v>13.9166666666667</v>
          </cell>
        </row>
        <row r="9793">
          <cell r="A9793">
            <v>1500018103</v>
          </cell>
          <cell r="B9793">
            <v>11.5833333333333</v>
          </cell>
        </row>
        <row r="9794">
          <cell r="A9794">
            <v>1500018104</v>
          </cell>
          <cell r="B9794">
            <v>35.8333333333333</v>
          </cell>
        </row>
        <row r="9795">
          <cell r="A9795">
            <v>1500018105</v>
          </cell>
          <cell r="B9795">
            <v>10</v>
          </cell>
        </row>
        <row r="9796">
          <cell r="A9796">
            <v>1500018106</v>
          </cell>
          <cell r="B9796">
            <v>26.6666666666667</v>
          </cell>
        </row>
        <row r="9797">
          <cell r="A9797">
            <v>1500018107</v>
          </cell>
          <cell r="B9797">
            <v>15.5833333333333</v>
          </cell>
        </row>
        <row r="9798">
          <cell r="A9798">
            <v>1500018108</v>
          </cell>
          <cell r="B9798">
            <v>18</v>
          </cell>
        </row>
        <row r="9799">
          <cell r="A9799">
            <v>1500018120</v>
          </cell>
          <cell r="B9799">
            <v>0</v>
          </cell>
        </row>
        <row r="9800">
          <cell r="A9800">
            <v>1500018121</v>
          </cell>
          <cell r="B9800">
            <v>0</v>
          </cell>
        </row>
        <row r="9801">
          <cell r="A9801">
            <v>1500018122</v>
          </cell>
          <cell r="B9801">
            <v>11.25</v>
          </cell>
        </row>
        <row r="9802">
          <cell r="A9802">
            <v>1500018123</v>
          </cell>
          <cell r="B9802">
            <v>13.9166666666667</v>
          </cell>
        </row>
        <row r="9803">
          <cell r="A9803">
            <v>1500018124</v>
          </cell>
          <cell r="B9803">
            <v>19.25</v>
          </cell>
        </row>
        <row r="9804">
          <cell r="A9804">
            <v>1500018131</v>
          </cell>
          <cell r="B9804">
            <v>11.8333333333333</v>
          </cell>
        </row>
        <row r="9805">
          <cell r="A9805">
            <v>1500018132</v>
          </cell>
          <cell r="B9805">
            <v>32.9166666666667</v>
          </cell>
        </row>
        <row r="9806">
          <cell r="A9806">
            <v>1500018133</v>
          </cell>
          <cell r="B9806">
            <v>0</v>
          </cell>
        </row>
        <row r="9807">
          <cell r="A9807">
            <v>1500018134</v>
          </cell>
          <cell r="B9807">
            <v>39.325000000000003</v>
          </cell>
        </row>
        <row r="9808">
          <cell r="A9808">
            <v>1500018136</v>
          </cell>
          <cell r="B9808">
            <v>331.90833333333302</v>
          </cell>
        </row>
        <row r="9809">
          <cell r="A9809">
            <v>1500018137</v>
          </cell>
          <cell r="B9809">
            <v>12</v>
          </cell>
        </row>
        <row r="9810">
          <cell r="A9810">
            <v>1500018145</v>
          </cell>
          <cell r="B9810">
            <v>0.41666666666666702</v>
          </cell>
        </row>
        <row r="9811">
          <cell r="A9811">
            <v>1500018146</v>
          </cell>
          <cell r="B9811">
            <v>23.75</v>
          </cell>
        </row>
        <row r="9812">
          <cell r="A9812">
            <v>1500018147</v>
          </cell>
          <cell r="B9812">
            <v>37.799999999999997</v>
          </cell>
        </row>
        <row r="9813">
          <cell r="A9813">
            <v>1500018148</v>
          </cell>
          <cell r="B9813">
            <v>15.5</v>
          </cell>
        </row>
        <row r="9814">
          <cell r="A9814">
            <v>1500018149</v>
          </cell>
          <cell r="B9814">
            <v>1.5</v>
          </cell>
        </row>
        <row r="9815">
          <cell r="A9815">
            <v>1500018150</v>
          </cell>
          <cell r="B9815">
            <v>25.3333333333333</v>
          </cell>
        </row>
        <row r="9816">
          <cell r="A9816">
            <v>1500018151</v>
          </cell>
          <cell r="B9816">
            <v>2.5</v>
          </cell>
        </row>
        <row r="9817">
          <cell r="A9817">
            <v>1500018152</v>
          </cell>
          <cell r="B9817">
            <v>29.741666666666699</v>
          </cell>
        </row>
        <row r="9818">
          <cell r="A9818">
            <v>1500018109</v>
          </cell>
          <cell r="B9818">
            <v>1.3333333333333299</v>
          </cell>
        </row>
        <row r="9819">
          <cell r="A9819">
            <v>1500018110</v>
          </cell>
          <cell r="B9819">
            <v>15.75</v>
          </cell>
        </row>
        <row r="9820">
          <cell r="A9820">
            <v>1500018153</v>
          </cell>
          <cell r="B9820">
            <v>19.3333333333333</v>
          </cell>
        </row>
        <row r="9821">
          <cell r="A9821">
            <v>1500018154</v>
          </cell>
          <cell r="B9821">
            <v>55.625</v>
          </cell>
        </row>
        <row r="9822">
          <cell r="A9822">
            <v>1500018155</v>
          </cell>
          <cell r="B9822">
            <v>15.4166666666667</v>
          </cell>
        </row>
        <row r="9823">
          <cell r="A9823">
            <v>1500018156</v>
          </cell>
          <cell r="B9823">
            <v>4.1666666666666696</v>
          </cell>
        </row>
        <row r="9824">
          <cell r="A9824">
            <v>1500018159</v>
          </cell>
          <cell r="B9824">
            <v>10.4166666666667</v>
          </cell>
        </row>
        <row r="9825">
          <cell r="A9825">
            <v>1500018157</v>
          </cell>
          <cell r="B9825">
            <v>9.1666666666666696</v>
          </cell>
        </row>
        <row r="9826">
          <cell r="A9826">
            <v>1500018158</v>
          </cell>
          <cell r="B9826">
            <v>5</v>
          </cell>
        </row>
        <row r="9827">
          <cell r="A9827">
            <v>1500018162</v>
          </cell>
          <cell r="B9827">
            <v>17.1666666666667</v>
          </cell>
        </row>
        <row r="9828">
          <cell r="A9828">
            <v>1500018163</v>
          </cell>
          <cell r="B9828">
            <v>8.5833333333333304</v>
          </cell>
        </row>
        <row r="9829">
          <cell r="A9829">
            <v>1500018164</v>
          </cell>
          <cell r="B9829">
            <v>0.41666666666666702</v>
          </cell>
        </row>
        <row r="9830">
          <cell r="A9830">
            <v>1500018165</v>
          </cell>
          <cell r="B9830">
            <v>12.5</v>
          </cell>
        </row>
        <row r="9831">
          <cell r="A9831">
            <v>1500018166</v>
          </cell>
          <cell r="B9831">
            <v>13.9166666666667</v>
          </cell>
        </row>
        <row r="9832">
          <cell r="A9832">
            <v>1500018160</v>
          </cell>
          <cell r="B9832">
            <v>14.75</v>
          </cell>
        </row>
        <row r="9833">
          <cell r="A9833">
            <v>1500018161</v>
          </cell>
          <cell r="B9833">
            <v>3</v>
          </cell>
        </row>
        <row r="9834">
          <cell r="A9834">
            <v>1500018172</v>
          </cell>
          <cell r="B9834">
            <v>20</v>
          </cell>
        </row>
        <row r="9835">
          <cell r="A9835">
            <v>1500018174</v>
          </cell>
          <cell r="B9835">
            <v>408.7</v>
          </cell>
        </row>
        <row r="9836">
          <cell r="A9836">
            <v>1500018175</v>
          </cell>
          <cell r="B9836">
            <v>2.5</v>
          </cell>
        </row>
        <row r="9837">
          <cell r="A9837">
            <v>1500018176</v>
          </cell>
          <cell r="B9837">
            <v>32.3333333333333</v>
          </cell>
        </row>
        <row r="9838">
          <cell r="A9838">
            <v>1500018181</v>
          </cell>
          <cell r="B9838">
            <v>15.8333333333333</v>
          </cell>
        </row>
        <row r="9839">
          <cell r="A9839">
            <v>1500018192</v>
          </cell>
          <cell r="B9839">
            <v>4.9166666666666696</v>
          </cell>
        </row>
        <row r="9840">
          <cell r="A9840">
            <v>1500018193</v>
          </cell>
          <cell r="B9840">
            <v>9.9166666666666696</v>
          </cell>
        </row>
        <row r="9841">
          <cell r="A9841">
            <v>1500018194</v>
          </cell>
          <cell r="B9841">
            <v>10.8333333333333</v>
          </cell>
        </row>
        <row r="9842">
          <cell r="A9842">
            <v>1500018195</v>
          </cell>
          <cell r="B9842">
            <v>22.5</v>
          </cell>
        </row>
        <row r="9843">
          <cell r="A9843">
            <v>1500018196</v>
          </cell>
          <cell r="B9843">
            <v>16.6666666666667</v>
          </cell>
        </row>
        <row r="9844">
          <cell r="A9844">
            <v>1500018197</v>
          </cell>
          <cell r="B9844">
            <v>17.6666666666667</v>
          </cell>
        </row>
        <row r="9845">
          <cell r="A9845">
            <v>1500018167</v>
          </cell>
          <cell r="B9845">
            <v>22.5</v>
          </cell>
        </row>
        <row r="9846">
          <cell r="A9846">
            <v>1500018168</v>
          </cell>
          <cell r="B9846">
            <v>20.5833333333333</v>
          </cell>
        </row>
        <row r="9847">
          <cell r="A9847">
            <v>1500018169</v>
          </cell>
          <cell r="B9847">
            <v>3.6666666666666701</v>
          </cell>
        </row>
        <row r="9848">
          <cell r="A9848">
            <v>1500018183</v>
          </cell>
          <cell r="B9848">
            <v>42.75</v>
          </cell>
        </row>
        <row r="9849">
          <cell r="A9849">
            <v>1500018184</v>
          </cell>
          <cell r="B9849">
            <v>98.3333333333333</v>
          </cell>
        </row>
        <row r="9850">
          <cell r="A9850">
            <v>1500018208</v>
          </cell>
          <cell r="B9850">
            <v>11.6666666666667</v>
          </cell>
        </row>
        <row r="9851">
          <cell r="A9851">
            <v>1500018211</v>
          </cell>
          <cell r="B9851">
            <v>19.6666666666667</v>
          </cell>
        </row>
        <row r="9852">
          <cell r="A9852">
            <v>1500018212</v>
          </cell>
          <cell r="B9852">
            <v>20.8333333333333</v>
          </cell>
        </row>
        <row r="9853">
          <cell r="A9853">
            <v>1500018213</v>
          </cell>
          <cell r="B9853">
            <v>0</v>
          </cell>
        </row>
        <row r="9854">
          <cell r="A9854">
            <v>1500018217</v>
          </cell>
          <cell r="B9854">
            <v>0</v>
          </cell>
        </row>
        <row r="9855">
          <cell r="A9855">
            <v>1500018218</v>
          </cell>
          <cell r="B9855">
            <v>11.25</v>
          </cell>
        </row>
        <row r="9856">
          <cell r="A9856">
            <v>1500018219</v>
          </cell>
          <cell r="B9856">
            <v>16.3333333333333</v>
          </cell>
        </row>
        <row r="9857">
          <cell r="A9857">
            <v>1500018220</v>
          </cell>
          <cell r="B9857">
            <v>33.3333333333333</v>
          </cell>
        </row>
        <row r="9858">
          <cell r="A9858">
            <v>1500018224</v>
          </cell>
          <cell r="B9858">
            <v>0</v>
          </cell>
        </row>
        <row r="9859">
          <cell r="A9859">
            <v>1500018225</v>
          </cell>
          <cell r="B9859">
            <v>0</v>
          </cell>
        </row>
        <row r="9860">
          <cell r="A9860">
            <v>1500018226</v>
          </cell>
          <cell r="B9860">
            <v>8.4166666666666696</v>
          </cell>
        </row>
        <row r="9861">
          <cell r="A9861">
            <v>1500018227</v>
          </cell>
          <cell r="B9861">
            <v>52.7083333333333</v>
          </cell>
        </row>
        <row r="9862">
          <cell r="A9862">
            <v>1500018228</v>
          </cell>
          <cell r="B9862">
            <v>21.4166666666667</v>
          </cell>
        </row>
        <row r="9863">
          <cell r="A9863">
            <v>1500018229</v>
          </cell>
          <cell r="B9863">
            <v>5</v>
          </cell>
        </row>
        <row r="9864">
          <cell r="A9864">
            <v>1500018230</v>
          </cell>
          <cell r="B9864">
            <v>0</v>
          </cell>
        </row>
        <row r="9865">
          <cell r="A9865">
            <v>1500018231</v>
          </cell>
          <cell r="B9865">
            <v>7</v>
          </cell>
        </row>
        <row r="9866">
          <cell r="A9866">
            <v>1500018269</v>
          </cell>
          <cell r="B9866">
            <v>2.4083333333333301</v>
          </cell>
        </row>
        <row r="9867">
          <cell r="A9867">
            <v>1500018270</v>
          </cell>
          <cell r="B9867">
            <v>31.8333333333333</v>
          </cell>
        </row>
        <row r="9868">
          <cell r="A9868">
            <v>1500018271</v>
          </cell>
          <cell r="B9868">
            <v>17.0833333333333</v>
          </cell>
        </row>
        <row r="9869">
          <cell r="A9869">
            <v>1500018282</v>
          </cell>
          <cell r="B9869">
            <v>9</v>
          </cell>
        </row>
        <row r="9870">
          <cell r="A9870">
            <v>1500018283</v>
          </cell>
          <cell r="B9870">
            <v>21.5833333333333</v>
          </cell>
        </row>
        <row r="9871">
          <cell r="A9871">
            <v>1500018247</v>
          </cell>
          <cell r="B9871">
            <v>6</v>
          </cell>
        </row>
        <row r="9872">
          <cell r="A9872">
            <v>1500018248</v>
          </cell>
          <cell r="B9872">
            <v>2.5</v>
          </cell>
        </row>
        <row r="9873">
          <cell r="A9873">
            <v>1500018249</v>
          </cell>
          <cell r="B9873">
            <v>19.1666666666667</v>
          </cell>
        </row>
        <row r="9874">
          <cell r="A9874">
            <v>1500018250</v>
          </cell>
          <cell r="B9874">
            <v>11.25</v>
          </cell>
        </row>
        <row r="9875">
          <cell r="A9875">
            <v>1500018251</v>
          </cell>
          <cell r="B9875">
            <v>20.8333333333333</v>
          </cell>
        </row>
        <row r="9876">
          <cell r="A9876">
            <v>1500018272</v>
          </cell>
          <cell r="B9876">
            <v>13.3333333333333</v>
          </cell>
        </row>
        <row r="9877">
          <cell r="A9877">
            <v>1500018273</v>
          </cell>
          <cell r="B9877">
            <v>7.5</v>
          </cell>
        </row>
        <row r="9878">
          <cell r="A9878">
            <v>1500018274</v>
          </cell>
          <cell r="B9878">
            <v>0</v>
          </cell>
        </row>
        <row r="9879">
          <cell r="A9879">
            <v>1500018232</v>
          </cell>
          <cell r="B9879">
            <v>10.6666666666667</v>
          </cell>
        </row>
        <row r="9880">
          <cell r="A9880">
            <v>1500018233</v>
          </cell>
          <cell r="B9880">
            <v>19.45</v>
          </cell>
        </row>
        <row r="9881">
          <cell r="A9881">
            <v>1500018234</v>
          </cell>
          <cell r="B9881">
            <v>47.25</v>
          </cell>
        </row>
        <row r="9882">
          <cell r="A9882">
            <v>1500018235</v>
          </cell>
          <cell r="B9882">
            <v>11.25</v>
          </cell>
        </row>
        <row r="9883">
          <cell r="A9883">
            <v>1500018236</v>
          </cell>
          <cell r="B9883">
            <v>13.5833333333333</v>
          </cell>
        </row>
        <row r="9884">
          <cell r="A9884">
            <v>1500018237</v>
          </cell>
          <cell r="B9884">
            <v>19.5833333333333</v>
          </cell>
        </row>
        <row r="9885">
          <cell r="A9885">
            <v>1500018238</v>
          </cell>
          <cell r="B9885">
            <v>5.25</v>
          </cell>
        </row>
        <row r="9886">
          <cell r="A9886">
            <v>1500018239</v>
          </cell>
          <cell r="B9886">
            <v>18.3333333333333</v>
          </cell>
        </row>
        <row r="9887">
          <cell r="A9887">
            <v>1500018188</v>
          </cell>
          <cell r="B9887">
            <v>10</v>
          </cell>
        </row>
        <row r="9888">
          <cell r="A9888">
            <v>1500018190</v>
          </cell>
          <cell r="B9888">
            <v>2.8333333333333299</v>
          </cell>
        </row>
        <row r="9889">
          <cell r="A9889">
            <v>1500018191</v>
          </cell>
          <cell r="B9889">
            <v>0</v>
          </cell>
        </row>
        <row r="9890">
          <cell r="A9890">
            <v>1500018242</v>
          </cell>
          <cell r="B9890">
            <v>14.1666666666667</v>
          </cell>
        </row>
        <row r="9891">
          <cell r="A9891">
            <v>1500018243</v>
          </cell>
          <cell r="B9891">
            <v>16.8333333333333</v>
          </cell>
        </row>
        <row r="9892">
          <cell r="A9892">
            <v>1500018244</v>
          </cell>
          <cell r="B9892">
            <v>9.75</v>
          </cell>
        </row>
        <row r="9893">
          <cell r="A9893">
            <v>1500018245</v>
          </cell>
          <cell r="B9893">
            <v>11.6666666666667</v>
          </cell>
        </row>
        <row r="9894">
          <cell r="A9894">
            <v>1500018246</v>
          </cell>
          <cell r="B9894">
            <v>64.2083333333333</v>
          </cell>
        </row>
        <row r="9895">
          <cell r="A9895">
            <v>1500018257</v>
          </cell>
          <cell r="B9895">
            <v>21.033333333333299</v>
          </cell>
        </row>
        <row r="9896">
          <cell r="A9896">
            <v>1500018258</v>
          </cell>
          <cell r="B9896">
            <v>9.4833333333333307</v>
          </cell>
        </row>
        <row r="9897">
          <cell r="A9897">
            <v>1500018259</v>
          </cell>
          <cell r="B9897">
            <v>32.0833333333333</v>
          </cell>
        </row>
        <row r="9898">
          <cell r="A9898">
            <v>1500018260</v>
          </cell>
          <cell r="B9898">
            <v>84.875</v>
          </cell>
        </row>
        <row r="9899">
          <cell r="A9899">
            <v>1500018289</v>
          </cell>
          <cell r="B9899">
            <v>2.5</v>
          </cell>
        </row>
        <row r="9900">
          <cell r="A9900">
            <v>1500018290</v>
          </cell>
          <cell r="B9900">
            <v>2.5</v>
          </cell>
        </row>
        <row r="9901">
          <cell r="A9901">
            <v>1500018291</v>
          </cell>
          <cell r="B9901">
            <v>0</v>
          </cell>
        </row>
        <row r="9902">
          <cell r="A9902">
            <v>1500018292</v>
          </cell>
          <cell r="B9902">
            <v>0</v>
          </cell>
        </row>
        <row r="9903">
          <cell r="A9903">
            <v>1500018296</v>
          </cell>
          <cell r="B9903">
            <v>38</v>
          </cell>
        </row>
        <row r="9904">
          <cell r="A9904">
            <v>1500018297</v>
          </cell>
          <cell r="B9904">
            <v>37.5</v>
          </cell>
        </row>
        <row r="9905">
          <cell r="A9905">
            <v>1500018298</v>
          </cell>
          <cell r="B9905">
            <v>0</v>
          </cell>
        </row>
        <row r="9906">
          <cell r="A9906">
            <v>1500018299</v>
          </cell>
          <cell r="B9906">
            <v>0</v>
          </cell>
        </row>
        <row r="9907">
          <cell r="A9907">
            <v>1500018300</v>
          </cell>
          <cell r="B9907">
            <v>93.891666666666694</v>
          </cell>
        </row>
        <row r="9908">
          <cell r="A9908">
            <v>1500018322</v>
          </cell>
          <cell r="B9908">
            <v>8.6666666666666696</v>
          </cell>
        </row>
        <row r="9909">
          <cell r="A9909">
            <v>1500018323</v>
          </cell>
          <cell r="B9909">
            <v>15.3333333333333</v>
          </cell>
        </row>
        <row r="9910">
          <cell r="A9910">
            <v>1500018324</v>
          </cell>
          <cell r="B9910">
            <v>9.75</v>
          </cell>
        </row>
        <row r="9911">
          <cell r="A9911">
            <v>1500018325</v>
          </cell>
          <cell r="B9911">
            <v>27.6666666666667</v>
          </cell>
        </row>
        <row r="9912">
          <cell r="A9912">
            <v>1500018326</v>
          </cell>
          <cell r="B9912">
            <v>198</v>
          </cell>
        </row>
        <row r="9913">
          <cell r="A9913">
            <v>1500018329</v>
          </cell>
          <cell r="B9913">
            <v>18.3333333333333</v>
          </cell>
        </row>
        <row r="9914">
          <cell r="A9914">
            <v>1500018330</v>
          </cell>
          <cell r="B9914">
            <v>23.3333333333333</v>
          </cell>
        </row>
        <row r="9915">
          <cell r="A9915">
            <v>1500018331</v>
          </cell>
          <cell r="B9915">
            <v>10.4166666666667</v>
          </cell>
        </row>
        <row r="9916">
          <cell r="A9916">
            <v>1500018332</v>
          </cell>
          <cell r="B9916">
            <v>81.803333333333299</v>
          </cell>
        </row>
        <row r="9917">
          <cell r="A9917">
            <v>1500018334</v>
          </cell>
          <cell r="B9917">
            <v>17.4166666666667</v>
          </cell>
        </row>
        <row r="9918">
          <cell r="A9918">
            <v>1500018335</v>
          </cell>
          <cell r="B9918">
            <v>0</v>
          </cell>
        </row>
        <row r="9919">
          <cell r="A9919">
            <v>1500018336</v>
          </cell>
          <cell r="B9919">
            <v>12.25</v>
          </cell>
        </row>
        <row r="9920">
          <cell r="A9920">
            <v>1500018337</v>
          </cell>
          <cell r="B9920">
            <v>20.5833333333333</v>
          </cell>
        </row>
        <row r="9921">
          <cell r="A9921">
            <v>1500018338</v>
          </cell>
          <cell r="B9921">
            <v>149.583333333333</v>
          </cell>
        </row>
        <row r="9922">
          <cell r="A9922">
            <v>1500018352</v>
          </cell>
          <cell r="B9922">
            <v>11.25</v>
          </cell>
        </row>
        <row r="9923">
          <cell r="A9923">
            <v>1500018353</v>
          </cell>
          <cell r="B9923">
            <v>15.5</v>
          </cell>
        </row>
        <row r="9924">
          <cell r="A9924">
            <v>1500018354</v>
          </cell>
          <cell r="B9924">
            <v>71.9166666666667</v>
          </cell>
        </row>
        <row r="9925">
          <cell r="A9925">
            <v>1500018355</v>
          </cell>
          <cell r="B9925">
            <v>24.4166666666667</v>
          </cell>
        </row>
        <row r="9926">
          <cell r="A9926">
            <v>1500018356</v>
          </cell>
          <cell r="B9926">
            <v>7.6666666666666696</v>
          </cell>
        </row>
        <row r="9927">
          <cell r="A9927">
            <v>1500018358</v>
          </cell>
          <cell r="B9927">
            <v>30.483333333333299</v>
          </cell>
        </row>
        <row r="9928">
          <cell r="A9928">
            <v>1500018359</v>
          </cell>
          <cell r="B9928">
            <v>17.5</v>
          </cell>
        </row>
        <row r="9929">
          <cell r="A9929">
            <v>1500018360</v>
          </cell>
          <cell r="B9929">
            <v>13.75</v>
          </cell>
        </row>
        <row r="9930">
          <cell r="A9930">
            <v>1500018362</v>
          </cell>
          <cell r="B9930">
            <v>0</v>
          </cell>
        </row>
        <row r="9931">
          <cell r="A9931">
            <v>1500018376</v>
          </cell>
          <cell r="B9931">
            <v>11.25</v>
          </cell>
        </row>
        <row r="9932">
          <cell r="A9932">
            <v>1500018364</v>
          </cell>
          <cell r="B9932">
            <v>22</v>
          </cell>
        </row>
        <row r="9933">
          <cell r="A9933">
            <v>1500018365</v>
          </cell>
          <cell r="B9933">
            <v>23.758333333333301</v>
          </cell>
        </row>
        <row r="9934">
          <cell r="A9934">
            <v>1500018366</v>
          </cell>
          <cell r="B9934">
            <v>5.5833333333333304</v>
          </cell>
        </row>
        <row r="9935">
          <cell r="A9935">
            <v>1500018367</v>
          </cell>
          <cell r="B9935">
            <v>16.4166666666667</v>
          </cell>
        </row>
        <row r="9936">
          <cell r="A9936">
            <v>1500018368</v>
          </cell>
          <cell r="B9936">
            <v>25.6666666666667</v>
          </cell>
        </row>
        <row r="9937">
          <cell r="A9937">
            <v>1500018369</v>
          </cell>
          <cell r="B9937">
            <v>18</v>
          </cell>
        </row>
        <row r="9938">
          <cell r="A9938">
            <v>1500018370</v>
          </cell>
          <cell r="B9938">
            <v>7.25</v>
          </cell>
        </row>
        <row r="9939">
          <cell r="A9939">
            <v>1500018371</v>
          </cell>
          <cell r="B9939">
            <v>5.4166666666666696</v>
          </cell>
        </row>
        <row r="9940">
          <cell r="A9940">
            <v>1500018372</v>
          </cell>
          <cell r="B9940">
            <v>40</v>
          </cell>
        </row>
        <row r="9941">
          <cell r="A9941">
            <v>1500018391</v>
          </cell>
          <cell r="B9941">
            <v>40.4166666666667</v>
          </cell>
        </row>
        <row r="9942">
          <cell r="A9942">
            <v>1500018394</v>
          </cell>
          <cell r="B9942">
            <v>12.1666666666667</v>
          </cell>
        </row>
        <row r="9943">
          <cell r="A9943">
            <v>1500018395</v>
          </cell>
          <cell r="B9943">
            <v>24.5833333333333</v>
          </cell>
        </row>
        <row r="9944">
          <cell r="A9944">
            <v>1500018396</v>
          </cell>
          <cell r="B9944">
            <v>1.6666666666666701</v>
          </cell>
        </row>
        <row r="9945">
          <cell r="A9945">
            <v>1500018397</v>
          </cell>
          <cell r="B9945">
            <v>9.75</v>
          </cell>
        </row>
        <row r="9946">
          <cell r="A9946">
            <v>1500018398</v>
          </cell>
          <cell r="B9946">
            <v>44.6666666666667</v>
          </cell>
        </row>
        <row r="9947">
          <cell r="A9947">
            <v>1500018399</v>
          </cell>
          <cell r="B9947">
            <v>17.6666666666667</v>
          </cell>
        </row>
        <row r="9948">
          <cell r="A9948">
            <v>1500018400</v>
          </cell>
          <cell r="B9948">
            <v>18.0833333333333</v>
          </cell>
        </row>
        <row r="9949">
          <cell r="A9949">
            <v>1500018401</v>
          </cell>
          <cell r="B9949">
            <v>5.4166666666666696</v>
          </cell>
        </row>
        <row r="9950">
          <cell r="A9950">
            <v>1500018402</v>
          </cell>
          <cell r="B9950">
            <v>0</v>
          </cell>
        </row>
        <row r="9951">
          <cell r="A9951">
            <v>1500018403</v>
          </cell>
          <cell r="B9951">
            <v>31.25</v>
          </cell>
        </row>
        <row r="9952">
          <cell r="A9952">
            <v>1500018404</v>
          </cell>
          <cell r="B9952">
            <v>23.3333333333333</v>
          </cell>
        </row>
        <row r="9953">
          <cell r="A9953">
            <v>1500018373</v>
          </cell>
          <cell r="B9953">
            <v>7.8333333333333304</v>
          </cell>
        </row>
        <row r="9954">
          <cell r="A9954">
            <v>1500018377</v>
          </cell>
          <cell r="B9954">
            <v>1</v>
          </cell>
        </row>
        <row r="9955">
          <cell r="A9955">
            <v>1500018456</v>
          </cell>
          <cell r="B9955">
            <v>19.0833333333333</v>
          </cell>
        </row>
        <row r="9956">
          <cell r="A9956">
            <v>1500018457</v>
          </cell>
          <cell r="B9956">
            <v>5.75</v>
          </cell>
        </row>
        <row r="9957">
          <cell r="A9957">
            <v>1500018460</v>
          </cell>
          <cell r="B9957">
            <v>5.75</v>
          </cell>
        </row>
        <row r="9958">
          <cell r="A9958">
            <v>1500018458</v>
          </cell>
          <cell r="B9958">
            <v>18.25</v>
          </cell>
        </row>
        <row r="9959">
          <cell r="A9959">
            <v>1500018414</v>
          </cell>
          <cell r="B9959">
            <v>3.75</v>
          </cell>
        </row>
        <row r="9960">
          <cell r="A9960">
            <v>1500018461</v>
          </cell>
          <cell r="B9960">
            <v>5.8333333333333304</v>
          </cell>
        </row>
        <row r="9961">
          <cell r="A9961">
            <v>1500018462</v>
          </cell>
          <cell r="B9961">
            <v>11.25</v>
          </cell>
        </row>
        <row r="9962">
          <cell r="A9962">
            <v>1500018459</v>
          </cell>
          <cell r="B9962">
            <v>161.416666666667</v>
          </cell>
        </row>
        <row r="9963">
          <cell r="A9963">
            <v>1500018407</v>
          </cell>
          <cell r="B9963">
            <v>1.6666666666666701</v>
          </cell>
        </row>
        <row r="9964">
          <cell r="A9964">
            <v>1500018423</v>
          </cell>
          <cell r="B9964">
            <v>40.9166666666667</v>
          </cell>
        </row>
        <row r="9965">
          <cell r="A9965">
            <v>1500018424</v>
          </cell>
          <cell r="B9965">
            <v>2.5833333333333299</v>
          </cell>
        </row>
        <row r="9966">
          <cell r="A9966">
            <v>1500018425</v>
          </cell>
          <cell r="B9966">
            <v>6.5</v>
          </cell>
        </row>
        <row r="9967">
          <cell r="A9967">
            <v>1500018426</v>
          </cell>
          <cell r="B9967">
            <v>14.6666666666667</v>
          </cell>
        </row>
        <row r="9968">
          <cell r="A9968">
            <v>1500018427</v>
          </cell>
          <cell r="B9968">
            <v>4.75</v>
          </cell>
        </row>
        <row r="9969">
          <cell r="A9969">
            <v>1500018428</v>
          </cell>
          <cell r="B9969">
            <v>11.9166666666667</v>
          </cell>
        </row>
        <row r="9970">
          <cell r="A9970">
            <v>1500018429</v>
          </cell>
          <cell r="B9970">
            <v>23.7916666666667</v>
          </cell>
        </row>
        <row r="9971">
          <cell r="A9971">
            <v>1500018430</v>
          </cell>
          <cell r="B9971">
            <v>9.4166666666666696</v>
          </cell>
        </row>
        <row r="9972">
          <cell r="A9972">
            <v>1500018431</v>
          </cell>
          <cell r="B9972">
            <v>16.1666666666667</v>
          </cell>
        </row>
        <row r="9973">
          <cell r="A9973">
            <v>1500018432</v>
          </cell>
          <cell r="B9973">
            <v>11</v>
          </cell>
        </row>
        <row r="9974">
          <cell r="A9974">
            <v>1500018433</v>
          </cell>
          <cell r="B9974">
            <v>0</v>
          </cell>
        </row>
        <row r="9975">
          <cell r="A9975">
            <v>1500018437</v>
          </cell>
          <cell r="B9975">
            <v>300.8</v>
          </cell>
        </row>
        <row r="9976">
          <cell r="A9976">
            <v>1500018438</v>
          </cell>
          <cell r="B9976">
            <v>35.25</v>
          </cell>
        </row>
        <row r="9977">
          <cell r="A9977">
            <v>1500018439</v>
          </cell>
          <cell r="B9977">
            <v>14.8333333333333</v>
          </cell>
        </row>
        <row r="9978">
          <cell r="A9978">
            <v>1500018440</v>
          </cell>
          <cell r="B9978">
            <v>18.3333333333333</v>
          </cell>
        </row>
        <row r="9979">
          <cell r="A9979">
            <v>1500018441</v>
          </cell>
          <cell r="B9979">
            <v>14.5</v>
          </cell>
        </row>
        <row r="9980">
          <cell r="A9980">
            <v>1500018442</v>
          </cell>
          <cell r="B9980">
            <v>14.5666666666667</v>
          </cell>
        </row>
        <row r="9981">
          <cell r="A9981">
            <v>1500018443</v>
          </cell>
          <cell r="B9981">
            <v>3.3333333333333299</v>
          </cell>
        </row>
        <row r="9982">
          <cell r="A9982">
            <v>1500018415</v>
          </cell>
          <cell r="B9982">
            <v>20.1666666666667</v>
          </cell>
        </row>
        <row r="9983">
          <cell r="A9983">
            <v>1500018416</v>
          </cell>
          <cell r="B9983">
            <v>191.99166666666699</v>
          </cell>
        </row>
        <row r="9984">
          <cell r="A9984">
            <v>1500018463</v>
          </cell>
          <cell r="B9984">
            <v>11.25</v>
          </cell>
        </row>
        <row r="9985">
          <cell r="A9985">
            <v>1500018464</v>
          </cell>
          <cell r="B9985">
            <v>11.6666666666667</v>
          </cell>
        </row>
        <row r="9986">
          <cell r="A9986">
            <v>1500018465</v>
          </cell>
          <cell r="B9986">
            <v>17.5</v>
          </cell>
        </row>
        <row r="9987">
          <cell r="A9987">
            <v>1500018470</v>
          </cell>
          <cell r="B9987">
            <v>0</v>
          </cell>
        </row>
        <row r="9988">
          <cell r="A9988">
            <v>1500018471</v>
          </cell>
          <cell r="B9988">
            <v>9.6666666666666696</v>
          </cell>
        </row>
        <row r="9989">
          <cell r="A9989">
            <v>1500018472</v>
          </cell>
          <cell r="B9989">
            <v>10.5833333333333</v>
          </cell>
        </row>
        <row r="9990">
          <cell r="A9990">
            <v>1500018473</v>
          </cell>
          <cell r="B9990">
            <v>0</v>
          </cell>
        </row>
        <row r="9991">
          <cell r="A9991">
            <v>1500018474</v>
          </cell>
          <cell r="B9991">
            <v>21.25</v>
          </cell>
        </row>
        <row r="9992">
          <cell r="A9992">
            <v>1500018475</v>
          </cell>
          <cell r="B9992">
            <v>420.41666666666703</v>
          </cell>
        </row>
        <row r="9993">
          <cell r="A9993">
            <v>1500018421</v>
          </cell>
          <cell r="B9993">
            <v>375</v>
          </cell>
        </row>
        <row r="9994">
          <cell r="A9994">
            <v>1500018482</v>
          </cell>
          <cell r="B9994">
            <v>55.8333333333333</v>
          </cell>
        </row>
        <row r="9995">
          <cell r="A9995">
            <v>1500018483</v>
          </cell>
          <cell r="B9995">
            <v>6.6666666666666696</v>
          </cell>
        </row>
        <row r="9996">
          <cell r="A9996">
            <v>1500018484</v>
          </cell>
          <cell r="B9996">
            <v>136.583333333333</v>
          </cell>
        </row>
        <row r="9997">
          <cell r="A9997">
            <v>1500018485</v>
          </cell>
          <cell r="B9997">
            <v>31.75</v>
          </cell>
        </row>
        <row r="9998">
          <cell r="A9998">
            <v>1500018486</v>
          </cell>
          <cell r="B9998">
            <v>12.0833333333333</v>
          </cell>
        </row>
        <row r="9999">
          <cell r="A9999">
            <v>1500018487</v>
          </cell>
          <cell r="B9999">
            <v>49.1666666666667</v>
          </cell>
        </row>
        <row r="10000">
          <cell r="A10000">
            <v>1500018488</v>
          </cell>
          <cell r="B10000">
            <v>0</v>
          </cell>
        </row>
        <row r="10001">
          <cell r="A10001">
            <v>1500018489</v>
          </cell>
          <cell r="B10001">
            <v>12.5</v>
          </cell>
        </row>
        <row r="10002">
          <cell r="A10002">
            <v>1500018490</v>
          </cell>
          <cell r="B10002">
            <v>77.9166666666667</v>
          </cell>
        </row>
        <row r="10003">
          <cell r="A10003">
            <v>1500018517</v>
          </cell>
          <cell r="B10003">
            <v>14.1666666666667</v>
          </cell>
        </row>
        <row r="10004">
          <cell r="A10004">
            <v>1500018518</v>
          </cell>
          <cell r="B10004">
            <v>0.41666666666666702</v>
          </cell>
        </row>
        <row r="10005">
          <cell r="A10005">
            <v>1500018519</v>
          </cell>
          <cell r="B10005">
            <v>12.9166666666667</v>
          </cell>
        </row>
        <row r="10006">
          <cell r="A10006">
            <v>1500018525</v>
          </cell>
          <cell r="B10006">
            <v>19.6666666666667</v>
          </cell>
        </row>
        <row r="10007">
          <cell r="A10007">
            <v>1500018526</v>
          </cell>
          <cell r="B10007">
            <v>7.75</v>
          </cell>
        </row>
        <row r="10008">
          <cell r="A10008">
            <v>1500018532</v>
          </cell>
          <cell r="B10008">
            <v>21.65</v>
          </cell>
        </row>
        <row r="10009">
          <cell r="A10009">
            <v>1500018533</v>
          </cell>
          <cell r="B10009">
            <v>35.5</v>
          </cell>
        </row>
        <row r="10010">
          <cell r="A10010">
            <v>1500018534</v>
          </cell>
          <cell r="B10010">
            <v>16.25</v>
          </cell>
        </row>
        <row r="10011">
          <cell r="A10011">
            <v>1500018535</v>
          </cell>
          <cell r="B10011">
            <v>10.8333333333333</v>
          </cell>
        </row>
        <row r="10012">
          <cell r="A10012">
            <v>1500018536</v>
          </cell>
          <cell r="B10012">
            <v>100.666666666667</v>
          </cell>
        </row>
        <row r="10013">
          <cell r="A10013">
            <v>1500018537</v>
          </cell>
          <cell r="B10013">
            <v>76.1666666666667</v>
          </cell>
        </row>
        <row r="10014">
          <cell r="A10014">
            <v>1500018538</v>
          </cell>
          <cell r="B10014">
            <v>4.9166666666666696</v>
          </cell>
        </row>
        <row r="10015">
          <cell r="A10015">
            <v>1500018498</v>
          </cell>
          <cell r="B10015">
            <v>8.8333333333333304</v>
          </cell>
        </row>
        <row r="10016">
          <cell r="A10016">
            <v>1500018499</v>
          </cell>
          <cell r="B10016">
            <v>55.75</v>
          </cell>
        </row>
        <row r="10017">
          <cell r="A10017">
            <v>1500018542</v>
          </cell>
          <cell r="B10017">
            <v>19.8333333333333</v>
          </cell>
        </row>
        <row r="10018">
          <cell r="A10018">
            <v>1500018543</v>
          </cell>
          <cell r="B10018">
            <v>12.5</v>
          </cell>
        </row>
        <row r="10019">
          <cell r="A10019">
            <v>1500018544</v>
          </cell>
          <cell r="B10019">
            <v>21.5</v>
          </cell>
        </row>
        <row r="10020">
          <cell r="A10020">
            <v>1500018545</v>
          </cell>
          <cell r="B10020">
            <v>15</v>
          </cell>
        </row>
        <row r="10021">
          <cell r="A10021">
            <v>1500018547</v>
          </cell>
          <cell r="B10021">
            <v>7.9166666666666696</v>
          </cell>
        </row>
        <row r="10022">
          <cell r="A10022">
            <v>1500018548</v>
          </cell>
          <cell r="B10022">
            <v>12.3333333333333</v>
          </cell>
        </row>
        <row r="10023">
          <cell r="A10023">
            <v>1500018549</v>
          </cell>
          <cell r="B10023">
            <v>11.25</v>
          </cell>
        </row>
        <row r="10024">
          <cell r="A10024">
            <v>1500018550</v>
          </cell>
          <cell r="B10024">
            <v>22.3333333333333</v>
          </cell>
        </row>
        <row r="10025">
          <cell r="A10025">
            <v>1500018551</v>
          </cell>
          <cell r="B10025">
            <v>25.4166666666667</v>
          </cell>
        </row>
        <row r="10026">
          <cell r="A10026">
            <v>1500018552</v>
          </cell>
          <cell r="B10026">
            <v>6.25</v>
          </cell>
        </row>
        <row r="10027">
          <cell r="A10027">
            <v>1500018558</v>
          </cell>
          <cell r="B10027">
            <v>16.1666666666667</v>
          </cell>
        </row>
        <row r="10028">
          <cell r="A10028">
            <v>1500018559</v>
          </cell>
          <cell r="B10028">
            <v>13.5833333333333</v>
          </cell>
        </row>
        <row r="10029">
          <cell r="A10029">
            <v>1500018560</v>
          </cell>
          <cell r="B10029">
            <v>6.8333333333333304</v>
          </cell>
        </row>
        <row r="10030">
          <cell r="A10030">
            <v>1500018561</v>
          </cell>
          <cell r="B10030">
            <v>8.4166666666666696</v>
          </cell>
        </row>
        <row r="10031">
          <cell r="A10031">
            <v>1500018572</v>
          </cell>
          <cell r="B10031">
            <v>7.0833333333333304</v>
          </cell>
        </row>
        <row r="10032">
          <cell r="A10032">
            <v>1500018573</v>
          </cell>
          <cell r="B10032">
            <v>9.9166666666666696</v>
          </cell>
        </row>
        <row r="10033">
          <cell r="A10033">
            <v>1500018574</v>
          </cell>
          <cell r="B10033">
            <v>6</v>
          </cell>
        </row>
        <row r="10034">
          <cell r="A10034">
            <v>1500018575</v>
          </cell>
          <cell r="B10034">
            <v>140.666666666667</v>
          </cell>
        </row>
        <row r="10035">
          <cell r="A10035">
            <v>1500018576</v>
          </cell>
          <cell r="B10035">
            <v>128.333333333333</v>
          </cell>
        </row>
        <row r="10036">
          <cell r="A10036">
            <v>1500018577</v>
          </cell>
          <cell r="B10036">
            <v>29.1666666666667</v>
          </cell>
        </row>
        <row r="10037">
          <cell r="A10037">
            <v>1500018579</v>
          </cell>
          <cell r="B10037">
            <v>25.608333333333299</v>
          </cell>
        </row>
        <row r="10038">
          <cell r="A10038">
            <v>1500018581</v>
          </cell>
          <cell r="B10038">
            <v>25.8333333333333</v>
          </cell>
        </row>
        <row r="10039">
          <cell r="A10039">
            <v>1500018582</v>
          </cell>
          <cell r="B10039">
            <v>30.1666666666667</v>
          </cell>
        </row>
        <row r="10040">
          <cell r="A10040">
            <v>1500018583</v>
          </cell>
          <cell r="B10040">
            <v>49.808333333333302</v>
          </cell>
        </row>
        <row r="10041">
          <cell r="A10041">
            <v>1500018590</v>
          </cell>
          <cell r="B10041">
            <v>27.4583333333333</v>
          </cell>
        </row>
        <row r="10042">
          <cell r="A10042">
            <v>1500018591</v>
          </cell>
          <cell r="B10042">
            <v>1.3333333333333299</v>
          </cell>
        </row>
        <row r="10043">
          <cell r="A10043">
            <v>1500018592</v>
          </cell>
          <cell r="B10043">
            <v>19.25</v>
          </cell>
        </row>
        <row r="10044">
          <cell r="A10044">
            <v>1500018596</v>
          </cell>
          <cell r="B10044">
            <v>6.5833333333333304</v>
          </cell>
        </row>
        <row r="10045">
          <cell r="A10045">
            <v>1500018597</v>
          </cell>
          <cell r="B10045">
            <v>6.75</v>
          </cell>
        </row>
        <row r="10046">
          <cell r="A10046">
            <v>1500018673</v>
          </cell>
          <cell r="B10046">
            <v>9.4916666666666707</v>
          </cell>
        </row>
        <row r="10047">
          <cell r="A10047">
            <v>1500018674</v>
          </cell>
          <cell r="B10047">
            <v>16.3333333333333</v>
          </cell>
        </row>
        <row r="10048">
          <cell r="A10048">
            <v>1500018607</v>
          </cell>
          <cell r="B10048">
            <v>65</v>
          </cell>
        </row>
        <row r="10049">
          <cell r="A10049">
            <v>1500018608</v>
          </cell>
          <cell r="B10049">
            <v>12.9166666666667</v>
          </cell>
        </row>
        <row r="10050">
          <cell r="A10050">
            <v>1500018609</v>
          </cell>
          <cell r="B10050">
            <v>24.4</v>
          </cell>
        </row>
        <row r="10051">
          <cell r="A10051">
            <v>1500018610</v>
          </cell>
          <cell r="B10051">
            <v>122.6</v>
          </cell>
        </row>
        <row r="10052">
          <cell r="A10052">
            <v>1500018611</v>
          </cell>
          <cell r="B10052">
            <v>9.1666666666666696</v>
          </cell>
        </row>
        <row r="10053">
          <cell r="A10053">
            <v>1500018612</v>
          </cell>
          <cell r="B10053">
            <v>10</v>
          </cell>
        </row>
        <row r="10054">
          <cell r="A10054">
            <v>1500018613</v>
          </cell>
          <cell r="B10054">
            <v>0</v>
          </cell>
        </row>
        <row r="10055">
          <cell r="A10055">
            <v>1500018568</v>
          </cell>
          <cell r="B10055">
            <v>101.666666666667</v>
          </cell>
        </row>
        <row r="10056">
          <cell r="A10056">
            <v>1500018570</v>
          </cell>
          <cell r="B10056">
            <v>6.6666666666666696</v>
          </cell>
        </row>
        <row r="10057">
          <cell r="A10057">
            <v>1500018600</v>
          </cell>
          <cell r="B10057">
            <v>23.8333333333333</v>
          </cell>
        </row>
        <row r="10058">
          <cell r="A10058">
            <v>1500018632</v>
          </cell>
          <cell r="B10058">
            <v>18.216666666666701</v>
          </cell>
        </row>
        <row r="10059">
          <cell r="A10059">
            <v>1500018633</v>
          </cell>
          <cell r="B10059">
            <v>20.5</v>
          </cell>
        </row>
        <row r="10060">
          <cell r="A10060">
            <v>1500018602</v>
          </cell>
          <cell r="B10060">
            <v>45.8333333333333</v>
          </cell>
        </row>
        <row r="10061">
          <cell r="A10061">
            <v>1500018604</v>
          </cell>
          <cell r="B10061">
            <v>47.1666666666667</v>
          </cell>
        </row>
        <row r="10062">
          <cell r="A10062">
            <v>1500018618</v>
          </cell>
          <cell r="B10062">
            <v>74.4166666666667</v>
          </cell>
        </row>
        <row r="10063">
          <cell r="A10063">
            <v>1500018621</v>
          </cell>
          <cell r="B10063">
            <v>16</v>
          </cell>
        </row>
        <row r="10064">
          <cell r="A10064">
            <v>1500018634</v>
          </cell>
          <cell r="B10064">
            <v>25.0833333333333</v>
          </cell>
        </row>
        <row r="10065">
          <cell r="A10065">
            <v>1500018636</v>
          </cell>
          <cell r="B10065">
            <v>35.4166666666667</v>
          </cell>
        </row>
        <row r="10066">
          <cell r="A10066">
            <v>1500018639</v>
          </cell>
          <cell r="B10066">
            <v>23.5833333333333</v>
          </cell>
        </row>
        <row r="10067">
          <cell r="A10067">
            <v>1500018640</v>
          </cell>
          <cell r="B10067">
            <v>10.8333333333333</v>
          </cell>
        </row>
        <row r="10068">
          <cell r="A10068">
            <v>1500018641</v>
          </cell>
          <cell r="B10068">
            <v>27.5</v>
          </cell>
        </row>
        <row r="10069">
          <cell r="A10069">
            <v>1500018643</v>
          </cell>
          <cell r="B10069">
            <v>35.033333333333303</v>
          </cell>
        </row>
        <row r="10070">
          <cell r="A10070">
            <v>1500018625</v>
          </cell>
          <cell r="B10070">
            <v>24.5</v>
          </cell>
        </row>
        <row r="10071">
          <cell r="A10071">
            <v>1500018626</v>
          </cell>
          <cell r="B10071">
            <v>3.75</v>
          </cell>
        </row>
        <row r="10072">
          <cell r="A10072">
            <v>1500018627</v>
          </cell>
          <cell r="B10072">
            <v>30</v>
          </cell>
        </row>
        <row r="10073">
          <cell r="A10073">
            <v>1500018628</v>
          </cell>
          <cell r="B10073">
            <v>9.3333333333333304</v>
          </cell>
        </row>
        <row r="10074">
          <cell r="A10074">
            <v>1500018646</v>
          </cell>
          <cell r="B10074">
            <v>12.5</v>
          </cell>
        </row>
        <row r="10075">
          <cell r="A10075">
            <v>1500018647</v>
          </cell>
          <cell r="B10075">
            <v>13.358333333333301</v>
          </cell>
        </row>
        <row r="10076">
          <cell r="A10076">
            <v>1500018648</v>
          </cell>
          <cell r="B10076">
            <v>37.6666666666667</v>
          </cell>
        </row>
        <row r="10077">
          <cell r="A10077">
            <v>1500018649</v>
          </cell>
          <cell r="B10077">
            <v>25.6666666666667</v>
          </cell>
        </row>
        <row r="10078">
          <cell r="A10078">
            <v>1500018653</v>
          </cell>
          <cell r="B10078">
            <v>23.9166666666667</v>
          </cell>
        </row>
        <row r="10079">
          <cell r="A10079">
            <v>1500018655</v>
          </cell>
          <cell r="B10079">
            <v>38.3333333333333</v>
          </cell>
        </row>
        <row r="10080">
          <cell r="A10080">
            <v>1500018657</v>
          </cell>
          <cell r="B10080">
            <v>8.3333333333333304</v>
          </cell>
        </row>
        <row r="10081">
          <cell r="A10081">
            <v>1500018658</v>
          </cell>
          <cell r="B10081">
            <v>17.0833333333333</v>
          </cell>
        </row>
        <row r="10082">
          <cell r="A10082">
            <v>1500018659</v>
          </cell>
          <cell r="B10082">
            <v>9</v>
          </cell>
        </row>
        <row r="10083">
          <cell r="A10083">
            <v>1500018661</v>
          </cell>
          <cell r="B10083">
            <v>9.5833333333333304</v>
          </cell>
        </row>
        <row r="10084">
          <cell r="A10084">
            <v>1500018662</v>
          </cell>
          <cell r="B10084">
            <v>67.5</v>
          </cell>
        </row>
        <row r="10085">
          <cell r="A10085">
            <v>1500018650</v>
          </cell>
          <cell r="B10085">
            <v>4.1666666666666696</v>
          </cell>
        </row>
        <row r="10086">
          <cell r="A10086">
            <v>1500018692</v>
          </cell>
          <cell r="B10086">
            <v>8.4166666666666696</v>
          </cell>
        </row>
        <row r="10087">
          <cell r="A10087">
            <v>1500018693</v>
          </cell>
          <cell r="B10087">
            <v>12.6666666666667</v>
          </cell>
        </row>
        <row r="10088">
          <cell r="A10088">
            <v>1500018667</v>
          </cell>
          <cell r="B10088">
            <v>81.75</v>
          </cell>
        </row>
        <row r="10089">
          <cell r="A10089">
            <v>1500018669</v>
          </cell>
          <cell r="B10089">
            <v>12.5</v>
          </cell>
        </row>
        <row r="10090">
          <cell r="A10090">
            <v>1500018670</v>
          </cell>
          <cell r="B10090">
            <v>6.25</v>
          </cell>
        </row>
        <row r="10091">
          <cell r="A10091">
            <v>1500018694</v>
          </cell>
          <cell r="B10091">
            <v>10.3333333333333</v>
          </cell>
        </row>
        <row r="10092">
          <cell r="A10092">
            <v>1500018695</v>
          </cell>
          <cell r="B10092">
            <v>11.25</v>
          </cell>
        </row>
        <row r="10093">
          <cell r="A10093">
            <v>1500018696</v>
          </cell>
          <cell r="B10093">
            <v>5</v>
          </cell>
        </row>
        <row r="10094">
          <cell r="A10094">
            <v>1500018697</v>
          </cell>
          <cell r="B10094">
            <v>10.5833333333333</v>
          </cell>
        </row>
        <row r="10095">
          <cell r="A10095">
            <v>1500018699</v>
          </cell>
          <cell r="B10095">
            <v>43.75</v>
          </cell>
        </row>
        <row r="10096">
          <cell r="A10096">
            <v>1500018700</v>
          </cell>
          <cell r="B10096">
            <v>4.1666666666666696</v>
          </cell>
        </row>
        <row r="10097">
          <cell r="A10097">
            <v>1500018701</v>
          </cell>
          <cell r="B10097">
            <v>18.3333333333333</v>
          </cell>
        </row>
        <row r="10098">
          <cell r="A10098">
            <v>1500018703</v>
          </cell>
          <cell r="B10098">
            <v>81.5833333333333</v>
          </cell>
        </row>
        <row r="10099">
          <cell r="A10099">
            <v>1500018687</v>
          </cell>
          <cell r="B10099">
            <v>115.5</v>
          </cell>
        </row>
        <row r="10100">
          <cell r="A10100">
            <v>1500018688</v>
          </cell>
          <cell r="B10100">
            <v>6.9166666666666696</v>
          </cell>
        </row>
        <row r="10101">
          <cell r="A10101">
            <v>1500018689</v>
          </cell>
          <cell r="B10101">
            <v>17.5</v>
          </cell>
        </row>
        <row r="10102">
          <cell r="A10102">
            <v>1500018690</v>
          </cell>
          <cell r="B10102">
            <v>22</v>
          </cell>
        </row>
        <row r="10103">
          <cell r="A10103">
            <v>1500018712</v>
          </cell>
          <cell r="B10103">
            <v>4.25</v>
          </cell>
        </row>
        <row r="10104">
          <cell r="A10104">
            <v>1500018713</v>
          </cell>
          <cell r="B10104">
            <v>11.4166666666667</v>
          </cell>
        </row>
        <row r="10105">
          <cell r="A10105">
            <v>1500018714</v>
          </cell>
          <cell r="B10105">
            <v>13.3333333333333</v>
          </cell>
        </row>
        <row r="10106">
          <cell r="A10106">
            <v>1500018718</v>
          </cell>
          <cell r="B10106">
            <v>21.6666666666667</v>
          </cell>
        </row>
        <row r="10107">
          <cell r="A10107">
            <v>1500018719</v>
          </cell>
          <cell r="B10107">
            <v>3</v>
          </cell>
        </row>
        <row r="10108">
          <cell r="A10108">
            <v>1500018720</v>
          </cell>
          <cell r="B10108">
            <v>19.5833333333333</v>
          </cell>
        </row>
        <row r="10109">
          <cell r="A10109">
            <v>1500018721</v>
          </cell>
          <cell r="B10109">
            <v>19.149999999999999</v>
          </cell>
        </row>
        <row r="10110">
          <cell r="A10110">
            <v>1500018722</v>
          </cell>
          <cell r="B10110">
            <v>42.8333333333333</v>
          </cell>
        </row>
        <row r="10111">
          <cell r="A10111">
            <v>1500018704</v>
          </cell>
          <cell r="B10111">
            <v>36.6666666666667</v>
          </cell>
        </row>
        <row r="10112">
          <cell r="A10112">
            <v>1500018706</v>
          </cell>
          <cell r="B10112">
            <v>93.3333333333333</v>
          </cell>
        </row>
        <row r="10113">
          <cell r="A10113">
            <v>1500018707</v>
          </cell>
          <cell r="B10113">
            <v>8.5</v>
          </cell>
        </row>
        <row r="10114">
          <cell r="A10114">
            <v>1500018708</v>
          </cell>
          <cell r="B10114">
            <v>13.9166666666667</v>
          </cell>
        </row>
        <row r="10115">
          <cell r="A10115">
            <v>1500018709</v>
          </cell>
          <cell r="B10115">
            <v>30.5833333333333</v>
          </cell>
        </row>
        <row r="10116">
          <cell r="A10116">
            <v>1500018710</v>
          </cell>
          <cell r="B10116">
            <v>15</v>
          </cell>
        </row>
        <row r="10117">
          <cell r="A10117">
            <v>1500018732</v>
          </cell>
          <cell r="B10117">
            <v>125.833333333333</v>
          </cell>
        </row>
        <row r="10118">
          <cell r="A10118">
            <v>1500018733</v>
          </cell>
          <cell r="B10118">
            <v>41.4166666666667</v>
          </cell>
        </row>
        <row r="10119">
          <cell r="A10119">
            <v>1500018735</v>
          </cell>
          <cell r="B10119">
            <v>25.8333333333333</v>
          </cell>
        </row>
        <row r="10120">
          <cell r="A10120">
            <v>1500018737</v>
          </cell>
          <cell r="B10120">
            <v>9.25</v>
          </cell>
        </row>
        <row r="10121">
          <cell r="A10121">
            <v>1500018738</v>
          </cell>
          <cell r="B10121">
            <v>21.8333333333333</v>
          </cell>
        </row>
        <row r="10122">
          <cell r="A10122">
            <v>1500018743</v>
          </cell>
          <cell r="B10122">
            <v>20</v>
          </cell>
        </row>
        <row r="10123">
          <cell r="A10123">
            <v>1500018746</v>
          </cell>
          <cell r="B10123">
            <v>21.5833333333333</v>
          </cell>
        </row>
        <row r="10124">
          <cell r="A10124">
            <v>1500018747</v>
          </cell>
          <cell r="B10124">
            <v>45.5</v>
          </cell>
        </row>
        <row r="10125">
          <cell r="A10125">
            <v>1500018748</v>
          </cell>
          <cell r="B10125">
            <v>55.3333333333333</v>
          </cell>
        </row>
        <row r="10126">
          <cell r="A10126">
            <v>1500018751</v>
          </cell>
          <cell r="B10126">
            <v>5.3333333333333304</v>
          </cell>
        </row>
        <row r="10127">
          <cell r="A10127">
            <v>1500018752</v>
          </cell>
          <cell r="B10127">
            <v>8.3333333333333304</v>
          </cell>
        </row>
        <row r="10128">
          <cell r="A10128">
            <v>1500018756</v>
          </cell>
          <cell r="B10128">
            <v>13.75</v>
          </cell>
        </row>
        <row r="10129">
          <cell r="A10129">
            <v>1500018757</v>
          </cell>
          <cell r="B10129">
            <v>18.4166666666667</v>
          </cell>
        </row>
        <row r="10130">
          <cell r="A10130">
            <v>1500018760</v>
          </cell>
          <cell r="B10130">
            <v>3.5416666666666701</v>
          </cell>
        </row>
        <row r="10131">
          <cell r="A10131">
            <v>1500018761</v>
          </cell>
          <cell r="B10131">
            <v>17.1666666666667</v>
          </cell>
        </row>
        <row r="10132">
          <cell r="A10132">
            <v>1500018762</v>
          </cell>
          <cell r="B10132">
            <v>38.5833333333333</v>
          </cell>
        </row>
        <row r="10133">
          <cell r="A10133">
            <v>1500018770</v>
          </cell>
          <cell r="B10133">
            <v>6.5</v>
          </cell>
        </row>
        <row r="10134">
          <cell r="A10134">
            <v>1500018771</v>
          </cell>
          <cell r="B10134">
            <v>27.625</v>
          </cell>
        </row>
        <row r="10135">
          <cell r="A10135">
            <v>1500018772</v>
          </cell>
          <cell r="B10135">
            <v>12.9166666666667</v>
          </cell>
        </row>
        <row r="10136">
          <cell r="A10136">
            <v>1500018773</v>
          </cell>
          <cell r="B10136">
            <v>122.041666666667</v>
          </cell>
        </row>
        <row r="10137">
          <cell r="A10137">
            <v>1500018774</v>
          </cell>
          <cell r="B10137">
            <v>23.4166666666667</v>
          </cell>
        </row>
        <row r="10138">
          <cell r="A10138">
            <v>1500018775</v>
          </cell>
          <cell r="B10138">
            <v>101.291666666667</v>
          </cell>
        </row>
        <row r="10139">
          <cell r="A10139">
            <v>1500018776</v>
          </cell>
          <cell r="B10139">
            <v>36.9</v>
          </cell>
        </row>
        <row r="10140">
          <cell r="A10140">
            <v>1500018724</v>
          </cell>
          <cell r="B10140">
            <v>11.6666666666667</v>
          </cell>
        </row>
        <row r="10141">
          <cell r="A10141">
            <v>1500018727</v>
          </cell>
          <cell r="B10141">
            <v>11</v>
          </cell>
        </row>
        <row r="10142">
          <cell r="A10142">
            <v>1500018729</v>
          </cell>
          <cell r="B10142">
            <v>11.8333333333333</v>
          </cell>
        </row>
        <row r="10143">
          <cell r="A10143">
            <v>1500018749</v>
          </cell>
          <cell r="B10143">
            <v>8</v>
          </cell>
        </row>
        <row r="10144">
          <cell r="A10144">
            <v>1500018759</v>
          </cell>
          <cell r="B10144">
            <v>22.5</v>
          </cell>
        </row>
        <row r="10145">
          <cell r="A10145">
            <v>1500018779</v>
          </cell>
          <cell r="B10145">
            <v>5.25</v>
          </cell>
        </row>
        <row r="10146">
          <cell r="A10146">
            <v>1500018780</v>
          </cell>
          <cell r="B10146">
            <v>20.3333333333333</v>
          </cell>
        </row>
        <row r="10147">
          <cell r="A10147">
            <v>1500018781</v>
          </cell>
          <cell r="B10147">
            <v>40</v>
          </cell>
        </row>
        <row r="10148">
          <cell r="A10148">
            <v>1500018783</v>
          </cell>
          <cell r="B10148">
            <v>31.75</v>
          </cell>
        </row>
        <row r="10149">
          <cell r="A10149">
            <v>1500018786</v>
          </cell>
          <cell r="B10149">
            <v>0</v>
          </cell>
        </row>
        <row r="10150">
          <cell r="A10150">
            <v>1500018787</v>
          </cell>
          <cell r="B10150">
            <v>2.8333333333333299</v>
          </cell>
        </row>
        <row r="10151">
          <cell r="A10151">
            <v>1500018788</v>
          </cell>
          <cell r="B10151">
            <v>5.4166666666666696</v>
          </cell>
        </row>
        <row r="10152">
          <cell r="A10152">
            <v>1500018789</v>
          </cell>
          <cell r="B10152">
            <v>10</v>
          </cell>
        </row>
        <row r="10153">
          <cell r="A10153">
            <v>1500018831</v>
          </cell>
          <cell r="B10153">
            <v>192.57499999999999</v>
          </cell>
        </row>
        <row r="10154">
          <cell r="A10154">
            <v>1500018834</v>
          </cell>
          <cell r="B10154">
            <v>43.65</v>
          </cell>
        </row>
        <row r="10155">
          <cell r="A10155">
            <v>1500018816</v>
          </cell>
          <cell r="B10155">
            <v>8.0833333333333304</v>
          </cell>
        </row>
        <row r="10156">
          <cell r="A10156">
            <v>1500018832</v>
          </cell>
          <cell r="B10156">
            <v>15.8333333333333</v>
          </cell>
        </row>
        <row r="10157">
          <cell r="A10157">
            <v>1500018847</v>
          </cell>
          <cell r="B10157">
            <v>46.8333333333333</v>
          </cell>
        </row>
        <row r="10158">
          <cell r="A10158">
            <v>1500018819</v>
          </cell>
          <cell r="B10158">
            <v>49.3333333333333</v>
          </cell>
        </row>
        <row r="10159">
          <cell r="A10159">
            <v>1500018803</v>
          </cell>
          <cell r="B10159">
            <v>22.65</v>
          </cell>
        </row>
        <row r="10160">
          <cell r="A10160">
            <v>1500018818</v>
          </cell>
          <cell r="B10160">
            <v>35</v>
          </cell>
        </row>
        <row r="10161">
          <cell r="A10161">
            <v>1500018812</v>
          </cell>
          <cell r="B10161">
            <v>22</v>
          </cell>
        </row>
        <row r="10162">
          <cell r="A10162">
            <v>1500018838</v>
          </cell>
          <cell r="B10162">
            <v>28.1666666666667</v>
          </cell>
        </row>
        <row r="10163">
          <cell r="A10163">
            <v>1500018814</v>
          </cell>
          <cell r="B10163">
            <v>15.5</v>
          </cell>
        </row>
        <row r="10164">
          <cell r="A10164">
            <v>1500018793</v>
          </cell>
          <cell r="B10164">
            <v>10.9166666666667</v>
          </cell>
        </row>
        <row r="10165">
          <cell r="A10165">
            <v>1500018792</v>
          </cell>
          <cell r="B10165">
            <v>7.6666666666666696</v>
          </cell>
        </row>
        <row r="10166">
          <cell r="A10166">
            <v>1500018835</v>
          </cell>
          <cell r="B10166">
            <v>85.5833333333333</v>
          </cell>
        </row>
        <row r="10167">
          <cell r="A10167">
            <v>1500018798</v>
          </cell>
          <cell r="B10167">
            <v>4</v>
          </cell>
        </row>
        <row r="10168">
          <cell r="A10168">
            <v>1500018851</v>
          </cell>
          <cell r="B10168">
            <v>1.3333333333333299</v>
          </cell>
        </row>
        <row r="10169">
          <cell r="A10169">
            <v>1500018852</v>
          </cell>
          <cell r="B10169">
            <v>11.1666666666667</v>
          </cell>
        </row>
        <row r="10170">
          <cell r="A10170">
            <v>1500018820</v>
          </cell>
          <cell r="B10170">
            <v>4.1666666666666696</v>
          </cell>
        </row>
        <row r="10171">
          <cell r="A10171">
            <v>1500018791</v>
          </cell>
          <cell r="B10171">
            <v>7.4166666666666696</v>
          </cell>
        </row>
        <row r="10172">
          <cell r="A10172">
            <v>1500018841</v>
          </cell>
          <cell r="B10172">
            <v>127.075</v>
          </cell>
        </row>
        <row r="10173">
          <cell r="A10173">
            <v>1500018800</v>
          </cell>
          <cell r="B10173">
            <v>49.1666666666667</v>
          </cell>
        </row>
        <row r="10174">
          <cell r="A10174">
            <v>1500018863</v>
          </cell>
          <cell r="B10174">
            <v>38.8333333333333</v>
          </cell>
        </row>
        <row r="10175">
          <cell r="A10175">
            <v>1500018795</v>
          </cell>
          <cell r="B10175">
            <v>51.6666666666667</v>
          </cell>
        </row>
        <row r="10176">
          <cell r="A10176">
            <v>1500018794</v>
          </cell>
          <cell r="B10176">
            <v>16.5833333333333</v>
          </cell>
        </row>
        <row r="10177">
          <cell r="A10177">
            <v>1500018833</v>
          </cell>
          <cell r="B10177">
            <v>15</v>
          </cell>
        </row>
        <row r="10178">
          <cell r="A10178">
            <v>1500018825</v>
          </cell>
          <cell r="B10178">
            <v>7.1666666666666696</v>
          </cell>
        </row>
        <row r="10179">
          <cell r="A10179">
            <v>1500018796</v>
          </cell>
          <cell r="B10179">
            <v>9.5</v>
          </cell>
        </row>
        <row r="10180">
          <cell r="A10180">
            <v>1500018826</v>
          </cell>
          <cell r="B10180">
            <v>14.8333333333333</v>
          </cell>
        </row>
        <row r="10181">
          <cell r="A10181">
            <v>1500018849</v>
          </cell>
          <cell r="B10181">
            <v>4.3333333333333304</v>
          </cell>
        </row>
        <row r="10182">
          <cell r="A10182">
            <v>1500018797</v>
          </cell>
          <cell r="B10182">
            <v>6.75</v>
          </cell>
        </row>
        <row r="10183">
          <cell r="A10183">
            <v>1500018802</v>
          </cell>
          <cell r="B10183">
            <v>9.9166666666666696</v>
          </cell>
        </row>
        <row r="10184">
          <cell r="A10184">
            <v>1500018822</v>
          </cell>
          <cell r="B10184">
            <v>7.25</v>
          </cell>
        </row>
        <row r="10185">
          <cell r="A10185">
            <v>1500018867</v>
          </cell>
          <cell r="B10185">
            <v>18.0833333333333</v>
          </cell>
        </row>
        <row r="10186">
          <cell r="A10186">
            <v>1500018868</v>
          </cell>
          <cell r="B10186">
            <v>15.4166666666667</v>
          </cell>
        </row>
        <row r="10187">
          <cell r="A10187">
            <v>1500018869</v>
          </cell>
          <cell r="B10187">
            <v>2.9166666666666701</v>
          </cell>
        </row>
        <row r="10188">
          <cell r="A10188">
            <v>1500018871</v>
          </cell>
          <cell r="B10188">
            <v>25.75</v>
          </cell>
        </row>
        <row r="10189">
          <cell r="A10189">
            <v>1500018876</v>
          </cell>
          <cell r="B10189">
            <v>54.0833333333333</v>
          </cell>
        </row>
        <row r="10190">
          <cell r="A10190">
            <v>1500018877</v>
          </cell>
          <cell r="B10190">
            <v>14</v>
          </cell>
        </row>
        <row r="10191">
          <cell r="A10191">
            <v>1500018878</v>
          </cell>
          <cell r="B10191">
            <v>16.6666666666667</v>
          </cell>
        </row>
        <row r="10192">
          <cell r="A10192">
            <v>1500018880</v>
          </cell>
          <cell r="B10192">
            <v>12.9166666666667</v>
          </cell>
        </row>
        <row r="10193">
          <cell r="A10193">
            <v>1500018853</v>
          </cell>
          <cell r="B10193">
            <v>10.5833333333333</v>
          </cell>
        </row>
        <row r="10194">
          <cell r="A10194">
            <v>1500018855</v>
          </cell>
          <cell r="B10194">
            <v>14.3333333333333</v>
          </cell>
        </row>
        <row r="10195">
          <cell r="A10195">
            <v>1500018883</v>
          </cell>
          <cell r="B10195">
            <v>23.9166666666667</v>
          </cell>
        </row>
        <row r="10196">
          <cell r="A10196">
            <v>1500018857</v>
          </cell>
          <cell r="B10196">
            <v>6</v>
          </cell>
        </row>
        <row r="10197">
          <cell r="A10197">
            <v>1500018858</v>
          </cell>
          <cell r="B10197">
            <v>0.83333333333333304</v>
          </cell>
        </row>
        <row r="10198">
          <cell r="A10198">
            <v>1500018886</v>
          </cell>
          <cell r="B10198">
            <v>9.1666666666666696</v>
          </cell>
        </row>
        <row r="10199">
          <cell r="A10199">
            <v>1500018887</v>
          </cell>
          <cell r="B10199">
            <v>7.3333333333333304</v>
          </cell>
        </row>
        <row r="10200">
          <cell r="A10200">
            <v>1500018888</v>
          </cell>
          <cell r="B10200">
            <v>2.9166666666666701</v>
          </cell>
        </row>
        <row r="10201">
          <cell r="A10201">
            <v>1500018889</v>
          </cell>
          <cell r="B10201">
            <v>26.5</v>
          </cell>
        </row>
        <row r="10202">
          <cell r="A10202">
            <v>1500018890</v>
          </cell>
          <cell r="B10202">
            <v>16.6666666666667</v>
          </cell>
        </row>
        <row r="10203">
          <cell r="A10203">
            <v>1500018891</v>
          </cell>
          <cell r="B10203">
            <v>2.0833333333333299</v>
          </cell>
        </row>
        <row r="10204">
          <cell r="A10204">
            <v>1500018892</v>
          </cell>
          <cell r="B10204">
            <v>35.8333333333333</v>
          </cell>
        </row>
        <row r="10205">
          <cell r="A10205">
            <v>1500018893</v>
          </cell>
          <cell r="B10205">
            <v>6.3333333333333304</v>
          </cell>
        </row>
        <row r="10206">
          <cell r="A10206">
            <v>1500018894</v>
          </cell>
          <cell r="B10206">
            <v>42.5</v>
          </cell>
        </row>
        <row r="10207">
          <cell r="A10207">
            <v>1500018895</v>
          </cell>
          <cell r="B10207">
            <v>243.916666666667</v>
          </cell>
        </row>
        <row r="10208">
          <cell r="A10208">
            <v>1500018896</v>
          </cell>
          <cell r="B10208">
            <v>33.316666666666698</v>
          </cell>
        </row>
        <row r="10209">
          <cell r="A10209">
            <v>1500018897</v>
          </cell>
          <cell r="B10209">
            <v>10.8333333333333</v>
          </cell>
        </row>
        <row r="10210">
          <cell r="A10210">
            <v>1500018898</v>
          </cell>
          <cell r="B10210">
            <v>9.5833333333333304</v>
          </cell>
        </row>
        <row r="10211">
          <cell r="A10211">
            <v>1500018899</v>
          </cell>
          <cell r="B10211">
            <v>24.5833333333333</v>
          </cell>
        </row>
        <row r="10212">
          <cell r="A10212">
            <v>1500018900</v>
          </cell>
          <cell r="B10212">
            <v>6.25</v>
          </cell>
        </row>
        <row r="10213">
          <cell r="A10213">
            <v>1500018901</v>
          </cell>
          <cell r="B10213">
            <v>11</v>
          </cell>
        </row>
        <row r="10214">
          <cell r="A10214">
            <v>1500018902</v>
          </cell>
          <cell r="B10214">
            <v>1.6666666666666701</v>
          </cell>
        </row>
        <row r="10215">
          <cell r="A10215">
            <v>1500018904</v>
          </cell>
          <cell r="B10215">
            <v>16.5</v>
          </cell>
        </row>
        <row r="10216">
          <cell r="A10216">
            <v>1500018905</v>
          </cell>
          <cell r="B10216">
            <v>68.6666666666667</v>
          </cell>
        </row>
        <row r="10217">
          <cell r="A10217">
            <v>1500018906</v>
          </cell>
          <cell r="B10217">
            <v>16.0416666666667</v>
          </cell>
        </row>
        <row r="10218">
          <cell r="A10218">
            <v>1500018907</v>
          </cell>
          <cell r="B10218">
            <v>27.0833333333333</v>
          </cell>
        </row>
        <row r="10219">
          <cell r="A10219">
            <v>1500018908</v>
          </cell>
          <cell r="B10219">
            <v>34.5</v>
          </cell>
        </row>
        <row r="10220">
          <cell r="A10220">
            <v>1500018909</v>
          </cell>
          <cell r="B10220">
            <v>41.25</v>
          </cell>
        </row>
        <row r="10221">
          <cell r="A10221">
            <v>1500018911</v>
          </cell>
          <cell r="B10221">
            <v>48.75</v>
          </cell>
        </row>
        <row r="10222">
          <cell r="A10222">
            <v>1500018913</v>
          </cell>
          <cell r="B10222">
            <v>27.9166666666667</v>
          </cell>
        </row>
        <row r="10223">
          <cell r="A10223">
            <v>1500018916</v>
          </cell>
          <cell r="B10223">
            <v>45.016666666666701</v>
          </cell>
        </row>
        <row r="10224">
          <cell r="A10224">
            <v>1500018859</v>
          </cell>
          <cell r="B10224">
            <v>0</v>
          </cell>
        </row>
        <row r="10225">
          <cell r="A10225">
            <v>1500018922</v>
          </cell>
          <cell r="B10225">
            <v>29.1666666666667</v>
          </cell>
        </row>
        <row r="10226">
          <cell r="A10226">
            <v>1500018926</v>
          </cell>
          <cell r="B10226">
            <v>31.75</v>
          </cell>
        </row>
        <row r="10227">
          <cell r="A10227">
            <v>1500018927</v>
          </cell>
          <cell r="B10227">
            <v>29.5833333333333</v>
          </cell>
        </row>
        <row r="10228">
          <cell r="A10228">
            <v>1500018928</v>
          </cell>
          <cell r="B10228">
            <v>44.5833333333333</v>
          </cell>
        </row>
        <row r="10229">
          <cell r="A10229">
            <v>1500018929</v>
          </cell>
          <cell r="B10229">
            <v>129.916666666667</v>
          </cell>
        </row>
        <row r="10230">
          <cell r="A10230">
            <v>1500018931</v>
          </cell>
          <cell r="B10230">
            <v>0</v>
          </cell>
        </row>
        <row r="10231">
          <cell r="A10231">
            <v>1500018937</v>
          </cell>
          <cell r="B10231">
            <v>3.3333333333333299</v>
          </cell>
        </row>
        <row r="10232">
          <cell r="A10232">
            <v>1500018945</v>
          </cell>
          <cell r="B10232">
            <v>0.66666666666666696</v>
          </cell>
        </row>
        <row r="10233">
          <cell r="A10233">
            <v>1500018952</v>
          </cell>
          <cell r="B10233">
            <v>7.5</v>
          </cell>
        </row>
        <row r="10234">
          <cell r="A10234">
            <v>1500018953</v>
          </cell>
          <cell r="B10234">
            <v>21.5833333333333</v>
          </cell>
        </row>
        <row r="10235">
          <cell r="A10235">
            <v>1500018955</v>
          </cell>
          <cell r="B10235">
            <v>31.3333333333333</v>
          </cell>
        </row>
        <row r="10236">
          <cell r="A10236">
            <v>1500018957</v>
          </cell>
          <cell r="B10236">
            <v>5.8333333333333304</v>
          </cell>
        </row>
        <row r="10237">
          <cell r="A10237">
            <v>1500018963</v>
          </cell>
          <cell r="B10237">
            <v>4.1666666666666696</v>
          </cell>
        </row>
        <row r="10238">
          <cell r="A10238">
            <v>1500018964</v>
          </cell>
          <cell r="B10238">
            <v>14.7916666666667</v>
          </cell>
        </row>
        <row r="10239">
          <cell r="A10239">
            <v>1500018959</v>
          </cell>
          <cell r="B10239">
            <v>13.3333333333333</v>
          </cell>
        </row>
        <row r="10240">
          <cell r="A10240">
            <v>1500018966</v>
          </cell>
          <cell r="B10240">
            <v>10</v>
          </cell>
        </row>
        <row r="10241">
          <cell r="A10241">
            <v>1500018967</v>
          </cell>
          <cell r="B10241">
            <v>6.3333333333333304</v>
          </cell>
        </row>
        <row r="10242">
          <cell r="A10242">
            <v>1500018968</v>
          </cell>
          <cell r="B10242">
            <v>11.9166666666667</v>
          </cell>
        </row>
        <row r="10243">
          <cell r="A10243">
            <v>1500018970</v>
          </cell>
          <cell r="B10243">
            <v>1.25</v>
          </cell>
        </row>
        <row r="10244">
          <cell r="A10244">
            <v>1500018971</v>
          </cell>
          <cell r="B10244">
            <v>14.5833333333333</v>
          </cell>
        </row>
        <row r="10245">
          <cell r="A10245">
            <v>1500018973</v>
          </cell>
          <cell r="B10245">
            <v>1.6666666666666701</v>
          </cell>
        </row>
        <row r="10246">
          <cell r="A10246">
            <v>1500018974</v>
          </cell>
          <cell r="B10246">
            <v>0</v>
          </cell>
        </row>
        <row r="10247">
          <cell r="A10247">
            <v>1500018975</v>
          </cell>
          <cell r="B10247">
            <v>16.0833333333333</v>
          </cell>
        </row>
        <row r="10248">
          <cell r="A10248">
            <v>1500018976</v>
          </cell>
          <cell r="B10248">
            <v>2.1666666666666701</v>
          </cell>
        </row>
        <row r="10249">
          <cell r="A10249">
            <v>1500018977</v>
          </cell>
          <cell r="B10249">
            <v>0</v>
          </cell>
        </row>
        <row r="10250">
          <cell r="A10250">
            <v>1500018982</v>
          </cell>
          <cell r="B10250">
            <v>2.1666666666666701</v>
          </cell>
        </row>
        <row r="10251">
          <cell r="A10251">
            <v>1500018983</v>
          </cell>
          <cell r="B10251">
            <v>28.5833333333333</v>
          </cell>
        </row>
        <row r="10252">
          <cell r="A10252">
            <v>1500018978</v>
          </cell>
          <cell r="B10252">
            <v>15.8333333333333</v>
          </cell>
        </row>
        <row r="10253">
          <cell r="A10253">
            <v>1500018979</v>
          </cell>
          <cell r="B10253">
            <v>19.1666666666667</v>
          </cell>
        </row>
        <row r="10254">
          <cell r="A10254">
            <v>1500018980</v>
          </cell>
          <cell r="B10254">
            <v>10.5</v>
          </cell>
        </row>
        <row r="10255">
          <cell r="A10255">
            <v>1500018981</v>
          </cell>
          <cell r="B10255">
            <v>5.6666666666666696</v>
          </cell>
        </row>
        <row r="10256">
          <cell r="A10256">
            <v>1500018992</v>
          </cell>
          <cell r="B10256">
            <v>15.4166666666667</v>
          </cell>
        </row>
        <row r="10257">
          <cell r="A10257">
            <v>1500018984</v>
          </cell>
          <cell r="B10257">
            <v>21.4166666666667</v>
          </cell>
        </row>
        <row r="10258">
          <cell r="A10258">
            <v>1500018985</v>
          </cell>
          <cell r="B10258">
            <v>33.125</v>
          </cell>
        </row>
        <row r="10259">
          <cell r="A10259">
            <v>1500018988</v>
          </cell>
          <cell r="B10259">
            <v>21.6666666666667</v>
          </cell>
        </row>
        <row r="10260">
          <cell r="A10260">
            <v>1500018990</v>
          </cell>
          <cell r="B10260">
            <v>51.75</v>
          </cell>
        </row>
        <row r="10261">
          <cell r="A10261">
            <v>1500018991</v>
          </cell>
          <cell r="B10261">
            <v>8.3333333333333304</v>
          </cell>
        </row>
        <row r="10262">
          <cell r="A10262">
            <v>1500019002</v>
          </cell>
          <cell r="B10262">
            <v>13.5</v>
          </cell>
        </row>
        <row r="10263">
          <cell r="A10263">
            <v>1500019003</v>
          </cell>
          <cell r="B10263">
            <v>25.225000000000001</v>
          </cell>
        </row>
        <row r="10264">
          <cell r="A10264">
            <v>1500019006</v>
          </cell>
          <cell r="B10264">
            <v>38.3333333333333</v>
          </cell>
        </row>
        <row r="10265">
          <cell r="A10265">
            <v>1500019007</v>
          </cell>
          <cell r="B10265">
            <v>8.7916666666666696</v>
          </cell>
        </row>
        <row r="10266">
          <cell r="A10266">
            <v>1500019008</v>
          </cell>
          <cell r="B10266">
            <v>11.6666666666667</v>
          </cell>
        </row>
        <row r="10267">
          <cell r="A10267">
            <v>1500019009</v>
          </cell>
          <cell r="B10267">
            <v>10.9166666666667</v>
          </cell>
        </row>
        <row r="10268">
          <cell r="A10268">
            <v>1500019011</v>
          </cell>
          <cell r="B10268">
            <v>6.0833333333333304</v>
          </cell>
        </row>
        <row r="10269">
          <cell r="A10269">
            <v>1500019012</v>
          </cell>
          <cell r="B10269">
            <v>30.5</v>
          </cell>
        </row>
        <row r="10270">
          <cell r="A10270">
            <v>1500019014</v>
          </cell>
          <cell r="B10270">
            <v>17.5</v>
          </cell>
        </row>
        <row r="10271">
          <cell r="A10271">
            <v>1500019018</v>
          </cell>
          <cell r="B10271">
            <v>9.8333333333333304</v>
          </cell>
        </row>
        <row r="10272">
          <cell r="A10272">
            <v>1500018996</v>
          </cell>
          <cell r="B10272">
            <v>4.1666666666666696</v>
          </cell>
        </row>
        <row r="10273">
          <cell r="A10273">
            <v>1500019019</v>
          </cell>
          <cell r="B10273">
            <v>4.4166666666666696</v>
          </cell>
        </row>
        <row r="10274">
          <cell r="A10274">
            <v>1500019020</v>
          </cell>
          <cell r="B10274">
            <v>10.4166666666667</v>
          </cell>
        </row>
        <row r="10275">
          <cell r="A10275">
            <v>1500019029</v>
          </cell>
          <cell r="B10275">
            <v>7.5</v>
          </cell>
        </row>
        <row r="10276">
          <cell r="A10276">
            <v>1500018998</v>
          </cell>
          <cell r="B10276">
            <v>8.3333333333333304</v>
          </cell>
        </row>
        <row r="10277">
          <cell r="A10277">
            <v>1500019042</v>
          </cell>
          <cell r="B10277">
            <v>16.25</v>
          </cell>
        </row>
        <row r="10278">
          <cell r="A10278">
            <v>1500019027</v>
          </cell>
          <cell r="B10278">
            <v>13.75</v>
          </cell>
        </row>
        <row r="10279">
          <cell r="A10279">
            <v>1500019033</v>
          </cell>
          <cell r="B10279">
            <v>31.5833333333333</v>
          </cell>
        </row>
        <row r="10280">
          <cell r="A10280">
            <v>1500019001</v>
          </cell>
          <cell r="B10280">
            <v>9.1666666666666696</v>
          </cell>
        </row>
        <row r="10281">
          <cell r="A10281">
            <v>1500019028</v>
          </cell>
          <cell r="B10281">
            <v>5.8333333333333304</v>
          </cell>
        </row>
        <row r="10282">
          <cell r="A10282">
            <v>1500018997</v>
          </cell>
          <cell r="B10282">
            <v>1.25</v>
          </cell>
        </row>
        <row r="10283">
          <cell r="A10283">
            <v>1500019026</v>
          </cell>
          <cell r="B10283">
            <v>10.5</v>
          </cell>
        </row>
        <row r="10284">
          <cell r="A10284">
            <v>1500019000</v>
          </cell>
          <cell r="B10284">
            <v>4.6666666666666696</v>
          </cell>
        </row>
        <row r="10285">
          <cell r="A10285">
            <v>1500019043</v>
          </cell>
          <cell r="B10285">
            <v>14.9166666666667</v>
          </cell>
        </row>
        <row r="10286">
          <cell r="A10286">
            <v>1500019052</v>
          </cell>
          <cell r="B10286">
            <v>0</v>
          </cell>
        </row>
        <row r="10287">
          <cell r="A10287">
            <v>1500019053</v>
          </cell>
          <cell r="B10287">
            <v>46.75</v>
          </cell>
        </row>
        <row r="10288">
          <cell r="A10288">
            <v>1500019054</v>
          </cell>
          <cell r="B10288">
            <v>4.1666666666666696</v>
          </cell>
        </row>
        <row r="10289">
          <cell r="A10289">
            <v>1500019055</v>
          </cell>
          <cell r="B10289">
            <v>1.6666666666666701</v>
          </cell>
        </row>
        <row r="10290">
          <cell r="A10290">
            <v>1500019056</v>
          </cell>
          <cell r="B10290">
            <v>8.4166666666666696</v>
          </cell>
        </row>
        <row r="10291">
          <cell r="A10291">
            <v>1500019057</v>
          </cell>
          <cell r="B10291">
            <v>29.1666666666667</v>
          </cell>
        </row>
        <row r="10292">
          <cell r="A10292">
            <v>1500019058</v>
          </cell>
          <cell r="B10292">
            <v>36.6666666666667</v>
          </cell>
        </row>
        <row r="10293">
          <cell r="A10293">
            <v>1500019062</v>
          </cell>
          <cell r="B10293">
            <v>9.4749999999999996</v>
          </cell>
        </row>
        <row r="10294">
          <cell r="A10294">
            <v>1500019063</v>
          </cell>
          <cell r="B10294">
            <v>13.75</v>
          </cell>
        </row>
        <row r="10295">
          <cell r="A10295">
            <v>1500019064</v>
          </cell>
          <cell r="B10295">
            <v>14.5833333333333</v>
          </cell>
        </row>
        <row r="10296">
          <cell r="A10296">
            <v>1500019065</v>
          </cell>
          <cell r="B10296">
            <v>16.6666666666667</v>
          </cell>
        </row>
        <row r="10297">
          <cell r="A10297">
            <v>1500019100</v>
          </cell>
          <cell r="B10297">
            <v>59.7916666666667</v>
          </cell>
        </row>
        <row r="10298">
          <cell r="A10298">
            <v>1500019082</v>
          </cell>
          <cell r="B10298">
            <v>0</v>
          </cell>
        </row>
        <row r="10299">
          <cell r="A10299">
            <v>1500019096</v>
          </cell>
          <cell r="B10299">
            <v>7.5</v>
          </cell>
        </row>
        <row r="10300">
          <cell r="A10300">
            <v>1500019101</v>
          </cell>
          <cell r="B10300">
            <v>22.9166666666667</v>
          </cell>
        </row>
        <row r="10301">
          <cell r="A10301">
            <v>1500019108</v>
          </cell>
          <cell r="B10301">
            <v>10.9166666666667</v>
          </cell>
        </row>
        <row r="10302">
          <cell r="A10302">
            <v>1500019086</v>
          </cell>
          <cell r="B10302">
            <v>11.5</v>
          </cell>
        </row>
        <row r="10303">
          <cell r="A10303">
            <v>1500019122</v>
          </cell>
          <cell r="B10303">
            <v>5</v>
          </cell>
        </row>
        <row r="10304">
          <cell r="A10304">
            <v>1500019106</v>
          </cell>
          <cell r="B10304">
            <v>17.5</v>
          </cell>
        </row>
        <row r="10305">
          <cell r="A10305">
            <v>1500019089</v>
          </cell>
          <cell r="B10305">
            <v>28.316666666666698</v>
          </cell>
        </row>
        <row r="10306">
          <cell r="A10306">
            <v>1500019083</v>
          </cell>
          <cell r="B10306">
            <v>5.4583333333333304</v>
          </cell>
        </row>
        <row r="10307">
          <cell r="A10307">
            <v>1500019114</v>
          </cell>
          <cell r="B10307">
            <v>45.1666666666667</v>
          </cell>
        </row>
        <row r="10308">
          <cell r="A10308">
            <v>1500019120</v>
          </cell>
          <cell r="B10308">
            <v>9.9583333333333304</v>
          </cell>
        </row>
        <row r="10309">
          <cell r="A10309">
            <v>1500019126</v>
          </cell>
          <cell r="B10309">
            <v>5.68333333333333</v>
          </cell>
        </row>
        <row r="10310">
          <cell r="A10310">
            <v>1500019127</v>
          </cell>
          <cell r="B10310">
            <v>29.9166666666667</v>
          </cell>
        </row>
        <row r="10311">
          <cell r="A10311">
            <v>1500019072</v>
          </cell>
          <cell r="B10311">
            <v>10.9166666666667</v>
          </cell>
        </row>
        <row r="10312">
          <cell r="A10312">
            <v>1500019073</v>
          </cell>
          <cell r="B10312">
            <v>26.6666666666667</v>
          </cell>
        </row>
        <row r="10313">
          <cell r="A10313">
            <v>1500019118</v>
          </cell>
          <cell r="B10313">
            <v>6.4166666666666696</v>
          </cell>
        </row>
        <row r="10314">
          <cell r="A10314">
            <v>1500019078</v>
          </cell>
          <cell r="B10314">
            <v>14.75</v>
          </cell>
        </row>
        <row r="10315">
          <cell r="A10315">
            <v>1500019087</v>
          </cell>
          <cell r="B10315">
            <v>5.9166666666666696</v>
          </cell>
        </row>
        <row r="10316">
          <cell r="A10316">
            <v>1500019131</v>
          </cell>
          <cell r="B10316">
            <v>17</v>
          </cell>
        </row>
        <row r="10317">
          <cell r="A10317">
            <v>1500019099</v>
          </cell>
          <cell r="B10317">
            <v>4.5833333333333304</v>
          </cell>
        </row>
        <row r="10318">
          <cell r="A10318">
            <v>1500019128</v>
          </cell>
          <cell r="B10318">
            <v>20.5833333333333</v>
          </cell>
        </row>
        <row r="10319">
          <cell r="A10319">
            <v>1500019129</v>
          </cell>
          <cell r="B10319">
            <v>16.6666666666667</v>
          </cell>
        </row>
        <row r="10320">
          <cell r="A10320">
            <v>1500019103</v>
          </cell>
          <cell r="B10320">
            <v>8.3333333333333304</v>
          </cell>
        </row>
        <row r="10321">
          <cell r="A10321">
            <v>1500019104</v>
          </cell>
          <cell r="B10321">
            <v>9.5833333333333304</v>
          </cell>
        </row>
        <row r="10322">
          <cell r="A10322">
            <v>1500019105</v>
          </cell>
          <cell r="B10322">
            <v>10</v>
          </cell>
        </row>
        <row r="10323">
          <cell r="A10323">
            <v>1500019107</v>
          </cell>
          <cell r="B10323">
            <v>2.25</v>
          </cell>
        </row>
        <row r="10324">
          <cell r="A10324">
            <v>1500019088</v>
          </cell>
          <cell r="B10324">
            <v>14.9166666666667</v>
          </cell>
        </row>
        <row r="10325">
          <cell r="A10325">
            <v>1500019116</v>
          </cell>
          <cell r="B10325">
            <v>0</v>
          </cell>
        </row>
        <row r="10326">
          <cell r="A10326">
            <v>1500019117</v>
          </cell>
          <cell r="B10326">
            <v>18.366666666666699</v>
          </cell>
        </row>
        <row r="10327">
          <cell r="A10327">
            <v>1500019119</v>
          </cell>
          <cell r="B10327">
            <v>5</v>
          </cell>
        </row>
        <row r="10328">
          <cell r="A10328">
            <v>1500019121</v>
          </cell>
          <cell r="B10328">
            <v>12.25</v>
          </cell>
        </row>
        <row r="10329">
          <cell r="A10329">
            <v>1500019124</v>
          </cell>
          <cell r="B10329">
            <v>22.5</v>
          </cell>
        </row>
        <row r="10330">
          <cell r="A10330">
            <v>1500019125</v>
          </cell>
          <cell r="B10330">
            <v>16.1666666666667</v>
          </cell>
        </row>
        <row r="10331">
          <cell r="A10331">
            <v>1500019130</v>
          </cell>
          <cell r="B10331">
            <v>6.25</v>
          </cell>
        </row>
        <row r="10332">
          <cell r="A10332">
            <v>1500019084</v>
          </cell>
          <cell r="B10332">
            <v>3</v>
          </cell>
        </row>
        <row r="10333">
          <cell r="A10333">
            <v>1500019077</v>
          </cell>
          <cell r="B10333">
            <v>2.5833333333333299</v>
          </cell>
        </row>
        <row r="10334">
          <cell r="A10334">
            <v>1500019071</v>
          </cell>
          <cell r="B10334">
            <v>12.3333333333333</v>
          </cell>
        </row>
        <row r="10335">
          <cell r="A10335">
            <v>1500019102</v>
          </cell>
          <cell r="B10335">
            <v>6.3333333333333304</v>
          </cell>
        </row>
        <row r="10336">
          <cell r="A10336">
            <v>1500019066</v>
          </cell>
          <cell r="B10336">
            <v>23.1666666666667</v>
          </cell>
        </row>
        <row r="10337">
          <cell r="A10337">
            <v>1500019092</v>
          </cell>
          <cell r="B10337">
            <v>6.9166666666666696</v>
          </cell>
        </row>
        <row r="10338">
          <cell r="A10338">
            <v>1500019091</v>
          </cell>
          <cell r="B10338">
            <v>35</v>
          </cell>
        </row>
        <row r="10339">
          <cell r="A10339">
            <v>1500019132</v>
          </cell>
          <cell r="B10339">
            <v>5</v>
          </cell>
        </row>
        <row r="10340">
          <cell r="A10340">
            <v>1500019135</v>
          </cell>
          <cell r="B10340">
            <v>8.3333333333333304</v>
          </cell>
        </row>
        <row r="10341">
          <cell r="A10341">
            <v>1500019136</v>
          </cell>
          <cell r="B10341">
            <v>9.375</v>
          </cell>
        </row>
        <row r="10342">
          <cell r="A10342">
            <v>1500019138</v>
          </cell>
          <cell r="B10342">
            <v>4.1666666666666696</v>
          </cell>
        </row>
        <row r="10343">
          <cell r="A10343">
            <v>1500019140</v>
          </cell>
          <cell r="B10343">
            <v>8.1083333333333307</v>
          </cell>
        </row>
        <row r="10344">
          <cell r="A10344">
            <v>1500019141</v>
          </cell>
          <cell r="B10344">
            <v>9.0833333333333304</v>
          </cell>
        </row>
        <row r="10345">
          <cell r="A10345">
            <v>1500019143</v>
          </cell>
          <cell r="B10345">
            <v>13.6666666666667</v>
          </cell>
        </row>
        <row r="10346">
          <cell r="A10346">
            <v>1500019144</v>
          </cell>
          <cell r="B10346">
            <v>6.6666666666666696</v>
          </cell>
        </row>
        <row r="10347">
          <cell r="A10347">
            <v>1500019145</v>
          </cell>
          <cell r="B10347">
            <v>7.5</v>
          </cell>
        </row>
        <row r="10348">
          <cell r="A10348">
            <v>1500019147</v>
          </cell>
          <cell r="B10348">
            <v>4.5</v>
          </cell>
        </row>
        <row r="10349">
          <cell r="A10349">
            <v>1500019149</v>
          </cell>
          <cell r="B10349">
            <v>19.9166666666667</v>
          </cell>
        </row>
        <row r="10350">
          <cell r="A10350">
            <v>1500019150</v>
          </cell>
          <cell r="B10350">
            <v>6.6666666666666696</v>
          </cell>
        </row>
        <row r="10351">
          <cell r="A10351">
            <v>1500019163</v>
          </cell>
          <cell r="B10351">
            <v>21.35</v>
          </cell>
        </row>
        <row r="10352">
          <cell r="A10352">
            <v>1500019164</v>
          </cell>
          <cell r="B10352">
            <v>5.6666666666666696</v>
          </cell>
        </row>
        <row r="10353">
          <cell r="A10353">
            <v>1500019165</v>
          </cell>
          <cell r="B10353">
            <v>30.4166666666667</v>
          </cell>
        </row>
        <row r="10354">
          <cell r="A10354">
            <v>1500019157</v>
          </cell>
          <cell r="B10354">
            <v>5.25</v>
          </cell>
        </row>
        <row r="10355">
          <cell r="A10355">
            <v>1500019189</v>
          </cell>
          <cell r="B10355">
            <v>13.0666666666667</v>
          </cell>
        </row>
        <row r="10356">
          <cell r="A10356">
            <v>1500019184</v>
          </cell>
          <cell r="B10356">
            <v>8.3333333333333304</v>
          </cell>
        </row>
        <row r="10357">
          <cell r="A10357">
            <v>1500019186</v>
          </cell>
          <cell r="B10357">
            <v>0.83333333333333304</v>
          </cell>
        </row>
        <row r="10358">
          <cell r="A10358">
            <v>1500019177</v>
          </cell>
          <cell r="B10358">
            <v>13</v>
          </cell>
        </row>
        <row r="10359">
          <cell r="A10359">
            <v>1500019156</v>
          </cell>
          <cell r="B10359">
            <v>18</v>
          </cell>
        </row>
        <row r="10360">
          <cell r="A10360">
            <v>1500019173</v>
          </cell>
          <cell r="B10360">
            <v>6.8333333333333304</v>
          </cell>
        </row>
        <row r="10361">
          <cell r="A10361">
            <v>1500019175</v>
          </cell>
          <cell r="B10361">
            <v>14.3333333333333</v>
          </cell>
        </row>
        <row r="10362">
          <cell r="A10362">
            <v>1500019191</v>
          </cell>
          <cell r="B10362">
            <v>11.75</v>
          </cell>
        </row>
        <row r="10363">
          <cell r="A10363">
            <v>1500019161</v>
          </cell>
          <cell r="B10363">
            <v>21.0416666666667</v>
          </cell>
        </row>
        <row r="10364">
          <cell r="A10364">
            <v>1500019185</v>
          </cell>
          <cell r="B10364">
            <v>52.0833333333333</v>
          </cell>
        </row>
        <row r="10365">
          <cell r="A10365">
            <v>1500019187</v>
          </cell>
          <cell r="B10365">
            <v>22</v>
          </cell>
        </row>
        <row r="10366">
          <cell r="A10366">
            <v>1500019188</v>
          </cell>
          <cell r="B10366">
            <v>9.3333333333333304</v>
          </cell>
        </row>
        <row r="10367">
          <cell r="A10367">
            <v>1500019183</v>
          </cell>
          <cell r="B10367">
            <v>0</v>
          </cell>
        </row>
        <row r="10368">
          <cell r="A10368">
            <v>1500019190</v>
          </cell>
          <cell r="B10368">
            <v>34.4166666666667</v>
          </cell>
        </row>
        <row r="10369">
          <cell r="A10369">
            <v>1500019155</v>
          </cell>
          <cell r="B10369">
            <v>7.0833333333333304</v>
          </cell>
        </row>
        <row r="10370">
          <cell r="A10370">
            <v>1500019172</v>
          </cell>
          <cell r="B10370">
            <v>5.4166666666666696</v>
          </cell>
        </row>
        <row r="10371">
          <cell r="A10371">
            <v>1500019166</v>
          </cell>
          <cell r="B10371">
            <v>8.1666666666666696</v>
          </cell>
        </row>
        <row r="10372">
          <cell r="A10372">
            <v>1500019169</v>
          </cell>
          <cell r="B10372">
            <v>13.3333333333333</v>
          </cell>
        </row>
        <row r="10373">
          <cell r="A10373">
            <v>1500019195</v>
          </cell>
          <cell r="B10373">
            <v>12.5</v>
          </cell>
        </row>
        <row r="10374">
          <cell r="A10374">
            <v>1500019210</v>
          </cell>
          <cell r="B10374">
            <v>18.5833333333333</v>
          </cell>
        </row>
        <row r="10375">
          <cell r="A10375">
            <v>1500019199</v>
          </cell>
          <cell r="B10375">
            <v>0</v>
          </cell>
        </row>
        <row r="10376">
          <cell r="A10376">
            <v>1500019196</v>
          </cell>
          <cell r="B10376">
            <v>6.75</v>
          </cell>
        </row>
        <row r="10377">
          <cell r="A10377">
            <v>1500019203</v>
          </cell>
          <cell r="B10377">
            <v>8.75</v>
          </cell>
        </row>
        <row r="10378">
          <cell r="A10378">
            <v>1500019214</v>
          </cell>
          <cell r="B10378">
            <v>7.5</v>
          </cell>
        </row>
        <row r="10379">
          <cell r="A10379">
            <v>1500019194</v>
          </cell>
          <cell r="B10379">
            <v>9.0833333333333304</v>
          </cell>
        </row>
        <row r="10380">
          <cell r="A10380">
            <v>1500019198</v>
          </cell>
          <cell r="B10380">
            <v>5.8333333333333304</v>
          </cell>
        </row>
        <row r="10381">
          <cell r="A10381">
            <v>1500019205</v>
          </cell>
          <cell r="B10381">
            <v>2.9166666666666701</v>
          </cell>
        </row>
        <row r="10382">
          <cell r="A10382">
            <v>1500019200</v>
          </cell>
          <cell r="B10382">
            <v>10.8333333333333</v>
          </cell>
        </row>
        <row r="10383">
          <cell r="A10383">
            <v>1500019204</v>
          </cell>
          <cell r="B10383">
            <v>3.75</v>
          </cell>
        </row>
        <row r="10384">
          <cell r="A10384">
            <v>1500019193</v>
          </cell>
          <cell r="B10384">
            <v>65.3333333333333</v>
          </cell>
        </row>
        <row r="10385">
          <cell r="A10385">
            <v>1500019197</v>
          </cell>
          <cell r="B10385">
            <v>13.75</v>
          </cell>
        </row>
        <row r="10386">
          <cell r="A10386">
            <v>1500019213</v>
          </cell>
          <cell r="B10386">
            <v>10</v>
          </cell>
        </row>
        <row r="10387">
          <cell r="A10387">
            <v>1500019225</v>
          </cell>
          <cell r="B10387">
            <v>9.8333333333333304</v>
          </cell>
        </row>
        <row r="10388">
          <cell r="A10388">
            <v>1500019226</v>
          </cell>
          <cell r="B10388">
            <v>7.5</v>
          </cell>
        </row>
        <row r="10389">
          <cell r="A10389">
            <v>1500019227</v>
          </cell>
          <cell r="B10389">
            <v>0</v>
          </cell>
        </row>
        <row r="10390">
          <cell r="A10390">
            <v>1500019229</v>
          </cell>
          <cell r="B10390">
            <v>6.6666666666666696</v>
          </cell>
        </row>
        <row r="10391">
          <cell r="A10391">
            <v>1500019230</v>
          </cell>
          <cell r="B10391">
            <v>6.25</v>
          </cell>
        </row>
        <row r="10392">
          <cell r="A10392">
            <v>1500019215</v>
          </cell>
          <cell r="B10392">
            <v>20</v>
          </cell>
        </row>
        <row r="10393">
          <cell r="A10393">
            <v>1500019217</v>
          </cell>
          <cell r="B10393">
            <v>27.6666666666667</v>
          </cell>
        </row>
        <row r="10394">
          <cell r="A10394">
            <v>1500019231</v>
          </cell>
          <cell r="B10394">
            <v>9.5833333333333304</v>
          </cell>
        </row>
        <row r="10395">
          <cell r="A10395">
            <v>1500019232</v>
          </cell>
          <cell r="B10395">
            <v>10.033333333333299</v>
          </cell>
        </row>
        <row r="10396">
          <cell r="A10396">
            <v>1500019234</v>
          </cell>
          <cell r="B10396">
            <v>5.0833333333333304</v>
          </cell>
        </row>
        <row r="10397">
          <cell r="A10397">
            <v>1500019236</v>
          </cell>
          <cell r="B10397">
            <v>3.25</v>
          </cell>
        </row>
        <row r="10398">
          <cell r="A10398">
            <v>1500019237</v>
          </cell>
          <cell r="B10398">
            <v>6.6666666666666696</v>
          </cell>
        </row>
        <row r="10399">
          <cell r="A10399">
            <v>1500019238</v>
          </cell>
          <cell r="B10399">
            <v>2.1666666666666701</v>
          </cell>
        </row>
        <row r="10400">
          <cell r="A10400">
            <v>1500019239</v>
          </cell>
          <cell r="B10400">
            <v>5.8333333333333304</v>
          </cell>
        </row>
        <row r="10401">
          <cell r="A10401">
            <v>1500019240</v>
          </cell>
          <cell r="B10401">
            <v>8.3333333333333304</v>
          </cell>
        </row>
        <row r="10402">
          <cell r="A10402">
            <v>1500019242</v>
          </cell>
          <cell r="B10402">
            <v>3.3333333333333299</v>
          </cell>
        </row>
        <row r="10403">
          <cell r="A10403">
            <v>1500019252</v>
          </cell>
          <cell r="B10403">
            <v>1.6666666666666701</v>
          </cell>
        </row>
        <row r="10404">
          <cell r="A10404">
            <v>1500019253</v>
          </cell>
          <cell r="B10404">
            <v>2.5</v>
          </cell>
        </row>
        <row r="10405">
          <cell r="A10405">
            <v>1500019254</v>
          </cell>
          <cell r="B10405">
            <v>0</v>
          </cell>
        </row>
        <row r="10406">
          <cell r="A10406">
            <v>1500019255</v>
          </cell>
          <cell r="B10406">
            <v>3.6666666666666701</v>
          </cell>
        </row>
        <row r="10407">
          <cell r="A10407">
            <v>1500019256</v>
          </cell>
          <cell r="B10407">
            <v>9.56666666666667</v>
          </cell>
        </row>
        <row r="10408">
          <cell r="A10408">
            <v>1500019257</v>
          </cell>
          <cell r="B10408">
            <v>1.6666666666666701</v>
          </cell>
        </row>
        <row r="10409">
          <cell r="A10409">
            <v>1500019258</v>
          </cell>
          <cell r="B10409">
            <v>0</v>
          </cell>
        </row>
        <row r="10410">
          <cell r="A10410">
            <v>1500019259</v>
          </cell>
          <cell r="B10410">
            <v>20</v>
          </cell>
        </row>
        <row r="10411">
          <cell r="A10411">
            <v>1500019260</v>
          </cell>
          <cell r="B10411">
            <v>5.6666666666666696</v>
          </cell>
        </row>
        <row r="10412">
          <cell r="A10412">
            <v>1500019262</v>
          </cell>
          <cell r="B10412">
            <v>10.391666666666699</v>
          </cell>
        </row>
        <row r="10413">
          <cell r="A10413">
            <v>1500019263</v>
          </cell>
          <cell r="B10413">
            <v>15.8333333333333</v>
          </cell>
        </row>
        <row r="10414">
          <cell r="A10414">
            <v>1500019264</v>
          </cell>
          <cell r="B10414">
            <v>5</v>
          </cell>
        </row>
        <row r="10415">
          <cell r="A10415">
            <v>1500019265</v>
          </cell>
          <cell r="B10415">
            <v>6.6666666666666696</v>
          </cell>
        </row>
        <row r="10416">
          <cell r="A10416">
            <v>1500019266</v>
          </cell>
          <cell r="B10416">
            <v>4.3333333333333304</v>
          </cell>
        </row>
        <row r="10417">
          <cell r="A10417">
            <v>1500019267</v>
          </cell>
          <cell r="B10417">
            <v>0</v>
          </cell>
        </row>
        <row r="10418">
          <cell r="A10418">
            <v>1500019268</v>
          </cell>
          <cell r="B10418">
            <v>3.3333333333333299</v>
          </cell>
        </row>
        <row r="10419">
          <cell r="A10419">
            <v>1500019269</v>
          </cell>
          <cell r="B10419">
            <v>5.25</v>
          </cell>
        </row>
        <row r="10420">
          <cell r="A10420">
            <v>1500019271</v>
          </cell>
          <cell r="B10420">
            <v>3.3333333333333299</v>
          </cell>
        </row>
        <row r="10421">
          <cell r="A10421">
            <v>1500019272</v>
          </cell>
          <cell r="B10421">
            <v>0</v>
          </cell>
        </row>
        <row r="10422">
          <cell r="A10422">
            <v>1500019274</v>
          </cell>
          <cell r="B10422">
            <v>11.9166666666667</v>
          </cell>
        </row>
        <row r="10423">
          <cell r="A10423">
            <v>1500019291</v>
          </cell>
          <cell r="B10423">
            <v>3</v>
          </cell>
        </row>
        <row r="10424">
          <cell r="A10424">
            <v>1500019298</v>
          </cell>
          <cell r="B10424">
            <v>0</v>
          </cell>
        </row>
        <row r="10425">
          <cell r="A10425">
            <v>1500019289</v>
          </cell>
          <cell r="B10425">
            <v>8</v>
          </cell>
        </row>
        <row r="10426">
          <cell r="A10426">
            <v>1500019276</v>
          </cell>
          <cell r="B10426">
            <v>10.8333333333333</v>
          </cell>
        </row>
        <row r="10427">
          <cell r="A10427">
            <v>1500019290</v>
          </cell>
          <cell r="B10427">
            <v>6.6666666666666696</v>
          </cell>
        </row>
        <row r="10428">
          <cell r="A10428">
            <v>1500019295</v>
          </cell>
          <cell r="B10428">
            <v>3.8333333333333299</v>
          </cell>
        </row>
        <row r="10429">
          <cell r="A10429">
            <v>1500019288</v>
          </cell>
          <cell r="B10429">
            <v>0</v>
          </cell>
        </row>
        <row r="10430">
          <cell r="A10430">
            <v>1500019297</v>
          </cell>
          <cell r="B10430">
            <v>0</v>
          </cell>
        </row>
        <row r="10431">
          <cell r="A10431">
            <v>1500019286</v>
          </cell>
          <cell r="B10431">
            <v>0</v>
          </cell>
        </row>
        <row r="10432">
          <cell r="A10432">
            <v>1500019296</v>
          </cell>
          <cell r="B10432">
            <v>0</v>
          </cell>
        </row>
        <row r="10433">
          <cell r="A10433">
            <v>1500019285</v>
          </cell>
          <cell r="B10433">
            <v>6.6666666666666696</v>
          </cell>
        </row>
        <row r="10434">
          <cell r="A10434">
            <v>1500019287</v>
          </cell>
          <cell r="B10434">
            <v>0</v>
          </cell>
        </row>
        <row r="10435">
          <cell r="A10435">
            <v>1500019304</v>
          </cell>
          <cell r="B10435">
            <v>0</v>
          </cell>
        </row>
        <row r="10436">
          <cell r="A10436">
            <v>1500019305</v>
          </cell>
          <cell r="B10436">
            <v>0</v>
          </cell>
        </row>
        <row r="10437">
          <cell r="A10437">
            <v>1500019306</v>
          </cell>
          <cell r="B10437">
            <v>0</v>
          </cell>
        </row>
        <row r="10438">
          <cell r="A10438">
            <v>1500019307</v>
          </cell>
          <cell r="B10438">
            <v>0</v>
          </cell>
        </row>
        <row r="10439">
          <cell r="A10439">
            <v>1500019247</v>
          </cell>
          <cell r="B10439">
            <v>0</v>
          </cell>
        </row>
        <row r="10440">
          <cell r="A10440">
            <v>1500019248</v>
          </cell>
          <cell r="B10440">
            <v>0</v>
          </cell>
        </row>
        <row r="10441">
          <cell r="A10441">
            <v>1500019249</v>
          </cell>
          <cell r="B10441">
            <v>0</v>
          </cell>
        </row>
        <row r="10442">
          <cell r="A10442">
            <v>1500019250</v>
          </cell>
          <cell r="B10442">
            <v>7.0833333333333304</v>
          </cell>
        </row>
        <row r="10443">
          <cell r="A10443">
            <v>1500019251</v>
          </cell>
          <cell r="B10443">
            <v>0</v>
          </cell>
        </row>
        <row r="10444">
          <cell r="A10444">
            <v>1500019322</v>
          </cell>
          <cell r="B10444">
            <v>0</v>
          </cell>
        </row>
        <row r="10445">
          <cell r="A10445">
            <v>1500019324</v>
          </cell>
          <cell r="B10445">
            <v>0</v>
          </cell>
        </row>
        <row r="10446">
          <cell r="A10446">
            <v>1500019325</v>
          </cell>
          <cell r="B10446">
            <v>0</v>
          </cell>
        </row>
        <row r="10447">
          <cell r="A10447">
            <v>1500019326</v>
          </cell>
          <cell r="B10447">
            <v>0</v>
          </cell>
        </row>
        <row r="10448">
          <cell r="A10448">
            <v>1500019327</v>
          </cell>
          <cell r="B10448">
            <v>0</v>
          </cell>
        </row>
        <row r="10449">
          <cell r="A10449">
            <v>1500019328</v>
          </cell>
          <cell r="B10449">
            <v>3.3333333333333299</v>
          </cell>
        </row>
        <row r="10450">
          <cell r="A10450">
            <v>1500019329</v>
          </cell>
          <cell r="B10450">
            <v>30.3333333333333</v>
          </cell>
        </row>
        <row r="10451">
          <cell r="A10451">
            <v>1500019330</v>
          </cell>
          <cell r="B10451">
            <v>42.125</v>
          </cell>
        </row>
        <row r="10452">
          <cell r="A10452">
            <v>1500019331</v>
          </cell>
          <cell r="B10452">
            <v>0</v>
          </cell>
        </row>
        <row r="10453">
          <cell r="A10453">
            <v>1500019332</v>
          </cell>
          <cell r="B10453">
            <v>0</v>
          </cell>
        </row>
        <row r="10454">
          <cell r="A10454">
            <v>1500019335</v>
          </cell>
          <cell r="B10454">
            <v>0</v>
          </cell>
        </row>
        <row r="10455">
          <cell r="A10455">
            <v>1500019361</v>
          </cell>
          <cell r="B10455">
            <v>0</v>
          </cell>
        </row>
        <row r="10456">
          <cell r="A10456">
            <v>1500019360</v>
          </cell>
          <cell r="B10456">
            <v>0</v>
          </cell>
        </row>
        <row r="10457">
          <cell r="A10457">
            <v>1500019362</v>
          </cell>
          <cell r="B10457">
            <v>0</v>
          </cell>
        </row>
        <row r="10458">
          <cell r="A10458">
            <v>1500019367</v>
          </cell>
          <cell r="B10458">
            <v>0</v>
          </cell>
        </row>
        <row r="10459">
          <cell r="A10459">
            <v>1500019344</v>
          </cell>
          <cell r="B10459">
            <v>0</v>
          </cell>
        </row>
        <row r="10460">
          <cell r="A10460">
            <v>1500019339</v>
          </cell>
          <cell r="B10460">
            <v>0</v>
          </cell>
        </row>
        <row r="10461">
          <cell r="A10461">
            <v>1500019345</v>
          </cell>
          <cell r="B10461">
            <v>0</v>
          </cell>
        </row>
        <row r="10462">
          <cell r="A10462">
            <v>1500019350</v>
          </cell>
          <cell r="B10462">
            <v>0</v>
          </cell>
        </row>
        <row r="10463">
          <cell r="A10463">
            <v>1500019358</v>
          </cell>
          <cell r="B10463">
            <v>0</v>
          </cell>
        </row>
        <row r="10464">
          <cell r="A10464">
            <v>1500019346</v>
          </cell>
          <cell r="B10464">
            <v>0</v>
          </cell>
        </row>
        <row r="10465">
          <cell r="A10465">
            <v>1500019359</v>
          </cell>
          <cell r="B10465">
            <v>0</v>
          </cell>
        </row>
        <row r="10466">
          <cell r="A10466">
            <v>1500019337</v>
          </cell>
          <cell r="B10466">
            <v>0</v>
          </cell>
        </row>
        <row r="10467">
          <cell r="A10467">
            <v>1500019338</v>
          </cell>
          <cell r="B10467">
            <v>0</v>
          </cell>
        </row>
        <row r="10468">
          <cell r="A10468">
            <v>1500019347</v>
          </cell>
          <cell r="B10468">
            <v>0</v>
          </cell>
        </row>
        <row r="10469">
          <cell r="A10469">
            <v>1500019336</v>
          </cell>
          <cell r="B10469">
            <v>0</v>
          </cell>
        </row>
        <row r="10470">
          <cell r="A10470">
            <v>1500019349</v>
          </cell>
          <cell r="B10470">
            <v>0</v>
          </cell>
        </row>
        <row r="10471">
          <cell r="A10471">
            <v>1500019341</v>
          </cell>
          <cell r="B10471">
            <v>0</v>
          </cell>
        </row>
        <row r="10472">
          <cell r="A10472">
            <v>1500019384</v>
          </cell>
          <cell r="B10472">
            <v>0</v>
          </cell>
        </row>
        <row r="10473">
          <cell r="A10473">
            <v>1500019373</v>
          </cell>
          <cell r="B10473">
            <v>0</v>
          </cell>
        </row>
        <row r="10474">
          <cell r="A10474">
            <v>1500019455</v>
          </cell>
          <cell r="B10474">
            <v>0</v>
          </cell>
        </row>
        <row r="10475">
          <cell r="A10475">
            <v>1500019454</v>
          </cell>
          <cell r="B10475">
            <v>0</v>
          </cell>
        </row>
        <row r="10476">
          <cell r="A10476">
            <v>1500019399</v>
          </cell>
          <cell r="B10476">
            <v>0</v>
          </cell>
        </row>
        <row r="10477">
          <cell r="A10477">
            <v>1500019374</v>
          </cell>
          <cell r="B10477">
            <v>0</v>
          </cell>
        </row>
        <row r="10478">
          <cell r="A10478">
            <v>1500019423</v>
          </cell>
          <cell r="B10478">
            <v>0</v>
          </cell>
        </row>
        <row r="10479">
          <cell r="A10479">
            <v>1500019434</v>
          </cell>
          <cell r="B10479">
            <v>0</v>
          </cell>
        </row>
        <row r="10480">
          <cell r="A10480">
            <v>1500019453</v>
          </cell>
          <cell r="B10480">
            <v>0</v>
          </cell>
        </row>
        <row r="10481">
          <cell r="A10481">
            <v>1500019382</v>
          </cell>
          <cell r="B10481">
            <v>0</v>
          </cell>
        </row>
        <row r="10482">
          <cell r="A10482">
            <v>1500019430</v>
          </cell>
          <cell r="B10482">
            <v>0</v>
          </cell>
        </row>
        <row r="10483">
          <cell r="A10483">
            <v>1500019431</v>
          </cell>
          <cell r="B10483">
            <v>0</v>
          </cell>
        </row>
        <row r="10484">
          <cell r="A10484">
            <v>1500019428</v>
          </cell>
          <cell r="B10484">
            <v>0</v>
          </cell>
        </row>
        <row r="10485">
          <cell r="A10485">
            <v>1500019452</v>
          </cell>
          <cell r="B10485">
            <v>0</v>
          </cell>
        </row>
        <row r="10486">
          <cell r="A10486">
            <v>1500019432</v>
          </cell>
          <cell r="B10486">
            <v>0</v>
          </cell>
        </row>
        <row r="10487">
          <cell r="A10487">
            <v>1500019413</v>
          </cell>
          <cell r="B10487">
            <v>0</v>
          </cell>
        </row>
        <row r="10488">
          <cell r="A10488">
            <v>1500019378</v>
          </cell>
          <cell r="B10488">
            <v>0</v>
          </cell>
        </row>
        <row r="10489">
          <cell r="A10489">
            <v>1500019370</v>
          </cell>
          <cell r="B10489">
            <v>0</v>
          </cell>
        </row>
        <row r="10490">
          <cell r="A10490">
            <v>1500019415</v>
          </cell>
          <cell r="B10490">
            <v>0</v>
          </cell>
        </row>
        <row r="10491">
          <cell r="A10491">
            <v>1500019440</v>
          </cell>
          <cell r="B10491">
            <v>0</v>
          </cell>
        </row>
        <row r="10492">
          <cell r="A10492">
            <v>1500019388</v>
          </cell>
          <cell r="B10492">
            <v>0</v>
          </cell>
        </row>
        <row r="10493">
          <cell r="A10493">
            <v>1500019420</v>
          </cell>
          <cell r="B10493">
            <v>0</v>
          </cell>
        </row>
        <row r="10494">
          <cell r="A10494">
            <v>1500019372</v>
          </cell>
          <cell r="B10494">
            <v>0</v>
          </cell>
        </row>
        <row r="10495">
          <cell r="A10495">
            <v>1500019405</v>
          </cell>
          <cell r="B10495">
            <v>0</v>
          </cell>
        </row>
        <row r="10496">
          <cell r="A10496">
            <v>1500019435</v>
          </cell>
          <cell r="B10496">
            <v>0</v>
          </cell>
        </row>
        <row r="10497">
          <cell r="A10497">
            <v>1500019406</v>
          </cell>
          <cell r="B10497">
            <v>0</v>
          </cell>
        </row>
        <row r="10498">
          <cell r="A10498">
            <v>1500019422</v>
          </cell>
          <cell r="B10498">
            <v>0</v>
          </cell>
        </row>
        <row r="10499">
          <cell r="A10499">
            <v>1500019375</v>
          </cell>
          <cell r="B10499">
            <v>0</v>
          </cell>
        </row>
        <row r="10500">
          <cell r="A10500">
            <v>1500019404</v>
          </cell>
          <cell r="B10500">
            <v>0</v>
          </cell>
        </row>
        <row r="10501">
          <cell r="A10501">
            <v>1500019425</v>
          </cell>
          <cell r="B10501">
            <v>0</v>
          </cell>
        </row>
        <row r="10502">
          <cell r="A10502">
            <v>1500019387</v>
          </cell>
          <cell r="B10502">
            <v>0</v>
          </cell>
        </row>
        <row r="10503">
          <cell r="A10503">
            <v>1500019386</v>
          </cell>
          <cell r="B10503">
            <v>0</v>
          </cell>
        </row>
        <row r="10504">
          <cell r="A10504">
            <v>1500019426</v>
          </cell>
          <cell r="B10504">
            <v>0</v>
          </cell>
        </row>
        <row r="10505">
          <cell r="A10505">
            <v>1500019391</v>
          </cell>
          <cell r="B10505">
            <v>0</v>
          </cell>
        </row>
        <row r="10506">
          <cell r="A10506">
            <v>1500019419</v>
          </cell>
          <cell r="B10506">
            <v>0</v>
          </cell>
        </row>
        <row r="10507">
          <cell r="A10507">
            <v>1500019412</v>
          </cell>
          <cell r="B10507">
            <v>0</v>
          </cell>
        </row>
        <row r="10508">
          <cell r="A10508">
            <v>1500019403</v>
          </cell>
          <cell r="B10508">
            <v>0</v>
          </cell>
        </row>
        <row r="10509">
          <cell r="A10509">
            <v>1500019376</v>
          </cell>
          <cell r="B10509">
            <v>0</v>
          </cell>
        </row>
        <row r="10510">
          <cell r="A10510">
            <v>1500019438</v>
          </cell>
          <cell r="B10510">
            <v>0</v>
          </cell>
        </row>
        <row r="10511">
          <cell r="A10511">
            <v>1500019402</v>
          </cell>
          <cell r="B10511">
            <v>0</v>
          </cell>
        </row>
        <row r="10512">
          <cell r="A10512">
            <v>1500019466</v>
          </cell>
          <cell r="B10512">
            <v>0</v>
          </cell>
        </row>
        <row r="10513">
          <cell r="A10513">
            <v>1500019503</v>
          </cell>
          <cell r="B10513">
            <v>0</v>
          </cell>
        </row>
        <row r="10514">
          <cell r="A10514">
            <v>1500019505</v>
          </cell>
          <cell r="B10514">
            <v>0</v>
          </cell>
        </row>
        <row r="10515">
          <cell r="A10515">
            <v>1500019460</v>
          </cell>
          <cell r="B10515">
            <v>0</v>
          </cell>
        </row>
        <row r="10516">
          <cell r="A10516">
            <v>1500019457</v>
          </cell>
          <cell r="B10516">
            <v>0</v>
          </cell>
        </row>
        <row r="10517">
          <cell r="A10517">
            <v>1500019492</v>
          </cell>
          <cell r="B10517">
            <v>0</v>
          </cell>
        </row>
        <row r="10518">
          <cell r="A10518">
            <v>1500019458</v>
          </cell>
          <cell r="B10518">
            <v>0</v>
          </cell>
        </row>
        <row r="10519">
          <cell r="A10519">
            <v>1500019495</v>
          </cell>
          <cell r="B10519">
            <v>0</v>
          </cell>
        </row>
        <row r="10520">
          <cell r="A10520">
            <v>1500019447</v>
          </cell>
          <cell r="B10520">
            <v>0</v>
          </cell>
        </row>
        <row r="10521">
          <cell r="A10521">
            <v>1500019461</v>
          </cell>
          <cell r="B10521">
            <v>0</v>
          </cell>
        </row>
        <row r="10522">
          <cell r="A10522">
            <v>1500019506</v>
          </cell>
          <cell r="B10522">
            <v>0</v>
          </cell>
        </row>
        <row r="10523">
          <cell r="A10523">
            <v>1500019494</v>
          </cell>
          <cell r="B10523">
            <v>0</v>
          </cell>
        </row>
        <row r="10524">
          <cell r="A10524">
            <v>1500019498</v>
          </cell>
          <cell r="B10524">
            <v>0</v>
          </cell>
        </row>
        <row r="10525">
          <cell r="A10525">
            <v>1500019482</v>
          </cell>
          <cell r="B10525">
            <v>0</v>
          </cell>
        </row>
        <row r="10526">
          <cell r="A10526">
            <v>1500019481</v>
          </cell>
          <cell r="B10526">
            <v>0</v>
          </cell>
        </row>
        <row r="10527">
          <cell r="A10527">
            <v>1500019456</v>
          </cell>
          <cell r="B10527">
            <v>0</v>
          </cell>
        </row>
        <row r="10528">
          <cell r="A10528">
            <v>1500019477</v>
          </cell>
          <cell r="B10528">
            <v>0</v>
          </cell>
        </row>
        <row r="10529">
          <cell r="A10529">
            <v>1500019493</v>
          </cell>
          <cell r="B10529">
            <v>0</v>
          </cell>
        </row>
        <row r="10530">
          <cell r="A10530">
            <v>1500019471</v>
          </cell>
          <cell r="B10530">
            <v>0</v>
          </cell>
        </row>
        <row r="10531">
          <cell r="A10531">
            <v>1500019497</v>
          </cell>
          <cell r="B10531">
            <v>0</v>
          </cell>
        </row>
        <row r="10532">
          <cell r="A10532">
            <v>1500019502</v>
          </cell>
          <cell r="B10532">
            <v>0</v>
          </cell>
        </row>
        <row r="10533">
          <cell r="A10533">
            <v>1500019489</v>
          </cell>
          <cell r="B10533">
            <v>0</v>
          </cell>
        </row>
        <row r="10534">
          <cell r="A10534">
            <v>1500019487</v>
          </cell>
          <cell r="B10534">
            <v>0</v>
          </cell>
        </row>
        <row r="10535">
          <cell r="A10535">
            <v>1500019476</v>
          </cell>
          <cell r="B10535">
            <v>0</v>
          </cell>
        </row>
        <row r="10536">
          <cell r="A10536">
            <v>1500019488</v>
          </cell>
          <cell r="B10536">
            <v>0</v>
          </cell>
        </row>
        <row r="10537">
          <cell r="A10537">
            <v>1500019483</v>
          </cell>
          <cell r="B10537">
            <v>0</v>
          </cell>
        </row>
        <row r="10538">
          <cell r="A10538">
            <v>1500004970</v>
          </cell>
          <cell r="B10538">
            <v>108.333333333333</v>
          </cell>
        </row>
        <row r="10539">
          <cell r="A10539">
            <v>1500006112</v>
          </cell>
          <cell r="B10539">
            <v>2.9166666666666701</v>
          </cell>
        </row>
        <row r="10540">
          <cell r="A10540">
            <v>1500004463</v>
          </cell>
          <cell r="B10540">
            <v>42.3333333333333</v>
          </cell>
        </row>
        <row r="10541">
          <cell r="A10541">
            <v>1500002809</v>
          </cell>
          <cell r="B10541">
            <v>0</v>
          </cell>
        </row>
        <row r="10542">
          <cell r="A10542">
            <v>1500001790</v>
          </cell>
          <cell r="B10542">
            <v>62.3333333333333</v>
          </cell>
        </row>
        <row r="10543">
          <cell r="A10543">
            <v>1500001791</v>
          </cell>
          <cell r="B10543">
            <v>1.25</v>
          </cell>
        </row>
        <row r="10544">
          <cell r="A10544">
            <v>1500003900</v>
          </cell>
          <cell r="B10544">
            <v>0</v>
          </cell>
        </row>
        <row r="10545">
          <cell r="A10545">
            <v>1500004993</v>
          </cell>
          <cell r="B10545">
            <v>53.0833333333333</v>
          </cell>
        </row>
        <row r="10546">
          <cell r="A10546">
            <v>1500004994</v>
          </cell>
          <cell r="B10546">
            <v>0</v>
          </cell>
        </row>
        <row r="10547">
          <cell r="A10547">
            <v>1500001792</v>
          </cell>
          <cell r="B10547">
            <v>0</v>
          </cell>
        </row>
        <row r="10548">
          <cell r="A10548">
            <v>1500001793</v>
          </cell>
          <cell r="B10548">
            <v>20</v>
          </cell>
        </row>
        <row r="10549">
          <cell r="A10549">
            <v>1500001794</v>
          </cell>
          <cell r="B10549">
            <v>26.9166666666667</v>
          </cell>
        </row>
        <row r="10550">
          <cell r="A10550">
            <v>1500001795</v>
          </cell>
          <cell r="B10550">
            <v>0</v>
          </cell>
        </row>
        <row r="10551">
          <cell r="A10551">
            <v>1500001797</v>
          </cell>
          <cell r="B10551">
            <v>0</v>
          </cell>
        </row>
        <row r="10552">
          <cell r="A10552">
            <v>1500001798</v>
          </cell>
          <cell r="B10552">
            <v>25.1666666666667</v>
          </cell>
        </row>
        <row r="10553">
          <cell r="A10553">
            <v>1500001799</v>
          </cell>
          <cell r="B10553">
            <v>27.1666666666667</v>
          </cell>
        </row>
        <row r="10554">
          <cell r="A10554">
            <v>1500001801</v>
          </cell>
          <cell r="B10554">
            <v>29.5833333333333</v>
          </cell>
        </row>
        <row r="10555">
          <cell r="A10555">
            <v>1500011785</v>
          </cell>
          <cell r="B10555">
            <v>96.216666666666697</v>
          </cell>
        </row>
        <row r="10556">
          <cell r="A10556">
            <v>1500001803</v>
          </cell>
          <cell r="B10556">
            <v>0</v>
          </cell>
        </row>
        <row r="10557">
          <cell r="A10557">
            <v>1500001872</v>
          </cell>
          <cell r="B10557">
            <v>65.0833333333333</v>
          </cell>
        </row>
        <row r="10558">
          <cell r="A10558">
            <v>1500011801</v>
          </cell>
          <cell r="B10558">
            <v>0</v>
          </cell>
        </row>
        <row r="10559">
          <cell r="A10559">
            <v>1500001875</v>
          </cell>
          <cell r="B10559">
            <v>0</v>
          </cell>
        </row>
        <row r="10560">
          <cell r="A10560">
            <v>1500001876</v>
          </cell>
          <cell r="B10560">
            <v>16.6666666666667</v>
          </cell>
        </row>
        <row r="10561">
          <cell r="A10561">
            <v>1500001877</v>
          </cell>
          <cell r="B10561">
            <v>26.0416666666667</v>
          </cell>
        </row>
        <row r="10562">
          <cell r="A10562">
            <v>1500001878</v>
          </cell>
          <cell r="B10562">
            <v>142.791666666667</v>
          </cell>
        </row>
        <row r="10563">
          <cell r="A10563">
            <v>1500001879</v>
          </cell>
          <cell r="B10563">
            <v>31.5</v>
          </cell>
        </row>
        <row r="10564">
          <cell r="A10564">
            <v>1500001804</v>
          </cell>
          <cell r="B10564">
            <v>46.1666666666667</v>
          </cell>
        </row>
        <row r="10565">
          <cell r="A10565">
            <v>1500001805</v>
          </cell>
          <cell r="B10565">
            <v>64.0833333333333</v>
          </cell>
        </row>
        <row r="10566">
          <cell r="A10566">
            <v>1500001806</v>
          </cell>
          <cell r="B10566">
            <v>8.6999999999999993</v>
          </cell>
        </row>
        <row r="10567">
          <cell r="A10567">
            <v>1500001807</v>
          </cell>
          <cell r="B10567">
            <v>23.1666666666667</v>
          </cell>
        </row>
        <row r="10568">
          <cell r="A10568">
            <v>1500001880</v>
          </cell>
          <cell r="B10568">
            <v>10.1666666666667</v>
          </cell>
        </row>
        <row r="10569">
          <cell r="A10569">
            <v>1500012230</v>
          </cell>
          <cell r="B10569">
            <v>20.0833333333333</v>
          </cell>
        </row>
        <row r="10570">
          <cell r="A10570">
            <v>1500001810</v>
          </cell>
          <cell r="B10570">
            <v>18.3333333333333</v>
          </cell>
        </row>
        <row r="10571">
          <cell r="A10571">
            <v>1500001812</v>
          </cell>
          <cell r="B10571">
            <v>6.4166666666666696</v>
          </cell>
        </row>
        <row r="10572">
          <cell r="A10572">
            <v>1500001813</v>
          </cell>
          <cell r="B10572">
            <v>0</v>
          </cell>
        </row>
        <row r="10573">
          <cell r="A10573">
            <v>1500001814</v>
          </cell>
          <cell r="B10573">
            <v>89.325000000000003</v>
          </cell>
        </row>
        <row r="10574">
          <cell r="A10574">
            <v>1500001816</v>
          </cell>
          <cell r="B10574">
            <v>66.233333333333306</v>
          </cell>
        </row>
        <row r="10575">
          <cell r="A10575">
            <v>1500001817</v>
          </cell>
          <cell r="B10575">
            <v>17.6666666666667</v>
          </cell>
        </row>
        <row r="10576">
          <cell r="A10576">
            <v>1500011781</v>
          </cell>
          <cell r="B10576">
            <v>0</v>
          </cell>
        </row>
        <row r="10577">
          <cell r="A10577">
            <v>1500001818</v>
          </cell>
          <cell r="B10577">
            <v>31.625</v>
          </cell>
        </row>
        <row r="10578">
          <cell r="A10578">
            <v>1500001819</v>
          </cell>
          <cell r="B10578">
            <v>10.25</v>
          </cell>
        </row>
        <row r="10579">
          <cell r="A10579">
            <v>1500004181</v>
          </cell>
          <cell r="B10579">
            <v>16.3333333333333</v>
          </cell>
        </row>
        <row r="10580">
          <cell r="A10580">
            <v>1500004185</v>
          </cell>
          <cell r="B10580">
            <v>14.3333333333333</v>
          </cell>
        </row>
        <row r="10581">
          <cell r="A10581">
            <v>1500004187</v>
          </cell>
          <cell r="B10581">
            <v>14.25</v>
          </cell>
        </row>
        <row r="10582">
          <cell r="A10582">
            <v>1500004188</v>
          </cell>
          <cell r="B10582">
            <v>12.133333333333301</v>
          </cell>
        </row>
        <row r="10583">
          <cell r="A10583">
            <v>1500004192</v>
          </cell>
          <cell r="B10583">
            <v>0</v>
          </cell>
        </row>
        <row r="10584">
          <cell r="A10584">
            <v>1500001882</v>
          </cell>
          <cell r="B10584">
            <v>35.4166666666667</v>
          </cell>
        </row>
        <row r="10585">
          <cell r="A10585">
            <v>1500001883</v>
          </cell>
          <cell r="B10585">
            <v>0</v>
          </cell>
        </row>
        <row r="10586">
          <cell r="A10586">
            <v>1500004195</v>
          </cell>
          <cell r="B10586">
            <v>45</v>
          </cell>
        </row>
        <row r="10587">
          <cell r="A10587">
            <v>1500004196</v>
          </cell>
          <cell r="B10587">
            <v>4.9166666666666696</v>
          </cell>
        </row>
        <row r="10588">
          <cell r="A10588">
            <v>1500006004</v>
          </cell>
          <cell r="B10588">
            <v>98.4166666666667</v>
          </cell>
        </row>
        <row r="10589">
          <cell r="A10589">
            <v>1500006005</v>
          </cell>
          <cell r="B10589">
            <v>51.341666666666697</v>
          </cell>
        </row>
        <row r="10590">
          <cell r="A10590">
            <v>1500006006</v>
          </cell>
          <cell r="B10590">
            <v>39.3333333333333</v>
          </cell>
        </row>
        <row r="10591">
          <cell r="A10591">
            <v>1500006007</v>
          </cell>
          <cell r="B10591">
            <v>53.5</v>
          </cell>
        </row>
        <row r="10592">
          <cell r="A10592">
            <v>1500006008</v>
          </cell>
          <cell r="B10592">
            <v>0</v>
          </cell>
        </row>
        <row r="10593">
          <cell r="A10593">
            <v>1500006009</v>
          </cell>
          <cell r="B10593">
            <v>10.4166666666667</v>
          </cell>
        </row>
        <row r="10594">
          <cell r="A10594">
            <v>1500006011</v>
          </cell>
          <cell r="B10594">
            <v>14</v>
          </cell>
        </row>
        <row r="10595">
          <cell r="A10595">
            <v>1500006076</v>
          </cell>
          <cell r="B10595">
            <v>8.5</v>
          </cell>
        </row>
        <row r="10596">
          <cell r="A10596">
            <v>1500006014</v>
          </cell>
          <cell r="B10596">
            <v>0</v>
          </cell>
        </row>
        <row r="10597">
          <cell r="A10597">
            <v>1500006016</v>
          </cell>
          <cell r="B10597">
            <v>0</v>
          </cell>
        </row>
        <row r="10598">
          <cell r="A10598">
            <v>1500006017</v>
          </cell>
          <cell r="B10598">
            <v>45.3333333333333</v>
          </cell>
        </row>
        <row r="10599">
          <cell r="A10599">
            <v>1500006019</v>
          </cell>
          <cell r="B10599">
            <v>8.1666666666666696</v>
          </cell>
        </row>
        <row r="10600">
          <cell r="A10600">
            <v>1500006020</v>
          </cell>
          <cell r="B10600">
            <v>55.25</v>
          </cell>
        </row>
        <row r="10601">
          <cell r="A10601">
            <v>1500006021</v>
          </cell>
          <cell r="B10601">
            <v>41.266666666666701</v>
          </cell>
        </row>
        <row r="10602">
          <cell r="A10602">
            <v>1500006022</v>
          </cell>
          <cell r="B10602">
            <v>28.1666666666667</v>
          </cell>
        </row>
        <row r="10603">
          <cell r="A10603">
            <v>1500006237</v>
          </cell>
          <cell r="B10603">
            <v>5.8333333333333304</v>
          </cell>
        </row>
        <row r="10604">
          <cell r="A10604">
            <v>1500006077</v>
          </cell>
          <cell r="B10604">
            <v>20.8333333333333</v>
          </cell>
        </row>
        <row r="10605">
          <cell r="A10605">
            <v>1500006023</v>
          </cell>
          <cell r="B10605">
            <v>53.3333333333333</v>
          </cell>
        </row>
        <row r="10606">
          <cell r="A10606">
            <v>1500006081</v>
          </cell>
          <cell r="B10606">
            <v>3.9166666666666701</v>
          </cell>
        </row>
        <row r="10607">
          <cell r="A10607">
            <v>1500006082</v>
          </cell>
          <cell r="B10607">
            <v>11.3333333333333</v>
          </cell>
        </row>
        <row r="10608">
          <cell r="A10608">
            <v>1500006083</v>
          </cell>
          <cell r="B10608">
            <v>75.75</v>
          </cell>
        </row>
        <row r="10609">
          <cell r="A10609">
            <v>1500006084</v>
          </cell>
          <cell r="B10609">
            <v>0</v>
          </cell>
        </row>
        <row r="10610">
          <cell r="A10610">
            <v>1500006085</v>
          </cell>
          <cell r="B10610">
            <v>5.8333333333333304</v>
          </cell>
        </row>
        <row r="10611">
          <cell r="A10611">
            <v>1500006087</v>
          </cell>
          <cell r="B10611">
            <v>21.1666666666667</v>
          </cell>
        </row>
        <row r="10612">
          <cell r="A10612">
            <v>1500006088</v>
          </cell>
          <cell r="B10612">
            <v>1.3333333333333299</v>
          </cell>
        </row>
        <row r="10613">
          <cell r="A10613">
            <v>1500006090</v>
          </cell>
          <cell r="B10613">
            <v>32.4166666666667</v>
          </cell>
        </row>
        <row r="10614">
          <cell r="A10614">
            <v>1500006091</v>
          </cell>
          <cell r="B10614">
            <v>4.5</v>
          </cell>
        </row>
        <row r="10615">
          <cell r="A10615">
            <v>1500006092</v>
          </cell>
          <cell r="B10615">
            <v>34</v>
          </cell>
        </row>
        <row r="10616">
          <cell r="A10616">
            <v>1500003275</v>
          </cell>
          <cell r="B10616">
            <v>1.6666666666666701</v>
          </cell>
        </row>
        <row r="10617">
          <cell r="A10617">
            <v>1500003276</v>
          </cell>
          <cell r="B10617">
            <v>38.75</v>
          </cell>
        </row>
        <row r="10618">
          <cell r="A10618">
            <v>1500003278</v>
          </cell>
          <cell r="B10618">
            <v>0</v>
          </cell>
        </row>
        <row r="10619">
          <cell r="A10619">
            <v>1500003176</v>
          </cell>
          <cell r="B10619">
            <v>0</v>
          </cell>
        </row>
        <row r="10620">
          <cell r="A10620">
            <v>1500003177</v>
          </cell>
          <cell r="B10620">
            <v>10.8333333333333</v>
          </cell>
        </row>
        <row r="10621">
          <cell r="A10621">
            <v>1500003179</v>
          </cell>
          <cell r="B10621">
            <v>23.6666666666667</v>
          </cell>
        </row>
        <row r="10622">
          <cell r="A10622">
            <v>1500003180</v>
          </cell>
          <cell r="B10622">
            <v>1.5833333333333299</v>
          </cell>
        </row>
        <row r="10623">
          <cell r="A10623">
            <v>1500003181</v>
          </cell>
          <cell r="B10623">
            <v>0</v>
          </cell>
        </row>
        <row r="10624">
          <cell r="A10624">
            <v>1500003182</v>
          </cell>
          <cell r="B10624">
            <v>15.0833333333333</v>
          </cell>
        </row>
        <row r="10625">
          <cell r="A10625">
            <v>1500003250</v>
          </cell>
          <cell r="B10625">
            <v>11.4166666666667</v>
          </cell>
        </row>
        <row r="10626">
          <cell r="A10626">
            <v>1500003186</v>
          </cell>
          <cell r="B10626">
            <v>16.6666666666667</v>
          </cell>
        </row>
        <row r="10627">
          <cell r="A10627">
            <v>1500003187</v>
          </cell>
          <cell r="B10627">
            <v>6.75</v>
          </cell>
        </row>
        <row r="10628">
          <cell r="A10628">
            <v>1500003188</v>
          </cell>
          <cell r="B10628">
            <v>43.6666666666667</v>
          </cell>
        </row>
        <row r="10629">
          <cell r="A10629">
            <v>1500003189</v>
          </cell>
          <cell r="B10629">
            <v>9.0833333333333304</v>
          </cell>
        </row>
        <row r="10630">
          <cell r="A10630">
            <v>1500003254</v>
          </cell>
          <cell r="B10630">
            <v>15.75</v>
          </cell>
        </row>
        <row r="10631">
          <cell r="A10631">
            <v>1500003191</v>
          </cell>
          <cell r="B10631">
            <v>4.3333333333333304</v>
          </cell>
        </row>
        <row r="10632">
          <cell r="A10632">
            <v>1500003192</v>
          </cell>
          <cell r="B10632">
            <v>44.3333333333333</v>
          </cell>
        </row>
        <row r="10633">
          <cell r="A10633">
            <v>1500003193</v>
          </cell>
          <cell r="B10633">
            <v>29.1666666666667</v>
          </cell>
        </row>
        <row r="10634">
          <cell r="A10634">
            <v>1500003194</v>
          </cell>
          <cell r="B10634">
            <v>84.3333333333333</v>
          </cell>
        </row>
        <row r="10635">
          <cell r="A10635">
            <v>1500006296</v>
          </cell>
          <cell r="B10635">
            <v>0</v>
          </cell>
        </row>
        <row r="10636">
          <cell r="A10636">
            <v>1500002011</v>
          </cell>
          <cell r="B10636">
            <v>27.0833333333333</v>
          </cell>
        </row>
        <row r="10637">
          <cell r="A10637">
            <v>1500002020</v>
          </cell>
          <cell r="B10637">
            <v>0</v>
          </cell>
        </row>
        <row r="10638">
          <cell r="A10638">
            <v>1500003362</v>
          </cell>
          <cell r="B10638">
            <v>12.5</v>
          </cell>
        </row>
        <row r="10639">
          <cell r="A10639">
            <v>1500005313</v>
          </cell>
          <cell r="B10639">
            <v>96.75</v>
          </cell>
        </row>
        <row r="10640">
          <cell r="A10640">
            <v>1500003358</v>
          </cell>
          <cell r="B10640">
            <v>0</v>
          </cell>
        </row>
        <row r="10641">
          <cell r="A10641">
            <v>1500003935</v>
          </cell>
          <cell r="B10641">
            <v>0</v>
          </cell>
        </row>
        <row r="10642">
          <cell r="A10642">
            <v>1500004360</v>
          </cell>
          <cell r="B10642">
            <v>0</v>
          </cell>
        </row>
        <row r="10643">
          <cell r="A10643">
            <v>1500004361</v>
          </cell>
          <cell r="B10643">
            <v>0</v>
          </cell>
        </row>
        <row r="10644">
          <cell r="A10644">
            <v>1500004362</v>
          </cell>
          <cell r="B10644">
            <v>0</v>
          </cell>
        </row>
        <row r="10645">
          <cell r="A10645">
            <v>1500003936</v>
          </cell>
          <cell r="B10645">
            <v>0</v>
          </cell>
        </row>
        <row r="10646">
          <cell r="A10646">
            <v>1500005314</v>
          </cell>
          <cell r="B10646">
            <v>7.5</v>
          </cell>
        </row>
        <row r="10647">
          <cell r="A10647">
            <v>1500004363</v>
          </cell>
          <cell r="B10647">
            <v>36.0833333333333</v>
          </cell>
        </row>
        <row r="10648">
          <cell r="A10648">
            <v>1500003937</v>
          </cell>
          <cell r="B10648">
            <v>14.5833333333333</v>
          </cell>
        </row>
        <row r="10649">
          <cell r="A10649">
            <v>1500005554</v>
          </cell>
          <cell r="B10649">
            <v>0</v>
          </cell>
        </row>
        <row r="10650">
          <cell r="A10650">
            <v>1500011799</v>
          </cell>
          <cell r="B10650">
            <v>24.1666666666667</v>
          </cell>
        </row>
        <row r="10651">
          <cell r="A10651">
            <v>1500005432</v>
          </cell>
          <cell r="B10651">
            <v>35.3333333333333</v>
          </cell>
        </row>
        <row r="10652">
          <cell r="A10652">
            <v>1500005555</v>
          </cell>
          <cell r="B10652">
            <v>18.5</v>
          </cell>
        </row>
        <row r="10653">
          <cell r="A10653">
            <v>1500005856</v>
          </cell>
          <cell r="B10653">
            <v>11.875</v>
          </cell>
        </row>
        <row r="10654">
          <cell r="A10654">
            <v>1500004632</v>
          </cell>
          <cell r="B10654">
            <v>1.6666666666666701</v>
          </cell>
        </row>
        <row r="10655">
          <cell r="A10655">
            <v>1500005857</v>
          </cell>
          <cell r="B10655">
            <v>5.8333333333333304</v>
          </cell>
        </row>
        <row r="10656">
          <cell r="A10656">
            <v>1500003365</v>
          </cell>
          <cell r="B10656">
            <v>0</v>
          </cell>
        </row>
        <row r="10657">
          <cell r="A10657">
            <v>1500005123</v>
          </cell>
          <cell r="B10657">
            <v>0</v>
          </cell>
        </row>
        <row r="10658">
          <cell r="A10658">
            <v>1500003985</v>
          </cell>
          <cell r="B10658">
            <v>9.1</v>
          </cell>
        </row>
        <row r="10659">
          <cell r="A10659">
            <v>1500005681</v>
          </cell>
          <cell r="B10659">
            <v>12.875</v>
          </cell>
        </row>
        <row r="10660">
          <cell r="A10660">
            <v>1500005682</v>
          </cell>
          <cell r="B10660">
            <v>0</v>
          </cell>
        </row>
        <row r="10661">
          <cell r="A10661">
            <v>1500003959</v>
          </cell>
          <cell r="B10661">
            <v>0</v>
          </cell>
        </row>
        <row r="10662">
          <cell r="A10662">
            <v>1500003960</v>
          </cell>
          <cell r="B10662">
            <v>0</v>
          </cell>
        </row>
        <row r="10663">
          <cell r="A10663">
            <v>1500005757</v>
          </cell>
          <cell r="B10663">
            <v>0</v>
          </cell>
        </row>
        <row r="10664">
          <cell r="A10664">
            <v>1500005758</v>
          </cell>
          <cell r="B10664">
            <v>40.1666666666667</v>
          </cell>
        </row>
        <row r="10665">
          <cell r="A10665">
            <v>1500005759</v>
          </cell>
          <cell r="B10665">
            <v>35.366666666666703</v>
          </cell>
        </row>
        <row r="10666">
          <cell r="A10666">
            <v>1500003986</v>
          </cell>
          <cell r="B10666">
            <v>28.183333333333302</v>
          </cell>
        </row>
        <row r="10667">
          <cell r="A10667">
            <v>1500003366</v>
          </cell>
          <cell r="B10667">
            <v>0</v>
          </cell>
        </row>
        <row r="10668">
          <cell r="A10668">
            <v>1500003961</v>
          </cell>
          <cell r="B10668">
            <v>0</v>
          </cell>
        </row>
        <row r="10669">
          <cell r="A10669">
            <v>1500005751</v>
          </cell>
          <cell r="B10669">
            <v>0</v>
          </cell>
        </row>
        <row r="10670">
          <cell r="A10670">
            <v>1500005150</v>
          </cell>
          <cell r="B10670">
            <v>5.4166666666666696</v>
          </cell>
        </row>
        <row r="10671">
          <cell r="A10671">
            <v>1500004757</v>
          </cell>
          <cell r="B10671">
            <v>5.7916666666666696</v>
          </cell>
        </row>
        <row r="10672">
          <cell r="A10672">
            <v>1500005425</v>
          </cell>
          <cell r="B10672">
            <v>27.5</v>
          </cell>
        </row>
        <row r="10673">
          <cell r="A10673">
            <v>1500005426</v>
          </cell>
          <cell r="B10673">
            <v>20.9166666666667</v>
          </cell>
        </row>
        <row r="10674">
          <cell r="A10674">
            <v>1500005427</v>
          </cell>
          <cell r="B10674">
            <v>3.75</v>
          </cell>
        </row>
        <row r="10675">
          <cell r="A10675">
            <v>1500004353</v>
          </cell>
          <cell r="B10675">
            <v>45.9166666666667</v>
          </cell>
        </row>
        <row r="10676">
          <cell r="A10676">
            <v>1500003024</v>
          </cell>
          <cell r="B10676">
            <v>3.75</v>
          </cell>
        </row>
        <row r="10677">
          <cell r="A10677">
            <v>1500003025</v>
          </cell>
          <cell r="B10677">
            <v>0</v>
          </cell>
        </row>
        <row r="10678">
          <cell r="A10678">
            <v>1500005124</v>
          </cell>
          <cell r="B10678">
            <v>17.25</v>
          </cell>
        </row>
        <row r="10679">
          <cell r="A10679">
            <v>1500005125</v>
          </cell>
          <cell r="B10679">
            <v>0</v>
          </cell>
        </row>
        <row r="10680">
          <cell r="A10680">
            <v>1500005126</v>
          </cell>
          <cell r="B10680">
            <v>36.25</v>
          </cell>
        </row>
        <row r="10681">
          <cell r="A10681">
            <v>1500005428</v>
          </cell>
          <cell r="B10681">
            <v>27.55</v>
          </cell>
        </row>
        <row r="10682">
          <cell r="A10682">
            <v>1500005859</v>
          </cell>
          <cell r="B10682">
            <v>5.5833333333333304</v>
          </cell>
        </row>
        <row r="10683">
          <cell r="A10683">
            <v>1500005127</v>
          </cell>
          <cell r="B10683">
            <v>0</v>
          </cell>
        </row>
        <row r="10684">
          <cell r="A10684">
            <v>1500005130</v>
          </cell>
          <cell r="B10684">
            <v>0</v>
          </cell>
        </row>
        <row r="10685">
          <cell r="A10685">
            <v>1500001749</v>
          </cell>
          <cell r="B10685">
            <v>0.79166666666666696</v>
          </cell>
        </row>
        <row r="10686">
          <cell r="A10686">
            <v>1500001750</v>
          </cell>
          <cell r="B10686">
            <v>0</v>
          </cell>
        </row>
        <row r="10687">
          <cell r="A10687">
            <v>1500006257</v>
          </cell>
          <cell r="B10687">
            <v>62.625</v>
          </cell>
        </row>
        <row r="10688">
          <cell r="A10688">
            <v>1500004787</v>
          </cell>
          <cell r="B10688">
            <v>15.5833333333333</v>
          </cell>
        </row>
        <row r="10689">
          <cell r="A10689">
            <v>1500003598</v>
          </cell>
          <cell r="B10689">
            <v>16.25</v>
          </cell>
        </row>
        <row r="10690">
          <cell r="A10690">
            <v>1500003605</v>
          </cell>
          <cell r="B10690">
            <v>0</v>
          </cell>
        </row>
        <row r="10691">
          <cell r="A10691">
            <v>1500003608</v>
          </cell>
          <cell r="B10691">
            <v>6.25</v>
          </cell>
        </row>
        <row r="10692">
          <cell r="A10692">
            <v>1500004414</v>
          </cell>
          <cell r="B10692">
            <v>36.9166666666667</v>
          </cell>
        </row>
        <row r="10693">
          <cell r="A10693">
            <v>1500003609</v>
          </cell>
          <cell r="B10693">
            <v>0</v>
          </cell>
        </row>
        <row r="10694">
          <cell r="A10694">
            <v>1500003610</v>
          </cell>
          <cell r="B10694">
            <v>14.8333333333333</v>
          </cell>
        </row>
        <row r="10695">
          <cell r="A10695">
            <v>1500006202</v>
          </cell>
          <cell r="B10695">
            <v>15.4166666666667</v>
          </cell>
        </row>
        <row r="10696">
          <cell r="A10696">
            <v>1500001745</v>
          </cell>
          <cell r="B10696">
            <v>11.75</v>
          </cell>
        </row>
        <row r="10697">
          <cell r="A10697">
            <v>1500004505</v>
          </cell>
          <cell r="B10697">
            <v>1.6666666666666701</v>
          </cell>
        </row>
        <row r="10698">
          <cell r="A10698">
            <v>1500001737</v>
          </cell>
          <cell r="B10698">
            <v>16.8333333333333</v>
          </cell>
        </row>
        <row r="10699">
          <cell r="A10699">
            <v>1500004023</v>
          </cell>
          <cell r="B10699">
            <v>48.375</v>
          </cell>
        </row>
        <row r="10700">
          <cell r="A10700">
            <v>1500005154</v>
          </cell>
          <cell r="B10700">
            <v>0</v>
          </cell>
        </row>
        <row r="10701">
          <cell r="A10701">
            <v>1500004506</v>
          </cell>
          <cell r="B10701">
            <v>6.6666666666666696</v>
          </cell>
        </row>
        <row r="10702">
          <cell r="A10702">
            <v>1500002110</v>
          </cell>
          <cell r="B10702">
            <v>3.3583333333333298</v>
          </cell>
        </row>
        <row r="10703">
          <cell r="A10703">
            <v>1500004024</v>
          </cell>
          <cell r="B10703">
            <v>16.6666666666667</v>
          </cell>
        </row>
        <row r="10704">
          <cell r="A10704">
            <v>1500005155</v>
          </cell>
          <cell r="B10704">
            <v>0</v>
          </cell>
        </row>
        <row r="10705">
          <cell r="A10705">
            <v>1500005278</v>
          </cell>
          <cell r="B10705">
            <v>25.9166666666667</v>
          </cell>
        </row>
        <row r="10706">
          <cell r="A10706">
            <v>1500002216</v>
          </cell>
          <cell r="B10706">
            <v>0</v>
          </cell>
        </row>
        <row r="10707">
          <cell r="A10707">
            <v>1500002217</v>
          </cell>
          <cell r="B10707">
            <v>20.875</v>
          </cell>
        </row>
        <row r="10708">
          <cell r="A10708">
            <v>1500002218</v>
          </cell>
          <cell r="B10708">
            <v>0</v>
          </cell>
        </row>
        <row r="10709">
          <cell r="A10709">
            <v>1500002219</v>
          </cell>
          <cell r="B10709">
            <v>18.941666666666698</v>
          </cell>
        </row>
        <row r="10710">
          <cell r="A10710">
            <v>1500002580</v>
          </cell>
          <cell r="B10710">
            <v>0.83333333333333304</v>
          </cell>
        </row>
        <row r="10711">
          <cell r="A10711">
            <v>1500002592</v>
          </cell>
          <cell r="B10711">
            <v>15.875</v>
          </cell>
        </row>
        <row r="10712">
          <cell r="A10712">
            <v>1500002581</v>
          </cell>
          <cell r="B10712">
            <v>15.1666666666667</v>
          </cell>
        </row>
        <row r="10713">
          <cell r="A10713">
            <v>1500002594</v>
          </cell>
          <cell r="B10713">
            <v>3.3333333333333299</v>
          </cell>
        </row>
        <row r="10714">
          <cell r="A10714">
            <v>1500002595</v>
          </cell>
          <cell r="B10714">
            <v>16.75</v>
          </cell>
        </row>
        <row r="10715">
          <cell r="A10715">
            <v>1500003359</v>
          </cell>
          <cell r="B10715">
            <v>0</v>
          </cell>
        </row>
        <row r="10716">
          <cell r="A10716">
            <v>1500003901</v>
          </cell>
          <cell r="B10716">
            <v>67.9166666666667</v>
          </cell>
        </row>
        <row r="10717">
          <cell r="A10717">
            <v>1500003990</v>
          </cell>
          <cell r="B10717">
            <v>31.75</v>
          </cell>
        </row>
        <row r="10718">
          <cell r="A10718">
            <v>1500003991</v>
          </cell>
          <cell r="B10718">
            <v>0</v>
          </cell>
        </row>
        <row r="10719">
          <cell r="A10719">
            <v>1500004412</v>
          </cell>
          <cell r="B10719">
            <v>26.4583333333333</v>
          </cell>
        </row>
        <row r="10720">
          <cell r="A10720">
            <v>1500004413</v>
          </cell>
          <cell r="B10720">
            <v>35.994999999999997</v>
          </cell>
        </row>
        <row r="10721">
          <cell r="A10721">
            <v>1500005335</v>
          </cell>
          <cell r="B10721">
            <v>10.9166666666667</v>
          </cell>
        </row>
        <row r="10722">
          <cell r="A10722">
            <v>1500002582</v>
          </cell>
          <cell r="B10722">
            <v>3.3333333333333299</v>
          </cell>
        </row>
        <row r="10723">
          <cell r="A10723">
            <v>1500004406</v>
          </cell>
          <cell r="B10723">
            <v>28.3333333333333</v>
          </cell>
        </row>
        <row r="10724">
          <cell r="A10724">
            <v>1500002224</v>
          </cell>
          <cell r="B10724">
            <v>35.25</v>
          </cell>
        </row>
        <row r="10725">
          <cell r="A10725">
            <v>1500006060</v>
          </cell>
          <cell r="B10725">
            <v>3.75</v>
          </cell>
        </row>
        <row r="10726">
          <cell r="A10726">
            <v>1500006061</v>
          </cell>
          <cell r="B10726">
            <v>24.2083333333333</v>
          </cell>
        </row>
        <row r="10727">
          <cell r="A10727">
            <v>1500006062</v>
          </cell>
          <cell r="B10727">
            <v>0</v>
          </cell>
        </row>
        <row r="10728">
          <cell r="A10728">
            <v>1500005996</v>
          </cell>
          <cell r="B10728">
            <v>9.75</v>
          </cell>
        </row>
        <row r="10729">
          <cell r="A10729">
            <v>1500005997</v>
          </cell>
          <cell r="B10729">
            <v>18.808333333333302</v>
          </cell>
        </row>
        <row r="10730">
          <cell r="A10730">
            <v>1500005998</v>
          </cell>
          <cell r="B10730">
            <v>14.5833333333333</v>
          </cell>
        </row>
        <row r="10731">
          <cell r="A10731">
            <v>1500003902</v>
          </cell>
          <cell r="B10731">
            <v>43.5833333333333</v>
          </cell>
        </row>
        <row r="10732">
          <cell r="A10732">
            <v>1500004006</v>
          </cell>
          <cell r="B10732">
            <v>22.316666666666698</v>
          </cell>
        </row>
        <row r="10733">
          <cell r="A10733">
            <v>1500004007</v>
          </cell>
          <cell r="B10733">
            <v>11.1666666666667</v>
          </cell>
        </row>
        <row r="10734">
          <cell r="A10734">
            <v>1500003984</v>
          </cell>
          <cell r="B10734">
            <v>0</v>
          </cell>
        </row>
        <row r="10735">
          <cell r="A10735">
            <v>1500004009</v>
          </cell>
          <cell r="B10735">
            <v>12.75</v>
          </cell>
        </row>
        <row r="10736">
          <cell r="A10736">
            <v>1500004010</v>
          </cell>
          <cell r="B10736">
            <v>36.3333333333333</v>
          </cell>
        </row>
        <row r="10737">
          <cell r="A10737">
            <v>1500004011</v>
          </cell>
          <cell r="B10737">
            <v>22.25</v>
          </cell>
        </row>
        <row r="10738">
          <cell r="A10738">
            <v>1500012229</v>
          </cell>
          <cell r="B10738">
            <v>0</v>
          </cell>
        </row>
        <row r="10739">
          <cell r="A10739">
            <v>1500004012</v>
          </cell>
          <cell r="B10739">
            <v>17.0833333333333</v>
          </cell>
        </row>
        <row r="10740">
          <cell r="A10740">
            <v>1500012226</v>
          </cell>
          <cell r="B10740">
            <v>0</v>
          </cell>
        </row>
        <row r="10741">
          <cell r="A10741">
            <v>1500004415</v>
          </cell>
          <cell r="B10741">
            <v>1.25</v>
          </cell>
        </row>
        <row r="10742">
          <cell r="A10742">
            <v>1500004416</v>
          </cell>
          <cell r="B10742">
            <v>0</v>
          </cell>
        </row>
        <row r="10743">
          <cell r="A10743">
            <v>1500004417</v>
          </cell>
          <cell r="B10743">
            <v>0</v>
          </cell>
        </row>
        <row r="10744">
          <cell r="A10744">
            <v>1500004418</v>
          </cell>
          <cell r="B10744">
            <v>0</v>
          </cell>
        </row>
        <row r="10745">
          <cell r="A10745">
            <v>1500004419</v>
          </cell>
          <cell r="B10745">
            <v>7.9166666666666696</v>
          </cell>
        </row>
        <row r="10746">
          <cell r="A10746">
            <v>1500004420</v>
          </cell>
          <cell r="B10746">
            <v>0</v>
          </cell>
        </row>
        <row r="10747">
          <cell r="A10747">
            <v>1500004421</v>
          </cell>
          <cell r="B10747">
            <v>0</v>
          </cell>
        </row>
        <row r="10748">
          <cell r="A10748">
            <v>1500004427</v>
          </cell>
          <cell r="B10748">
            <v>18.5</v>
          </cell>
        </row>
        <row r="10749">
          <cell r="A10749">
            <v>1500004428</v>
          </cell>
          <cell r="B10749">
            <v>0</v>
          </cell>
        </row>
        <row r="10750">
          <cell r="A10750">
            <v>1500005316</v>
          </cell>
          <cell r="B10750">
            <v>25.6666666666667</v>
          </cell>
        </row>
        <row r="10751">
          <cell r="A10751">
            <v>1500006208</v>
          </cell>
          <cell r="B10751">
            <v>0</v>
          </cell>
        </row>
        <row r="10752">
          <cell r="A10752">
            <v>1500004809</v>
          </cell>
          <cell r="B10752">
            <v>0</v>
          </cell>
        </row>
        <row r="10753">
          <cell r="A10753">
            <v>1500004800</v>
          </cell>
          <cell r="B10753">
            <v>0</v>
          </cell>
        </row>
        <row r="10754">
          <cell r="A10754">
            <v>1500004971</v>
          </cell>
          <cell r="B10754">
            <v>136.666666666667</v>
          </cell>
        </row>
        <row r="10755">
          <cell r="A10755">
            <v>1500004972</v>
          </cell>
          <cell r="B10755">
            <v>57.1666666666667</v>
          </cell>
        </row>
        <row r="10756">
          <cell r="A10756">
            <v>1500004974</v>
          </cell>
          <cell r="B10756">
            <v>0</v>
          </cell>
        </row>
        <row r="10757">
          <cell r="A10757">
            <v>1500004975</v>
          </cell>
          <cell r="B10757">
            <v>0</v>
          </cell>
        </row>
        <row r="10758">
          <cell r="A10758">
            <v>1500004976</v>
          </cell>
          <cell r="B10758">
            <v>38.3333333333333</v>
          </cell>
        </row>
        <row r="10759">
          <cell r="A10759">
            <v>1500004801</v>
          </cell>
          <cell r="B10759">
            <v>10.5</v>
          </cell>
        </row>
        <row r="10760">
          <cell r="A10760">
            <v>1500004977</v>
          </cell>
          <cell r="B10760">
            <v>53.25</v>
          </cell>
        </row>
        <row r="10761">
          <cell r="A10761">
            <v>1500004979</v>
          </cell>
          <cell r="B10761">
            <v>0</v>
          </cell>
        </row>
        <row r="10762">
          <cell r="A10762">
            <v>1500004575</v>
          </cell>
          <cell r="B10762">
            <v>133</v>
          </cell>
        </row>
        <row r="10763">
          <cell r="A10763">
            <v>1500004576</v>
          </cell>
          <cell r="B10763">
            <v>13.8333333333333</v>
          </cell>
        </row>
        <row r="10764">
          <cell r="A10764">
            <v>1500004788</v>
          </cell>
          <cell r="B10764">
            <v>17.8333333333333</v>
          </cell>
        </row>
        <row r="10765">
          <cell r="A10765">
            <v>1500004789</v>
          </cell>
          <cell r="B10765">
            <v>22.5</v>
          </cell>
        </row>
        <row r="10766">
          <cell r="A10766">
            <v>1500004790</v>
          </cell>
          <cell r="B10766">
            <v>82.8333333333333</v>
          </cell>
        </row>
        <row r="10767">
          <cell r="A10767">
            <v>1500004791</v>
          </cell>
          <cell r="B10767">
            <v>5</v>
          </cell>
        </row>
        <row r="10768">
          <cell r="A10768">
            <v>1500004792</v>
          </cell>
          <cell r="B10768">
            <v>8.0833333333333304</v>
          </cell>
        </row>
        <row r="10769">
          <cell r="A10769">
            <v>1500004793</v>
          </cell>
          <cell r="B10769">
            <v>0</v>
          </cell>
        </row>
        <row r="10770">
          <cell r="A10770">
            <v>1500004794</v>
          </cell>
          <cell r="B10770">
            <v>0</v>
          </cell>
        </row>
        <row r="10771">
          <cell r="A10771">
            <v>1500004798</v>
          </cell>
          <cell r="B10771">
            <v>0</v>
          </cell>
        </row>
        <row r="10772">
          <cell r="A10772">
            <v>1500004799</v>
          </cell>
          <cell r="B10772">
            <v>0</v>
          </cell>
        </row>
        <row r="10773">
          <cell r="A10773">
            <v>1500004811</v>
          </cell>
          <cell r="B10773">
            <v>102.666666666667</v>
          </cell>
        </row>
        <row r="10774">
          <cell r="A10774">
            <v>1500004812</v>
          </cell>
          <cell r="B10774">
            <v>22.5</v>
          </cell>
        </row>
        <row r="10775">
          <cell r="A10775">
            <v>1500005174</v>
          </cell>
          <cell r="B10775">
            <v>0</v>
          </cell>
        </row>
        <row r="10776">
          <cell r="A10776">
            <v>1500001993</v>
          </cell>
          <cell r="B10776">
            <v>0</v>
          </cell>
        </row>
        <row r="10777">
          <cell r="A10777">
            <v>1500004157</v>
          </cell>
          <cell r="B10777">
            <v>77</v>
          </cell>
        </row>
        <row r="10778">
          <cell r="A10778">
            <v>1500004158</v>
          </cell>
          <cell r="B10778">
            <v>0</v>
          </cell>
        </row>
        <row r="10779">
          <cell r="A10779">
            <v>1500004159</v>
          </cell>
          <cell r="B10779">
            <v>26.8333333333333</v>
          </cell>
        </row>
        <row r="10780">
          <cell r="A10780">
            <v>1500005899</v>
          </cell>
          <cell r="B10780">
            <v>0</v>
          </cell>
        </row>
        <row r="10781">
          <cell r="A10781">
            <v>1500005900</v>
          </cell>
          <cell r="B10781">
            <v>0</v>
          </cell>
        </row>
        <row r="10782">
          <cell r="A10782">
            <v>1500005901</v>
          </cell>
          <cell r="B10782">
            <v>23.1666666666667</v>
          </cell>
        </row>
        <row r="10783">
          <cell r="A10783">
            <v>1500005902</v>
          </cell>
          <cell r="B10783">
            <v>36.3333333333333</v>
          </cell>
        </row>
        <row r="10784">
          <cell r="A10784">
            <v>1500005903</v>
          </cell>
          <cell r="B10784">
            <v>0</v>
          </cell>
        </row>
        <row r="10785">
          <cell r="A10785">
            <v>1500005904</v>
          </cell>
          <cell r="B10785">
            <v>28.6666666666667</v>
          </cell>
        </row>
        <row r="10786">
          <cell r="A10786">
            <v>1500003962</v>
          </cell>
          <cell r="B10786">
            <v>45.5</v>
          </cell>
        </row>
        <row r="10787">
          <cell r="A10787">
            <v>1500006159</v>
          </cell>
          <cell r="B10787">
            <v>0</v>
          </cell>
        </row>
        <row r="10788">
          <cell r="A10788">
            <v>1500003705</v>
          </cell>
          <cell r="B10788">
            <v>0</v>
          </cell>
        </row>
        <row r="10789">
          <cell r="A10789">
            <v>1500003865</v>
          </cell>
          <cell r="B10789">
            <v>0</v>
          </cell>
        </row>
        <row r="10790">
          <cell r="A10790">
            <v>1500004936</v>
          </cell>
          <cell r="B10790">
            <v>0</v>
          </cell>
        </row>
        <row r="10791">
          <cell r="A10791">
            <v>1500006160</v>
          </cell>
          <cell r="B10791">
            <v>0</v>
          </cell>
        </row>
        <row r="10792">
          <cell r="A10792">
            <v>1500003963</v>
          </cell>
          <cell r="B10792">
            <v>166.833333333333</v>
          </cell>
        </row>
        <row r="10793">
          <cell r="A10793">
            <v>1500002624</v>
          </cell>
          <cell r="B10793">
            <v>158.583333333333</v>
          </cell>
        </row>
        <row r="10794">
          <cell r="A10794">
            <v>1500005699</v>
          </cell>
          <cell r="B10794">
            <v>0</v>
          </cell>
        </row>
        <row r="10795">
          <cell r="A10795">
            <v>1500005873</v>
          </cell>
          <cell r="B10795">
            <v>68.8333333333333</v>
          </cell>
        </row>
        <row r="10796">
          <cell r="A10796">
            <v>1500005943</v>
          </cell>
          <cell r="B10796">
            <v>79.6666666666667</v>
          </cell>
        </row>
        <row r="10797">
          <cell r="A10797">
            <v>1500004487</v>
          </cell>
          <cell r="B10797">
            <v>0</v>
          </cell>
        </row>
        <row r="10798">
          <cell r="A10798">
            <v>1500005874</v>
          </cell>
          <cell r="B10798">
            <v>79.6666666666667</v>
          </cell>
        </row>
        <row r="10799">
          <cell r="A10799">
            <v>1500003701</v>
          </cell>
          <cell r="B10799">
            <v>0</v>
          </cell>
        </row>
        <row r="10800">
          <cell r="A10800">
            <v>1500003702</v>
          </cell>
          <cell r="B10800">
            <v>156.5</v>
          </cell>
        </row>
        <row r="10801">
          <cell r="A10801">
            <v>1500003867</v>
          </cell>
          <cell r="B10801">
            <v>0</v>
          </cell>
        </row>
        <row r="10802">
          <cell r="A10802">
            <v>1500004025</v>
          </cell>
          <cell r="B10802">
            <v>56.8333333333333</v>
          </cell>
        </row>
        <row r="10803">
          <cell r="A10803">
            <v>1500004440</v>
          </cell>
          <cell r="B10803">
            <v>0</v>
          </cell>
        </row>
        <row r="10804">
          <cell r="A10804">
            <v>1500004488</v>
          </cell>
          <cell r="B10804">
            <v>0</v>
          </cell>
        </row>
        <row r="10805">
          <cell r="A10805">
            <v>1500006162</v>
          </cell>
          <cell r="B10805">
            <v>50.5</v>
          </cell>
        </row>
        <row r="10806">
          <cell r="A10806">
            <v>1500004819</v>
          </cell>
          <cell r="B10806">
            <v>14.6666666666667</v>
          </cell>
        </row>
        <row r="10807">
          <cell r="A10807">
            <v>1500003703</v>
          </cell>
          <cell r="B10807">
            <v>13.8333333333333</v>
          </cell>
        </row>
        <row r="10808">
          <cell r="A10808">
            <v>1500003868</v>
          </cell>
          <cell r="B10808">
            <v>0</v>
          </cell>
        </row>
        <row r="10809">
          <cell r="A10809">
            <v>1500002810</v>
          </cell>
          <cell r="B10809">
            <v>0</v>
          </cell>
        </row>
        <row r="10810">
          <cell r="A10810">
            <v>1500002811</v>
          </cell>
          <cell r="B10810">
            <v>60.7</v>
          </cell>
        </row>
        <row r="10811">
          <cell r="A10811">
            <v>1500002812</v>
          </cell>
          <cell r="B10811">
            <v>0</v>
          </cell>
        </row>
        <row r="10812">
          <cell r="A10812">
            <v>1500002813</v>
          </cell>
          <cell r="B10812">
            <v>0</v>
          </cell>
        </row>
        <row r="10813">
          <cell r="A10813">
            <v>1500005089</v>
          </cell>
          <cell r="B10813">
            <v>0</v>
          </cell>
        </row>
        <row r="10814">
          <cell r="A10814">
            <v>1500005090</v>
          </cell>
          <cell r="B10814">
            <v>45.3</v>
          </cell>
        </row>
        <row r="10815">
          <cell r="A10815">
            <v>1500003869</v>
          </cell>
          <cell r="B10815">
            <v>0</v>
          </cell>
        </row>
        <row r="10816">
          <cell r="A10816">
            <v>1500003173</v>
          </cell>
          <cell r="B10816">
            <v>33.3333333333333</v>
          </cell>
        </row>
        <row r="10817">
          <cell r="A10817">
            <v>1500003174</v>
          </cell>
          <cell r="B10817">
            <v>0</v>
          </cell>
        </row>
        <row r="10818">
          <cell r="A10818">
            <v>1500003157</v>
          </cell>
          <cell r="B10818">
            <v>192.99166666666699</v>
          </cell>
        </row>
        <row r="10819">
          <cell r="A10819">
            <v>1500003158</v>
          </cell>
          <cell r="B10819">
            <v>50</v>
          </cell>
        </row>
        <row r="10820">
          <cell r="A10820">
            <v>1500003160</v>
          </cell>
          <cell r="B10820">
            <v>56.6666666666667</v>
          </cell>
        </row>
        <row r="10821">
          <cell r="A10821">
            <v>1500011846</v>
          </cell>
          <cell r="B10821">
            <v>0</v>
          </cell>
        </row>
        <row r="10822">
          <cell r="A10822">
            <v>1500011970</v>
          </cell>
          <cell r="B10822">
            <v>134.89166666666699</v>
          </cell>
        </row>
        <row r="10823">
          <cell r="A10823">
            <v>1500003153</v>
          </cell>
          <cell r="B10823">
            <v>68.75</v>
          </cell>
        </row>
        <row r="10824">
          <cell r="A10824">
            <v>1500005069</v>
          </cell>
          <cell r="B10824">
            <v>0</v>
          </cell>
        </row>
        <row r="10825">
          <cell r="A10825">
            <v>1500003154</v>
          </cell>
          <cell r="B10825">
            <v>102.408333333333</v>
          </cell>
        </row>
        <row r="10826">
          <cell r="A10826">
            <v>1500003155</v>
          </cell>
          <cell r="B10826">
            <v>0</v>
          </cell>
        </row>
        <row r="10827">
          <cell r="A10827">
            <v>1500002788</v>
          </cell>
          <cell r="B10827">
            <v>0</v>
          </cell>
        </row>
        <row r="10828">
          <cell r="A10828">
            <v>1500002789</v>
          </cell>
          <cell r="B10828">
            <v>0</v>
          </cell>
        </row>
        <row r="10829">
          <cell r="A10829">
            <v>1500002791</v>
          </cell>
          <cell r="B10829">
            <v>110</v>
          </cell>
        </row>
        <row r="10830">
          <cell r="A10830">
            <v>1500001751</v>
          </cell>
          <cell r="B10830">
            <v>0</v>
          </cell>
        </row>
        <row r="10831">
          <cell r="A10831">
            <v>1500002220</v>
          </cell>
          <cell r="B10831">
            <v>44.1666666666667</v>
          </cell>
        </row>
        <row r="10832">
          <cell r="A10832">
            <v>1500003917</v>
          </cell>
          <cell r="B10832">
            <v>13.3333333333333</v>
          </cell>
        </row>
        <row r="10833">
          <cell r="A10833">
            <v>1500004013</v>
          </cell>
          <cell r="B10833">
            <v>13.3333333333333</v>
          </cell>
        </row>
        <row r="10834">
          <cell r="A10834">
            <v>1500003410</v>
          </cell>
          <cell r="B10834">
            <v>0</v>
          </cell>
        </row>
        <row r="10835">
          <cell r="A10835">
            <v>1500003782</v>
          </cell>
          <cell r="B10835">
            <v>35.0416666666667</v>
          </cell>
        </row>
        <row r="10836">
          <cell r="A10836">
            <v>1500003783</v>
          </cell>
          <cell r="B10836">
            <v>7.375</v>
          </cell>
        </row>
        <row r="10837">
          <cell r="A10837">
            <v>1500004634</v>
          </cell>
          <cell r="B10837">
            <v>7.9166666666666696</v>
          </cell>
        </row>
        <row r="10838">
          <cell r="A10838">
            <v>1500003388</v>
          </cell>
          <cell r="B10838">
            <v>30.5833333333333</v>
          </cell>
        </row>
        <row r="10839">
          <cell r="A10839">
            <v>1500004364</v>
          </cell>
          <cell r="B10839">
            <v>9.0833333333333304</v>
          </cell>
        </row>
        <row r="10840">
          <cell r="A10840">
            <v>1500004014</v>
          </cell>
          <cell r="B10840">
            <v>0</v>
          </cell>
        </row>
        <row r="10841">
          <cell r="A10841">
            <v>1500001884</v>
          </cell>
          <cell r="B10841">
            <v>89.5</v>
          </cell>
        </row>
        <row r="10842">
          <cell r="A10842">
            <v>1500001820</v>
          </cell>
          <cell r="B10842">
            <v>174.75</v>
          </cell>
        </row>
        <row r="10843">
          <cell r="A10843">
            <v>1500001821</v>
          </cell>
          <cell r="B10843">
            <v>45.4166666666667</v>
          </cell>
        </row>
        <row r="10844">
          <cell r="A10844">
            <v>1500001885</v>
          </cell>
          <cell r="B10844">
            <v>32.3333333333333</v>
          </cell>
        </row>
        <row r="10845">
          <cell r="A10845">
            <v>1500001886</v>
          </cell>
          <cell r="B10845">
            <v>35</v>
          </cell>
        </row>
        <row r="10846">
          <cell r="A10846">
            <v>1500004199</v>
          </cell>
          <cell r="B10846">
            <v>44.8333333333333</v>
          </cell>
        </row>
        <row r="10847">
          <cell r="A10847">
            <v>1500001822</v>
          </cell>
          <cell r="B10847">
            <v>21.25</v>
          </cell>
        </row>
        <row r="10848">
          <cell r="A10848">
            <v>1500011796</v>
          </cell>
          <cell r="B10848">
            <v>26.875</v>
          </cell>
        </row>
        <row r="10849">
          <cell r="A10849">
            <v>1500001888</v>
          </cell>
          <cell r="B10849">
            <v>0.83333333333333304</v>
          </cell>
        </row>
        <row r="10850">
          <cell r="A10850">
            <v>1500004200</v>
          </cell>
          <cell r="B10850">
            <v>0</v>
          </cell>
        </row>
        <row r="10851">
          <cell r="A10851">
            <v>1500006024</v>
          </cell>
          <cell r="B10851">
            <v>2.9166666666666701</v>
          </cell>
        </row>
        <row r="10852">
          <cell r="A10852">
            <v>1500006093</v>
          </cell>
          <cell r="B10852">
            <v>1.3333333333333299</v>
          </cell>
        </row>
        <row r="10853">
          <cell r="A10853">
            <v>1500006025</v>
          </cell>
          <cell r="B10853">
            <v>0</v>
          </cell>
        </row>
        <row r="10854">
          <cell r="A10854">
            <v>1500003195</v>
          </cell>
          <cell r="B10854">
            <v>4.6666666666666696</v>
          </cell>
        </row>
        <row r="10855">
          <cell r="A10855">
            <v>1500003257</v>
          </cell>
          <cell r="B10855">
            <v>0</v>
          </cell>
        </row>
        <row r="10856">
          <cell r="A10856">
            <v>1500003258</v>
          </cell>
          <cell r="B10856">
            <v>0</v>
          </cell>
        </row>
        <row r="10857">
          <cell r="A10857">
            <v>1500003285</v>
          </cell>
          <cell r="B10857">
            <v>11.5</v>
          </cell>
        </row>
        <row r="10858">
          <cell r="A10858">
            <v>1500005429</v>
          </cell>
          <cell r="B10858">
            <v>35.75</v>
          </cell>
        </row>
        <row r="10859">
          <cell r="A10859">
            <v>1500002785</v>
          </cell>
          <cell r="B10859">
            <v>0</v>
          </cell>
        </row>
        <row r="10860">
          <cell r="A10860">
            <v>1500005254</v>
          </cell>
          <cell r="B10860">
            <v>0</v>
          </cell>
        </row>
        <row r="10861">
          <cell r="A10861">
            <v>1500004015</v>
          </cell>
          <cell r="B10861">
            <v>56.391666666666701</v>
          </cell>
        </row>
        <row r="10862">
          <cell r="A10862">
            <v>1500003363</v>
          </cell>
          <cell r="B10862">
            <v>12.5833333333333</v>
          </cell>
        </row>
        <row r="10863">
          <cell r="A10863">
            <v>1500004508</v>
          </cell>
          <cell r="B10863">
            <v>4.1666666666666696</v>
          </cell>
        </row>
        <row r="10864">
          <cell r="A10864">
            <v>1500005422</v>
          </cell>
          <cell r="B10864">
            <v>35.5833333333333</v>
          </cell>
        </row>
        <row r="10865">
          <cell r="A10865">
            <v>1500002191</v>
          </cell>
          <cell r="B10865">
            <v>8.75</v>
          </cell>
        </row>
        <row r="10866">
          <cell r="A10866">
            <v>1500002012</v>
          </cell>
          <cell r="B10866">
            <v>10.5</v>
          </cell>
        </row>
        <row r="10867">
          <cell r="A10867">
            <v>1500005755</v>
          </cell>
          <cell r="B10867">
            <v>5</v>
          </cell>
        </row>
        <row r="10868">
          <cell r="A10868">
            <v>1500004980</v>
          </cell>
          <cell r="B10868">
            <v>128.333333333333</v>
          </cell>
        </row>
        <row r="10869">
          <cell r="A10869">
            <v>1500004251</v>
          </cell>
          <cell r="B10869">
            <v>0</v>
          </cell>
        </row>
        <row r="10870">
          <cell r="A10870">
            <v>1500004252</v>
          </cell>
          <cell r="B10870">
            <v>465.41666666666703</v>
          </cell>
        </row>
        <row r="10871">
          <cell r="A10871">
            <v>1500006095</v>
          </cell>
          <cell r="B10871">
            <v>3.75</v>
          </cell>
        </row>
        <row r="10872">
          <cell r="A10872">
            <v>1500003198</v>
          </cell>
          <cell r="B10872">
            <v>38.25</v>
          </cell>
        </row>
        <row r="10873">
          <cell r="A10873">
            <v>1500003199</v>
          </cell>
          <cell r="B10873">
            <v>17.9166666666667</v>
          </cell>
        </row>
        <row r="10874">
          <cell r="A10874">
            <v>1500003200</v>
          </cell>
          <cell r="B10874">
            <v>27.3333333333333</v>
          </cell>
        </row>
        <row r="10875">
          <cell r="A10875">
            <v>1500004422</v>
          </cell>
          <cell r="B10875">
            <v>0</v>
          </cell>
        </row>
        <row r="10876">
          <cell r="A10876">
            <v>1500003201</v>
          </cell>
          <cell r="B10876">
            <v>10.6666666666667</v>
          </cell>
        </row>
        <row r="10877">
          <cell r="A10877">
            <v>1500004016</v>
          </cell>
          <cell r="B10877">
            <v>0</v>
          </cell>
        </row>
        <row r="10878">
          <cell r="A10878">
            <v>1500004423</v>
          </cell>
          <cell r="B10878">
            <v>17.4166666666667</v>
          </cell>
        </row>
        <row r="10879">
          <cell r="A10879">
            <v>1500003205</v>
          </cell>
          <cell r="B10879">
            <v>18.75</v>
          </cell>
        </row>
        <row r="10880">
          <cell r="A10880">
            <v>1500002021</v>
          </cell>
          <cell r="B10880">
            <v>21.6666666666667</v>
          </cell>
        </row>
        <row r="10881">
          <cell r="A10881">
            <v>1500004489</v>
          </cell>
          <cell r="B10881">
            <v>8.3333333333333304</v>
          </cell>
        </row>
        <row r="10882">
          <cell r="A10882">
            <v>1500005944</v>
          </cell>
          <cell r="B10882">
            <v>18.8333333333333</v>
          </cell>
        </row>
        <row r="10883">
          <cell r="A10883">
            <v>1500002778</v>
          </cell>
          <cell r="B10883">
            <v>5.8333333333333304</v>
          </cell>
        </row>
        <row r="10884">
          <cell r="A10884">
            <v>1500006026</v>
          </cell>
          <cell r="B10884">
            <v>48.975000000000001</v>
          </cell>
        </row>
        <row r="10885">
          <cell r="A10885">
            <v>1500006163</v>
          </cell>
          <cell r="B10885">
            <v>20.6666666666667</v>
          </cell>
        </row>
        <row r="10886">
          <cell r="A10886">
            <v>1500004230</v>
          </cell>
          <cell r="B10886">
            <v>147.333333333333</v>
          </cell>
        </row>
        <row r="10887">
          <cell r="A10887">
            <v>1500006096</v>
          </cell>
          <cell r="B10887">
            <v>74.8333333333333</v>
          </cell>
        </row>
        <row r="10888">
          <cell r="A10888">
            <v>1500004813</v>
          </cell>
          <cell r="B10888">
            <v>12</v>
          </cell>
        </row>
        <row r="10889">
          <cell r="A10889">
            <v>1500004795</v>
          </cell>
          <cell r="B10889">
            <v>27.5</v>
          </cell>
        </row>
        <row r="10890">
          <cell r="A10890">
            <v>1500006027</v>
          </cell>
          <cell r="B10890">
            <v>92.6666666666667</v>
          </cell>
        </row>
        <row r="10891">
          <cell r="A10891">
            <v>1500002013</v>
          </cell>
          <cell r="B10891">
            <v>0</v>
          </cell>
        </row>
        <row r="10892">
          <cell r="A10892">
            <v>1500002277</v>
          </cell>
          <cell r="B10892">
            <v>7.6666666666666696</v>
          </cell>
        </row>
        <row r="10893">
          <cell r="A10893">
            <v>1500006063</v>
          </cell>
          <cell r="B10893">
            <v>79.400000000000006</v>
          </cell>
        </row>
        <row r="10894">
          <cell r="A10894">
            <v>1500006064</v>
          </cell>
          <cell r="B10894">
            <v>40.85</v>
          </cell>
        </row>
        <row r="10895">
          <cell r="A10895">
            <v>1500006065</v>
          </cell>
          <cell r="B10895">
            <v>21.7</v>
          </cell>
        </row>
        <row r="10896">
          <cell r="A10896">
            <v>1500003992</v>
          </cell>
          <cell r="B10896">
            <v>101.883333333333</v>
          </cell>
        </row>
        <row r="10897">
          <cell r="A10897">
            <v>1500002014</v>
          </cell>
          <cell r="B10897">
            <v>8.25</v>
          </cell>
        </row>
        <row r="10898">
          <cell r="A10898">
            <v>1500002278</v>
          </cell>
          <cell r="B10898">
            <v>26.1666666666667</v>
          </cell>
        </row>
        <row r="10899">
          <cell r="A10899">
            <v>1500005860</v>
          </cell>
          <cell r="B10899">
            <v>0</v>
          </cell>
        </row>
        <row r="10900">
          <cell r="A10900">
            <v>1500003207</v>
          </cell>
          <cell r="B10900">
            <v>17.5833333333333</v>
          </cell>
        </row>
        <row r="10901">
          <cell r="A10901">
            <v>1500003208</v>
          </cell>
          <cell r="B10901">
            <v>14.5</v>
          </cell>
        </row>
        <row r="10902">
          <cell r="A10902">
            <v>1500003286</v>
          </cell>
          <cell r="B10902">
            <v>11.1666666666667</v>
          </cell>
        </row>
        <row r="10903">
          <cell r="A10903">
            <v>1500003903</v>
          </cell>
          <cell r="B10903">
            <v>11.1666666666667</v>
          </cell>
        </row>
        <row r="10904">
          <cell r="A10904">
            <v>1500003993</v>
          </cell>
          <cell r="B10904">
            <v>58.0833333333333</v>
          </cell>
        </row>
        <row r="10905">
          <cell r="A10905">
            <v>1500002111</v>
          </cell>
          <cell r="B10905">
            <v>3.75</v>
          </cell>
        </row>
        <row r="10906">
          <cell r="A10906">
            <v>1500003938</v>
          </cell>
          <cell r="B10906">
            <v>0</v>
          </cell>
        </row>
        <row r="10907">
          <cell r="A10907">
            <v>1500003411</v>
          </cell>
          <cell r="B10907">
            <v>0</v>
          </cell>
        </row>
        <row r="10908">
          <cell r="A10908">
            <v>1500005185</v>
          </cell>
          <cell r="B10908">
            <v>0</v>
          </cell>
        </row>
        <row r="10909">
          <cell r="A10909">
            <v>1500003994</v>
          </cell>
          <cell r="B10909">
            <v>53.9166666666667</v>
          </cell>
        </row>
        <row r="10910">
          <cell r="A10910">
            <v>1500003026</v>
          </cell>
          <cell r="B10910">
            <v>17.25</v>
          </cell>
        </row>
        <row r="10911">
          <cell r="A10911">
            <v>1500003904</v>
          </cell>
          <cell r="B10911">
            <v>16.25</v>
          </cell>
        </row>
        <row r="10912">
          <cell r="A10912">
            <v>1500004017</v>
          </cell>
          <cell r="B10912">
            <v>0</v>
          </cell>
        </row>
        <row r="10913">
          <cell r="A10913">
            <v>1500002279</v>
          </cell>
          <cell r="B10913">
            <v>26.391666666666701</v>
          </cell>
        </row>
        <row r="10914">
          <cell r="A10914">
            <v>1500003995</v>
          </cell>
          <cell r="B10914">
            <v>0</v>
          </cell>
        </row>
        <row r="10915">
          <cell r="A10915">
            <v>1500003412</v>
          </cell>
          <cell r="B10915">
            <v>0</v>
          </cell>
        </row>
        <row r="10916">
          <cell r="A10916">
            <v>1500003367</v>
          </cell>
          <cell r="B10916">
            <v>0</v>
          </cell>
        </row>
        <row r="10917">
          <cell r="A10917">
            <v>1500005685</v>
          </cell>
          <cell r="B10917">
            <v>19.2083333333333</v>
          </cell>
        </row>
        <row r="10918">
          <cell r="A10918">
            <v>1500004018</v>
          </cell>
          <cell r="B10918">
            <v>0</v>
          </cell>
        </row>
        <row r="10919">
          <cell r="A10919">
            <v>1500004743</v>
          </cell>
          <cell r="B10919">
            <v>0</v>
          </cell>
        </row>
        <row r="10920">
          <cell r="A10920">
            <v>1500005542</v>
          </cell>
          <cell r="B10920">
            <v>0</v>
          </cell>
        </row>
        <row r="10921">
          <cell r="A10921">
            <v>1500006067</v>
          </cell>
          <cell r="B10921">
            <v>22.75</v>
          </cell>
        </row>
        <row r="10922">
          <cell r="A10922">
            <v>1500003287</v>
          </cell>
          <cell r="B10922">
            <v>50.0833333333333</v>
          </cell>
        </row>
        <row r="10923">
          <cell r="A10923">
            <v>1500006068</v>
          </cell>
          <cell r="B10923">
            <v>72.733333333333306</v>
          </cell>
        </row>
        <row r="10924">
          <cell r="A10924">
            <v>1500003599</v>
          </cell>
          <cell r="B10924">
            <v>20.0833333333333</v>
          </cell>
        </row>
        <row r="10925">
          <cell r="A10925">
            <v>1500003939</v>
          </cell>
          <cell r="B10925">
            <v>0</v>
          </cell>
        </row>
        <row r="10926">
          <cell r="A10926">
            <v>1500003413</v>
          </cell>
          <cell r="B10926">
            <v>0</v>
          </cell>
        </row>
        <row r="10927">
          <cell r="A10927">
            <v>1500004407</v>
          </cell>
          <cell r="B10927">
            <v>28.3333333333333</v>
          </cell>
        </row>
        <row r="10928">
          <cell r="A10928">
            <v>1500003600</v>
          </cell>
          <cell r="B10928">
            <v>0</v>
          </cell>
        </row>
        <row r="10929">
          <cell r="A10929">
            <v>1500003601</v>
          </cell>
          <cell r="B10929">
            <v>102.98333333333299</v>
          </cell>
        </row>
        <row r="10930">
          <cell r="A10930">
            <v>1500002584</v>
          </cell>
          <cell r="B10930">
            <v>5.0833333333333304</v>
          </cell>
        </row>
        <row r="10931">
          <cell r="A10931">
            <v>1500003997</v>
          </cell>
          <cell r="B10931">
            <v>11.75</v>
          </cell>
        </row>
        <row r="10932">
          <cell r="A10932">
            <v>1500006204</v>
          </cell>
          <cell r="B10932">
            <v>0</v>
          </cell>
        </row>
        <row r="10933">
          <cell r="A10933">
            <v>1500003822</v>
          </cell>
          <cell r="B10933">
            <v>20.4166666666667</v>
          </cell>
        </row>
        <row r="10934">
          <cell r="A10934">
            <v>1500004019</v>
          </cell>
          <cell r="B10934">
            <v>20.5833333333333</v>
          </cell>
        </row>
        <row r="10935">
          <cell r="A10935">
            <v>1500004020</v>
          </cell>
          <cell r="B10935">
            <v>0</v>
          </cell>
        </row>
        <row r="10936">
          <cell r="A10936">
            <v>1500003823</v>
          </cell>
          <cell r="B10936">
            <v>38.25</v>
          </cell>
        </row>
        <row r="10937">
          <cell r="A10937">
            <v>1500003998</v>
          </cell>
          <cell r="B10937">
            <v>19.8333333333333</v>
          </cell>
        </row>
        <row r="10938">
          <cell r="A10938">
            <v>1500004356</v>
          </cell>
          <cell r="B10938">
            <v>24.5833333333333</v>
          </cell>
        </row>
        <row r="10939">
          <cell r="A10939">
            <v>1500004424</v>
          </cell>
          <cell r="B10939">
            <v>0</v>
          </cell>
        </row>
        <row r="10940">
          <cell r="A10940">
            <v>1500005760</v>
          </cell>
          <cell r="B10940">
            <v>0</v>
          </cell>
        </row>
        <row r="10941">
          <cell r="A10941">
            <v>1500004982</v>
          </cell>
          <cell r="B10941">
            <v>21.8333333333333</v>
          </cell>
        </row>
        <row r="10942">
          <cell r="A10942">
            <v>1500002002</v>
          </cell>
          <cell r="B10942">
            <v>0</v>
          </cell>
        </row>
        <row r="10943">
          <cell r="A10943">
            <v>1500006205</v>
          </cell>
          <cell r="B10943">
            <v>0</v>
          </cell>
        </row>
        <row r="10944">
          <cell r="A10944">
            <v>1500005945</v>
          </cell>
          <cell r="B10944">
            <v>541.82500000000005</v>
          </cell>
        </row>
        <row r="10945">
          <cell r="A10945">
            <v>1500003871</v>
          </cell>
          <cell r="B10945">
            <v>240.833333333333</v>
          </cell>
        </row>
        <row r="10946">
          <cell r="A10946">
            <v>1500005543</v>
          </cell>
          <cell r="B10946">
            <v>45</v>
          </cell>
        </row>
        <row r="10947">
          <cell r="A10947">
            <v>1500004872</v>
          </cell>
          <cell r="B10947">
            <v>128.666666666667</v>
          </cell>
        </row>
        <row r="10948">
          <cell r="A10948">
            <v>1500005683</v>
          </cell>
          <cell r="B10948">
            <v>2.5</v>
          </cell>
        </row>
        <row r="10949">
          <cell r="A10949">
            <v>1500001753</v>
          </cell>
          <cell r="B10949">
            <v>17.6666666666667</v>
          </cell>
        </row>
        <row r="10950">
          <cell r="A10950">
            <v>1500003210</v>
          </cell>
          <cell r="B10950">
            <v>2.6666666666666701</v>
          </cell>
        </row>
        <row r="10951">
          <cell r="A10951">
            <v>1500005906</v>
          </cell>
          <cell r="B10951">
            <v>3.8333333333333299</v>
          </cell>
        </row>
        <row r="10952">
          <cell r="A10952">
            <v>1500004796</v>
          </cell>
          <cell r="B10952">
            <v>0</v>
          </cell>
        </row>
        <row r="10953">
          <cell r="A10953">
            <v>1500005007</v>
          </cell>
          <cell r="B10953">
            <v>0</v>
          </cell>
        </row>
        <row r="10954">
          <cell r="A10954">
            <v>1500004408</v>
          </cell>
          <cell r="B10954">
            <v>0</v>
          </cell>
        </row>
        <row r="10955">
          <cell r="A10955">
            <v>1500002015</v>
          </cell>
          <cell r="B10955">
            <v>0</v>
          </cell>
        </row>
        <row r="10956">
          <cell r="A10956">
            <v>1500005907</v>
          </cell>
          <cell r="B10956">
            <v>0</v>
          </cell>
        </row>
        <row r="10957">
          <cell r="A10957">
            <v>1500004160</v>
          </cell>
          <cell r="B10957">
            <v>0</v>
          </cell>
        </row>
        <row r="10958">
          <cell r="A10958">
            <v>1500004998</v>
          </cell>
          <cell r="B10958">
            <v>83.1666666666667</v>
          </cell>
        </row>
        <row r="10959">
          <cell r="A10959">
            <v>1500003906</v>
          </cell>
          <cell r="B10959">
            <v>0</v>
          </cell>
        </row>
        <row r="10960">
          <cell r="A10960">
            <v>1500006116</v>
          </cell>
          <cell r="B10960">
            <v>0</v>
          </cell>
        </row>
        <row r="10961">
          <cell r="A10961">
            <v>1500006121</v>
          </cell>
          <cell r="B10961">
            <v>263.41666666666703</v>
          </cell>
        </row>
        <row r="10962">
          <cell r="A10962">
            <v>1500003390</v>
          </cell>
          <cell r="B10962">
            <v>0</v>
          </cell>
        </row>
        <row r="10963">
          <cell r="A10963">
            <v>1500004357</v>
          </cell>
          <cell r="B10963">
            <v>0</v>
          </cell>
        </row>
        <row r="10964">
          <cell r="A10964">
            <v>1500004366</v>
          </cell>
          <cell r="B10964">
            <v>36.1666666666667</v>
          </cell>
        </row>
        <row r="10965">
          <cell r="A10965">
            <v>1500001738</v>
          </cell>
          <cell r="B10965">
            <v>37.75</v>
          </cell>
        </row>
        <row r="10966">
          <cell r="A10966">
            <v>1500005828</v>
          </cell>
          <cell r="B10966">
            <v>0</v>
          </cell>
        </row>
        <row r="10967">
          <cell r="A10967">
            <v>1500006069</v>
          </cell>
          <cell r="B10967">
            <v>6.6666666666666696</v>
          </cell>
        </row>
        <row r="10968">
          <cell r="A10968">
            <v>1500004409</v>
          </cell>
          <cell r="B10968">
            <v>0</v>
          </cell>
        </row>
        <row r="10969">
          <cell r="A10969">
            <v>1500004985</v>
          </cell>
          <cell r="B10969">
            <v>274.66666666666703</v>
          </cell>
        </row>
        <row r="10970">
          <cell r="A10970">
            <v>1500006028</v>
          </cell>
          <cell r="B10970">
            <v>6.3333333333333304</v>
          </cell>
        </row>
        <row r="10971">
          <cell r="A10971">
            <v>1500006030</v>
          </cell>
          <cell r="B10971">
            <v>0</v>
          </cell>
        </row>
        <row r="10972">
          <cell r="A10972">
            <v>1500003907</v>
          </cell>
          <cell r="B10972">
            <v>8.75</v>
          </cell>
        </row>
        <row r="10973">
          <cell r="A10973">
            <v>1500005861</v>
          </cell>
          <cell r="B10973">
            <v>10.6666666666667</v>
          </cell>
        </row>
        <row r="10974">
          <cell r="A10974">
            <v>1500003211</v>
          </cell>
          <cell r="B10974">
            <v>41.9166666666667</v>
          </cell>
        </row>
        <row r="10975">
          <cell r="A10975">
            <v>1500003261</v>
          </cell>
          <cell r="B10975">
            <v>43.8333333333333</v>
          </cell>
        </row>
        <row r="10976">
          <cell r="A10976">
            <v>1500004635</v>
          </cell>
          <cell r="B10976">
            <v>27.875</v>
          </cell>
        </row>
        <row r="10977">
          <cell r="A10977">
            <v>1500004358</v>
          </cell>
          <cell r="B10977">
            <v>0</v>
          </cell>
        </row>
        <row r="10978">
          <cell r="A10978">
            <v>1500003999</v>
          </cell>
          <cell r="B10978">
            <v>0</v>
          </cell>
        </row>
        <row r="10979">
          <cell r="A10979">
            <v>1500004000</v>
          </cell>
          <cell r="B10979">
            <v>0.41666666666666702</v>
          </cell>
        </row>
        <row r="10980">
          <cell r="A10980">
            <v>1500003824</v>
          </cell>
          <cell r="B10980">
            <v>26.6666666666667</v>
          </cell>
        </row>
        <row r="10981">
          <cell r="A10981">
            <v>1500002586</v>
          </cell>
          <cell r="B10981">
            <v>2.5</v>
          </cell>
        </row>
        <row r="10982">
          <cell r="A10982">
            <v>1500001891</v>
          </cell>
          <cell r="B10982">
            <v>34.75</v>
          </cell>
        </row>
        <row r="10983">
          <cell r="A10983">
            <v>1500001892</v>
          </cell>
          <cell r="B10983">
            <v>0</v>
          </cell>
        </row>
        <row r="10984">
          <cell r="A10984">
            <v>1500001893</v>
          </cell>
          <cell r="B10984">
            <v>0</v>
          </cell>
        </row>
        <row r="10985">
          <cell r="A10985">
            <v>1500001895</v>
          </cell>
          <cell r="B10985">
            <v>0</v>
          </cell>
        </row>
        <row r="10986">
          <cell r="A10986">
            <v>1500001824</v>
          </cell>
          <cell r="B10986">
            <v>17.5833333333333</v>
          </cell>
        </row>
        <row r="10987">
          <cell r="A10987">
            <v>1500001897</v>
          </cell>
          <cell r="B10987">
            <v>17.7916666666667</v>
          </cell>
        </row>
        <row r="10988">
          <cell r="A10988">
            <v>1500006031</v>
          </cell>
          <cell r="B10988">
            <v>4.3333333333333304</v>
          </cell>
        </row>
        <row r="10989">
          <cell r="A10989">
            <v>1500001825</v>
          </cell>
          <cell r="B10989">
            <v>1.6666666666666701</v>
          </cell>
        </row>
        <row r="10990">
          <cell r="A10990">
            <v>1500001826</v>
          </cell>
          <cell r="B10990">
            <v>16.2083333333333</v>
          </cell>
        </row>
        <row r="10991">
          <cell r="A10991">
            <v>1500001827</v>
          </cell>
          <cell r="B10991">
            <v>35.141666666666701</v>
          </cell>
        </row>
        <row r="10992">
          <cell r="A10992">
            <v>1500001898</v>
          </cell>
          <cell r="B10992">
            <v>31.9166666666667</v>
          </cell>
        </row>
        <row r="10993">
          <cell r="A10993">
            <v>1500001899</v>
          </cell>
          <cell r="B10993">
            <v>42.0833333333333</v>
          </cell>
        </row>
        <row r="10994">
          <cell r="A10994">
            <v>1500003212</v>
          </cell>
          <cell r="B10994">
            <v>14.9166666666667</v>
          </cell>
        </row>
        <row r="10995">
          <cell r="A10995">
            <v>1500004205</v>
          </cell>
          <cell r="B10995">
            <v>11.8333333333333</v>
          </cell>
        </row>
        <row r="10996">
          <cell r="A10996">
            <v>1500003288</v>
          </cell>
          <cell r="B10996">
            <v>12.6666666666667</v>
          </cell>
        </row>
        <row r="10997">
          <cell r="A10997">
            <v>1500003289</v>
          </cell>
          <cell r="B10997">
            <v>34.3333333333333</v>
          </cell>
        </row>
        <row r="10998">
          <cell r="A10998">
            <v>1500005684</v>
          </cell>
          <cell r="B10998">
            <v>7.5</v>
          </cell>
        </row>
        <row r="10999">
          <cell r="A10999">
            <v>1500005008</v>
          </cell>
          <cell r="B10999">
            <v>60.8333333333333</v>
          </cell>
        </row>
        <row r="11000">
          <cell r="A11000">
            <v>1500004999</v>
          </cell>
          <cell r="B11000">
            <v>69.6666666666667</v>
          </cell>
        </row>
        <row r="11001">
          <cell r="A11001">
            <v>1500001901</v>
          </cell>
          <cell r="B11001">
            <v>20.8333333333333</v>
          </cell>
        </row>
        <row r="11002">
          <cell r="A11002">
            <v>1500001902</v>
          </cell>
          <cell r="B11002">
            <v>14.0833333333333</v>
          </cell>
        </row>
        <row r="11003">
          <cell r="A11003">
            <v>1500001903</v>
          </cell>
          <cell r="B11003">
            <v>914.88333333333298</v>
          </cell>
        </row>
        <row r="11004">
          <cell r="A11004">
            <v>1500004820</v>
          </cell>
          <cell r="B11004">
            <v>3.5</v>
          </cell>
        </row>
        <row r="11005">
          <cell r="A11005">
            <v>1500004315</v>
          </cell>
          <cell r="B11005">
            <v>6.3333333333333304</v>
          </cell>
        </row>
        <row r="11006">
          <cell r="A11006">
            <v>1500002814</v>
          </cell>
          <cell r="B11006">
            <v>14.3333333333333</v>
          </cell>
        </row>
        <row r="11007">
          <cell r="A11007">
            <v>1500005091</v>
          </cell>
          <cell r="B11007">
            <v>34</v>
          </cell>
        </row>
        <row r="11008">
          <cell r="A11008">
            <v>1500005761</v>
          </cell>
          <cell r="B11008">
            <v>0</v>
          </cell>
        </row>
        <row r="11009">
          <cell r="A11009">
            <v>1500002587</v>
          </cell>
          <cell r="B11009">
            <v>25.5833333333333</v>
          </cell>
        </row>
        <row r="11010">
          <cell r="A11010">
            <v>1500004636</v>
          </cell>
          <cell r="B11010">
            <v>24.1666666666667</v>
          </cell>
        </row>
        <row r="11011">
          <cell r="A11011">
            <v>1500001754</v>
          </cell>
          <cell r="B11011">
            <v>0</v>
          </cell>
        </row>
        <row r="11012">
          <cell r="A11012">
            <v>1500003360</v>
          </cell>
          <cell r="B11012">
            <v>19.75</v>
          </cell>
        </row>
        <row r="11013">
          <cell r="A11013">
            <v>1500004802</v>
          </cell>
          <cell r="B11013">
            <v>136.416666666667</v>
          </cell>
        </row>
        <row r="11014">
          <cell r="A11014">
            <v>1500005010</v>
          </cell>
          <cell r="B11014">
            <v>0</v>
          </cell>
        </row>
        <row r="11015">
          <cell r="A11015">
            <v>1500006032</v>
          </cell>
          <cell r="B11015">
            <v>3.3333333333333299</v>
          </cell>
        </row>
        <row r="11016">
          <cell r="A11016">
            <v>1500002368</v>
          </cell>
          <cell r="B11016">
            <v>18.6666666666667</v>
          </cell>
        </row>
        <row r="11017">
          <cell r="A11017">
            <v>1500002816</v>
          </cell>
          <cell r="B11017">
            <v>0</v>
          </cell>
        </row>
        <row r="11018">
          <cell r="A11018">
            <v>1500005151</v>
          </cell>
          <cell r="B11018">
            <v>7.0833333333333304</v>
          </cell>
        </row>
        <row r="11019">
          <cell r="A11019">
            <v>1500003908</v>
          </cell>
          <cell r="B11019">
            <v>0</v>
          </cell>
        </row>
        <row r="11020">
          <cell r="A11020">
            <v>1500004026</v>
          </cell>
          <cell r="B11020">
            <v>88.8333333333333</v>
          </cell>
        </row>
        <row r="11021">
          <cell r="A11021">
            <v>1500003706</v>
          </cell>
          <cell r="B11021">
            <v>18.3333333333333</v>
          </cell>
        </row>
        <row r="11022">
          <cell r="A11022">
            <v>1500004316</v>
          </cell>
          <cell r="B11022">
            <v>0</v>
          </cell>
        </row>
        <row r="11023">
          <cell r="A11023">
            <v>1500005092</v>
          </cell>
          <cell r="B11023">
            <v>91.5</v>
          </cell>
        </row>
        <row r="11024">
          <cell r="A11024">
            <v>1500004027</v>
          </cell>
          <cell r="B11024">
            <v>36</v>
          </cell>
        </row>
        <row r="11025">
          <cell r="A11025">
            <v>1500002369</v>
          </cell>
          <cell r="B11025">
            <v>0</v>
          </cell>
        </row>
        <row r="11026">
          <cell r="A11026">
            <v>1500005094</v>
          </cell>
          <cell r="B11026">
            <v>154.166666666667</v>
          </cell>
        </row>
        <row r="11027">
          <cell r="A11027">
            <v>1500006098</v>
          </cell>
          <cell r="B11027">
            <v>3.0833333333333299</v>
          </cell>
        </row>
        <row r="11028">
          <cell r="A11028">
            <v>1500003263</v>
          </cell>
          <cell r="B11028">
            <v>17.5</v>
          </cell>
        </row>
        <row r="11029">
          <cell r="A11029">
            <v>1500005762</v>
          </cell>
          <cell r="B11029">
            <v>78.141666666666694</v>
          </cell>
        </row>
        <row r="11030">
          <cell r="A11030">
            <v>1500005186</v>
          </cell>
          <cell r="B11030">
            <v>0</v>
          </cell>
        </row>
        <row r="11031">
          <cell r="A11031">
            <v>1500001746</v>
          </cell>
          <cell r="B11031">
            <v>1.6666666666666701</v>
          </cell>
        </row>
        <row r="11032">
          <cell r="A11032">
            <v>1500003909</v>
          </cell>
          <cell r="B11032">
            <v>20.8333333333333</v>
          </cell>
        </row>
        <row r="11033">
          <cell r="A11033">
            <v>1500005187</v>
          </cell>
          <cell r="B11033">
            <v>0</v>
          </cell>
        </row>
        <row r="11034">
          <cell r="A11034">
            <v>1500005317</v>
          </cell>
          <cell r="B11034">
            <v>0</v>
          </cell>
        </row>
        <row r="11035">
          <cell r="A11035">
            <v>1500005430</v>
          </cell>
          <cell r="B11035">
            <v>31.608333333333299</v>
          </cell>
        </row>
        <row r="11036">
          <cell r="A11036">
            <v>1500004410</v>
          </cell>
          <cell r="B11036">
            <v>3.75</v>
          </cell>
        </row>
        <row r="11037">
          <cell r="A11037">
            <v>1500002588</v>
          </cell>
          <cell r="B11037">
            <v>29.5</v>
          </cell>
        </row>
        <row r="11038">
          <cell r="A11038">
            <v>1500004988</v>
          </cell>
          <cell r="B11038">
            <v>73.5</v>
          </cell>
        </row>
        <row r="11039">
          <cell r="A11039">
            <v>1500006034</v>
          </cell>
          <cell r="B11039">
            <v>49.75</v>
          </cell>
        </row>
        <row r="11040">
          <cell r="A11040">
            <v>1500002370</v>
          </cell>
          <cell r="B11040">
            <v>0</v>
          </cell>
        </row>
        <row r="11041">
          <cell r="A11041">
            <v>1500002371</v>
          </cell>
          <cell r="B11041">
            <v>0</v>
          </cell>
        </row>
        <row r="11042">
          <cell r="A11042">
            <v>1500002373</v>
          </cell>
          <cell r="B11042">
            <v>0</v>
          </cell>
        </row>
        <row r="11043">
          <cell r="A11043">
            <v>1500003213</v>
          </cell>
          <cell r="B11043">
            <v>0</v>
          </cell>
        </row>
        <row r="11044">
          <cell r="A11044">
            <v>1500003827</v>
          </cell>
          <cell r="B11044">
            <v>30.0833333333333</v>
          </cell>
        </row>
        <row r="11045">
          <cell r="A11045">
            <v>1500005756</v>
          </cell>
          <cell r="B11045">
            <v>7.5</v>
          </cell>
        </row>
        <row r="11046">
          <cell r="A11046">
            <v>1500005318</v>
          </cell>
          <cell r="B11046">
            <v>0</v>
          </cell>
        </row>
        <row r="11047">
          <cell r="A11047">
            <v>1500004367</v>
          </cell>
          <cell r="B11047">
            <v>0</v>
          </cell>
        </row>
        <row r="11048">
          <cell r="A11048">
            <v>1500004368</v>
          </cell>
          <cell r="B11048">
            <v>0</v>
          </cell>
        </row>
        <row r="11049">
          <cell r="A11049">
            <v>1500001747</v>
          </cell>
          <cell r="B11049">
            <v>0</v>
          </cell>
        </row>
        <row r="11050">
          <cell r="A11050">
            <v>1500005863</v>
          </cell>
          <cell r="B11050">
            <v>9.6666666666666696</v>
          </cell>
        </row>
        <row r="11051">
          <cell r="A11051">
            <v>1500003746</v>
          </cell>
          <cell r="B11051">
            <v>0</v>
          </cell>
        </row>
        <row r="11052">
          <cell r="A11052">
            <v>1500001904</v>
          </cell>
          <cell r="B11052">
            <v>7.43333333333333</v>
          </cell>
        </row>
        <row r="11053">
          <cell r="A11053">
            <v>1500001830</v>
          </cell>
          <cell r="B11053">
            <v>0</v>
          </cell>
        </row>
        <row r="11054">
          <cell r="A11054">
            <v>1500001905</v>
          </cell>
          <cell r="B11054">
            <v>44.1666666666667</v>
          </cell>
        </row>
        <row r="11055">
          <cell r="A11055">
            <v>1500004206</v>
          </cell>
          <cell r="B11055">
            <v>15.6666666666667</v>
          </cell>
        </row>
        <row r="11056">
          <cell r="A11056">
            <v>1500004207</v>
          </cell>
          <cell r="B11056">
            <v>8</v>
          </cell>
        </row>
        <row r="11057">
          <cell r="A11057">
            <v>1500002792</v>
          </cell>
          <cell r="B11057">
            <v>0</v>
          </cell>
        </row>
        <row r="11058">
          <cell r="A11058">
            <v>1500002793</v>
          </cell>
          <cell r="B11058">
            <v>110.85833333333299</v>
          </cell>
        </row>
        <row r="11059">
          <cell r="A11059">
            <v>1500005912</v>
          </cell>
          <cell r="B11059">
            <v>0</v>
          </cell>
        </row>
        <row r="11060">
          <cell r="A11060">
            <v>1500005948</v>
          </cell>
          <cell r="B11060">
            <v>0</v>
          </cell>
        </row>
        <row r="11061">
          <cell r="A11061">
            <v>1500001831</v>
          </cell>
          <cell r="B11061">
            <v>44.3333333333333</v>
          </cell>
        </row>
        <row r="11062">
          <cell r="A11062">
            <v>1500012234</v>
          </cell>
          <cell r="B11062">
            <v>9.5</v>
          </cell>
        </row>
        <row r="11063">
          <cell r="A11063">
            <v>1500005700</v>
          </cell>
          <cell r="B11063">
            <v>161.583333333333</v>
          </cell>
        </row>
        <row r="11064">
          <cell r="A11064">
            <v>1500002625</v>
          </cell>
          <cell r="B11064">
            <v>0</v>
          </cell>
        </row>
        <row r="11065">
          <cell r="A11065">
            <v>1500006166</v>
          </cell>
          <cell r="B11065">
            <v>0</v>
          </cell>
        </row>
        <row r="11066">
          <cell r="A11066">
            <v>1500006340</v>
          </cell>
          <cell r="B11066">
            <v>26.283333333333299</v>
          </cell>
        </row>
        <row r="11067">
          <cell r="A11067">
            <v>1500004231</v>
          </cell>
          <cell r="B11067">
            <v>50.8333333333333</v>
          </cell>
        </row>
        <row r="11068">
          <cell r="A11068">
            <v>1500004232</v>
          </cell>
          <cell r="B11068">
            <v>125.166666666667</v>
          </cell>
        </row>
        <row r="11069">
          <cell r="A11069">
            <v>1500004233</v>
          </cell>
          <cell r="B11069">
            <v>82.9166666666667</v>
          </cell>
        </row>
        <row r="11070">
          <cell r="A11070">
            <v>1500003292</v>
          </cell>
          <cell r="B11070">
            <v>25.4166666666667</v>
          </cell>
        </row>
        <row r="11071">
          <cell r="A11071">
            <v>1500001834</v>
          </cell>
          <cell r="B11071">
            <v>107.191666666667</v>
          </cell>
        </row>
        <row r="11072">
          <cell r="A11072">
            <v>1500001835</v>
          </cell>
          <cell r="B11072">
            <v>65.5833333333333</v>
          </cell>
        </row>
        <row r="11073">
          <cell r="A11073">
            <v>1500003217</v>
          </cell>
          <cell r="B11073">
            <v>15.3333333333333</v>
          </cell>
        </row>
        <row r="11074">
          <cell r="A11074">
            <v>1500003218</v>
          </cell>
          <cell r="B11074">
            <v>6.25</v>
          </cell>
        </row>
        <row r="11075">
          <cell r="A11075">
            <v>1500003219</v>
          </cell>
          <cell r="B11075">
            <v>0</v>
          </cell>
        </row>
        <row r="11076">
          <cell r="A11076">
            <v>1500005095</v>
          </cell>
          <cell r="B11076">
            <v>97.8333333333333</v>
          </cell>
        </row>
        <row r="11077">
          <cell r="A11077">
            <v>1500004425</v>
          </cell>
          <cell r="B11077">
            <v>22.0416666666667</v>
          </cell>
        </row>
        <row r="11078">
          <cell r="A11078">
            <v>1500005999</v>
          </cell>
          <cell r="B11078">
            <v>0</v>
          </cell>
        </row>
        <row r="11079">
          <cell r="A11079">
            <v>1500002589</v>
          </cell>
          <cell r="B11079">
            <v>32.25</v>
          </cell>
        </row>
        <row r="11080">
          <cell r="A11080">
            <v>1500001906</v>
          </cell>
          <cell r="B11080">
            <v>20.158333333333299</v>
          </cell>
        </row>
        <row r="11081">
          <cell r="A11081">
            <v>1500005096</v>
          </cell>
          <cell r="B11081">
            <v>0</v>
          </cell>
        </row>
        <row r="11082">
          <cell r="A11082">
            <v>1500005012</v>
          </cell>
          <cell r="B11082">
            <v>180.2</v>
          </cell>
        </row>
        <row r="11083">
          <cell r="A11083">
            <v>1500003707</v>
          </cell>
          <cell r="B11083">
            <v>0</v>
          </cell>
        </row>
        <row r="11084">
          <cell r="A11084">
            <v>1500003964</v>
          </cell>
          <cell r="B11084">
            <v>37.3333333333333</v>
          </cell>
        </row>
        <row r="11085">
          <cell r="A11085">
            <v>1500005701</v>
          </cell>
          <cell r="B11085">
            <v>5.5</v>
          </cell>
        </row>
        <row r="11086">
          <cell r="A11086">
            <v>1500004873</v>
          </cell>
          <cell r="B11086">
            <v>0</v>
          </cell>
        </row>
        <row r="11087">
          <cell r="A11087">
            <v>1500003220</v>
          </cell>
          <cell r="B11087">
            <v>19.9166666666667</v>
          </cell>
        </row>
        <row r="11088">
          <cell r="A11088">
            <v>1500004210</v>
          </cell>
          <cell r="B11088">
            <v>3.4166666666666701</v>
          </cell>
        </row>
        <row r="11089">
          <cell r="A11089">
            <v>1500003294</v>
          </cell>
          <cell r="B11089">
            <v>14.25</v>
          </cell>
        </row>
        <row r="11090">
          <cell r="A11090">
            <v>1500004637</v>
          </cell>
          <cell r="B11090">
            <v>2.5</v>
          </cell>
        </row>
        <row r="11091">
          <cell r="A11091">
            <v>1500006035</v>
          </cell>
          <cell r="B11091">
            <v>25.4166666666667</v>
          </cell>
        </row>
        <row r="11092">
          <cell r="A11092">
            <v>1500005000</v>
          </cell>
          <cell r="B11092">
            <v>36.1</v>
          </cell>
        </row>
        <row r="11093">
          <cell r="A11093">
            <v>1500001838</v>
          </cell>
          <cell r="B11093">
            <v>0</v>
          </cell>
        </row>
        <row r="11094">
          <cell r="A11094">
            <v>1500003222</v>
          </cell>
          <cell r="B11094">
            <v>33.75</v>
          </cell>
        </row>
        <row r="11095">
          <cell r="A11095">
            <v>1500004989</v>
          </cell>
          <cell r="B11095">
            <v>0</v>
          </cell>
        </row>
        <row r="11096">
          <cell r="A11096">
            <v>1500006117</v>
          </cell>
          <cell r="B11096">
            <v>0</v>
          </cell>
        </row>
        <row r="11097">
          <cell r="A11097">
            <v>1500003918</v>
          </cell>
          <cell r="B11097">
            <v>74.1666666666667</v>
          </cell>
        </row>
        <row r="11098">
          <cell r="A11098">
            <v>1500005763</v>
          </cell>
          <cell r="B11098">
            <v>0</v>
          </cell>
        </row>
        <row r="11099">
          <cell r="A11099">
            <v>1500005320</v>
          </cell>
          <cell r="B11099">
            <v>0</v>
          </cell>
        </row>
        <row r="11100">
          <cell r="A11100">
            <v>1500006167</v>
          </cell>
          <cell r="B11100">
            <v>91.5</v>
          </cell>
        </row>
        <row r="11101">
          <cell r="A11101">
            <v>1500006036</v>
          </cell>
          <cell r="B11101">
            <v>9.5833333333333304</v>
          </cell>
        </row>
        <row r="11102">
          <cell r="A11102">
            <v>1500006037</v>
          </cell>
          <cell r="B11102">
            <v>12</v>
          </cell>
        </row>
        <row r="11103">
          <cell r="A11103">
            <v>1500006038</v>
          </cell>
          <cell r="B11103">
            <v>8.6666666666666696</v>
          </cell>
        </row>
        <row r="11104">
          <cell r="A11104">
            <v>1500002794</v>
          </cell>
          <cell r="B11104">
            <v>201.808333333333</v>
          </cell>
        </row>
        <row r="11105">
          <cell r="A11105">
            <v>1500002795</v>
          </cell>
          <cell r="B11105">
            <v>236.15833333333299</v>
          </cell>
        </row>
        <row r="11106">
          <cell r="A11106">
            <v>1500004253</v>
          </cell>
          <cell r="B11106">
            <v>0</v>
          </cell>
        </row>
        <row r="11107">
          <cell r="A11107">
            <v>1500004254</v>
          </cell>
          <cell r="B11107">
            <v>0</v>
          </cell>
        </row>
        <row r="11108">
          <cell r="A11108">
            <v>1500004257</v>
          </cell>
          <cell r="B11108">
            <v>5.8333333333333304</v>
          </cell>
        </row>
        <row r="11109">
          <cell r="A11109">
            <v>1500004876</v>
          </cell>
          <cell r="B11109">
            <v>69.25</v>
          </cell>
        </row>
        <row r="11110">
          <cell r="A11110">
            <v>1500003606</v>
          </cell>
          <cell r="B11110">
            <v>0</v>
          </cell>
        </row>
        <row r="11111">
          <cell r="A11111">
            <v>1500001839</v>
          </cell>
          <cell r="B11111">
            <v>7.875</v>
          </cell>
        </row>
        <row r="11112">
          <cell r="A11112">
            <v>1500001840</v>
          </cell>
          <cell r="B11112">
            <v>54.75</v>
          </cell>
        </row>
        <row r="11113">
          <cell r="A11113">
            <v>1500001841</v>
          </cell>
          <cell r="B11113">
            <v>1.25</v>
          </cell>
        </row>
        <row r="11114">
          <cell r="A11114">
            <v>1500001912</v>
          </cell>
          <cell r="B11114">
            <v>80.724999999999994</v>
          </cell>
        </row>
        <row r="11115">
          <cell r="A11115">
            <v>1500004212</v>
          </cell>
          <cell r="B11115">
            <v>16.0833333333333</v>
          </cell>
        </row>
        <row r="11116">
          <cell r="A11116">
            <v>1500001916</v>
          </cell>
          <cell r="B11116">
            <v>0</v>
          </cell>
        </row>
        <row r="11117">
          <cell r="A11117">
            <v>1500006170</v>
          </cell>
          <cell r="B11117">
            <v>0</v>
          </cell>
        </row>
        <row r="11118">
          <cell r="A11118">
            <v>1500004258</v>
          </cell>
          <cell r="B11118">
            <v>15.8333333333333</v>
          </cell>
        </row>
        <row r="11119">
          <cell r="A11119">
            <v>1500005702</v>
          </cell>
          <cell r="B11119">
            <v>0</v>
          </cell>
        </row>
        <row r="11120">
          <cell r="A11120">
            <v>1500005188</v>
          </cell>
          <cell r="B11120">
            <v>18.6666666666667</v>
          </cell>
        </row>
        <row r="11121">
          <cell r="A11121">
            <v>1500002016</v>
          </cell>
          <cell r="B11121">
            <v>15.4166666666667</v>
          </cell>
        </row>
        <row r="11122">
          <cell r="A11122">
            <v>1500003028</v>
          </cell>
          <cell r="B11122">
            <v>10</v>
          </cell>
        </row>
        <row r="11123">
          <cell r="A11123">
            <v>1500003161</v>
          </cell>
          <cell r="B11123">
            <v>30</v>
          </cell>
        </row>
        <row r="11124">
          <cell r="A11124">
            <v>1500005070</v>
          </cell>
          <cell r="B11124">
            <v>0</v>
          </cell>
        </row>
        <row r="11125">
          <cell r="A11125">
            <v>1500003225</v>
          </cell>
          <cell r="B11125">
            <v>12.0833333333333</v>
          </cell>
        </row>
        <row r="11126">
          <cell r="A11126">
            <v>1500003227</v>
          </cell>
          <cell r="B11126">
            <v>2.9166666666666701</v>
          </cell>
        </row>
        <row r="11127">
          <cell r="A11127">
            <v>1500001918</v>
          </cell>
          <cell r="B11127">
            <v>52.7083333333333</v>
          </cell>
        </row>
        <row r="11128">
          <cell r="A11128">
            <v>1500003229</v>
          </cell>
          <cell r="B11128">
            <v>2.9166666666666701</v>
          </cell>
        </row>
        <row r="11129">
          <cell r="A11129">
            <v>1500006101</v>
          </cell>
          <cell r="B11129">
            <v>6.3333333333333304</v>
          </cell>
        </row>
        <row r="11130">
          <cell r="A11130">
            <v>1500006102</v>
          </cell>
          <cell r="B11130">
            <v>7.3333333333333304</v>
          </cell>
        </row>
        <row r="11131">
          <cell r="A11131">
            <v>1500003607</v>
          </cell>
          <cell r="B11131">
            <v>21.6666666666667</v>
          </cell>
        </row>
        <row r="11132">
          <cell r="A11132">
            <v>1500001919</v>
          </cell>
          <cell r="B11132">
            <v>5.4166666666666696</v>
          </cell>
        </row>
        <row r="11133">
          <cell r="A11133">
            <v>1500004259</v>
          </cell>
          <cell r="B11133">
            <v>130</v>
          </cell>
        </row>
        <row r="11134">
          <cell r="A11134">
            <v>1500004260</v>
          </cell>
          <cell r="B11134">
            <v>0</v>
          </cell>
        </row>
        <row r="11135">
          <cell r="A11135">
            <v>1500004827</v>
          </cell>
          <cell r="B11135">
            <v>0</v>
          </cell>
        </row>
        <row r="11136">
          <cell r="A11136">
            <v>1500005097</v>
          </cell>
          <cell r="B11136">
            <v>0</v>
          </cell>
        </row>
        <row r="11137">
          <cell r="A11137">
            <v>1500005098</v>
          </cell>
          <cell r="B11137">
            <v>0</v>
          </cell>
        </row>
        <row r="11138">
          <cell r="A11138">
            <v>1500002222</v>
          </cell>
          <cell r="B11138">
            <v>81.5</v>
          </cell>
        </row>
        <row r="11139">
          <cell r="A11139">
            <v>1500005431</v>
          </cell>
          <cell r="B11139">
            <v>9.1666666666666696</v>
          </cell>
        </row>
        <row r="11140">
          <cell r="A11140">
            <v>1500001843</v>
          </cell>
          <cell r="B11140">
            <v>11.4166666666667</v>
          </cell>
        </row>
        <row r="11141">
          <cell r="A11141">
            <v>1500003299</v>
          </cell>
          <cell r="B11141">
            <v>44.5833333333333</v>
          </cell>
        </row>
        <row r="11142">
          <cell r="A11142">
            <v>1500002223</v>
          </cell>
          <cell r="B11142">
            <v>0</v>
          </cell>
        </row>
        <row r="11143">
          <cell r="A11143">
            <v>1500005321</v>
          </cell>
          <cell r="B11143">
            <v>10</v>
          </cell>
        </row>
        <row r="11144">
          <cell r="A11144">
            <v>1500004439</v>
          </cell>
          <cell r="B11144">
            <v>0</v>
          </cell>
        </row>
        <row r="11145">
          <cell r="A11145">
            <v>1500004828</v>
          </cell>
          <cell r="B11145">
            <v>0</v>
          </cell>
        </row>
        <row r="11146">
          <cell r="A11146">
            <v>1500004021</v>
          </cell>
          <cell r="B11146">
            <v>14.3333333333333</v>
          </cell>
        </row>
        <row r="11147">
          <cell r="A11147">
            <v>1500003230</v>
          </cell>
          <cell r="B11147">
            <v>46.3333333333333</v>
          </cell>
        </row>
        <row r="11148">
          <cell r="A11148">
            <v>1500006040</v>
          </cell>
          <cell r="B11148">
            <v>0</v>
          </cell>
        </row>
        <row r="11149">
          <cell r="A11149">
            <v>1500001923</v>
          </cell>
          <cell r="B11149">
            <v>0</v>
          </cell>
        </row>
        <row r="11150">
          <cell r="A11150">
            <v>1500001924</v>
          </cell>
          <cell r="B11150">
            <v>2.5</v>
          </cell>
        </row>
        <row r="11151">
          <cell r="A11151">
            <v>1500001845</v>
          </cell>
          <cell r="B11151">
            <v>0</v>
          </cell>
        </row>
        <row r="11152">
          <cell r="A11152">
            <v>1500001925</v>
          </cell>
          <cell r="B11152">
            <v>0</v>
          </cell>
        </row>
        <row r="11153">
          <cell r="A11153">
            <v>1500001846</v>
          </cell>
          <cell r="B11153">
            <v>17.1666666666667</v>
          </cell>
        </row>
        <row r="11154">
          <cell r="A11154">
            <v>1500001847</v>
          </cell>
          <cell r="B11154">
            <v>433.95833333333297</v>
          </cell>
        </row>
        <row r="11155">
          <cell r="A11155">
            <v>1500001848</v>
          </cell>
          <cell r="B11155">
            <v>430.58333333333297</v>
          </cell>
        </row>
        <row r="11156">
          <cell r="A11156">
            <v>1500001849</v>
          </cell>
          <cell r="B11156">
            <v>50.3333333333333</v>
          </cell>
        </row>
        <row r="11157">
          <cell r="A11157">
            <v>1500002596</v>
          </cell>
          <cell r="B11157">
            <v>0</v>
          </cell>
        </row>
        <row r="11158">
          <cell r="A11158">
            <v>1500006041</v>
          </cell>
          <cell r="B11158">
            <v>41.3333333333333</v>
          </cell>
        </row>
        <row r="11159">
          <cell r="A11159">
            <v>1500006042</v>
          </cell>
          <cell r="B11159">
            <v>10.258333333333301</v>
          </cell>
        </row>
        <row r="11160">
          <cell r="A11160">
            <v>1500003941</v>
          </cell>
          <cell r="B11160">
            <v>0</v>
          </cell>
        </row>
        <row r="11161">
          <cell r="A11161">
            <v>1500006171</v>
          </cell>
          <cell r="B11161">
            <v>0</v>
          </cell>
        </row>
        <row r="11162">
          <cell r="A11162">
            <v>1500006071</v>
          </cell>
          <cell r="B11162">
            <v>13.3333333333333</v>
          </cell>
        </row>
        <row r="11163">
          <cell r="A11163">
            <v>1500003708</v>
          </cell>
          <cell r="B11163">
            <v>0</v>
          </cell>
        </row>
        <row r="11164">
          <cell r="A11164">
            <v>1500005238</v>
          </cell>
          <cell r="B11164">
            <v>0</v>
          </cell>
        </row>
        <row r="11165">
          <cell r="A11165">
            <v>1500004990</v>
          </cell>
          <cell r="B11165">
            <v>0</v>
          </cell>
        </row>
        <row r="11166">
          <cell r="A11166">
            <v>1500001852</v>
          </cell>
          <cell r="B11166">
            <v>0</v>
          </cell>
        </row>
        <row r="11167">
          <cell r="A11167">
            <v>1500003232</v>
          </cell>
          <cell r="B11167">
            <v>17.6666666666667</v>
          </cell>
        </row>
        <row r="11168">
          <cell r="A11168">
            <v>1500003233</v>
          </cell>
          <cell r="B11168">
            <v>0</v>
          </cell>
        </row>
        <row r="11169">
          <cell r="A11169">
            <v>1500001853</v>
          </cell>
          <cell r="B11169">
            <v>12.1666666666667</v>
          </cell>
        </row>
        <row r="11170">
          <cell r="A11170">
            <v>1500004213</v>
          </cell>
          <cell r="B11170">
            <v>9.1666666666666696</v>
          </cell>
        </row>
        <row r="11171">
          <cell r="A11171">
            <v>1500004490</v>
          </cell>
          <cell r="B11171">
            <v>9.6666666666666696</v>
          </cell>
        </row>
        <row r="11172">
          <cell r="A11172">
            <v>1500006168</v>
          </cell>
          <cell r="B11172">
            <v>0</v>
          </cell>
        </row>
        <row r="11173">
          <cell r="A11173">
            <v>1500005703</v>
          </cell>
          <cell r="B11173">
            <v>0</v>
          </cell>
        </row>
        <row r="11174">
          <cell r="A11174">
            <v>1500001855</v>
          </cell>
          <cell r="B11174">
            <v>13.25</v>
          </cell>
        </row>
        <row r="11175">
          <cell r="A11175">
            <v>1500001856</v>
          </cell>
          <cell r="B11175">
            <v>6.25</v>
          </cell>
        </row>
        <row r="11176">
          <cell r="A11176">
            <v>1500001857</v>
          </cell>
          <cell r="B11176">
            <v>16.0416666666667</v>
          </cell>
        </row>
        <row r="11177">
          <cell r="A11177">
            <v>1500004022</v>
          </cell>
          <cell r="B11177">
            <v>0</v>
          </cell>
        </row>
        <row r="11178">
          <cell r="A11178">
            <v>1500004577</v>
          </cell>
          <cell r="B11178">
            <v>88.6666666666667</v>
          </cell>
        </row>
        <row r="11179">
          <cell r="A11179">
            <v>1500006072</v>
          </cell>
          <cell r="B11179">
            <v>26.35</v>
          </cell>
        </row>
        <row r="11180">
          <cell r="A11180">
            <v>1500002818</v>
          </cell>
          <cell r="B11180">
            <v>0</v>
          </cell>
        </row>
        <row r="11181">
          <cell r="A11181">
            <v>1500003709</v>
          </cell>
          <cell r="B11181">
            <v>0</v>
          </cell>
        </row>
        <row r="11182">
          <cell r="A11182">
            <v>1500004429</v>
          </cell>
          <cell r="B11182">
            <v>73.3333333333333</v>
          </cell>
        </row>
        <row r="11183">
          <cell r="A11183">
            <v>1500003162</v>
          </cell>
          <cell r="B11183">
            <v>0</v>
          </cell>
        </row>
        <row r="11184">
          <cell r="A11184">
            <v>1500001748</v>
          </cell>
          <cell r="B11184">
            <v>3.75</v>
          </cell>
        </row>
        <row r="11185">
          <cell r="A11185">
            <v>1500001929</v>
          </cell>
          <cell r="B11185">
            <v>0.83333333333333304</v>
          </cell>
        </row>
        <row r="11186">
          <cell r="A11186">
            <v>1500001930</v>
          </cell>
          <cell r="B11186">
            <v>127</v>
          </cell>
        </row>
        <row r="11187">
          <cell r="A11187">
            <v>1500001931</v>
          </cell>
          <cell r="B11187">
            <v>76.25</v>
          </cell>
        </row>
        <row r="11188">
          <cell r="A11188">
            <v>1500003821</v>
          </cell>
          <cell r="B11188">
            <v>19.5833333333333</v>
          </cell>
        </row>
        <row r="11189">
          <cell r="A11189">
            <v>1500005101</v>
          </cell>
          <cell r="B11189">
            <v>4.1666666666666696</v>
          </cell>
        </row>
        <row r="11190">
          <cell r="A11190">
            <v>1500003235</v>
          </cell>
          <cell r="B11190">
            <v>17.4166666666667</v>
          </cell>
        </row>
        <row r="11191">
          <cell r="A11191">
            <v>1500003236</v>
          </cell>
          <cell r="B11191">
            <v>5</v>
          </cell>
        </row>
        <row r="11192">
          <cell r="A11192">
            <v>1500006045</v>
          </cell>
          <cell r="B11192">
            <v>12.75</v>
          </cell>
        </row>
        <row r="11193">
          <cell r="A11193">
            <v>1500004002</v>
          </cell>
          <cell r="B11193">
            <v>4.4166666666666696</v>
          </cell>
        </row>
        <row r="11194">
          <cell r="A11194">
            <v>1500002590</v>
          </cell>
          <cell r="B11194">
            <v>9.75</v>
          </cell>
        </row>
        <row r="11195">
          <cell r="A11195">
            <v>1500006164</v>
          </cell>
          <cell r="B11195">
            <v>102.25</v>
          </cell>
        </row>
        <row r="11196">
          <cell r="A11196">
            <v>1500005950</v>
          </cell>
          <cell r="B11196">
            <v>14.25</v>
          </cell>
        </row>
        <row r="11197">
          <cell r="A11197">
            <v>1500004214</v>
          </cell>
          <cell r="B11197">
            <v>5</v>
          </cell>
        </row>
        <row r="11198">
          <cell r="A11198">
            <v>1500001859</v>
          </cell>
          <cell r="B11198">
            <v>19.9166666666667</v>
          </cell>
        </row>
        <row r="11199">
          <cell r="A11199">
            <v>1500003872</v>
          </cell>
          <cell r="B11199">
            <v>0</v>
          </cell>
        </row>
        <row r="11200">
          <cell r="A11200">
            <v>1500006048</v>
          </cell>
          <cell r="B11200">
            <v>224.666666666667</v>
          </cell>
        </row>
        <row r="11201">
          <cell r="A11201">
            <v>1500001935</v>
          </cell>
          <cell r="B11201">
            <v>0</v>
          </cell>
        </row>
        <row r="11202">
          <cell r="A11202">
            <v>1500003603</v>
          </cell>
          <cell r="B11202">
            <v>3.3333333333333299</v>
          </cell>
        </row>
        <row r="11203">
          <cell r="A11203">
            <v>1500004003</v>
          </cell>
          <cell r="B11203">
            <v>7.375</v>
          </cell>
        </row>
        <row r="11204">
          <cell r="A11204">
            <v>1500002366</v>
          </cell>
          <cell r="B11204">
            <v>32.625</v>
          </cell>
        </row>
        <row r="11205">
          <cell r="A11205">
            <v>1500003911</v>
          </cell>
          <cell r="B11205">
            <v>11.25</v>
          </cell>
        </row>
        <row r="11206">
          <cell r="A11206">
            <v>1500002796</v>
          </cell>
          <cell r="B11206">
            <v>0</v>
          </cell>
        </row>
        <row r="11207">
          <cell r="A11207">
            <v>1500001936</v>
          </cell>
          <cell r="B11207">
            <v>9.9166666666666696</v>
          </cell>
        </row>
        <row r="11208">
          <cell r="A11208">
            <v>1500003912</v>
          </cell>
          <cell r="B11208">
            <v>15.6666666666667</v>
          </cell>
        </row>
        <row r="11209">
          <cell r="A11209">
            <v>1500004359</v>
          </cell>
          <cell r="B11209">
            <v>0</v>
          </cell>
        </row>
        <row r="11210">
          <cell r="A11210">
            <v>1500006050</v>
          </cell>
          <cell r="B11210">
            <v>16.75</v>
          </cell>
        </row>
        <row r="11211">
          <cell r="A11211">
            <v>1500006105</v>
          </cell>
          <cell r="B11211">
            <v>4.3333333333333304</v>
          </cell>
        </row>
        <row r="11212">
          <cell r="A11212">
            <v>1500006106</v>
          </cell>
          <cell r="B11212">
            <v>8.3333333333333304</v>
          </cell>
        </row>
        <row r="11213">
          <cell r="A11213">
            <v>1500001937</v>
          </cell>
          <cell r="B11213">
            <v>75.9166666666667</v>
          </cell>
        </row>
        <row r="11214">
          <cell r="A11214">
            <v>1500003239</v>
          </cell>
          <cell r="B11214">
            <v>45.25</v>
          </cell>
        </row>
        <row r="11215">
          <cell r="A11215">
            <v>1500003240</v>
          </cell>
          <cell r="B11215">
            <v>0</v>
          </cell>
        </row>
        <row r="11216">
          <cell r="A11216">
            <v>1500003241</v>
          </cell>
          <cell r="B11216">
            <v>3.9166666666666701</v>
          </cell>
        </row>
        <row r="11217">
          <cell r="A11217">
            <v>1500004215</v>
          </cell>
          <cell r="B11217">
            <v>49.8333333333333</v>
          </cell>
        </row>
        <row r="11218">
          <cell r="A11218">
            <v>1500004216</v>
          </cell>
          <cell r="B11218">
            <v>13.3333333333333</v>
          </cell>
        </row>
        <row r="11219">
          <cell r="A11219">
            <v>1500001938</v>
          </cell>
          <cell r="B11219">
            <v>0</v>
          </cell>
        </row>
        <row r="11220">
          <cell r="A11220">
            <v>1500004877</v>
          </cell>
          <cell r="B11220">
            <v>0.66666666666666696</v>
          </cell>
        </row>
        <row r="11221">
          <cell r="A11221">
            <v>1500004821</v>
          </cell>
          <cell r="B11221">
            <v>29.5</v>
          </cell>
        </row>
        <row r="11222">
          <cell r="A11222">
            <v>1500004442</v>
          </cell>
          <cell r="B11222">
            <v>0</v>
          </cell>
        </row>
        <row r="11223">
          <cell r="A11223">
            <v>1500005559</v>
          </cell>
          <cell r="B11223">
            <v>10.3333333333333</v>
          </cell>
        </row>
        <row r="11224">
          <cell r="A11224">
            <v>1500002367</v>
          </cell>
          <cell r="B11224">
            <v>30.633333333333301</v>
          </cell>
        </row>
        <row r="11225">
          <cell r="A11225">
            <v>1500003747</v>
          </cell>
          <cell r="B11225">
            <v>31.0416666666667</v>
          </cell>
        </row>
        <row r="11226">
          <cell r="A11226">
            <v>1500003913</v>
          </cell>
          <cell r="B11226">
            <v>0</v>
          </cell>
        </row>
        <row r="11227">
          <cell r="A11227">
            <v>1500006073</v>
          </cell>
          <cell r="B11227">
            <v>28.725000000000001</v>
          </cell>
        </row>
        <row r="11228">
          <cell r="A11228">
            <v>1500001940</v>
          </cell>
          <cell r="B11228">
            <v>12.3333333333333</v>
          </cell>
        </row>
        <row r="11229">
          <cell r="A11229">
            <v>1500001941</v>
          </cell>
          <cell r="B11229">
            <v>167.083333333333</v>
          </cell>
        </row>
        <row r="11230">
          <cell r="A11230">
            <v>1500001942</v>
          </cell>
          <cell r="B11230">
            <v>44.4583333333333</v>
          </cell>
        </row>
        <row r="11231">
          <cell r="A11231">
            <v>1500001860</v>
          </cell>
          <cell r="B11231">
            <v>15.8333333333333</v>
          </cell>
        </row>
        <row r="11232">
          <cell r="A11232">
            <v>1500002798</v>
          </cell>
          <cell r="B11232">
            <v>148.691666666667</v>
          </cell>
        </row>
        <row r="11233">
          <cell r="A11233">
            <v>1500004803</v>
          </cell>
          <cell r="B11233">
            <v>42.8333333333333</v>
          </cell>
        </row>
        <row r="11234">
          <cell r="A11234">
            <v>1500006051</v>
          </cell>
          <cell r="B11234">
            <v>6.6666666666666696</v>
          </cell>
        </row>
        <row r="11235">
          <cell r="A11235">
            <v>1500005102</v>
          </cell>
          <cell r="B11235">
            <v>0</v>
          </cell>
        </row>
        <row r="11236">
          <cell r="A11236">
            <v>1500004161</v>
          </cell>
          <cell r="B11236">
            <v>202.666666666667</v>
          </cell>
        </row>
        <row r="11237">
          <cell r="A11237">
            <v>1500001943</v>
          </cell>
          <cell r="B11237">
            <v>16.375</v>
          </cell>
        </row>
        <row r="11238">
          <cell r="A11238">
            <v>1500005103</v>
          </cell>
          <cell r="B11238">
            <v>0</v>
          </cell>
        </row>
        <row r="11239">
          <cell r="A11239">
            <v>1500002799</v>
          </cell>
          <cell r="B11239">
            <v>0</v>
          </cell>
        </row>
        <row r="11240">
          <cell r="A11240">
            <v>1500004426</v>
          </cell>
          <cell r="B11240">
            <v>18.191666666666698</v>
          </cell>
        </row>
        <row r="11241">
          <cell r="A11241">
            <v>1500004369</v>
          </cell>
          <cell r="B11241">
            <v>5.1666666666666696</v>
          </cell>
        </row>
        <row r="11242">
          <cell r="A11242">
            <v>1500003302</v>
          </cell>
          <cell r="B11242">
            <v>12</v>
          </cell>
        </row>
        <row r="11243">
          <cell r="A11243">
            <v>1500003243</v>
          </cell>
          <cell r="B11243">
            <v>0</v>
          </cell>
        </row>
        <row r="11244">
          <cell r="A11244">
            <v>1500003244</v>
          </cell>
          <cell r="B11244">
            <v>0</v>
          </cell>
        </row>
        <row r="11245">
          <cell r="A11245">
            <v>1500004004</v>
          </cell>
          <cell r="B11245">
            <v>0</v>
          </cell>
        </row>
        <row r="11246">
          <cell r="A11246">
            <v>1500001861</v>
          </cell>
          <cell r="B11246">
            <v>50.5416666666667</v>
          </cell>
        </row>
        <row r="11247">
          <cell r="A11247">
            <v>1500001862</v>
          </cell>
          <cell r="B11247">
            <v>10.75</v>
          </cell>
        </row>
        <row r="11248">
          <cell r="A11248">
            <v>1500001944</v>
          </cell>
          <cell r="B11248">
            <v>43.6666666666667</v>
          </cell>
        </row>
        <row r="11249">
          <cell r="A11249">
            <v>1500003245</v>
          </cell>
          <cell r="B11249">
            <v>32.3333333333333</v>
          </cell>
        </row>
        <row r="11250">
          <cell r="A11250">
            <v>1500006054</v>
          </cell>
          <cell r="B11250">
            <v>6.875</v>
          </cell>
        </row>
        <row r="11251">
          <cell r="A11251">
            <v>1500002800</v>
          </cell>
          <cell r="B11251">
            <v>133.40833333333299</v>
          </cell>
        </row>
        <row r="11252">
          <cell r="A11252">
            <v>1500006055</v>
          </cell>
          <cell r="B11252">
            <v>70.3333333333333</v>
          </cell>
        </row>
        <row r="11253">
          <cell r="A11253">
            <v>1500004443</v>
          </cell>
          <cell r="B11253">
            <v>105.833333333333</v>
          </cell>
        </row>
        <row r="11254">
          <cell r="A11254">
            <v>1500003246</v>
          </cell>
          <cell r="B11254">
            <v>12.25</v>
          </cell>
        </row>
        <row r="11255">
          <cell r="A11255">
            <v>1500003247</v>
          </cell>
          <cell r="B11255">
            <v>48.0833333333333</v>
          </cell>
        </row>
        <row r="11256">
          <cell r="A11256">
            <v>1500004991</v>
          </cell>
          <cell r="B11256">
            <v>109.666666666667</v>
          </cell>
        </row>
        <row r="11257">
          <cell r="A11257">
            <v>1500003303</v>
          </cell>
          <cell r="B11257">
            <v>59</v>
          </cell>
        </row>
        <row r="11258">
          <cell r="A11258">
            <v>1500002802</v>
          </cell>
          <cell r="B11258">
            <v>407.57499999999999</v>
          </cell>
        </row>
        <row r="11259">
          <cell r="A11259">
            <v>1500006125</v>
          </cell>
          <cell r="B11259">
            <v>0</v>
          </cell>
        </row>
        <row r="11260">
          <cell r="A11260">
            <v>1500003915</v>
          </cell>
          <cell r="B11260">
            <v>15.9166666666667</v>
          </cell>
        </row>
        <row r="11261">
          <cell r="A11261">
            <v>1500006057</v>
          </cell>
          <cell r="B11261">
            <v>27.5</v>
          </cell>
        </row>
        <row r="11262">
          <cell r="A11262">
            <v>1500006058</v>
          </cell>
          <cell r="B11262">
            <v>0.83333333333333304</v>
          </cell>
        </row>
        <row r="11263">
          <cell r="A11263">
            <v>1500002803</v>
          </cell>
          <cell r="B11263">
            <v>129.15</v>
          </cell>
        </row>
        <row r="11264">
          <cell r="A11264">
            <v>1500001863</v>
          </cell>
          <cell r="B11264">
            <v>32.75</v>
          </cell>
        </row>
        <row r="11265">
          <cell r="A11265">
            <v>1500001864</v>
          </cell>
          <cell r="B11265">
            <v>53.933333333333302</v>
          </cell>
        </row>
        <row r="11266">
          <cell r="A11266">
            <v>1500005908</v>
          </cell>
          <cell r="B11266">
            <v>454</v>
          </cell>
        </row>
        <row r="11267">
          <cell r="A11267">
            <v>1500002591</v>
          </cell>
          <cell r="B11267">
            <v>28</v>
          </cell>
        </row>
        <row r="11268">
          <cell r="A11268">
            <v>1500001945</v>
          </cell>
          <cell r="B11268">
            <v>44.933333333333302</v>
          </cell>
        </row>
        <row r="11269">
          <cell r="A11269">
            <v>1500002804</v>
          </cell>
          <cell r="B11269">
            <v>263.64166666666699</v>
          </cell>
        </row>
        <row r="11270">
          <cell r="A11270">
            <v>1500002805</v>
          </cell>
          <cell r="B11270">
            <v>32.7083333333333</v>
          </cell>
        </row>
        <row r="11271">
          <cell r="A11271">
            <v>1500003159</v>
          </cell>
          <cell r="B11271">
            <v>44.0833333333333</v>
          </cell>
        </row>
        <row r="11272">
          <cell r="A11272">
            <v>1500005190</v>
          </cell>
          <cell r="B11272">
            <v>0</v>
          </cell>
        </row>
        <row r="11273">
          <cell r="A11273">
            <v>1500004992</v>
          </cell>
          <cell r="B11273">
            <v>0</v>
          </cell>
        </row>
        <row r="11274">
          <cell r="A11274">
            <v>1500004370</v>
          </cell>
          <cell r="B11274">
            <v>4.1666666666666696</v>
          </cell>
        </row>
        <row r="11275">
          <cell r="A11275">
            <v>1500003873</v>
          </cell>
          <cell r="B11275">
            <v>113</v>
          </cell>
        </row>
        <row r="11276">
          <cell r="A11276">
            <v>1500005951</v>
          </cell>
          <cell r="B11276">
            <v>22.5</v>
          </cell>
        </row>
        <row r="11277">
          <cell r="A11277">
            <v>1500005280</v>
          </cell>
          <cell r="B11277">
            <v>0</v>
          </cell>
        </row>
        <row r="11278">
          <cell r="A11278">
            <v>1500004236</v>
          </cell>
          <cell r="B11278">
            <v>0</v>
          </cell>
        </row>
        <row r="11279">
          <cell r="A11279">
            <v>1500004372</v>
          </cell>
          <cell r="B11279">
            <v>13.25</v>
          </cell>
        </row>
        <row r="11280">
          <cell r="A11280">
            <v>1500003273</v>
          </cell>
          <cell r="B11280">
            <v>20.9166666666667</v>
          </cell>
        </row>
        <row r="11281">
          <cell r="A11281">
            <v>1500005875</v>
          </cell>
          <cell r="B11281">
            <v>0</v>
          </cell>
        </row>
        <row r="11282">
          <cell r="A11282">
            <v>1500004444</v>
          </cell>
          <cell r="B11282">
            <v>33</v>
          </cell>
        </row>
        <row r="11283">
          <cell r="A11283">
            <v>1500003919</v>
          </cell>
          <cell r="B11283">
            <v>0</v>
          </cell>
        </row>
        <row r="11284">
          <cell r="A11284">
            <v>1500005544</v>
          </cell>
          <cell r="B11284">
            <v>134.958333333333</v>
          </cell>
        </row>
        <row r="11285">
          <cell r="A11285">
            <v>1500005281</v>
          </cell>
          <cell r="B11285">
            <v>30.3333333333333</v>
          </cell>
        </row>
        <row r="11286">
          <cell r="A11286">
            <v>1500004262</v>
          </cell>
          <cell r="B11286">
            <v>102.666666666667</v>
          </cell>
        </row>
        <row r="11287">
          <cell r="A11287">
            <v>1500003828</v>
          </cell>
          <cell r="B11287">
            <v>9.3333333333333304</v>
          </cell>
        </row>
        <row r="11288">
          <cell r="A11288">
            <v>1500003829</v>
          </cell>
          <cell r="B11288">
            <v>0</v>
          </cell>
        </row>
        <row r="11289">
          <cell r="A11289">
            <v>1500002807</v>
          </cell>
          <cell r="B11289">
            <v>0</v>
          </cell>
        </row>
        <row r="11290">
          <cell r="A11290">
            <v>1500004810</v>
          </cell>
          <cell r="B11290">
            <v>0</v>
          </cell>
        </row>
        <row r="11291">
          <cell r="A11291">
            <v>1500004263</v>
          </cell>
          <cell r="B11291">
            <v>192</v>
          </cell>
        </row>
        <row r="11292">
          <cell r="A11292">
            <v>1500002808</v>
          </cell>
          <cell r="B11292">
            <v>5.8333333333333304</v>
          </cell>
        </row>
        <row r="11293">
          <cell r="A11293">
            <v>1500004264</v>
          </cell>
          <cell r="B11293">
            <v>0</v>
          </cell>
        </row>
        <row r="11294">
          <cell r="A11294">
            <v>1500004265</v>
          </cell>
          <cell r="B11294">
            <v>39.1666666666667</v>
          </cell>
        </row>
        <row r="11295">
          <cell r="A11295">
            <v>1500004513</v>
          </cell>
          <cell r="B11295">
            <v>0</v>
          </cell>
        </row>
        <row r="11296">
          <cell r="A11296">
            <v>1500004797</v>
          </cell>
          <cell r="B11296">
            <v>56.6666666666667</v>
          </cell>
        </row>
        <row r="11297">
          <cell r="A11297">
            <v>1500002019</v>
          </cell>
          <cell r="B11297">
            <v>2.5</v>
          </cell>
        </row>
        <row r="11298">
          <cell r="A11298">
            <v>1500005423</v>
          </cell>
          <cell r="B11298">
            <v>0</v>
          </cell>
        </row>
        <row r="11299">
          <cell r="A11299">
            <v>1500003916</v>
          </cell>
          <cell r="B11299">
            <v>9.1666666666666696</v>
          </cell>
        </row>
        <row r="11300">
          <cell r="A11300">
            <v>1500006074</v>
          </cell>
          <cell r="B11300">
            <v>42.9166666666667</v>
          </cell>
        </row>
        <row r="11301">
          <cell r="A11301">
            <v>1500003965</v>
          </cell>
          <cell r="B11301">
            <v>202.55</v>
          </cell>
        </row>
        <row r="11302">
          <cell r="A11302">
            <v>1500003966</v>
          </cell>
          <cell r="B11302">
            <v>0</v>
          </cell>
        </row>
        <row r="11303">
          <cell r="A11303">
            <v>1500001867</v>
          </cell>
          <cell r="B11303">
            <v>39.6666666666667</v>
          </cell>
        </row>
        <row r="11304">
          <cell r="A11304">
            <v>1500001947</v>
          </cell>
          <cell r="B11304">
            <v>0</v>
          </cell>
        </row>
        <row r="11305">
          <cell r="A11305">
            <v>1500001948</v>
          </cell>
          <cell r="B11305">
            <v>0</v>
          </cell>
        </row>
        <row r="11306">
          <cell r="A11306">
            <v>1500006110</v>
          </cell>
          <cell r="B11306">
            <v>63.091666666666697</v>
          </cell>
        </row>
        <row r="11307">
          <cell r="A11307">
            <v>1500001949</v>
          </cell>
          <cell r="B11307">
            <v>52.0833333333333</v>
          </cell>
        </row>
        <row r="11308">
          <cell r="A11308">
            <v>1500001950</v>
          </cell>
          <cell r="B11308">
            <v>24.625</v>
          </cell>
        </row>
        <row r="11309">
          <cell r="A11309">
            <v>1500001951</v>
          </cell>
          <cell r="B11309">
            <v>26.2083333333333</v>
          </cell>
        </row>
        <row r="11310">
          <cell r="A11310">
            <v>1500006111</v>
          </cell>
          <cell r="B11310">
            <v>12.5</v>
          </cell>
        </row>
        <row r="11311">
          <cell r="A11311">
            <v>1500001869</v>
          </cell>
          <cell r="B11311">
            <v>26.6666666666667</v>
          </cell>
        </row>
        <row r="11312">
          <cell r="A11312">
            <v>1500001952</v>
          </cell>
          <cell r="B11312">
            <v>42.3333333333333</v>
          </cell>
        </row>
        <row r="11313">
          <cell r="A11313">
            <v>1500001953</v>
          </cell>
          <cell r="B11313">
            <v>4.1666666666666696</v>
          </cell>
        </row>
        <row r="11314">
          <cell r="A11314">
            <v>1500005952</v>
          </cell>
          <cell r="B11314">
            <v>145</v>
          </cell>
        </row>
        <row r="11315">
          <cell r="A11315">
            <v>1500006258</v>
          </cell>
          <cell r="B11315">
            <v>12.25</v>
          </cell>
        </row>
        <row r="11316">
          <cell r="A11316">
            <v>1500006260</v>
          </cell>
          <cell r="B11316">
            <v>4.1666666666666696</v>
          </cell>
        </row>
        <row r="11317">
          <cell r="A11317">
            <v>1500006275</v>
          </cell>
          <cell r="B11317">
            <v>19.25</v>
          </cell>
        </row>
        <row r="11318">
          <cell r="A11318">
            <v>1500006276</v>
          </cell>
          <cell r="B11318">
            <v>0</v>
          </cell>
        </row>
        <row r="11319">
          <cell r="A11319">
            <v>1500006278</v>
          </cell>
          <cell r="B11319">
            <v>104.166666666667</v>
          </cell>
        </row>
        <row r="11320">
          <cell r="A11320">
            <v>1500006279</v>
          </cell>
          <cell r="B11320">
            <v>0</v>
          </cell>
        </row>
        <row r="11321">
          <cell r="A11321">
            <v>1500006292</v>
          </cell>
          <cell r="B11321">
            <v>0</v>
          </cell>
        </row>
        <row r="11322">
          <cell r="A11322">
            <v>1500006293</v>
          </cell>
          <cell r="B11322">
            <v>36.5833333333333</v>
          </cell>
        </row>
        <row r="11323">
          <cell r="A11323">
            <v>1500006295</v>
          </cell>
          <cell r="B11323">
            <v>0</v>
          </cell>
        </row>
        <row r="11324">
          <cell r="A11324">
            <v>1500006280</v>
          </cell>
          <cell r="B11324">
            <v>70</v>
          </cell>
        </row>
        <row r="11325">
          <cell r="A11325">
            <v>1500006297</v>
          </cell>
          <cell r="B11325">
            <v>23.3333333333333</v>
          </cell>
        </row>
        <row r="11326">
          <cell r="A11326">
            <v>1500006308</v>
          </cell>
          <cell r="B11326">
            <v>0</v>
          </cell>
        </row>
        <row r="11327">
          <cell r="A11327">
            <v>1500006309</v>
          </cell>
          <cell r="B11327">
            <v>55.5</v>
          </cell>
        </row>
        <row r="11328">
          <cell r="A11328">
            <v>1500006310</v>
          </cell>
          <cell r="B11328">
            <v>0</v>
          </cell>
        </row>
        <row r="11329">
          <cell r="A11329">
            <v>1500006311</v>
          </cell>
          <cell r="B11329">
            <v>9.1666666666666696</v>
          </cell>
        </row>
        <row r="11330">
          <cell r="A11330">
            <v>1500006313</v>
          </cell>
          <cell r="B11330">
            <v>0</v>
          </cell>
        </row>
        <row r="11331">
          <cell r="A11331">
            <v>1500006328</v>
          </cell>
          <cell r="B11331">
            <v>0</v>
          </cell>
        </row>
        <row r="11332">
          <cell r="A11332">
            <v>1500006339</v>
          </cell>
          <cell r="B11332">
            <v>46.375</v>
          </cell>
        </row>
        <row r="11333">
          <cell r="A11333">
            <v>1500011681</v>
          </cell>
          <cell r="B11333">
            <v>0</v>
          </cell>
        </row>
        <row r="11334">
          <cell r="A11334">
            <v>1500011682</v>
          </cell>
          <cell r="B11334">
            <v>0</v>
          </cell>
        </row>
        <row r="11335">
          <cell r="A11335">
            <v>1500011683</v>
          </cell>
          <cell r="B11335">
            <v>0</v>
          </cell>
        </row>
        <row r="11336">
          <cell r="A11336">
            <v>1500011684</v>
          </cell>
          <cell r="B11336">
            <v>0</v>
          </cell>
        </row>
        <row r="11337">
          <cell r="A11337">
            <v>1500011691</v>
          </cell>
          <cell r="B11337">
            <v>13.0833333333333</v>
          </cell>
        </row>
        <row r="11338">
          <cell r="A11338">
            <v>1500011692</v>
          </cell>
          <cell r="B11338">
            <v>0</v>
          </cell>
        </row>
        <row r="11339">
          <cell r="A11339">
            <v>1500011932</v>
          </cell>
          <cell r="B11339">
            <v>2.5</v>
          </cell>
        </row>
        <row r="11340">
          <cell r="A11340">
            <v>1500011709</v>
          </cell>
          <cell r="B11340">
            <v>60.3333333333333</v>
          </cell>
        </row>
        <row r="11341">
          <cell r="A11341">
            <v>1500011710</v>
          </cell>
          <cell r="B11341">
            <v>0</v>
          </cell>
        </row>
        <row r="11342">
          <cell r="A11342">
            <v>1500011934</v>
          </cell>
          <cell r="B11342">
            <v>26.9166666666667</v>
          </cell>
        </row>
        <row r="11343">
          <cell r="A11343">
            <v>1500011935</v>
          </cell>
          <cell r="B11343">
            <v>14.383333333333301</v>
          </cell>
        </row>
        <row r="11344">
          <cell r="A11344">
            <v>1500012395</v>
          </cell>
          <cell r="B11344">
            <v>11.5</v>
          </cell>
        </row>
        <row r="11345">
          <cell r="A11345">
            <v>1500011969</v>
          </cell>
          <cell r="B11345">
            <v>33.524999999999999</v>
          </cell>
        </row>
        <row r="11346">
          <cell r="A11346">
            <v>1500011782</v>
          </cell>
          <cell r="B11346">
            <v>0</v>
          </cell>
        </row>
        <row r="11347">
          <cell r="A11347">
            <v>1500011783</v>
          </cell>
          <cell r="B11347">
            <v>1.25</v>
          </cell>
        </row>
        <row r="11348">
          <cell r="A11348">
            <v>1500011774</v>
          </cell>
          <cell r="B11348">
            <v>0</v>
          </cell>
        </row>
        <row r="11349">
          <cell r="A11349">
            <v>1500011742</v>
          </cell>
          <cell r="B11349">
            <v>29.8333333333333</v>
          </cell>
        </row>
        <row r="11350">
          <cell r="A11350">
            <v>1500011734</v>
          </cell>
          <cell r="B11350">
            <v>196.083333333333</v>
          </cell>
        </row>
        <row r="11351">
          <cell r="A11351">
            <v>1500011775</v>
          </cell>
          <cell r="B11351">
            <v>0</v>
          </cell>
        </row>
        <row r="11352">
          <cell r="A11352">
            <v>1500011752</v>
          </cell>
          <cell r="B11352">
            <v>76.724999999999994</v>
          </cell>
        </row>
        <row r="11353">
          <cell r="A11353">
            <v>1500011798</v>
          </cell>
          <cell r="B11353">
            <v>0</v>
          </cell>
        </row>
        <row r="11354">
          <cell r="A11354">
            <v>1500011795</v>
          </cell>
          <cell r="B11354">
            <v>251.666666666667</v>
          </cell>
        </row>
        <row r="11355">
          <cell r="A11355">
            <v>1500011753</v>
          </cell>
          <cell r="B11355">
            <v>0</v>
          </cell>
        </row>
        <row r="11356">
          <cell r="A11356">
            <v>1500011815</v>
          </cell>
          <cell r="B11356">
            <v>0</v>
          </cell>
        </row>
        <row r="11357">
          <cell r="A11357">
            <v>1500011766</v>
          </cell>
          <cell r="B11357">
            <v>10.1666666666667</v>
          </cell>
        </row>
        <row r="11358">
          <cell r="A11358">
            <v>1500011817</v>
          </cell>
          <cell r="B11358">
            <v>10</v>
          </cell>
        </row>
        <row r="11359">
          <cell r="A11359">
            <v>1500011767</v>
          </cell>
          <cell r="B11359">
            <v>0</v>
          </cell>
        </row>
        <row r="11360">
          <cell r="A11360">
            <v>1500011768</v>
          </cell>
          <cell r="B11360">
            <v>37.725000000000001</v>
          </cell>
        </row>
        <row r="11361">
          <cell r="A11361">
            <v>1500011794</v>
          </cell>
          <cell r="B11361">
            <v>35.2916666666667</v>
          </cell>
        </row>
        <row r="11362">
          <cell r="A11362">
            <v>1500011844</v>
          </cell>
          <cell r="B11362">
            <v>11.008333333333301</v>
          </cell>
        </row>
        <row r="11363">
          <cell r="A11363">
            <v>1500011845</v>
          </cell>
          <cell r="B11363">
            <v>0</v>
          </cell>
        </row>
        <row r="11364">
          <cell r="A11364">
            <v>1500011770</v>
          </cell>
          <cell r="B11364">
            <v>0</v>
          </cell>
        </row>
        <row r="11365">
          <cell r="A11365">
            <v>1500011777</v>
          </cell>
          <cell r="B11365">
            <v>0</v>
          </cell>
        </row>
        <row r="11366">
          <cell r="A11366">
            <v>1500011847</v>
          </cell>
          <cell r="B11366">
            <v>0</v>
          </cell>
        </row>
        <row r="11367">
          <cell r="A11367">
            <v>1500011849</v>
          </cell>
          <cell r="B11367">
            <v>39.15</v>
          </cell>
        </row>
        <row r="11368">
          <cell r="A11368">
            <v>1500011850</v>
          </cell>
          <cell r="B11368">
            <v>0</v>
          </cell>
        </row>
        <row r="11369">
          <cell r="A11369">
            <v>1500011851</v>
          </cell>
          <cell r="B11369">
            <v>37.5</v>
          </cell>
        </row>
        <row r="11370">
          <cell r="A11370">
            <v>1500011863</v>
          </cell>
          <cell r="B11370">
            <v>48.7916666666667</v>
          </cell>
        </row>
        <row r="11371">
          <cell r="A11371">
            <v>1500011816</v>
          </cell>
          <cell r="B11371">
            <v>49.1666666666667</v>
          </cell>
        </row>
        <row r="11372">
          <cell r="A11372">
            <v>1500011868</v>
          </cell>
          <cell r="B11372">
            <v>60.1666666666667</v>
          </cell>
        </row>
        <row r="11373">
          <cell r="A11373">
            <v>1500011791</v>
          </cell>
          <cell r="B11373">
            <v>10.8333333333333</v>
          </cell>
        </row>
        <row r="11374">
          <cell r="A11374">
            <v>1500011869</v>
          </cell>
          <cell r="B11374">
            <v>29.1666666666667</v>
          </cell>
        </row>
        <row r="11375">
          <cell r="A11375">
            <v>1500011870</v>
          </cell>
          <cell r="B11375">
            <v>0</v>
          </cell>
        </row>
        <row r="11376">
          <cell r="A11376">
            <v>1500011787</v>
          </cell>
          <cell r="B11376">
            <v>40</v>
          </cell>
        </row>
        <row r="11377">
          <cell r="A11377">
            <v>1500011819</v>
          </cell>
          <cell r="B11377">
            <v>21.6666666666667</v>
          </cell>
        </row>
        <row r="11378">
          <cell r="A11378">
            <v>1500011875</v>
          </cell>
          <cell r="B11378">
            <v>10.4166666666667</v>
          </cell>
        </row>
        <row r="11379">
          <cell r="A11379">
            <v>1500011883</v>
          </cell>
          <cell r="B11379">
            <v>18.3333333333333</v>
          </cell>
        </row>
        <row r="11380">
          <cell r="A11380">
            <v>1500011954</v>
          </cell>
          <cell r="B11380">
            <v>22.75</v>
          </cell>
        </row>
        <row r="11381">
          <cell r="A11381">
            <v>1500011885</v>
          </cell>
          <cell r="B11381">
            <v>5.25</v>
          </cell>
        </row>
        <row r="11382">
          <cell r="A11382">
            <v>1500011876</v>
          </cell>
          <cell r="B11382">
            <v>90.0833333333333</v>
          </cell>
        </row>
        <row r="11383">
          <cell r="A11383">
            <v>1500011877</v>
          </cell>
          <cell r="B11383">
            <v>0</v>
          </cell>
        </row>
        <row r="11384">
          <cell r="A11384">
            <v>1500011821</v>
          </cell>
          <cell r="B11384">
            <v>129.708333333333</v>
          </cell>
        </row>
        <row r="11385">
          <cell r="A11385">
            <v>1500011956</v>
          </cell>
          <cell r="B11385">
            <v>0</v>
          </cell>
        </row>
        <row r="11386">
          <cell r="A11386">
            <v>1500011886</v>
          </cell>
          <cell r="B11386">
            <v>0</v>
          </cell>
        </row>
        <row r="11387">
          <cell r="A11387">
            <v>1500011966</v>
          </cell>
          <cell r="B11387">
            <v>4.25</v>
          </cell>
        </row>
        <row r="11388">
          <cell r="A11388">
            <v>1500011912</v>
          </cell>
          <cell r="B11388">
            <v>10.4166666666667</v>
          </cell>
        </row>
        <row r="11389">
          <cell r="A11389">
            <v>1500011913</v>
          </cell>
          <cell r="B11389">
            <v>16.5833333333333</v>
          </cell>
        </row>
        <row r="11390">
          <cell r="A11390">
            <v>1500011957</v>
          </cell>
          <cell r="B11390">
            <v>0</v>
          </cell>
        </row>
        <row r="11391">
          <cell r="A11391">
            <v>1500011894</v>
          </cell>
          <cell r="B11391">
            <v>0</v>
          </cell>
        </row>
        <row r="11392">
          <cell r="A11392">
            <v>1500011917</v>
          </cell>
          <cell r="B11392">
            <v>25.125</v>
          </cell>
        </row>
        <row r="11393">
          <cell r="A11393">
            <v>1500011968</v>
          </cell>
          <cell r="B11393">
            <v>0</v>
          </cell>
        </row>
        <row r="11394">
          <cell r="A11394">
            <v>1500011896</v>
          </cell>
          <cell r="B11394">
            <v>0</v>
          </cell>
        </row>
        <row r="11395">
          <cell r="A11395">
            <v>1500011897</v>
          </cell>
          <cell r="B11395">
            <v>0</v>
          </cell>
        </row>
        <row r="11396">
          <cell r="A11396">
            <v>1500011958</v>
          </cell>
          <cell r="B11396">
            <v>0</v>
          </cell>
        </row>
        <row r="11397">
          <cell r="A11397">
            <v>1500011959</v>
          </cell>
          <cell r="B11397">
            <v>58.25</v>
          </cell>
        </row>
        <row r="11398">
          <cell r="A11398">
            <v>1500011895</v>
          </cell>
          <cell r="B11398">
            <v>16.3333333333333</v>
          </cell>
        </row>
        <row r="11399">
          <cell r="A11399">
            <v>1500011914</v>
          </cell>
          <cell r="B11399">
            <v>0</v>
          </cell>
        </row>
        <row r="11400">
          <cell r="A11400">
            <v>1500011915</v>
          </cell>
          <cell r="B11400">
            <v>90.0833333333333</v>
          </cell>
        </row>
        <row r="11401">
          <cell r="A11401">
            <v>1500011916</v>
          </cell>
          <cell r="B11401">
            <v>31.258333333333301</v>
          </cell>
        </row>
        <row r="11402">
          <cell r="A11402">
            <v>1500012231</v>
          </cell>
          <cell r="B11402">
            <v>7.25</v>
          </cell>
        </row>
        <row r="11403">
          <cell r="A11403">
            <v>1500012232</v>
          </cell>
          <cell r="B11403">
            <v>93.375</v>
          </cell>
        </row>
        <row r="11404">
          <cell r="A11404">
            <v>1500012233</v>
          </cell>
          <cell r="B11404">
            <v>48.316666666666698</v>
          </cell>
        </row>
        <row r="11405">
          <cell r="A11405">
            <v>1500012227</v>
          </cell>
          <cell r="B11405">
            <v>2.6666666666666701</v>
          </cell>
        </row>
        <row r="11406">
          <cell r="A11406">
            <v>1500012228</v>
          </cell>
          <cell r="B11406">
            <v>16.9166666666667</v>
          </cell>
        </row>
        <row r="11407">
          <cell r="A11407">
            <v>1500012235</v>
          </cell>
          <cell r="B11407">
            <v>0</v>
          </cell>
        </row>
        <row r="11408">
          <cell r="A11408">
            <v>1500012236</v>
          </cell>
          <cell r="B11408">
            <v>121</v>
          </cell>
        </row>
        <row r="11409">
          <cell r="A11409">
            <v>1500012248</v>
          </cell>
          <cell r="B11409">
            <v>32.25</v>
          </cell>
        </row>
        <row r="11410">
          <cell r="A11410">
            <v>1500012249</v>
          </cell>
          <cell r="B11410">
            <v>39.4166666666667</v>
          </cell>
        </row>
        <row r="11411">
          <cell r="A11411">
            <v>1500012250</v>
          </cell>
          <cell r="B11411">
            <v>107.25</v>
          </cell>
        </row>
        <row r="11412">
          <cell r="A11412">
            <v>1500012251</v>
          </cell>
          <cell r="B11412">
            <v>311.66666666666703</v>
          </cell>
        </row>
        <row r="11413">
          <cell r="A11413">
            <v>1500012252</v>
          </cell>
          <cell r="B11413">
            <v>77.5</v>
          </cell>
        </row>
        <row r="11414">
          <cell r="A11414">
            <v>1500012253</v>
          </cell>
          <cell r="B11414">
            <v>42.6666666666667</v>
          </cell>
        </row>
        <row r="11415">
          <cell r="A11415">
            <v>1500012381</v>
          </cell>
          <cell r="B11415">
            <v>91.8333333333333</v>
          </cell>
        </row>
        <row r="11416">
          <cell r="A11416">
            <v>1500012384</v>
          </cell>
          <cell r="B11416">
            <v>0</v>
          </cell>
        </row>
        <row r="11417">
          <cell r="A11417">
            <v>1500012385</v>
          </cell>
          <cell r="B11417">
            <v>297</v>
          </cell>
        </row>
        <row r="11418">
          <cell r="A11418">
            <v>1500012362</v>
          </cell>
          <cell r="B11418">
            <v>70.3333333333333</v>
          </cell>
        </row>
        <row r="11419">
          <cell r="A11419">
            <v>1500012364</v>
          </cell>
          <cell r="B11419">
            <v>0</v>
          </cell>
        </row>
        <row r="11420">
          <cell r="A11420">
            <v>1500012413</v>
          </cell>
          <cell r="B11420">
            <v>17.3333333333333</v>
          </cell>
        </row>
        <row r="11421">
          <cell r="A11421">
            <v>1500012414</v>
          </cell>
          <cell r="B11421">
            <v>10.8333333333333</v>
          </cell>
        </row>
        <row r="11422">
          <cell r="A11422">
            <v>1500012415</v>
          </cell>
          <cell r="B11422">
            <v>8.5</v>
          </cell>
        </row>
        <row r="11423">
          <cell r="A11423">
            <v>1500012261</v>
          </cell>
          <cell r="B11423">
            <v>1.25</v>
          </cell>
        </row>
        <row r="11424">
          <cell r="A11424">
            <v>1500012448</v>
          </cell>
          <cell r="B11424">
            <v>0</v>
          </cell>
        </row>
        <row r="11425">
          <cell r="A11425">
            <v>1500012452</v>
          </cell>
          <cell r="B11425">
            <v>0</v>
          </cell>
        </row>
        <row r="11426">
          <cell r="A11426">
            <v>1500012456</v>
          </cell>
          <cell r="B11426">
            <v>10.5833333333333</v>
          </cell>
        </row>
        <row r="11427">
          <cell r="A11427">
            <v>1500012457</v>
          </cell>
          <cell r="B11427">
            <v>0</v>
          </cell>
        </row>
        <row r="11428">
          <cell r="A11428">
            <v>1500012459</v>
          </cell>
          <cell r="B11428">
            <v>59.116666666666703</v>
          </cell>
        </row>
        <row r="11429">
          <cell r="A11429">
            <v>1500012627</v>
          </cell>
          <cell r="B11429">
            <v>0</v>
          </cell>
        </row>
        <row r="11430">
          <cell r="A11430">
            <v>1500012599</v>
          </cell>
          <cell r="B11430">
            <v>106.5</v>
          </cell>
        </row>
        <row r="11431">
          <cell r="A11431">
            <v>1500012631</v>
          </cell>
          <cell r="B11431">
            <v>41.6666666666667</v>
          </cell>
        </row>
        <row r="11432">
          <cell r="A11432">
            <v>1500012632</v>
          </cell>
          <cell r="B11432">
            <v>0</v>
          </cell>
        </row>
        <row r="11433">
          <cell r="A11433">
            <v>1500012633</v>
          </cell>
          <cell r="B11433">
            <v>0</v>
          </cell>
        </row>
        <row r="11434">
          <cell r="A11434">
            <v>1500012634</v>
          </cell>
          <cell r="B11434">
            <v>0</v>
          </cell>
        </row>
        <row r="11435">
          <cell r="A11435">
            <v>1500012635</v>
          </cell>
          <cell r="B11435">
            <v>0</v>
          </cell>
        </row>
        <row r="11436">
          <cell r="A11436">
            <v>1500012636</v>
          </cell>
          <cell r="B11436">
            <v>20</v>
          </cell>
        </row>
        <row r="11437">
          <cell r="A11437">
            <v>1500012660</v>
          </cell>
          <cell r="B11437">
            <v>19.1666666666667</v>
          </cell>
        </row>
        <row r="11438">
          <cell r="A11438">
            <v>1500012661</v>
          </cell>
          <cell r="B11438">
            <v>0</v>
          </cell>
        </row>
        <row r="11439">
          <cell r="A11439">
            <v>1500012662</v>
          </cell>
          <cell r="B11439">
            <v>79.650000000000006</v>
          </cell>
        </row>
        <row r="11440">
          <cell r="A11440">
            <v>1500012663</v>
          </cell>
          <cell r="B11440">
            <v>8.0833333333333304</v>
          </cell>
        </row>
        <row r="11441">
          <cell r="A11441">
            <v>1500012664</v>
          </cell>
          <cell r="B11441">
            <v>62.9166666666667</v>
          </cell>
        </row>
        <row r="11442">
          <cell r="A11442">
            <v>1500012665</v>
          </cell>
          <cell r="B11442">
            <v>0</v>
          </cell>
        </row>
        <row r="11443">
          <cell r="A11443">
            <v>1500012667</v>
          </cell>
          <cell r="B11443">
            <v>51.1666666666667</v>
          </cell>
        </row>
        <row r="11444">
          <cell r="A11444">
            <v>1500012668</v>
          </cell>
          <cell r="B11444">
            <v>89.5833333333333</v>
          </cell>
        </row>
        <row r="11445">
          <cell r="A11445">
            <v>1500012690</v>
          </cell>
          <cell r="B11445">
            <v>10.5</v>
          </cell>
        </row>
        <row r="11446">
          <cell r="A11446">
            <v>1500012680</v>
          </cell>
          <cell r="B11446">
            <v>7.6666666666666696</v>
          </cell>
        </row>
        <row r="11447">
          <cell r="A11447">
            <v>1500012681</v>
          </cell>
          <cell r="B11447">
            <v>0</v>
          </cell>
        </row>
        <row r="11448">
          <cell r="A11448">
            <v>1500012682</v>
          </cell>
          <cell r="B11448">
            <v>383.33333333333297</v>
          </cell>
        </row>
        <row r="11449">
          <cell r="A11449">
            <v>1500012683</v>
          </cell>
          <cell r="B11449">
            <v>0</v>
          </cell>
        </row>
        <row r="11450">
          <cell r="A11450">
            <v>1500012768</v>
          </cell>
          <cell r="B11450">
            <v>5.1666666666666696</v>
          </cell>
        </row>
        <row r="11451">
          <cell r="A11451">
            <v>1500012732</v>
          </cell>
          <cell r="B11451">
            <v>0</v>
          </cell>
        </row>
        <row r="11452">
          <cell r="A11452">
            <v>1500012790</v>
          </cell>
          <cell r="B11452">
            <v>0</v>
          </cell>
        </row>
        <row r="11453">
          <cell r="A11453">
            <v>1500012809</v>
          </cell>
          <cell r="B11453">
            <v>0</v>
          </cell>
        </row>
        <row r="11454">
          <cell r="A11454">
            <v>1500012819</v>
          </cell>
          <cell r="B11454">
            <v>10.25</v>
          </cell>
        </row>
        <row r="11455">
          <cell r="A11455">
            <v>1500012820</v>
          </cell>
          <cell r="B11455">
            <v>0</v>
          </cell>
        </row>
        <row r="11456">
          <cell r="A11456">
            <v>1500012822</v>
          </cell>
          <cell r="B11456">
            <v>40.2916666666667</v>
          </cell>
        </row>
        <row r="11457">
          <cell r="A11457">
            <v>1500012824</v>
          </cell>
          <cell r="B11457">
            <v>0</v>
          </cell>
        </row>
        <row r="11458">
          <cell r="A11458">
            <v>1500012905</v>
          </cell>
          <cell r="B11458">
            <v>3.8333333333333299</v>
          </cell>
        </row>
        <row r="11459">
          <cell r="A11459">
            <v>1500012910</v>
          </cell>
          <cell r="B11459">
            <v>11.8333333333333</v>
          </cell>
        </row>
        <row r="11460">
          <cell r="A11460">
            <v>1500012907</v>
          </cell>
          <cell r="B11460">
            <v>0</v>
          </cell>
        </row>
        <row r="11461">
          <cell r="A11461">
            <v>1500012932</v>
          </cell>
          <cell r="B11461">
            <v>2.5</v>
          </cell>
        </row>
        <row r="11462">
          <cell r="A11462">
            <v>1500012933</v>
          </cell>
          <cell r="B11462">
            <v>2.5833333333333299</v>
          </cell>
        </row>
        <row r="11463">
          <cell r="A11463">
            <v>1500012934</v>
          </cell>
          <cell r="B11463">
            <v>0</v>
          </cell>
        </row>
        <row r="11464">
          <cell r="A11464">
            <v>1500012936</v>
          </cell>
          <cell r="B11464">
            <v>0</v>
          </cell>
        </row>
        <row r="11465">
          <cell r="A11465">
            <v>1500012937</v>
          </cell>
          <cell r="B11465">
            <v>0</v>
          </cell>
        </row>
        <row r="11466">
          <cell r="A11466">
            <v>1500012938</v>
          </cell>
          <cell r="B11466">
            <v>42.9166666666667</v>
          </cell>
        </row>
        <row r="11467">
          <cell r="A11467">
            <v>1500012939</v>
          </cell>
          <cell r="B11467">
            <v>0</v>
          </cell>
        </row>
        <row r="11468">
          <cell r="A11468">
            <v>1500012980</v>
          </cell>
          <cell r="B11468">
            <v>8.1666666666666696</v>
          </cell>
        </row>
        <row r="11469">
          <cell r="A11469">
            <v>1500012981</v>
          </cell>
          <cell r="B11469">
            <v>18.8333333333333</v>
          </cell>
        </row>
        <row r="11470">
          <cell r="A11470">
            <v>1500012984</v>
          </cell>
          <cell r="B11470">
            <v>0</v>
          </cell>
        </row>
        <row r="11471">
          <cell r="A11471">
            <v>1500012985</v>
          </cell>
          <cell r="B11471">
            <v>104.5</v>
          </cell>
        </row>
        <row r="11472">
          <cell r="A11472">
            <v>1500013026</v>
          </cell>
          <cell r="B11472">
            <v>0</v>
          </cell>
        </row>
        <row r="11473">
          <cell r="A11473">
            <v>1500013027</v>
          </cell>
          <cell r="B11473">
            <v>19.3333333333333</v>
          </cell>
        </row>
        <row r="11474">
          <cell r="A11474">
            <v>1500013049</v>
          </cell>
          <cell r="B11474">
            <v>19.5833333333333</v>
          </cell>
        </row>
        <row r="11475">
          <cell r="A11475">
            <v>1500013050</v>
          </cell>
          <cell r="B11475">
            <v>0</v>
          </cell>
        </row>
        <row r="11476">
          <cell r="A11476">
            <v>1500013051</v>
          </cell>
          <cell r="B11476">
            <v>20.5833333333333</v>
          </cell>
        </row>
        <row r="11477">
          <cell r="A11477">
            <v>1500013052</v>
          </cell>
          <cell r="B11477">
            <v>30.125</v>
          </cell>
        </row>
        <row r="11478">
          <cell r="A11478">
            <v>1500013053</v>
          </cell>
          <cell r="B11478">
            <v>13.5833333333333</v>
          </cell>
        </row>
        <row r="11479">
          <cell r="A11479">
            <v>1500013054</v>
          </cell>
          <cell r="B11479">
            <v>21.875</v>
          </cell>
        </row>
        <row r="11480">
          <cell r="A11480">
            <v>1500013056</v>
          </cell>
          <cell r="B11480">
            <v>0</v>
          </cell>
        </row>
        <row r="11481">
          <cell r="A11481">
            <v>1500013057</v>
          </cell>
          <cell r="B11481">
            <v>105.666666666667</v>
          </cell>
        </row>
        <row r="11482">
          <cell r="A11482">
            <v>1500013111</v>
          </cell>
          <cell r="B11482">
            <v>16.8333333333333</v>
          </cell>
        </row>
        <row r="11483">
          <cell r="A11483">
            <v>1500013112</v>
          </cell>
          <cell r="B11483">
            <v>6.75</v>
          </cell>
        </row>
        <row r="11484">
          <cell r="A11484">
            <v>1500013113</v>
          </cell>
          <cell r="B11484">
            <v>66.6666666666667</v>
          </cell>
        </row>
        <row r="11485">
          <cell r="A11485">
            <v>1500013114</v>
          </cell>
          <cell r="B11485">
            <v>0</v>
          </cell>
        </row>
        <row r="11486">
          <cell r="A11486">
            <v>1500013115</v>
          </cell>
          <cell r="B11486">
            <v>63.3333333333333</v>
          </cell>
        </row>
        <row r="11487">
          <cell r="A11487">
            <v>1500013080</v>
          </cell>
          <cell r="B11487">
            <v>34.6666666666667</v>
          </cell>
        </row>
        <row r="11488">
          <cell r="A11488">
            <v>1500013081</v>
          </cell>
          <cell r="B11488">
            <v>0</v>
          </cell>
        </row>
        <row r="11489">
          <cell r="A11489">
            <v>1500013082</v>
          </cell>
          <cell r="B11489">
            <v>0</v>
          </cell>
        </row>
        <row r="11490">
          <cell r="A11490">
            <v>1500013083</v>
          </cell>
          <cell r="B11490">
            <v>0</v>
          </cell>
        </row>
        <row r="11491">
          <cell r="A11491">
            <v>1500013084</v>
          </cell>
          <cell r="B11491">
            <v>4.1666666666666696</v>
          </cell>
        </row>
        <row r="11492">
          <cell r="A11492">
            <v>1500013085</v>
          </cell>
          <cell r="B11492">
            <v>0</v>
          </cell>
        </row>
        <row r="11493">
          <cell r="A11493">
            <v>1500013140</v>
          </cell>
          <cell r="B11493">
            <v>76.0833333333333</v>
          </cell>
        </row>
        <row r="11494">
          <cell r="A11494">
            <v>1500013141</v>
          </cell>
          <cell r="B11494">
            <v>29.5416666666667</v>
          </cell>
        </row>
        <row r="11495">
          <cell r="A11495">
            <v>1500013142</v>
          </cell>
          <cell r="B11495">
            <v>93.0833333333333</v>
          </cell>
        </row>
        <row r="11496">
          <cell r="A11496">
            <v>1500013143</v>
          </cell>
          <cell r="B11496">
            <v>0</v>
          </cell>
        </row>
        <row r="11497">
          <cell r="A11497">
            <v>1500013144</v>
          </cell>
          <cell r="B11497">
            <v>0</v>
          </cell>
        </row>
        <row r="11498">
          <cell r="A11498">
            <v>1500013145</v>
          </cell>
          <cell r="B11498">
            <v>20</v>
          </cell>
        </row>
        <row r="11499">
          <cell r="A11499">
            <v>1500013146</v>
          </cell>
          <cell r="B11499">
            <v>34.5833333333333</v>
          </cell>
        </row>
        <row r="11500">
          <cell r="A11500">
            <v>1500013147</v>
          </cell>
          <cell r="B11500">
            <v>0</v>
          </cell>
        </row>
        <row r="11501">
          <cell r="A11501">
            <v>1500013148</v>
          </cell>
          <cell r="B11501">
            <v>0</v>
          </cell>
        </row>
        <row r="11502">
          <cell r="A11502">
            <v>1500013153</v>
          </cell>
          <cell r="B11502">
            <v>2.5</v>
          </cell>
        </row>
        <row r="11503">
          <cell r="A11503">
            <v>1500013154</v>
          </cell>
          <cell r="B11503">
            <v>20.9166666666667</v>
          </cell>
        </row>
        <row r="11504">
          <cell r="A11504">
            <v>1500013231</v>
          </cell>
          <cell r="B11504">
            <v>37.716666666666697</v>
          </cell>
        </row>
        <row r="11505">
          <cell r="A11505">
            <v>1500013232</v>
          </cell>
          <cell r="B11505">
            <v>0</v>
          </cell>
        </row>
        <row r="11506">
          <cell r="A11506">
            <v>1500013233</v>
          </cell>
          <cell r="B11506">
            <v>0</v>
          </cell>
        </row>
        <row r="11507">
          <cell r="A11507">
            <v>1500013234</v>
          </cell>
          <cell r="B11507">
            <v>54</v>
          </cell>
        </row>
        <row r="11508">
          <cell r="A11508">
            <v>1500013274</v>
          </cell>
          <cell r="B11508">
            <v>3</v>
          </cell>
        </row>
        <row r="11509">
          <cell r="A11509">
            <v>1500013302</v>
          </cell>
          <cell r="B11509">
            <v>9.4166666666666696</v>
          </cell>
        </row>
        <row r="11510">
          <cell r="A11510">
            <v>1500013303</v>
          </cell>
          <cell r="B11510">
            <v>36.8333333333333</v>
          </cell>
        </row>
        <row r="11511">
          <cell r="A11511">
            <v>1500013304</v>
          </cell>
          <cell r="B11511">
            <v>0</v>
          </cell>
        </row>
        <row r="11512">
          <cell r="A11512">
            <v>1500013305</v>
          </cell>
          <cell r="B11512">
            <v>52.5</v>
          </cell>
        </row>
        <row r="11513">
          <cell r="A11513">
            <v>1500013306</v>
          </cell>
          <cell r="B11513">
            <v>0</v>
          </cell>
        </row>
        <row r="11514">
          <cell r="A11514">
            <v>1500013307</v>
          </cell>
          <cell r="B11514">
            <v>4.1666666666666696</v>
          </cell>
        </row>
        <row r="11515">
          <cell r="A11515">
            <v>1500013308</v>
          </cell>
          <cell r="B11515">
            <v>0</v>
          </cell>
        </row>
        <row r="11516">
          <cell r="A11516">
            <v>1500013309</v>
          </cell>
          <cell r="B11516">
            <v>11.3333333333333</v>
          </cell>
        </row>
        <row r="11517">
          <cell r="A11517">
            <v>1500013310</v>
          </cell>
          <cell r="B11517">
            <v>0</v>
          </cell>
        </row>
        <row r="11518">
          <cell r="A11518">
            <v>1500013311</v>
          </cell>
          <cell r="B11518">
            <v>55</v>
          </cell>
        </row>
        <row r="11519">
          <cell r="A11519">
            <v>1500013351</v>
          </cell>
          <cell r="B11519">
            <v>0</v>
          </cell>
        </row>
        <row r="11520">
          <cell r="A11520">
            <v>1500013352</v>
          </cell>
          <cell r="B11520">
            <v>26</v>
          </cell>
        </row>
        <row r="11521">
          <cell r="A11521">
            <v>1500013354</v>
          </cell>
          <cell r="B11521">
            <v>50.591666666666697</v>
          </cell>
        </row>
        <row r="11522">
          <cell r="A11522">
            <v>1500013355</v>
          </cell>
          <cell r="B11522">
            <v>25.1666666666667</v>
          </cell>
        </row>
        <row r="11523">
          <cell r="A11523">
            <v>1500013391</v>
          </cell>
          <cell r="B11523">
            <v>7.25</v>
          </cell>
        </row>
        <row r="11524">
          <cell r="A11524">
            <v>1500013394</v>
          </cell>
          <cell r="B11524">
            <v>0</v>
          </cell>
        </row>
        <row r="11525">
          <cell r="A11525">
            <v>1500013467</v>
          </cell>
          <cell r="B11525">
            <v>59.5833333333333</v>
          </cell>
        </row>
        <row r="11526">
          <cell r="A11526">
            <v>1500013468</v>
          </cell>
          <cell r="B11526">
            <v>19.1666666666667</v>
          </cell>
        </row>
        <row r="11527">
          <cell r="A11527">
            <v>1500013469</v>
          </cell>
          <cell r="B11527">
            <v>290.76666666666699</v>
          </cell>
        </row>
        <row r="11528">
          <cell r="A11528">
            <v>1500013560</v>
          </cell>
          <cell r="B11528">
            <v>30.9166666666667</v>
          </cell>
        </row>
        <row r="11529">
          <cell r="A11529">
            <v>1500013561</v>
          </cell>
          <cell r="B11529">
            <v>0</v>
          </cell>
        </row>
        <row r="11530">
          <cell r="A11530">
            <v>1500013562</v>
          </cell>
          <cell r="B11530">
            <v>0</v>
          </cell>
        </row>
        <row r="11531">
          <cell r="A11531">
            <v>1500013563</v>
          </cell>
          <cell r="B11531">
            <v>60.058333333333302</v>
          </cell>
        </row>
        <row r="11532">
          <cell r="A11532">
            <v>1500013564</v>
          </cell>
          <cell r="B11532">
            <v>0</v>
          </cell>
        </row>
        <row r="11533">
          <cell r="A11533">
            <v>1500013602</v>
          </cell>
          <cell r="B11533">
            <v>0</v>
          </cell>
        </row>
        <row r="11534">
          <cell r="A11534">
            <v>1500013603</v>
          </cell>
          <cell r="B11534">
            <v>17.3333333333333</v>
          </cell>
        </row>
        <row r="11535">
          <cell r="A11535">
            <v>1500013606</v>
          </cell>
          <cell r="B11535">
            <v>36.75</v>
          </cell>
        </row>
        <row r="11536">
          <cell r="A11536">
            <v>1500013604</v>
          </cell>
          <cell r="B11536">
            <v>43.941666666666698</v>
          </cell>
        </row>
        <row r="11537">
          <cell r="A11537">
            <v>1500013607</v>
          </cell>
          <cell r="B11537">
            <v>0</v>
          </cell>
        </row>
        <row r="11538">
          <cell r="A11538">
            <v>1500013605</v>
          </cell>
          <cell r="B11538">
            <v>48.3333333333333</v>
          </cell>
        </row>
        <row r="11539">
          <cell r="A11539">
            <v>1500013625</v>
          </cell>
          <cell r="B11539">
            <v>115.166666666667</v>
          </cell>
        </row>
        <row r="11540">
          <cell r="A11540">
            <v>1500013626</v>
          </cell>
          <cell r="B11540">
            <v>1.6666666666666701</v>
          </cell>
        </row>
        <row r="11541">
          <cell r="A11541">
            <v>1500013627</v>
          </cell>
          <cell r="B11541">
            <v>46</v>
          </cell>
        </row>
        <row r="11542">
          <cell r="A11542">
            <v>1500013696</v>
          </cell>
          <cell r="B11542">
            <v>19.5416666666667</v>
          </cell>
        </row>
        <row r="11543">
          <cell r="A11543">
            <v>1500013698</v>
          </cell>
          <cell r="B11543">
            <v>74.6666666666667</v>
          </cell>
        </row>
        <row r="11544">
          <cell r="A11544">
            <v>1500013699</v>
          </cell>
          <cell r="B11544">
            <v>30.8333333333333</v>
          </cell>
        </row>
        <row r="11545">
          <cell r="A11545">
            <v>1500013700</v>
          </cell>
          <cell r="B11545">
            <v>55.1666666666667</v>
          </cell>
        </row>
        <row r="11546">
          <cell r="A11546">
            <v>1500013727</v>
          </cell>
          <cell r="B11546">
            <v>33.0416666666667</v>
          </cell>
        </row>
        <row r="11547">
          <cell r="A11547">
            <v>1500013728</v>
          </cell>
          <cell r="B11547">
            <v>65.5416666666667</v>
          </cell>
        </row>
        <row r="11548">
          <cell r="A11548">
            <v>1500013729</v>
          </cell>
          <cell r="B11548">
            <v>85.5416666666667</v>
          </cell>
        </row>
        <row r="11549">
          <cell r="A11549">
            <v>1500013730</v>
          </cell>
          <cell r="B11549">
            <v>15.5833333333333</v>
          </cell>
        </row>
        <row r="11550">
          <cell r="A11550">
            <v>1500013732</v>
          </cell>
          <cell r="B11550">
            <v>0</v>
          </cell>
        </row>
        <row r="11551">
          <cell r="A11551">
            <v>1500013733</v>
          </cell>
          <cell r="B11551">
            <v>0</v>
          </cell>
        </row>
        <row r="11552">
          <cell r="A11552">
            <v>1500013734</v>
          </cell>
          <cell r="B11552">
            <v>418.22500000000002</v>
          </cell>
        </row>
        <row r="11553">
          <cell r="A11553">
            <v>1500013735</v>
          </cell>
          <cell r="B11553">
            <v>29.7083333333333</v>
          </cell>
        </row>
        <row r="11554">
          <cell r="A11554">
            <v>1500013736</v>
          </cell>
          <cell r="B11554">
            <v>63.741666666666703</v>
          </cell>
        </row>
        <row r="11555">
          <cell r="A11555">
            <v>1500013737</v>
          </cell>
          <cell r="B11555">
            <v>24.5833333333333</v>
          </cell>
        </row>
        <row r="11556">
          <cell r="A11556">
            <v>1500013774</v>
          </cell>
          <cell r="B11556">
            <v>70.516666666666694</v>
          </cell>
        </row>
        <row r="11557">
          <cell r="A11557">
            <v>1500013775</v>
          </cell>
          <cell r="B11557">
            <v>15.75</v>
          </cell>
        </row>
        <row r="11558">
          <cell r="A11558">
            <v>1500013778</v>
          </cell>
          <cell r="B11558">
            <v>15.5416666666667</v>
          </cell>
        </row>
        <row r="11559">
          <cell r="A11559">
            <v>1500013779</v>
          </cell>
          <cell r="B11559">
            <v>0</v>
          </cell>
        </row>
        <row r="11560">
          <cell r="A11560">
            <v>1500013780</v>
          </cell>
          <cell r="B11560">
            <v>33.8333333333333</v>
          </cell>
        </row>
        <row r="11561">
          <cell r="A11561">
            <v>1500013781</v>
          </cell>
          <cell r="B11561">
            <v>0</v>
          </cell>
        </row>
        <row r="11562">
          <cell r="A11562">
            <v>1500013798</v>
          </cell>
          <cell r="B11562">
            <v>11.8333333333333</v>
          </cell>
        </row>
        <row r="11563">
          <cell r="A11563">
            <v>1500013799</v>
          </cell>
          <cell r="B11563">
            <v>9.1666666666666696</v>
          </cell>
        </row>
        <row r="11564">
          <cell r="A11564">
            <v>1500013800</v>
          </cell>
          <cell r="B11564">
            <v>84.616666666666703</v>
          </cell>
        </row>
        <row r="11565">
          <cell r="A11565">
            <v>1500013854</v>
          </cell>
          <cell r="B11565">
            <v>44.3333333333333</v>
          </cell>
        </row>
        <row r="11566">
          <cell r="A11566">
            <v>1500013909</v>
          </cell>
          <cell r="B11566">
            <v>19.0833333333333</v>
          </cell>
        </row>
        <row r="11567">
          <cell r="A11567">
            <v>1500013910</v>
          </cell>
          <cell r="B11567">
            <v>83.5</v>
          </cell>
        </row>
        <row r="11568">
          <cell r="A11568">
            <v>1500013911</v>
          </cell>
          <cell r="B11568">
            <v>0</v>
          </cell>
        </row>
        <row r="11569">
          <cell r="A11569">
            <v>1500013912</v>
          </cell>
          <cell r="B11569">
            <v>25.35</v>
          </cell>
        </row>
        <row r="11570">
          <cell r="A11570">
            <v>1500013962</v>
          </cell>
          <cell r="B11570">
            <v>7.6666666666666696</v>
          </cell>
        </row>
        <row r="11571">
          <cell r="A11571">
            <v>1500013963</v>
          </cell>
          <cell r="B11571">
            <v>0</v>
          </cell>
        </row>
        <row r="11572">
          <cell r="A11572">
            <v>1500013964</v>
          </cell>
          <cell r="B11572">
            <v>35.25</v>
          </cell>
        </row>
        <row r="11573">
          <cell r="A11573">
            <v>1500013965</v>
          </cell>
          <cell r="B11573">
            <v>35</v>
          </cell>
        </row>
        <row r="11574">
          <cell r="A11574">
            <v>1500014003</v>
          </cell>
          <cell r="B11574">
            <v>19.1666666666667</v>
          </cell>
        </row>
        <row r="11575">
          <cell r="A11575">
            <v>1500014004</v>
          </cell>
          <cell r="B11575">
            <v>0</v>
          </cell>
        </row>
        <row r="11576">
          <cell r="A11576">
            <v>1500014005</v>
          </cell>
          <cell r="B11576">
            <v>14.6666666666667</v>
          </cell>
        </row>
        <row r="11577">
          <cell r="A11577">
            <v>1500014007</v>
          </cell>
          <cell r="B11577">
            <v>0</v>
          </cell>
        </row>
        <row r="11578">
          <cell r="A11578">
            <v>1500014008</v>
          </cell>
          <cell r="B11578">
            <v>12.5</v>
          </cell>
        </row>
        <row r="11579">
          <cell r="A11579">
            <v>1500014009</v>
          </cell>
          <cell r="B11579">
            <v>77.9166666666667</v>
          </cell>
        </row>
        <row r="11580">
          <cell r="A11580">
            <v>1500014050</v>
          </cell>
          <cell r="B11580">
            <v>7.5</v>
          </cell>
        </row>
        <row r="11581">
          <cell r="A11581">
            <v>1500014051</v>
          </cell>
          <cell r="B11581">
            <v>11.1666666666667</v>
          </cell>
        </row>
        <row r="11582">
          <cell r="A11582">
            <v>1500014052</v>
          </cell>
          <cell r="B11582">
            <v>27.8333333333333</v>
          </cell>
        </row>
        <row r="11583">
          <cell r="A11583">
            <v>1500014053</v>
          </cell>
          <cell r="B11583">
            <v>0</v>
          </cell>
        </row>
        <row r="11584">
          <cell r="A11584">
            <v>1500014078</v>
          </cell>
          <cell r="B11584">
            <v>0</v>
          </cell>
        </row>
        <row r="11585">
          <cell r="A11585">
            <v>1500014131</v>
          </cell>
          <cell r="B11585">
            <v>40.4166666666667</v>
          </cell>
        </row>
        <row r="11586">
          <cell r="A11586">
            <v>1500014132</v>
          </cell>
          <cell r="B11586">
            <v>10.8333333333333</v>
          </cell>
        </row>
        <row r="11587">
          <cell r="A11587">
            <v>1500014133</v>
          </cell>
          <cell r="B11587">
            <v>83.5</v>
          </cell>
        </row>
        <row r="11588">
          <cell r="A11588">
            <v>1500014134</v>
          </cell>
          <cell r="B11588">
            <v>2.9166666666666701</v>
          </cell>
        </row>
        <row r="11589">
          <cell r="A11589">
            <v>1500014136</v>
          </cell>
          <cell r="B11589">
            <v>66.2</v>
          </cell>
        </row>
        <row r="11590">
          <cell r="A11590">
            <v>1500014191</v>
          </cell>
          <cell r="B11590">
            <v>12.1666666666667</v>
          </cell>
        </row>
        <row r="11591">
          <cell r="A11591">
            <v>1500014192</v>
          </cell>
          <cell r="B11591">
            <v>35.5416666666667</v>
          </cell>
        </row>
        <row r="11592">
          <cell r="A11592">
            <v>1500014200</v>
          </cell>
          <cell r="B11592">
            <v>0</v>
          </cell>
        </row>
        <row r="11593">
          <cell r="A11593">
            <v>1500014201</v>
          </cell>
          <cell r="B11593">
            <v>57.5833333333333</v>
          </cell>
        </row>
        <row r="11594">
          <cell r="A11594">
            <v>1500014202</v>
          </cell>
          <cell r="B11594">
            <v>0</v>
          </cell>
        </row>
        <row r="11595">
          <cell r="A11595">
            <v>1500014203</v>
          </cell>
          <cell r="B11595">
            <v>30.241666666666699</v>
          </cell>
        </row>
        <row r="11596">
          <cell r="A11596">
            <v>1500014204</v>
          </cell>
          <cell r="B11596">
            <v>16.324999999999999</v>
          </cell>
        </row>
        <row r="11597">
          <cell r="A11597">
            <v>1500014205</v>
          </cell>
          <cell r="B11597">
            <v>59.6666666666667</v>
          </cell>
        </row>
        <row r="11598">
          <cell r="A11598">
            <v>1500014206</v>
          </cell>
          <cell r="B11598">
            <v>38.1666666666667</v>
          </cell>
        </row>
        <row r="11599">
          <cell r="A11599">
            <v>1500014263</v>
          </cell>
          <cell r="B11599">
            <v>6.25</v>
          </cell>
        </row>
        <row r="11600">
          <cell r="A11600">
            <v>1500014264</v>
          </cell>
          <cell r="B11600">
            <v>3.3333333333333299</v>
          </cell>
        </row>
        <row r="11601">
          <cell r="A11601">
            <v>1500014265</v>
          </cell>
          <cell r="B11601">
            <v>45.8333333333333</v>
          </cell>
        </row>
        <row r="11602">
          <cell r="A11602">
            <v>1500014266</v>
          </cell>
          <cell r="B11602">
            <v>75.924999999999997</v>
          </cell>
        </row>
        <row r="11603">
          <cell r="A11603">
            <v>1500014267</v>
          </cell>
          <cell r="B11603">
            <v>5.8333333333333304</v>
          </cell>
        </row>
        <row r="11604">
          <cell r="A11604">
            <v>1500014268</v>
          </cell>
          <cell r="B11604">
            <v>54.641666666666701</v>
          </cell>
        </row>
        <row r="11605">
          <cell r="A11605">
            <v>1500014269</v>
          </cell>
          <cell r="B11605">
            <v>0</v>
          </cell>
        </row>
        <row r="11606">
          <cell r="A11606">
            <v>1500014270</v>
          </cell>
          <cell r="B11606">
            <v>0</v>
          </cell>
        </row>
        <row r="11607">
          <cell r="A11607">
            <v>1500014274</v>
          </cell>
          <cell r="B11607">
            <v>4.1666666666666696</v>
          </cell>
        </row>
        <row r="11608">
          <cell r="A11608">
            <v>1500014271</v>
          </cell>
          <cell r="B11608">
            <v>67.1666666666667</v>
          </cell>
        </row>
        <row r="11609">
          <cell r="A11609">
            <v>1500014272</v>
          </cell>
          <cell r="B11609">
            <v>4.1666666666666696</v>
          </cell>
        </row>
        <row r="11610">
          <cell r="A11610">
            <v>1500014273</v>
          </cell>
          <cell r="B11610">
            <v>33</v>
          </cell>
        </row>
        <row r="11611">
          <cell r="A11611">
            <v>1500014293</v>
          </cell>
          <cell r="B11611">
            <v>39.4166666666667</v>
          </cell>
        </row>
        <row r="11612">
          <cell r="A11612">
            <v>1500014294</v>
          </cell>
          <cell r="B11612">
            <v>0</v>
          </cell>
        </row>
        <row r="11613">
          <cell r="A11613">
            <v>1500014295</v>
          </cell>
          <cell r="B11613">
            <v>18.0833333333333</v>
          </cell>
        </row>
        <row r="11614">
          <cell r="A11614">
            <v>1500014296</v>
          </cell>
          <cell r="B11614">
            <v>38.25</v>
          </cell>
        </row>
        <row r="11615">
          <cell r="A11615">
            <v>1500014297</v>
          </cell>
          <cell r="B11615">
            <v>22</v>
          </cell>
        </row>
        <row r="11616">
          <cell r="A11616">
            <v>1500014298</v>
          </cell>
          <cell r="B11616">
            <v>25.4166666666667</v>
          </cell>
        </row>
        <row r="11617">
          <cell r="A11617">
            <v>1500014299</v>
          </cell>
          <cell r="B11617">
            <v>31.5</v>
          </cell>
        </row>
        <row r="11618">
          <cell r="A11618">
            <v>1500014300</v>
          </cell>
          <cell r="B11618">
            <v>0</v>
          </cell>
        </row>
        <row r="11619">
          <cell r="A11619">
            <v>1500014301</v>
          </cell>
          <cell r="B11619">
            <v>0</v>
          </cell>
        </row>
        <row r="11620">
          <cell r="A11620">
            <v>1500014302</v>
          </cell>
          <cell r="B11620">
            <v>69.3</v>
          </cell>
        </row>
        <row r="11621">
          <cell r="A11621">
            <v>1500014324</v>
          </cell>
          <cell r="B11621">
            <v>5</v>
          </cell>
        </row>
        <row r="11622">
          <cell r="A11622">
            <v>1500014325</v>
          </cell>
          <cell r="B11622">
            <v>0</v>
          </cell>
        </row>
        <row r="11623">
          <cell r="A11623">
            <v>1500014327</v>
          </cell>
          <cell r="B11623">
            <v>8.4166666666666696</v>
          </cell>
        </row>
        <row r="11624">
          <cell r="A11624">
            <v>1500014377</v>
          </cell>
          <cell r="B11624">
            <v>7.5</v>
          </cell>
        </row>
        <row r="11625">
          <cell r="A11625">
            <v>1500014378</v>
          </cell>
          <cell r="B11625">
            <v>10.4166666666667</v>
          </cell>
        </row>
        <row r="11626">
          <cell r="A11626">
            <v>1500014379</v>
          </cell>
          <cell r="B11626">
            <v>13.891666666666699</v>
          </cell>
        </row>
        <row r="11627">
          <cell r="A11627">
            <v>1500014380</v>
          </cell>
          <cell r="B11627">
            <v>5.4166666666666696</v>
          </cell>
        </row>
        <row r="11628">
          <cell r="A11628">
            <v>1500014381</v>
          </cell>
          <cell r="B11628">
            <v>46.8333333333333</v>
          </cell>
        </row>
        <row r="11629">
          <cell r="A11629">
            <v>1500014382</v>
          </cell>
          <cell r="B11629">
            <v>16.5</v>
          </cell>
        </row>
        <row r="11630">
          <cell r="A11630">
            <v>1500014443</v>
          </cell>
          <cell r="B11630">
            <v>54.8333333333333</v>
          </cell>
        </row>
        <row r="11631">
          <cell r="A11631">
            <v>1500014474</v>
          </cell>
          <cell r="B11631">
            <v>45.0833333333333</v>
          </cell>
        </row>
        <row r="11632">
          <cell r="A11632">
            <v>1500014475</v>
          </cell>
          <cell r="B11632">
            <v>29.9583333333333</v>
          </cell>
        </row>
        <row r="11633">
          <cell r="A11633">
            <v>1500014476</v>
          </cell>
          <cell r="B11633">
            <v>0</v>
          </cell>
        </row>
        <row r="11634">
          <cell r="A11634">
            <v>1500014477</v>
          </cell>
          <cell r="B11634">
            <v>20.0833333333333</v>
          </cell>
        </row>
        <row r="11635">
          <cell r="A11635">
            <v>1500014478</v>
          </cell>
          <cell r="B11635">
            <v>0</v>
          </cell>
        </row>
        <row r="11636">
          <cell r="A11636">
            <v>1500014479</v>
          </cell>
          <cell r="B11636">
            <v>14</v>
          </cell>
        </row>
        <row r="11637">
          <cell r="A11637">
            <v>1500014480</v>
          </cell>
          <cell r="B11637">
            <v>0</v>
          </cell>
        </row>
        <row r="11638">
          <cell r="A11638">
            <v>1500014481</v>
          </cell>
          <cell r="B11638">
            <v>0</v>
          </cell>
        </row>
        <row r="11639">
          <cell r="A11639">
            <v>1500014482</v>
          </cell>
          <cell r="B11639">
            <v>25.8333333333333</v>
          </cell>
        </row>
        <row r="11640">
          <cell r="A11640">
            <v>1500014483</v>
          </cell>
          <cell r="B11640">
            <v>1.6666666666666701</v>
          </cell>
        </row>
        <row r="11641">
          <cell r="A11641">
            <v>1500014522</v>
          </cell>
          <cell r="B11641">
            <v>12</v>
          </cell>
        </row>
        <row r="11642">
          <cell r="A11642">
            <v>1500014523</v>
          </cell>
          <cell r="B11642">
            <v>186.13333333333301</v>
          </cell>
        </row>
        <row r="11643">
          <cell r="A11643">
            <v>1500014524</v>
          </cell>
          <cell r="B11643">
            <v>11.9166666666667</v>
          </cell>
        </row>
        <row r="11644">
          <cell r="A11644">
            <v>1500014555</v>
          </cell>
          <cell r="B11644">
            <v>25.1666666666667</v>
          </cell>
        </row>
        <row r="11645">
          <cell r="A11645">
            <v>1500014556</v>
          </cell>
          <cell r="B11645">
            <v>20</v>
          </cell>
        </row>
        <row r="11646">
          <cell r="A11646">
            <v>1500014576</v>
          </cell>
          <cell r="B11646">
            <v>8.75</v>
          </cell>
        </row>
        <row r="11647">
          <cell r="A11647">
            <v>1500014577</v>
          </cell>
          <cell r="B11647">
            <v>0</v>
          </cell>
        </row>
        <row r="11648">
          <cell r="A11648">
            <v>1500014578</v>
          </cell>
          <cell r="B11648">
            <v>9.5833333333333304</v>
          </cell>
        </row>
        <row r="11649">
          <cell r="A11649">
            <v>1500014579</v>
          </cell>
          <cell r="B11649">
            <v>21.6666666666667</v>
          </cell>
        </row>
        <row r="11650">
          <cell r="A11650">
            <v>1500014586</v>
          </cell>
          <cell r="B11650">
            <v>10.4166666666667</v>
          </cell>
        </row>
        <row r="11651">
          <cell r="A11651">
            <v>1500014587</v>
          </cell>
          <cell r="B11651">
            <v>0</v>
          </cell>
        </row>
        <row r="11652">
          <cell r="A11652">
            <v>1500014588</v>
          </cell>
          <cell r="B11652">
            <v>0</v>
          </cell>
        </row>
        <row r="11653">
          <cell r="A11653">
            <v>1500014651</v>
          </cell>
          <cell r="B11653">
            <v>77.3333333333333</v>
          </cell>
        </row>
        <row r="11654">
          <cell r="A11654">
            <v>1500014652</v>
          </cell>
          <cell r="B11654">
            <v>48.7916666666667</v>
          </cell>
        </row>
        <row r="11655">
          <cell r="A11655">
            <v>1500014653</v>
          </cell>
          <cell r="B11655">
            <v>50.1666666666667</v>
          </cell>
        </row>
        <row r="11656">
          <cell r="A11656">
            <v>1500014654</v>
          </cell>
          <cell r="B11656">
            <v>0</v>
          </cell>
        </row>
        <row r="11657">
          <cell r="A11657">
            <v>1500014672</v>
          </cell>
          <cell r="B11657">
            <v>19.3333333333333</v>
          </cell>
        </row>
        <row r="11658">
          <cell r="A11658">
            <v>1500014673</v>
          </cell>
          <cell r="B11658">
            <v>0</v>
          </cell>
        </row>
        <row r="11659">
          <cell r="A11659">
            <v>1500014674</v>
          </cell>
          <cell r="B11659">
            <v>25.5833333333333</v>
          </cell>
        </row>
        <row r="11660">
          <cell r="A11660">
            <v>1500014675</v>
          </cell>
          <cell r="B11660">
            <v>10.5833333333333</v>
          </cell>
        </row>
        <row r="11661">
          <cell r="A11661">
            <v>1500014676</v>
          </cell>
          <cell r="B11661">
            <v>79.6666666666667</v>
          </cell>
        </row>
        <row r="11662">
          <cell r="A11662">
            <v>1500014677</v>
          </cell>
          <cell r="B11662">
            <v>285.48333333333301</v>
          </cell>
        </row>
        <row r="11663">
          <cell r="A11663">
            <v>1500014704</v>
          </cell>
          <cell r="B11663">
            <v>8.75</v>
          </cell>
        </row>
        <row r="11664">
          <cell r="A11664">
            <v>1500014705</v>
          </cell>
          <cell r="B11664">
            <v>0</v>
          </cell>
        </row>
        <row r="11665">
          <cell r="A11665">
            <v>1500014706</v>
          </cell>
          <cell r="B11665">
            <v>0</v>
          </cell>
        </row>
        <row r="11666">
          <cell r="A11666">
            <v>1500014708</v>
          </cell>
          <cell r="B11666">
            <v>19.8</v>
          </cell>
        </row>
        <row r="11667">
          <cell r="A11667">
            <v>1500014709</v>
          </cell>
          <cell r="B11667">
            <v>103.333333333333</v>
          </cell>
        </row>
        <row r="11668">
          <cell r="A11668">
            <v>1500014710</v>
          </cell>
          <cell r="B11668">
            <v>5.8333333333333304</v>
          </cell>
        </row>
        <row r="11669">
          <cell r="A11669">
            <v>1500014724</v>
          </cell>
          <cell r="B11669">
            <v>5</v>
          </cell>
        </row>
        <row r="11670">
          <cell r="A11670">
            <v>1500014725</v>
          </cell>
          <cell r="B11670">
            <v>11.6666666666667</v>
          </cell>
        </row>
        <row r="11671">
          <cell r="A11671">
            <v>1500014726</v>
          </cell>
          <cell r="B11671">
            <v>12.5</v>
          </cell>
        </row>
        <row r="11672">
          <cell r="A11672">
            <v>1500014791</v>
          </cell>
          <cell r="B11672">
            <v>80.6666666666667</v>
          </cell>
        </row>
        <row r="11673">
          <cell r="A11673">
            <v>1500014750</v>
          </cell>
          <cell r="B11673">
            <v>8.25</v>
          </cell>
        </row>
        <row r="11674">
          <cell r="A11674">
            <v>1500014751</v>
          </cell>
          <cell r="B11674">
            <v>0</v>
          </cell>
        </row>
        <row r="11675">
          <cell r="A11675">
            <v>1500014752</v>
          </cell>
          <cell r="B11675">
            <v>0</v>
          </cell>
        </row>
        <row r="11676">
          <cell r="A11676">
            <v>1500014843</v>
          </cell>
          <cell r="B11676">
            <v>0</v>
          </cell>
        </row>
        <row r="11677">
          <cell r="A11677">
            <v>1500014844</v>
          </cell>
          <cell r="B11677">
            <v>1.9166666666666701</v>
          </cell>
        </row>
        <row r="11678">
          <cell r="A11678">
            <v>1500014845</v>
          </cell>
          <cell r="B11678">
            <v>0</v>
          </cell>
        </row>
        <row r="11679">
          <cell r="A11679">
            <v>1500014846</v>
          </cell>
          <cell r="B11679">
            <v>0</v>
          </cell>
        </row>
        <row r="11680">
          <cell r="A11680">
            <v>1500014864</v>
          </cell>
          <cell r="B11680">
            <v>1.25</v>
          </cell>
        </row>
        <row r="11681">
          <cell r="A11681">
            <v>1500014865</v>
          </cell>
          <cell r="B11681">
            <v>4.4166666666666696</v>
          </cell>
        </row>
        <row r="11682">
          <cell r="A11682">
            <v>1500014866</v>
          </cell>
          <cell r="B11682">
            <v>3.8333333333333299</v>
          </cell>
        </row>
        <row r="11683">
          <cell r="A11683">
            <v>1500014867</v>
          </cell>
          <cell r="B11683">
            <v>5.8333333333333304</v>
          </cell>
        </row>
        <row r="11684">
          <cell r="A11684">
            <v>1500014868</v>
          </cell>
          <cell r="B11684">
            <v>0</v>
          </cell>
        </row>
        <row r="11685">
          <cell r="A11685">
            <v>1500014869</v>
          </cell>
          <cell r="B11685">
            <v>18.7083333333333</v>
          </cell>
        </row>
        <row r="11686">
          <cell r="A11686">
            <v>1500014870</v>
          </cell>
          <cell r="B11686">
            <v>8.3333333333333304</v>
          </cell>
        </row>
        <row r="11687">
          <cell r="A11687">
            <v>1500014871</v>
          </cell>
          <cell r="B11687">
            <v>0</v>
          </cell>
        </row>
        <row r="11688">
          <cell r="A11688">
            <v>1500014873</v>
          </cell>
          <cell r="B11688">
            <v>0</v>
          </cell>
        </row>
        <row r="11689">
          <cell r="A11689">
            <v>1500014882</v>
          </cell>
          <cell r="B11689">
            <v>19.1666666666667</v>
          </cell>
        </row>
        <row r="11690">
          <cell r="A11690">
            <v>1500014884</v>
          </cell>
          <cell r="B11690">
            <v>88.5833333333333</v>
          </cell>
        </row>
        <row r="11691">
          <cell r="A11691">
            <v>1500014885</v>
          </cell>
          <cell r="B11691">
            <v>100.333333333333</v>
          </cell>
        </row>
        <row r="11692">
          <cell r="A11692">
            <v>1500014886</v>
          </cell>
          <cell r="B11692">
            <v>1.6666666666666701</v>
          </cell>
        </row>
        <row r="11693">
          <cell r="A11693">
            <v>1500014887</v>
          </cell>
          <cell r="B11693">
            <v>11.1666666666667</v>
          </cell>
        </row>
        <row r="11694">
          <cell r="A11694">
            <v>1500014888</v>
          </cell>
          <cell r="B11694">
            <v>0.83333333333333304</v>
          </cell>
        </row>
        <row r="11695">
          <cell r="A11695">
            <v>1500014919</v>
          </cell>
          <cell r="B11695">
            <v>0</v>
          </cell>
        </row>
        <row r="11696">
          <cell r="A11696">
            <v>1500014920</v>
          </cell>
          <cell r="B11696">
            <v>23.3333333333333</v>
          </cell>
        </row>
        <row r="11697">
          <cell r="A11697">
            <v>1500014921</v>
          </cell>
          <cell r="B11697">
            <v>20.0833333333333</v>
          </cell>
        </row>
        <row r="11698">
          <cell r="A11698">
            <v>1500014904</v>
          </cell>
          <cell r="B11698">
            <v>0</v>
          </cell>
        </row>
        <row r="11699">
          <cell r="A11699">
            <v>1500014905</v>
          </cell>
          <cell r="B11699">
            <v>0</v>
          </cell>
        </row>
        <row r="11700">
          <cell r="A11700">
            <v>1500014906</v>
          </cell>
          <cell r="B11700">
            <v>0</v>
          </cell>
        </row>
        <row r="11701">
          <cell r="A11701">
            <v>1500014930</v>
          </cell>
          <cell r="B11701">
            <v>34.4166666666667</v>
          </cell>
        </row>
        <row r="11702">
          <cell r="A11702">
            <v>1500014960</v>
          </cell>
          <cell r="B11702">
            <v>44.4166666666667</v>
          </cell>
        </row>
        <row r="11703">
          <cell r="A11703">
            <v>1500014961</v>
          </cell>
          <cell r="B11703">
            <v>2.5</v>
          </cell>
        </row>
        <row r="11704">
          <cell r="A11704">
            <v>1500014962</v>
          </cell>
          <cell r="B11704">
            <v>51.0833333333333</v>
          </cell>
        </row>
        <row r="11705">
          <cell r="A11705">
            <v>1500014963</v>
          </cell>
          <cell r="B11705">
            <v>7.0416666666666696</v>
          </cell>
        </row>
        <row r="11706">
          <cell r="A11706">
            <v>1500014964</v>
          </cell>
          <cell r="B11706">
            <v>3.3333333333333299</v>
          </cell>
        </row>
        <row r="11707">
          <cell r="A11707">
            <v>1500014965</v>
          </cell>
          <cell r="B11707">
            <v>77.766666666666694</v>
          </cell>
        </row>
        <row r="11708">
          <cell r="A11708">
            <v>1500014966</v>
          </cell>
          <cell r="B11708">
            <v>57.6666666666667</v>
          </cell>
        </row>
        <row r="11709">
          <cell r="A11709">
            <v>1500014967</v>
          </cell>
          <cell r="B11709">
            <v>93</v>
          </cell>
        </row>
        <row r="11710">
          <cell r="A11710">
            <v>1500014968</v>
          </cell>
          <cell r="B11710">
            <v>108.5</v>
          </cell>
        </row>
        <row r="11711">
          <cell r="A11711">
            <v>1500014969</v>
          </cell>
          <cell r="B11711">
            <v>8.5</v>
          </cell>
        </row>
        <row r="11712">
          <cell r="A11712">
            <v>1500014991</v>
          </cell>
          <cell r="B11712">
            <v>42</v>
          </cell>
        </row>
        <row r="11713">
          <cell r="A11713">
            <v>1500014992</v>
          </cell>
          <cell r="B11713">
            <v>11.75</v>
          </cell>
        </row>
        <row r="11714">
          <cell r="A11714">
            <v>1500014993</v>
          </cell>
          <cell r="B11714">
            <v>93.3333333333333</v>
          </cell>
        </row>
        <row r="11715">
          <cell r="A11715">
            <v>1500015024</v>
          </cell>
          <cell r="B11715">
            <v>27</v>
          </cell>
        </row>
        <row r="11716">
          <cell r="A11716">
            <v>1500015025</v>
          </cell>
          <cell r="B11716">
            <v>73</v>
          </cell>
        </row>
        <row r="11717">
          <cell r="A11717">
            <v>1500015026</v>
          </cell>
          <cell r="B11717">
            <v>7.0833333333333304</v>
          </cell>
        </row>
        <row r="11718">
          <cell r="A11718">
            <v>1500015027</v>
          </cell>
          <cell r="B11718">
            <v>43.3333333333333</v>
          </cell>
        </row>
        <row r="11719">
          <cell r="A11719">
            <v>1500015053</v>
          </cell>
          <cell r="B11719">
            <v>0</v>
          </cell>
        </row>
        <row r="11720">
          <cell r="A11720">
            <v>1500015054</v>
          </cell>
          <cell r="B11720">
            <v>6.5</v>
          </cell>
        </row>
        <row r="11721">
          <cell r="A11721">
            <v>1500015055</v>
          </cell>
          <cell r="B11721">
            <v>22.25</v>
          </cell>
        </row>
        <row r="11722">
          <cell r="A11722">
            <v>1500015056</v>
          </cell>
          <cell r="B11722">
            <v>14.1666666666667</v>
          </cell>
        </row>
        <row r="11723">
          <cell r="A11723">
            <v>1500015057</v>
          </cell>
          <cell r="B11723">
            <v>2.0833333333333299</v>
          </cell>
        </row>
        <row r="11724">
          <cell r="A11724">
            <v>1500015058</v>
          </cell>
          <cell r="B11724">
            <v>43.5416666666667</v>
          </cell>
        </row>
        <row r="11725">
          <cell r="A11725">
            <v>1500015059</v>
          </cell>
          <cell r="B11725">
            <v>0</v>
          </cell>
        </row>
        <row r="11726">
          <cell r="A11726">
            <v>1500015060</v>
          </cell>
          <cell r="B11726">
            <v>0</v>
          </cell>
        </row>
        <row r="11727">
          <cell r="A11727">
            <v>1500015061</v>
          </cell>
          <cell r="B11727">
            <v>10.8333333333333</v>
          </cell>
        </row>
        <row r="11728">
          <cell r="A11728">
            <v>1500015062</v>
          </cell>
          <cell r="B11728">
            <v>164.84166666666701</v>
          </cell>
        </row>
        <row r="11729">
          <cell r="A11729">
            <v>1500015063</v>
          </cell>
          <cell r="B11729">
            <v>174.49166666666699</v>
          </cell>
        </row>
        <row r="11730">
          <cell r="A11730">
            <v>1500015132</v>
          </cell>
          <cell r="B11730">
            <v>0.91666666666666696</v>
          </cell>
        </row>
        <row r="11731">
          <cell r="A11731">
            <v>1500015133</v>
          </cell>
          <cell r="B11731">
            <v>2.5</v>
          </cell>
        </row>
        <row r="11732">
          <cell r="A11732">
            <v>1500015134</v>
          </cell>
          <cell r="B11732">
            <v>0</v>
          </cell>
        </row>
        <row r="11733">
          <cell r="A11733">
            <v>1500015135</v>
          </cell>
          <cell r="B11733">
            <v>18.3333333333333</v>
          </cell>
        </row>
        <row r="11734">
          <cell r="A11734">
            <v>1500015148</v>
          </cell>
          <cell r="B11734">
            <v>23.1666666666667</v>
          </cell>
        </row>
        <row r="11735">
          <cell r="A11735">
            <v>1500015152</v>
          </cell>
          <cell r="B11735">
            <v>0</v>
          </cell>
        </row>
        <row r="11736">
          <cell r="A11736">
            <v>1500015153</v>
          </cell>
          <cell r="B11736">
            <v>287.8</v>
          </cell>
        </row>
        <row r="11737">
          <cell r="A11737">
            <v>1500015154</v>
          </cell>
          <cell r="B11737">
            <v>73.508333333333297</v>
          </cell>
        </row>
        <row r="11738">
          <cell r="A11738">
            <v>1500015088</v>
          </cell>
          <cell r="B11738">
            <v>16.0833333333333</v>
          </cell>
        </row>
        <row r="11739">
          <cell r="A11739">
            <v>1500015089</v>
          </cell>
          <cell r="B11739">
            <v>24.5833333333333</v>
          </cell>
        </row>
        <row r="11740">
          <cell r="A11740">
            <v>1500015090</v>
          </cell>
          <cell r="B11740">
            <v>13.4166666666667</v>
          </cell>
        </row>
        <row r="11741">
          <cell r="A11741">
            <v>1500015091</v>
          </cell>
          <cell r="B11741">
            <v>51.45</v>
          </cell>
        </row>
        <row r="11742">
          <cell r="A11742">
            <v>1500015092</v>
          </cell>
          <cell r="B11742">
            <v>19.8333333333333</v>
          </cell>
        </row>
        <row r="11743">
          <cell r="A11743">
            <v>1500015093</v>
          </cell>
          <cell r="B11743">
            <v>25.2916666666667</v>
          </cell>
        </row>
        <row r="11744">
          <cell r="A11744">
            <v>1500015163</v>
          </cell>
          <cell r="B11744">
            <v>25.8333333333333</v>
          </cell>
        </row>
        <row r="11745">
          <cell r="A11745">
            <v>1500015164</v>
          </cell>
          <cell r="B11745">
            <v>0</v>
          </cell>
        </row>
        <row r="11746">
          <cell r="A11746">
            <v>1500015165</v>
          </cell>
          <cell r="B11746">
            <v>0</v>
          </cell>
        </row>
        <row r="11747">
          <cell r="A11747">
            <v>1500015184</v>
          </cell>
          <cell r="B11747">
            <v>46.1666666666667</v>
          </cell>
        </row>
        <row r="11748">
          <cell r="A11748">
            <v>1500015185</v>
          </cell>
          <cell r="B11748">
            <v>0</v>
          </cell>
        </row>
        <row r="11749">
          <cell r="A11749">
            <v>1500015186</v>
          </cell>
          <cell r="B11749">
            <v>6.6666666666666696</v>
          </cell>
        </row>
        <row r="11750">
          <cell r="A11750">
            <v>1500015187</v>
          </cell>
          <cell r="B11750">
            <v>0</v>
          </cell>
        </row>
        <row r="11751">
          <cell r="A11751">
            <v>1500015188</v>
          </cell>
          <cell r="B11751">
            <v>0</v>
          </cell>
        </row>
        <row r="11752">
          <cell r="A11752">
            <v>1500015189</v>
          </cell>
          <cell r="B11752">
            <v>15.9416666666667</v>
          </cell>
        </row>
        <row r="11753">
          <cell r="A11753">
            <v>1500015190</v>
          </cell>
          <cell r="B11753">
            <v>68</v>
          </cell>
        </row>
        <row r="11754">
          <cell r="A11754">
            <v>1500015191</v>
          </cell>
          <cell r="B11754">
            <v>0</v>
          </cell>
        </row>
        <row r="11755">
          <cell r="A11755">
            <v>1500015209</v>
          </cell>
          <cell r="B11755">
            <v>26.033333333333299</v>
          </cell>
        </row>
        <row r="11756">
          <cell r="A11756">
            <v>1500015210</v>
          </cell>
          <cell r="B11756">
            <v>0</v>
          </cell>
        </row>
        <row r="11757">
          <cell r="A11757">
            <v>1500015211</v>
          </cell>
          <cell r="B11757">
            <v>26.25</v>
          </cell>
        </row>
        <row r="11758">
          <cell r="A11758">
            <v>1500015213</v>
          </cell>
          <cell r="B11758">
            <v>245.125</v>
          </cell>
        </row>
        <row r="11759">
          <cell r="A11759">
            <v>1500015222</v>
          </cell>
          <cell r="B11759">
            <v>13.75</v>
          </cell>
        </row>
        <row r="11760">
          <cell r="A11760">
            <v>1500015223</v>
          </cell>
          <cell r="B11760">
            <v>17.9166666666667</v>
          </cell>
        </row>
        <row r="11761">
          <cell r="A11761">
            <v>1500015224</v>
          </cell>
          <cell r="B11761">
            <v>0</v>
          </cell>
        </row>
        <row r="11762">
          <cell r="A11762">
            <v>1500015225</v>
          </cell>
          <cell r="B11762">
            <v>26.3333333333333</v>
          </cell>
        </row>
        <row r="11763">
          <cell r="A11763">
            <v>1500015226</v>
          </cell>
          <cell r="B11763">
            <v>44.5</v>
          </cell>
        </row>
        <row r="11764">
          <cell r="A11764">
            <v>1500015227</v>
          </cell>
          <cell r="B11764">
            <v>0</v>
          </cell>
        </row>
        <row r="11765">
          <cell r="A11765">
            <v>1500015228</v>
          </cell>
          <cell r="B11765">
            <v>17.5</v>
          </cell>
        </row>
        <row r="11766">
          <cell r="A11766">
            <v>1500015229</v>
          </cell>
          <cell r="B11766">
            <v>419.933333333333</v>
          </cell>
        </row>
        <row r="11767">
          <cell r="A11767">
            <v>1500015230</v>
          </cell>
          <cell r="B11767">
            <v>432.75833333333298</v>
          </cell>
        </row>
        <row r="11768">
          <cell r="A11768">
            <v>1500015270</v>
          </cell>
          <cell r="B11768">
            <v>9.1666666666666696</v>
          </cell>
        </row>
        <row r="11769">
          <cell r="A11769">
            <v>1500015271</v>
          </cell>
          <cell r="B11769">
            <v>2.5</v>
          </cell>
        </row>
        <row r="11770">
          <cell r="A11770">
            <v>1500015272</v>
          </cell>
          <cell r="B11770">
            <v>0</v>
          </cell>
        </row>
        <row r="11771">
          <cell r="A11771">
            <v>1500015273</v>
          </cell>
          <cell r="B11771">
            <v>6.0833333333333304</v>
          </cell>
        </row>
        <row r="11772">
          <cell r="A11772">
            <v>1500015274</v>
          </cell>
          <cell r="B11772">
            <v>9.6583333333333297</v>
          </cell>
        </row>
        <row r="11773">
          <cell r="A11773">
            <v>1500015275</v>
          </cell>
          <cell r="B11773">
            <v>11</v>
          </cell>
        </row>
        <row r="11774">
          <cell r="A11774">
            <v>1500015276</v>
          </cell>
          <cell r="B11774">
            <v>0</v>
          </cell>
        </row>
        <row r="11775">
          <cell r="A11775">
            <v>1500015303</v>
          </cell>
          <cell r="B11775">
            <v>0</v>
          </cell>
        </row>
        <row r="11776">
          <cell r="A11776">
            <v>1500015327</v>
          </cell>
          <cell r="B11776">
            <v>19.25</v>
          </cell>
        </row>
        <row r="11777">
          <cell r="A11777">
            <v>1500015328</v>
          </cell>
          <cell r="B11777">
            <v>0</v>
          </cell>
        </row>
        <row r="11778">
          <cell r="A11778">
            <v>1500015329</v>
          </cell>
          <cell r="B11778">
            <v>0</v>
          </cell>
        </row>
        <row r="11779">
          <cell r="A11779">
            <v>1500015330</v>
          </cell>
          <cell r="B11779">
            <v>0</v>
          </cell>
        </row>
        <row r="11780">
          <cell r="A11780">
            <v>1500015349</v>
          </cell>
          <cell r="B11780">
            <v>1.6666666666666701</v>
          </cell>
        </row>
        <row r="11781">
          <cell r="A11781">
            <v>1500015350</v>
          </cell>
          <cell r="B11781">
            <v>32.5</v>
          </cell>
        </row>
        <row r="11782">
          <cell r="A11782">
            <v>1500015351</v>
          </cell>
          <cell r="B11782">
            <v>53.4166666666667</v>
          </cell>
        </row>
        <row r="11783">
          <cell r="A11783">
            <v>1500015352</v>
          </cell>
          <cell r="B11783">
            <v>29.033333333333299</v>
          </cell>
        </row>
        <row r="11784">
          <cell r="A11784">
            <v>1500015353</v>
          </cell>
          <cell r="B11784">
            <v>18.183333333333302</v>
          </cell>
        </row>
        <row r="11785">
          <cell r="A11785">
            <v>1500015354</v>
          </cell>
          <cell r="B11785">
            <v>4.875</v>
          </cell>
        </row>
        <row r="11786">
          <cell r="A11786">
            <v>1500015355</v>
          </cell>
          <cell r="B11786">
            <v>0</v>
          </cell>
        </row>
        <row r="11787">
          <cell r="A11787">
            <v>1500015356</v>
          </cell>
          <cell r="B11787">
            <v>0</v>
          </cell>
        </row>
        <row r="11788">
          <cell r="A11788">
            <v>1500015524</v>
          </cell>
          <cell r="B11788">
            <v>267.5</v>
          </cell>
        </row>
        <row r="11789">
          <cell r="A11789">
            <v>1500015357</v>
          </cell>
          <cell r="B11789">
            <v>11.6666666666667</v>
          </cell>
        </row>
        <row r="11790">
          <cell r="A11790">
            <v>1500015400</v>
          </cell>
          <cell r="B11790">
            <v>0</v>
          </cell>
        </row>
        <row r="11791">
          <cell r="A11791">
            <v>1500015401</v>
          </cell>
          <cell r="B11791">
            <v>6.9166666666666696</v>
          </cell>
        </row>
        <row r="11792">
          <cell r="A11792">
            <v>1500015402</v>
          </cell>
          <cell r="B11792">
            <v>28.133333333333301</v>
          </cell>
        </row>
        <row r="11793">
          <cell r="A11793">
            <v>1500015403</v>
          </cell>
          <cell r="B11793">
            <v>80.6666666666667</v>
          </cell>
        </row>
        <row r="11794">
          <cell r="A11794">
            <v>1500015404</v>
          </cell>
          <cell r="B11794">
            <v>1.25</v>
          </cell>
        </row>
        <row r="11795">
          <cell r="A11795">
            <v>1500015405</v>
          </cell>
          <cell r="B11795">
            <v>0</v>
          </cell>
        </row>
        <row r="11796">
          <cell r="A11796">
            <v>1500015406</v>
          </cell>
          <cell r="B11796">
            <v>1.6666666666666701</v>
          </cell>
        </row>
        <row r="11797">
          <cell r="A11797">
            <v>1500015407</v>
          </cell>
          <cell r="B11797">
            <v>0</v>
          </cell>
        </row>
        <row r="11798">
          <cell r="A11798">
            <v>1500015408</v>
          </cell>
          <cell r="B11798">
            <v>0</v>
          </cell>
        </row>
        <row r="11799">
          <cell r="A11799">
            <v>1500015409</v>
          </cell>
          <cell r="B11799">
            <v>54.5</v>
          </cell>
        </row>
        <row r="11800">
          <cell r="A11800">
            <v>1500015410</v>
          </cell>
          <cell r="B11800">
            <v>8.8333333333333304</v>
          </cell>
        </row>
        <row r="11801">
          <cell r="A11801">
            <v>1500015411</v>
          </cell>
          <cell r="B11801">
            <v>24.1666666666667</v>
          </cell>
        </row>
        <row r="11802">
          <cell r="A11802">
            <v>1500015413</v>
          </cell>
          <cell r="B11802">
            <v>0.83333333333333304</v>
          </cell>
        </row>
        <row r="11803">
          <cell r="A11803">
            <v>1500015414</v>
          </cell>
          <cell r="B11803">
            <v>133.51666666666699</v>
          </cell>
        </row>
        <row r="11804">
          <cell r="A11804">
            <v>1500015441</v>
          </cell>
          <cell r="B11804">
            <v>13.4166666666667</v>
          </cell>
        </row>
        <row r="11805">
          <cell r="A11805">
            <v>1500015442</v>
          </cell>
          <cell r="B11805">
            <v>49.3333333333333</v>
          </cell>
        </row>
        <row r="11806">
          <cell r="A11806">
            <v>1500015443</v>
          </cell>
          <cell r="B11806">
            <v>13.5</v>
          </cell>
        </row>
        <row r="11807">
          <cell r="A11807">
            <v>1500015444</v>
          </cell>
          <cell r="B11807">
            <v>32.0833333333333</v>
          </cell>
        </row>
        <row r="11808">
          <cell r="A11808">
            <v>1500015445</v>
          </cell>
          <cell r="B11808">
            <v>0</v>
          </cell>
        </row>
        <row r="11809">
          <cell r="A11809">
            <v>1500015446</v>
          </cell>
          <cell r="B11809">
            <v>91.6666666666667</v>
          </cell>
        </row>
        <row r="11810">
          <cell r="A11810">
            <v>1500015447</v>
          </cell>
          <cell r="B11810">
            <v>9</v>
          </cell>
        </row>
        <row r="11811">
          <cell r="A11811">
            <v>1500015448</v>
          </cell>
          <cell r="B11811">
            <v>44.191666666666698</v>
          </cell>
        </row>
        <row r="11812">
          <cell r="A11812">
            <v>1500015472</v>
          </cell>
          <cell r="B11812">
            <v>4.625</v>
          </cell>
        </row>
        <row r="11813">
          <cell r="A11813">
            <v>1500015473</v>
          </cell>
          <cell r="B11813">
            <v>5.8333333333333304</v>
          </cell>
        </row>
        <row r="11814">
          <cell r="A11814">
            <v>1500015474</v>
          </cell>
          <cell r="B11814">
            <v>14.7916666666667</v>
          </cell>
        </row>
        <row r="11815">
          <cell r="A11815">
            <v>1500015475</v>
          </cell>
          <cell r="B11815">
            <v>159.433333333333</v>
          </cell>
        </row>
        <row r="11816">
          <cell r="A11816">
            <v>1500015476</v>
          </cell>
          <cell r="B11816">
            <v>53.1666666666667</v>
          </cell>
        </row>
        <row r="11817">
          <cell r="A11817">
            <v>1500015496</v>
          </cell>
          <cell r="B11817">
            <v>6.3333333333333304</v>
          </cell>
        </row>
        <row r="11818">
          <cell r="A11818">
            <v>1500015497</v>
          </cell>
          <cell r="B11818">
            <v>19.5833333333333</v>
          </cell>
        </row>
        <row r="11819">
          <cell r="A11819">
            <v>1500015498</v>
          </cell>
          <cell r="B11819">
            <v>0</v>
          </cell>
        </row>
        <row r="11820">
          <cell r="A11820">
            <v>1500015499</v>
          </cell>
          <cell r="B11820">
            <v>10.5833333333333</v>
          </cell>
        </row>
        <row r="11821">
          <cell r="A11821">
            <v>1500015500</v>
          </cell>
          <cell r="B11821">
            <v>36.841666666666697</v>
          </cell>
        </row>
        <row r="11822">
          <cell r="A11822">
            <v>1500015501</v>
          </cell>
          <cell r="B11822">
            <v>18.6666666666667</v>
          </cell>
        </row>
        <row r="11823">
          <cell r="A11823">
            <v>1500015502</v>
          </cell>
          <cell r="B11823">
            <v>38</v>
          </cell>
        </row>
        <row r="11824">
          <cell r="A11824">
            <v>1500015503</v>
          </cell>
          <cell r="B11824">
            <v>165.166666666667</v>
          </cell>
        </row>
        <row r="11825">
          <cell r="A11825">
            <v>1500015522</v>
          </cell>
          <cell r="B11825">
            <v>0</v>
          </cell>
        </row>
        <row r="11826">
          <cell r="A11826">
            <v>1500015523</v>
          </cell>
          <cell r="B11826">
            <v>14.4166666666667</v>
          </cell>
        </row>
        <row r="11827">
          <cell r="A11827">
            <v>1500015574</v>
          </cell>
          <cell r="B11827">
            <v>88</v>
          </cell>
        </row>
        <row r="11828">
          <cell r="A11828">
            <v>1500015586</v>
          </cell>
          <cell r="B11828">
            <v>0</v>
          </cell>
        </row>
        <row r="11829">
          <cell r="A11829">
            <v>1500015587</v>
          </cell>
          <cell r="B11829">
            <v>14.9166666666667</v>
          </cell>
        </row>
        <row r="11830">
          <cell r="A11830">
            <v>1500015588</v>
          </cell>
          <cell r="B11830">
            <v>74.483333333333306</v>
          </cell>
        </row>
        <row r="11831">
          <cell r="A11831">
            <v>1500015589</v>
          </cell>
          <cell r="B11831">
            <v>21.5</v>
          </cell>
        </row>
        <row r="11832">
          <cell r="A11832">
            <v>1500015590</v>
          </cell>
          <cell r="B11832">
            <v>0</v>
          </cell>
        </row>
        <row r="11833">
          <cell r="A11833">
            <v>1500015591</v>
          </cell>
          <cell r="B11833">
            <v>100.48333333333299</v>
          </cell>
        </row>
        <row r="11834">
          <cell r="A11834">
            <v>1500015630</v>
          </cell>
          <cell r="B11834">
            <v>11.7916666666667</v>
          </cell>
        </row>
        <row r="11835">
          <cell r="A11835">
            <v>1500015631</v>
          </cell>
          <cell r="B11835">
            <v>18.3333333333333</v>
          </cell>
        </row>
        <row r="11836">
          <cell r="A11836">
            <v>1500015632</v>
          </cell>
          <cell r="B11836">
            <v>0</v>
          </cell>
        </row>
        <row r="11837">
          <cell r="A11837">
            <v>1500015634</v>
          </cell>
          <cell r="B11837">
            <v>31.4166666666667</v>
          </cell>
        </row>
        <row r="11838">
          <cell r="A11838">
            <v>1500015662</v>
          </cell>
          <cell r="B11838">
            <v>2.5</v>
          </cell>
        </row>
        <row r="11839">
          <cell r="A11839">
            <v>1500015663</v>
          </cell>
          <cell r="B11839">
            <v>0</v>
          </cell>
        </row>
        <row r="11840">
          <cell r="A11840">
            <v>1500015664</v>
          </cell>
          <cell r="B11840">
            <v>12.991666666666699</v>
          </cell>
        </row>
        <row r="11841">
          <cell r="A11841">
            <v>1500015665</v>
          </cell>
          <cell r="B11841">
            <v>0</v>
          </cell>
        </row>
        <row r="11842">
          <cell r="A11842">
            <v>1500015666</v>
          </cell>
          <cell r="B11842">
            <v>39.25</v>
          </cell>
        </row>
        <row r="11843">
          <cell r="A11843">
            <v>1500015667</v>
          </cell>
          <cell r="B11843">
            <v>11.25</v>
          </cell>
        </row>
        <row r="11844">
          <cell r="A11844">
            <v>1500015668</v>
          </cell>
          <cell r="B11844">
            <v>15.5833333333333</v>
          </cell>
        </row>
        <row r="11845">
          <cell r="A11845">
            <v>1500015669</v>
          </cell>
          <cell r="B11845">
            <v>5.9166666666666696</v>
          </cell>
        </row>
        <row r="11846">
          <cell r="A11846">
            <v>1500015670</v>
          </cell>
          <cell r="B11846">
            <v>68.3333333333333</v>
          </cell>
        </row>
        <row r="11847">
          <cell r="A11847">
            <v>1500015700</v>
          </cell>
          <cell r="B11847">
            <v>0</v>
          </cell>
        </row>
        <row r="11848">
          <cell r="A11848">
            <v>1500015701</v>
          </cell>
          <cell r="B11848">
            <v>64.3</v>
          </cell>
        </row>
        <row r="11849">
          <cell r="A11849">
            <v>1500015702</v>
          </cell>
          <cell r="B11849">
            <v>32.375</v>
          </cell>
        </row>
        <row r="11850">
          <cell r="A11850">
            <v>1500015703</v>
          </cell>
          <cell r="B11850">
            <v>0</v>
          </cell>
        </row>
        <row r="11851">
          <cell r="A11851">
            <v>1500015704</v>
          </cell>
          <cell r="B11851">
            <v>27.9166666666667</v>
          </cell>
        </row>
        <row r="11852">
          <cell r="A11852">
            <v>1500015706</v>
          </cell>
          <cell r="B11852">
            <v>7.0833333333333304</v>
          </cell>
        </row>
        <row r="11853">
          <cell r="A11853">
            <v>1500015707</v>
          </cell>
          <cell r="B11853">
            <v>0</v>
          </cell>
        </row>
        <row r="11854">
          <cell r="A11854">
            <v>1500015708</v>
          </cell>
          <cell r="B11854">
            <v>0</v>
          </cell>
        </row>
        <row r="11855">
          <cell r="A11855">
            <v>1500015709</v>
          </cell>
          <cell r="B11855">
            <v>236.15833333333299</v>
          </cell>
        </row>
        <row r="11856">
          <cell r="A11856">
            <v>1500015722</v>
          </cell>
          <cell r="B11856">
            <v>0</v>
          </cell>
        </row>
        <row r="11857">
          <cell r="A11857">
            <v>1500015723</v>
          </cell>
          <cell r="B11857">
            <v>0</v>
          </cell>
        </row>
        <row r="11858">
          <cell r="A11858">
            <v>1500015725</v>
          </cell>
          <cell r="B11858">
            <v>64.133333333333297</v>
          </cell>
        </row>
        <row r="11859">
          <cell r="A11859">
            <v>1500015726</v>
          </cell>
          <cell r="B11859">
            <v>24.1666666666667</v>
          </cell>
        </row>
        <row r="11860">
          <cell r="A11860">
            <v>1500015727</v>
          </cell>
          <cell r="B11860">
            <v>7.3333333333333304</v>
          </cell>
        </row>
        <row r="11861">
          <cell r="A11861">
            <v>1500015761</v>
          </cell>
          <cell r="B11861">
            <v>9.4166666666666696</v>
          </cell>
        </row>
        <row r="11862">
          <cell r="A11862">
            <v>1500015762</v>
          </cell>
          <cell r="B11862">
            <v>0</v>
          </cell>
        </row>
        <row r="11863">
          <cell r="A11863">
            <v>1500015763</v>
          </cell>
          <cell r="B11863">
            <v>20.9166666666667</v>
          </cell>
        </row>
        <row r="11864">
          <cell r="A11864">
            <v>1500015764</v>
          </cell>
          <cell r="B11864">
            <v>13.975</v>
          </cell>
        </row>
        <row r="11865">
          <cell r="A11865">
            <v>1500015765</v>
          </cell>
          <cell r="B11865">
            <v>27.8333333333333</v>
          </cell>
        </row>
        <row r="11866">
          <cell r="A11866">
            <v>1500015766</v>
          </cell>
          <cell r="B11866">
            <v>34.125</v>
          </cell>
        </row>
        <row r="11867">
          <cell r="A11867">
            <v>1500015790</v>
          </cell>
          <cell r="B11867">
            <v>0</v>
          </cell>
        </row>
        <row r="11868">
          <cell r="A11868">
            <v>1500015792</v>
          </cell>
          <cell r="B11868">
            <v>0</v>
          </cell>
        </row>
        <row r="11869">
          <cell r="A11869">
            <v>1500015793</v>
          </cell>
          <cell r="B11869">
            <v>35.0833333333333</v>
          </cell>
        </row>
        <row r="11870">
          <cell r="A11870">
            <v>1500015795</v>
          </cell>
          <cell r="B11870">
            <v>56.8333333333333</v>
          </cell>
        </row>
        <row r="11871">
          <cell r="A11871">
            <v>1500015796</v>
          </cell>
          <cell r="B11871">
            <v>14.1666666666667</v>
          </cell>
        </row>
        <row r="11872">
          <cell r="A11872">
            <v>1500015797</v>
          </cell>
          <cell r="B11872">
            <v>7.5</v>
          </cell>
        </row>
        <row r="11873">
          <cell r="A11873">
            <v>1500015798</v>
          </cell>
          <cell r="B11873">
            <v>0</v>
          </cell>
        </row>
        <row r="11874">
          <cell r="A11874">
            <v>1500015799</v>
          </cell>
          <cell r="B11874">
            <v>5.4166666666666696</v>
          </cell>
        </row>
        <row r="11875">
          <cell r="A11875">
            <v>1500015800</v>
          </cell>
          <cell r="B11875">
            <v>2.5</v>
          </cell>
        </row>
        <row r="11876">
          <cell r="A11876">
            <v>1500015801</v>
          </cell>
          <cell r="B11876">
            <v>5.8333333333333304</v>
          </cell>
        </row>
        <row r="11877">
          <cell r="A11877">
            <v>1500015802</v>
          </cell>
          <cell r="B11877">
            <v>8.375</v>
          </cell>
        </row>
        <row r="11878">
          <cell r="A11878">
            <v>1500015804</v>
          </cell>
          <cell r="B11878">
            <v>17.3333333333333</v>
          </cell>
        </row>
        <row r="11879">
          <cell r="A11879">
            <v>1500015887</v>
          </cell>
          <cell r="B11879">
            <v>0</v>
          </cell>
        </row>
        <row r="11880">
          <cell r="A11880">
            <v>1500015888</v>
          </cell>
          <cell r="B11880">
            <v>0</v>
          </cell>
        </row>
        <row r="11881">
          <cell r="A11881">
            <v>1500015889</v>
          </cell>
          <cell r="B11881">
            <v>32.6666666666667</v>
          </cell>
        </row>
        <row r="11882">
          <cell r="A11882">
            <v>1500015891</v>
          </cell>
          <cell r="B11882">
            <v>13.9166666666667</v>
          </cell>
        </row>
        <row r="11883">
          <cell r="A11883">
            <v>1500015849</v>
          </cell>
          <cell r="B11883">
            <v>25.75</v>
          </cell>
        </row>
        <row r="11884">
          <cell r="A11884">
            <v>1500015850</v>
          </cell>
          <cell r="B11884">
            <v>10.4166666666667</v>
          </cell>
        </row>
        <row r="11885">
          <cell r="A11885">
            <v>1500015852</v>
          </cell>
          <cell r="B11885">
            <v>16.25</v>
          </cell>
        </row>
        <row r="11886">
          <cell r="A11886">
            <v>1500015853</v>
          </cell>
          <cell r="B11886">
            <v>0.41666666666666702</v>
          </cell>
        </row>
        <row r="11887">
          <cell r="A11887">
            <v>1500015854</v>
          </cell>
          <cell r="B11887">
            <v>0</v>
          </cell>
        </row>
        <row r="11888">
          <cell r="A11888">
            <v>1500015855</v>
          </cell>
          <cell r="B11888">
            <v>0</v>
          </cell>
        </row>
        <row r="11889">
          <cell r="A11889">
            <v>1500015856</v>
          </cell>
          <cell r="B11889">
            <v>15</v>
          </cell>
        </row>
        <row r="11890">
          <cell r="A11890">
            <v>1500015857</v>
          </cell>
          <cell r="B11890">
            <v>2.5</v>
          </cell>
        </row>
        <row r="11891">
          <cell r="A11891">
            <v>1500015858</v>
          </cell>
          <cell r="B11891">
            <v>0</v>
          </cell>
        </row>
        <row r="11892">
          <cell r="A11892">
            <v>1500015859</v>
          </cell>
          <cell r="B11892">
            <v>307.58333333333297</v>
          </cell>
        </row>
        <row r="11893">
          <cell r="A11893">
            <v>1500015860</v>
          </cell>
          <cell r="B11893">
            <v>11.8333333333333</v>
          </cell>
        </row>
        <row r="11894">
          <cell r="A11894">
            <v>1500015861</v>
          </cell>
          <cell r="B11894">
            <v>4.5833333333333304</v>
          </cell>
        </row>
        <row r="11895">
          <cell r="A11895">
            <v>1500015862</v>
          </cell>
          <cell r="B11895">
            <v>24.5833333333333</v>
          </cell>
        </row>
        <row r="11896">
          <cell r="A11896">
            <v>1500015863</v>
          </cell>
          <cell r="B11896">
            <v>10</v>
          </cell>
        </row>
        <row r="11897">
          <cell r="A11897">
            <v>1500015864</v>
          </cell>
          <cell r="B11897">
            <v>15.25</v>
          </cell>
        </row>
        <row r="11898">
          <cell r="A11898">
            <v>1500015865</v>
          </cell>
          <cell r="B11898">
            <v>69.6666666666667</v>
          </cell>
        </row>
        <row r="11899">
          <cell r="A11899">
            <v>1500015826</v>
          </cell>
          <cell r="B11899">
            <v>0</v>
          </cell>
        </row>
        <row r="11900">
          <cell r="A11900">
            <v>1500015827</v>
          </cell>
          <cell r="B11900">
            <v>1.5416666666666701</v>
          </cell>
        </row>
        <row r="11901">
          <cell r="A11901">
            <v>1500015828</v>
          </cell>
          <cell r="B11901">
            <v>95.4166666666667</v>
          </cell>
        </row>
        <row r="11902">
          <cell r="A11902">
            <v>1500015829</v>
          </cell>
          <cell r="B11902">
            <v>0</v>
          </cell>
        </row>
        <row r="11903">
          <cell r="A11903">
            <v>1500015830</v>
          </cell>
          <cell r="B11903">
            <v>6.4916666666666698</v>
          </cell>
        </row>
        <row r="11904">
          <cell r="A11904">
            <v>1500015903</v>
          </cell>
          <cell r="B11904">
            <v>0</v>
          </cell>
        </row>
        <row r="11905">
          <cell r="A11905">
            <v>1500015910</v>
          </cell>
          <cell r="B11905">
            <v>12.75</v>
          </cell>
        </row>
        <row r="11906">
          <cell r="A11906">
            <v>1500015931</v>
          </cell>
          <cell r="B11906">
            <v>35.716666666666697</v>
          </cell>
        </row>
        <row r="11907">
          <cell r="A11907">
            <v>1500015932</v>
          </cell>
          <cell r="B11907">
            <v>11.9166666666667</v>
          </cell>
        </row>
        <row r="11908">
          <cell r="A11908">
            <v>1500015933</v>
          </cell>
          <cell r="B11908">
            <v>69.3333333333333</v>
          </cell>
        </row>
        <row r="11909">
          <cell r="A11909">
            <v>1500015954</v>
          </cell>
          <cell r="B11909">
            <v>0</v>
          </cell>
        </row>
        <row r="11910">
          <cell r="A11910">
            <v>1500015955</v>
          </cell>
          <cell r="B11910">
            <v>11.5833333333333</v>
          </cell>
        </row>
        <row r="11911">
          <cell r="A11911">
            <v>1500015956</v>
          </cell>
          <cell r="B11911">
            <v>84.4166666666667</v>
          </cell>
        </row>
        <row r="11912">
          <cell r="A11912">
            <v>1500015957</v>
          </cell>
          <cell r="B11912">
            <v>3.8333333333333299</v>
          </cell>
        </row>
        <row r="11913">
          <cell r="A11913">
            <v>1500015958</v>
          </cell>
          <cell r="B11913">
            <v>0</v>
          </cell>
        </row>
        <row r="11914">
          <cell r="A11914">
            <v>1500016004</v>
          </cell>
          <cell r="B11914">
            <v>0</v>
          </cell>
        </row>
        <row r="11915">
          <cell r="A11915">
            <v>1500016005</v>
          </cell>
          <cell r="B11915">
            <v>4.1666666666666696</v>
          </cell>
        </row>
        <row r="11916">
          <cell r="A11916">
            <v>1500016006</v>
          </cell>
          <cell r="B11916">
            <v>10.75</v>
          </cell>
        </row>
        <row r="11917">
          <cell r="A11917">
            <v>1500016007</v>
          </cell>
          <cell r="B11917">
            <v>0</v>
          </cell>
        </row>
        <row r="11918">
          <cell r="A11918">
            <v>1500016008</v>
          </cell>
          <cell r="B11918">
            <v>8.3333333333333304</v>
          </cell>
        </row>
        <row r="11919">
          <cell r="A11919">
            <v>1500016012</v>
          </cell>
          <cell r="B11919">
            <v>0</v>
          </cell>
        </row>
        <row r="11920">
          <cell r="A11920">
            <v>1500016013</v>
          </cell>
          <cell r="B11920">
            <v>149.916666666667</v>
          </cell>
        </row>
        <row r="11921">
          <cell r="A11921">
            <v>1500016014</v>
          </cell>
          <cell r="B11921">
            <v>8.9166666666666696</v>
          </cell>
        </row>
        <row r="11922">
          <cell r="A11922">
            <v>1500016015</v>
          </cell>
          <cell r="B11922">
            <v>0</v>
          </cell>
        </row>
        <row r="11923">
          <cell r="A11923">
            <v>1500016016</v>
          </cell>
          <cell r="B11923">
            <v>184.5</v>
          </cell>
        </row>
        <row r="11924">
          <cell r="A11924">
            <v>1500016017</v>
          </cell>
          <cell r="B11924">
            <v>6.6666666666666696</v>
          </cell>
        </row>
        <row r="11925">
          <cell r="A11925">
            <v>1500016018</v>
          </cell>
          <cell r="B11925">
            <v>3.3333333333333299</v>
          </cell>
        </row>
        <row r="11926">
          <cell r="A11926">
            <v>1500016045</v>
          </cell>
          <cell r="B11926">
            <v>11.588333333333299</v>
          </cell>
        </row>
        <row r="11927">
          <cell r="A11927">
            <v>1500016046</v>
          </cell>
          <cell r="B11927">
            <v>0</v>
          </cell>
        </row>
        <row r="11928">
          <cell r="A11928">
            <v>1500016047</v>
          </cell>
          <cell r="B11928">
            <v>0</v>
          </cell>
        </row>
        <row r="11929">
          <cell r="A11929">
            <v>1500016048</v>
          </cell>
          <cell r="B11929">
            <v>148.916666666667</v>
          </cell>
        </row>
        <row r="11930">
          <cell r="A11930">
            <v>1500016049</v>
          </cell>
          <cell r="B11930">
            <v>46.1666666666667</v>
          </cell>
        </row>
        <row r="11931">
          <cell r="A11931">
            <v>1500016050</v>
          </cell>
          <cell r="B11931">
            <v>131</v>
          </cell>
        </row>
        <row r="11932">
          <cell r="A11932">
            <v>1500016051</v>
          </cell>
          <cell r="B11932">
            <v>0.25</v>
          </cell>
        </row>
        <row r="11933">
          <cell r="A11933">
            <v>1500016052</v>
          </cell>
          <cell r="B11933">
            <v>161.25</v>
          </cell>
        </row>
        <row r="11934">
          <cell r="A11934">
            <v>1500016084</v>
          </cell>
          <cell r="B11934">
            <v>54.625</v>
          </cell>
        </row>
        <row r="11935">
          <cell r="A11935">
            <v>1500016123</v>
          </cell>
          <cell r="B11935">
            <v>0</v>
          </cell>
        </row>
        <row r="11936">
          <cell r="A11936">
            <v>1500016117</v>
          </cell>
          <cell r="B11936">
            <v>16</v>
          </cell>
        </row>
        <row r="11937">
          <cell r="A11937">
            <v>1500016118</v>
          </cell>
          <cell r="B11937">
            <v>55.75</v>
          </cell>
        </row>
        <row r="11938">
          <cell r="A11938">
            <v>1500016119</v>
          </cell>
          <cell r="B11938">
            <v>0</v>
          </cell>
        </row>
        <row r="11939">
          <cell r="A11939">
            <v>1500016120</v>
          </cell>
          <cell r="B11939">
            <v>31.8333333333333</v>
          </cell>
        </row>
        <row r="11940">
          <cell r="A11940">
            <v>1500016105</v>
          </cell>
          <cell r="B11940">
            <v>14.5833333333333</v>
          </cell>
        </row>
        <row r="11941">
          <cell r="A11941">
            <v>1500016121</v>
          </cell>
          <cell r="B11941">
            <v>6.6666666666666696</v>
          </cell>
        </row>
        <row r="11942">
          <cell r="A11942">
            <v>1500016106</v>
          </cell>
          <cell r="B11942">
            <v>453.33333333333297</v>
          </cell>
        </row>
        <row r="11943">
          <cell r="A11943">
            <v>1500016122</v>
          </cell>
          <cell r="B11943">
            <v>0</v>
          </cell>
        </row>
        <row r="11944">
          <cell r="A11944">
            <v>1500016107</v>
          </cell>
          <cell r="B11944">
            <v>43.908333333333303</v>
          </cell>
        </row>
        <row r="11945">
          <cell r="A11945">
            <v>1500016108</v>
          </cell>
          <cell r="B11945">
            <v>4.6666666666666696</v>
          </cell>
        </row>
        <row r="11946">
          <cell r="A11946">
            <v>1500016158</v>
          </cell>
          <cell r="B11946">
            <v>15.2083333333333</v>
          </cell>
        </row>
        <row r="11947">
          <cell r="A11947">
            <v>1500016160</v>
          </cell>
          <cell r="B11947">
            <v>0</v>
          </cell>
        </row>
        <row r="11948">
          <cell r="A11948">
            <v>1500016161</v>
          </cell>
          <cell r="B11948">
            <v>0</v>
          </cell>
        </row>
        <row r="11949">
          <cell r="A11949">
            <v>1500016162</v>
          </cell>
          <cell r="B11949">
            <v>0</v>
          </cell>
        </row>
        <row r="11950">
          <cell r="A11950">
            <v>1500016163</v>
          </cell>
          <cell r="B11950">
            <v>132.5</v>
          </cell>
        </row>
        <row r="11951">
          <cell r="A11951">
            <v>1500016164</v>
          </cell>
          <cell r="B11951">
            <v>176.416666666667</v>
          </cell>
        </row>
        <row r="11952">
          <cell r="A11952">
            <v>1500016165</v>
          </cell>
          <cell r="B11952">
            <v>0</v>
          </cell>
        </row>
        <row r="11953">
          <cell r="A11953">
            <v>1500016166</v>
          </cell>
          <cell r="B11953">
            <v>22.9166666666667</v>
          </cell>
        </row>
        <row r="11954">
          <cell r="A11954">
            <v>1500016183</v>
          </cell>
          <cell r="B11954">
            <v>14.75</v>
          </cell>
        </row>
        <row r="11955">
          <cell r="A11955">
            <v>1500016184</v>
          </cell>
          <cell r="B11955">
            <v>43.341666666666697</v>
          </cell>
        </row>
        <row r="11956">
          <cell r="A11956">
            <v>1500016185</v>
          </cell>
          <cell r="B11956">
            <v>39.5</v>
          </cell>
        </row>
        <row r="11957">
          <cell r="A11957">
            <v>1500016186</v>
          </cell>
          <cell r="B11957">
            <v>12.0833333333333</v>
          </cell>
        </row>
        <row r="11958">
          <cell r="A11958">
            <v>1500016187</v>
          </cell>
          <cell r="B11958">
            <v>21.5</v>
          </cell>
        </row>
        <row r="11959">
          <cell r="A11959">
            <v>1500016188</v>
          </cell>
          <cell r="B11959">
            <v>2.9166666666666701</v>
          </cell>
        </row>
        <row r="11960">
          <cell r="A11960">
            <v>1500016190</v>
          </cell>
          <cell r="B11960">
            <v>3.9166666666666701</v>
          </cell>
        </row>
        <row r="11961">
          <cell r="A11961">
            <v>1500016191</v>
          </cell>
          <cell r="B11961">
            <v>0</v>
          </cell>
        </row>
        <row r="11962">
          <cell r="A11962">
            <v>1500016192</v>
          </cell>
          <cell r="B11962">
            <v>13</v>
          </cell>
        </row>
        <row r="11963">
          <cell r="A11963">
            <v>1500016193</v>
          </cell>
          <cell r="B11963">
            <v>38.6666666666667</v>
          </cell>
        </row>
        <row r="11964">
          <cell r="A11964">
            <v>1500016194</v>
          </cell>
          <cell r="B11964">
            <v>355.64166666666699</v>
          </cell>
        </row>
        <row r="11965">
          <cell r="A11965">
            <v>1500016206</v>
          </cell>
          <cell r="B11965">
            <v>59.4583333333333</v>
          </cell>
        </row>
        <row r="11966">
          <cell r="A11966">
            <v>1500016207</v>
          </cell>
          <cell r="B11966">
            <v>47.3333333333333</v>
          </cell>
        </row>
        <row r="11967">
          <cell r="A11967">
            <v>1500016208</v>
          </cell>
          <cell r="B11967">
            <v>107.416666666667</v>
          </cell>
        </row>
        <row r="11968">
          <cell r="A11968">
            <v>1500016209</v>
          </cell>
          <cell r="B11968">
            <v>4.5</v>
          </cell>
        </row>
        <row r="11969">
          <cell r="A11969">
            <v>1500016210</v>
          </cell>
          <cell r="B11969">
            <v>4.6666666666666696</v>
          </cell>
        </row>
        <row r="11970">
          <cell r="A11970">
            <v>1500016211</v>
          </cell>
          <cell r="B11970">
            <v>8.9083333333333297</v>
          </cell>
        </row>
        <row r="11971">
          <cell r="A11971">
            <v>1500016212</v>
          </cell>
          <cell r="B11971">
            <v>47.866666666666703</v>
          </cell>
        </row>
        <row r="11972">
          <cell r="A11972">
            <v>1500016213</v>
          </cell>
          <cell r="B11972">
            <v>11.9</v>
          </cell>
        </row>
        <row r="11973">
          <cell r="A11973">
            <v>1500016268</v>
          </cell>
          <cell r="B11973">
            <v>5.4166666666666696</v>
          </cell>
        </row>
        <row r="11974">
          <cell r="A11974">
            <v>1500016269</v>
          </cell>
          <cell r="B11974">
            <v>0</v>
          </cell>
        </row>
        <row r="11975">
          <cell r="A11975">
            <v>1500016270</v>
          </cell>
          <cell r="B11975">
            <v>9.9583333333333304</v>
          </cell>
        </row>
        <row r="11976">
          <cell r="A11976">
            <v>1500016271</v>
          </cell>
          <cell r="B11976">
            <v>17.8333333333333</v>
          </cell>
        </row>
        <row r="11977">
          <cell r="A11977">
            <v>1500016272</v>
          </cell>
          <cell r="B11977">
            <v>0</v>
          </cell>
        </row>
        <row r="11978">
          <cell r="A11978">
            <v>1500016273</v>
          </cell>
          <cell r="B11978">
            <v>6.5833333333333304</v>
          </cell>
        </row>
        <row r="11979">
          <cell r="A11979">
            <v>1500016274</v>
          </cell>
          <cell r="B11979">
            <v>2.0833333333333299</v>
          </cell>
        </row>
        <row r="11980">
          <cell r="A11980">
            <v>1500016249</v>
          </cell>
          <cell r="B11980">
            <v>13.1666666666667</v>
          </cell>
        </row>
        <row r="11981">
          <cell r="A11981">
            <v>1500016294</v>
          </cell>
          <cell r="B11981">
            <v>2</v>
          </cell>
        </row>
        <row r="11982">
          <cell r="A11982">
            <v>1500016295</v>
          </cell>
          <cell r="B11982">
            <v>8.3333333333333304</v>
          </cell>
        </row>
        <row r="11983">
          <cell r="A11983">
            <v>1500016296</v>
          </cell>
          <cell r="B11983">
            <v>27.75</v>
          </cell>
        </row>
        <row r="11984">
          <cell r="A11984">
            <v>1500016297</v>
          </cell>
          <cell r="B11984">
            <v>25.8333333333333</v>
          </cell>
        </row>
        <row r="11985">
          <cell r="A11985">
            <v>1500016298</v>
          </cell>
          <cell r="B11985">
            <v>0</v>
          </cell>
        </row>
        <row r="11986">
          <cell r="A11986">
            <v>1500016299</v>
          </cell>
          <cell r="B11986">
            <v>0</v>
          </cell>
        </row>
        <row r="11987">
          <cell r="A11987">
            <v>1500016300</v>
          </cell>
          <cell r="B11987">
            <v>35.75</v>
          </cell>
        </row>
        <row r="11988">
          <cell r="A11988">
            <v>1500016301</v>
          </cell>
          <cell r="B11988">
            <v>4.25</v>
          </cell>
        </row>
        <row r="11989">
          <cell r="A11989">
            <v>1500016302</v>
          </cell>
          <cell r="B11989">
            <v>14.9166666666667</v>
          </cell>
        </row>
        <row r="11990">
          <cell r="A11990">
            <v>1500016303</v>
          </cell>
          <cell r="B11990">
            <v>118.666666666667</v>
          </cell>
        </row>
        <row r="11991">
          <cell r="A11991">
            <v>1500016331</v>
          </cell>
          <cell r="B11991">
            <v>6.3333333333333304</v>
          </cell>
        </row>
        <row r="11992">
          <cell r="A11992">
            <v>1500016332</v>
          </cell>
          <cell r="B11992">
            <v>23.2083333333333</v>
          </cell>
        </row>
        <row r="11993">
          <cell r="A11993">
            <v>1500016333</v>
          </cell>
          <cell r="B11993">
            <v>12.75</v>
          </cell>
        </row>
        <row r="11994">
          <cell r="A11994">
            <v>1500016334</v>
          </cell>
          <cell r="B11994">
            <v>50.733333333333299</v>
          </cell>
        </row>
        <row r="11995">
          <cell r="A11995">
            <v>1500016335</v>
          </cell>
          <cell r="B11995">
            <v>153.333333333333</v>
          </cell>
        </row>
        <row r="11996">
          <cell r="A11996">
            <v>1500016336</v>
          </cell>
          <cell r="B11996">
            <v>0</v>
          </cell>
        </row>
        <row r="11997">
          <cell r="A11997">
            <v>1500016337</v>
          </cell>
          <cell r="B11997">
            <v>64.683333333333294</v>
          </cell>
        </row>
        <row r="11998">
          <cell r="A11998">
            <v>1500016338</v>
          </cell>
          <cell r="B11998">
            <v>0</v>
          </cell>
        </row>
        <row r="11999">
          <cell r="A11999">
            <v>1500016339</v>
          </cell>
          <cell r="B11999">
            <v>0</v>
          </cell>
        </row>
        <row r="12000">
          <cell r="A12000">
            <v>1500016340</v>
          </cell>
          <cell r="B12000">
            <v>27.341666666666701</v>
          </cell>
        </row>
        <row r="12001">
          <cell r="A12001">
            <v>1500016341</v>
          </cell>
          <cell r="B12001">
            <v>2.3333333333333299</v>
          </cell>
        </row>
        <row r="12002">
          <cell r="A12002">
            <v>1500016342</v>
          </cell>
          <cell r="B12002">
            <v>0</v>
          </cell>
        </row>
        <row r="12003">
          <cell r="A12003">
            <v>1500016343</v>
          </cell>
          <cell r="B12003">
            <v>2.5</v>
          </cell>
        </row>
        <row r="12004">
          <cell r="A12004">
            <v>1500016344</v>
          </cell>
          <cell r="B12004">
            <v>0</v>
          </cell>
        </row>
        <row r="12005">
          <cell r="A12005">
            <v>1500016345</v>
          </cell>
          <cell r="B12005">
            <v>11.1666666666667</v>
          </cell>
        </row>
        <row r="12006">
          <cell r="A12006">
            <v>1500016346</v>
          </cell>
          <cell r="B12006">
            <v>42.3</v>
          </cell>
        </row>
        <row r="12007">
          <cell r="A12007">
            <v>1500016347</v>
          </cell>
          <cell r="B12007">
            <v>2.6666666666666701</v>
          </cell>
        </row>
        <row r="12008">
          <cell r="A12008">
            <v>1500016348</v>
          </cell>
          <cell r="B12008">
            <v>2.5</v>
          </cell>
        </row>
        <row r="12009">
          <cell r="A12009">
            <v>1500016349</v>
          </cell>
          <cell r="B12009">
            <v>0</v>
          </cell>
        </row>
        <row r="12010">
          <cell r="A12010">
            <v>1500016350</v>
          </cell>
          <cell r="B12010">
            <v>0</v>
          </cell>
        </row>
        <row r="12011">
          <cell r="A12011">
            <v>1500016410</v>
          </cell>
          <cell r="B12011">
            <v>0</v>
          </cell>
        </row>
        <row r="12012">
          <cell r="A12012">
            <v>1500016411</v>
          </cell>
          <cell r="B12012">
            <v>45.05</v>
          </cell>
        </row>
        <row r="12013">
          <cell r="A12013">
            <v>1500016383</v>
          </cell>
          <cell r="B12013">
            <v>25.1666666666667</v>
          </cell>
        </row>
        <row r="12014">
          <cell r="A12014">
            <v>1500016384</v>
          </cell>
          <cell r="B12014">
            <v>41.766666666666701</v>
          </cell>
        </row>
        <row r="12015">
          <cell r="A12015">
            <v>1500016385</v>
          </cell>
          <cell r="B12015">
            <v>34.1666666666667</v>
          </cell>
        </row>
        <row r="12016">
          <cell r="A12016">
            <v>1500016386</v>
          </cell>
          <cell r="B12016">
            <v>0</v>
          </cell>
        </row>
        <row r="12017">
          <cell r="A12017">
            <v>1500016387</v>
          </cell>
          <cell r="B12017">
            <v>0</v>
          </cell>
        </row>
        <row r="12018">
          <cell r="A12018">
            <v>1500016388</v>
          </cell>
          <cell r="B12018">
            <v>33.3333333333333</v>
          </cell>
        </row>
        <row r="12019">
          <cell r="A12019">
            <v>1500016441</v>
          </cell>
          <cell r="B12019">
            <v>19.8333333333333</v>
          </cell>
        </row>
        <row r="12020">
          <cell r="A12020">
            <v>1500016442</v>
          </cell>
          <cell r="B12020">
            <v>0</v>
          </cell>
        </row>
        <row r="12021">
          <cell r="A12021">
            <v>1500016443</v>
          </cell>
          <cell r="B12021">
            <v>16.3333333333333</v>
          </cell>
        </row>
        <row r="12022">
          <cell r="A12022">
            <v>1500016444</v>
          </cell>
          <cell r="B12022">
            <v>0</v>
          </cell>
        </row>
        <row r="12023">
          <cell r="A12023">
            <v>1500016445</v>
          </cell>
          <cell r="B12023">
            <v>0</v>
          </cell>
        </row>
        <row r="12024">
          <cell r="A12024">
            <v>1500016446</v>
          </cell>
          <cell r="B12024">
            <v>0</v>
          </cell>
        </row>
        <row r="12025">
          <cell r="A12025">
            <v>1500016474</v>
          </cell>
          <cell r="B12025">
            <v>14.841666666666701</v>
          </cell>
        </row>
        <row r="12026">
          <cell r="A12026">
            <v>1500016475</v>
          </cell>
          <cell r="B12026">
            <v>0</v>
          </cell>
        </row>
        <row r="12027">
          <cell r="A12027">
            <v>1500016476</v>
          </cell>
          <cell r="B12027">
            <v>0</v>
          </cell>
        </row>
        <row r="12028">
          <cell r="A12028">
            <v>1500016477</v>
          </cell>
          <cell r="B12028">
            <v>9.8333333333333304</v>
          </cell>
        </row>
        <row r="12029">
          <cell r="A12029">
            <v>1500016478</v>
          </cell>
          <cell r="B12029">
            <v>46.6666666666667</v>
          </cell>
        </row>
        <row r="12030">
          <cell r="A12030">
            <v>1500016479</v>
          </cell>
          <cell r="B12030">
            <v>318.33333333333297</v>
          </cell>
        </row>
        <row r="12031">
          <cell r="A12031">
            <v>1500016480</v>
          </cell>
          <cell r="B12031">
            <v>0</v>
          </cell>
        </row>
        <row r="12032">
          <cell r="A12032">
            <v>1500016520</v>
          </cell>
          <cell r="B12032">
            <v>21.233333333333299</v>
          </cell>
        </row>
        <row r="12033">
          <cell r="A12033">
            <v>1500016521</v>
          </cell>
          <cell r="B12033">
            <v>1.25</v>
          </cell>
        </row>
        <row r="12034">
          <cell r="A12034">
            <v>1500016522</v>
          </cell>
          <cell r="B12034">
            <v>25.7083333333333</v>
          </cell>
        </row>
        <row r="12035">
          <cell r="A12035">
            <v>1500016524</v>
          </cell>
          <cell r="B12035">
            <v>195.59166666666701</v>
          </cell>
        </row>
        <row r="12036">
          <cell r="A12036">
            <v>1500016525</v>
          </cell>
          <cell r="B12036">
            <v>158.25</v>
          </cell>
        </row>
        <row r="12037">
          <cell r="A12037">
            <v>1500016526</v>
          </cell>
          <cell r="B12037">
            <v>22.0833333333333</v>
          </cell>
        </row>
        <row r="12038">
          <cell r="A12038">
            <v>1500016527</v>
          </cell>
          <cell r="B12038">
            <v>67.375</v>
          </cell>
        </row>
        <row r="12039">
          <cell r="A12039">
            <v>1500016528</v>
          </cell>
          <cell r="B12039">
            <v>0</v>
          </cell>
        </row>
        <row r="12040">
          <cell r="A12040">
            <v>1500016529</v>
          </cell>
          <cell r="B12040">
            <v>0</v>
          </cell>
        </row>
        <row r="12041">
          <cell r="A12041">
            <v>1500016530</v>
          </cell>
          <cell r="B12041">
            <v>47.9166666666667</v>
          </cell>
        </row>
        <row r="12042">
          <cell r="A12042">
            <v>1500016531</v>
          </cell>
          <cell r="B12042">
            <v>26.6666666666667</v>
          </cell>
        </row>
        <row r="12043">
          <cell r="A12043">
            <v>1500016532</v>
          </cell>
          <cell r="B12043">
            <v>44.683333333333302</v>
          </cell>
        </row>
        <row r="12044">
          <cell r="A12044">
            <v>1500016571</v>
          </cell>
          <cell r="B12044">
            <v>3.3333333333333299</v>
          </cell>
        </row>
        <row r="12045">
          <cell r="A12045">
            <v>1500016572</v>
          </cell>
          <cell r="B12045">
            <v>126.833333333333</v>
          </cell>
        </row>
        <row r="12046">
          <cell r="A12046">
            <v>1500016573</v>
          </cell>
          <cell r="B12046">
            <v>0</v>
          </cell>
        </row>
        <row r="12047">
          <cell r="A12047">
            <v>1500016574</v>
          </cell>
          <cell r="B12047">
            <v>87.525000000000006</v>
          </cell>
        </row>
        <row r="12048">
          <cell r="A12048">
            <v>1500016575</v>
          </cell>
          <cell r="B12048">
            <v>39.8333333333333</v>
          </cell>
        </row>
        <row r="12049">
          <cell r="A12049">
            <v>1500016576</v>
          </cell>
          <cell r="B12049">
            <v>0</v>
          </cell>
        </row>
        <row r="12050">
          <cell r="A12050">
            <v>1500016577</v>
          </cell>
          <cell r="B12050">
            <v>25.6666666666667</v>
          </cell>
        </row>
        <row r="12051">
          <cell r="A12051">
            <v>1500016578</v>
          </cell>
          <cell r="B12051">
            <v>0</v>
          </cell>
        </row>
        <row r="12052">
          <cell r="A12052">
            <v>1500016579</v>
          </cell>
          <cell r="B12052">
            <v>53.825000000000003</v>
          </cell>
        </row>
        <row r="12053">
          <cell r="A12053">
            <v>1500016580</v>
          </cell>
          <cell r="B12053">
            <v>60.8333333333333</v>
          </cell>
        </row>
        <row r="12054">
          <cell r="A12054">
            <v>1500016581</v>
          </cell>
          <cell r="B12054">
            <v>52.6666666666667</v>
          </cell>
        </row>
        <row r="12055">
          <cell r="A12055">
            <v>1500016582</v>
          </cell>
          <cell r="B12055">
            <v>19.5</v>
          </cell>
        </row>
        <row r="12056">
          <cell r="A12056">
            <v>1500016588</v>
          </cell>
          <cell r="B12056">
            <v>0</v>
          </cell>
        </row>
        <row r="12057">
          <cell r="A12057">
            <v>1500016616</v>
          </cell>
          <cell r="B12057">
            <v>0</v>
          </cell>
        </row>
        <row r="12058">
          <cell r="A12058">
            <v>1500016617</v>
          </cell>
          <cell r="B12058">
            <v>0</v>
          </cell>
        </row>
        <row r="12059">
          <cell r="A12059">
            <v>1500016618</v>
          </cell>
          <cell r="B12059">
            <v>0</v>
          </cell>
        </row>
        <row r="12060">
          <cell r="A12060">
            <v>1500016619</v>
          </cell>
          <cell r="B12060">
            <v>38.0833333333333</v>
          </cell>
        </row>
        <row r="12061">
          <cell r="A12061">
            <v>1500016620</v>
          </cell>
          <cell r="B12061">
            <v>3.75</v>
          </cell>
        </row>
        <row r="12062">
          <cell r="A12062">
            <v>1500016621</v>
          </cell>
          <cell r="B12062">
            <v>0</v>
          </cell>
        </row>
        <row r="12063">
          <cell r="A12063">
            <v>1500016622</v>
          </cell>
          <cell r="B12063">
            <v>8.875</v>
          </cell>
        </row>
        <row r="12064">
          <cell r="A12064">
            <v>1500016623</v>
          </cell>
          <cell r="B12064">
            <v>7.9166666666666696</v>
          </cell>
        </row>
        <row r="12065">
          <cell r="A12065">
            <v>1500016624</v>
          </cell>
          <cell r="B12065">
            <v>13.3333333333333</v>
          </cell>
        </row>
        <row r="12066">
          <cell r="A12066">
            <v>1500016625</v>
          </cell>
          <cell r="B12066">
            <v>0</v>
          </cell>
        </row>
        <row r="12067">
          <cell r="A12067">
            <v>1500016626</v>
          </cell>
          <cell r="B12067">
            <v>223</v>
          </cell>
        </row>
        <row r="12068">
          <cell r="A12068">
            <v>1500016627</v>
          </cell>
          <cell r="B12068">
            <v>0</v>
          </cell>
        </row>
        <row r="12069">
          <cell r="A12069">
            <v>1500016628</v>
          </cell>
          <cell r="B12069">
            <v>12.5</v>
          </cell>
        </row>
        <row r="12070">
          <cell r="A12070">
            <v>1500016629</v>
          </cell>
          <cell r="B12070">
            <v>59.258333333333297</v>
          </cell>
        </row>
        <row r="12071">
          <cell r="A12071">
            <v>1500016630</v>
          </cell>
          <cell r="B12071">
            <v>59.6666666666667</v>
          </cell>
        </row>
        <row r="12072">
          <cell r="A12072">
            <v>1500016631</v>
          </cell>
          <cell r="B12072">
            <v>31.158333333333299</v>
          </cell>
        </row>
        <row r="12073">
          <cell r="A12073">
            <v>1500016632</v>
          </cell>
          <cell r="B12073">
            <v>37.5</v>
          </cell>
        </row>
        <row r="12074">
          <cell r="A12074">
            <v>1500016633</v>
          </cell>
          <cell r="B12074">
            <v>4.6666666666666696</v>
          </cell>
        </row>
        <row r="12075">
          <cell r="A12075">
            <v>1500016657</v>
          </cell>
          <cell r="B12075">
            <v>0</v>
          </cell>
        </row>
        <row r="12076">
          <cell r="A12076">
            <v>1500016658</v>
          </cell>
          <cell r="B12076">
            <v>28.5833333333333</v>
          </cell>
        </row>
        <row r="12077">
          <cell r="A12077">
            <v>1500016659</v>
          </cell>
          <cell r="B12077">
            <v>0</v>
          </cell>
        </row>
        <row r="12078">
          <cell r="A12078">
            <v>1500016660</v>
          </cell>
          <cell r="B12078">
            <v>0</v>
          </cell>
        </row>
        <row r="12079">
          <cell r="A12079">
            <v>1500016681</v>
          </cell>
          <cell r="B12079">
            <v>8.3333333333333304</v>
          </cell>
        </row>
        <row r="12080">
          <cell r="A12080">
            <v>1500016682</v>
          </cell>
          <cell r="B12080">
            <v>0</v>
          </cell>
        </row>
        <row r="12081">
          <cell r="A12081">
            <v>1500016683</v>
          </cell>
          <cell r="B12081">
            <v>17.5833333333333</v>
          </cell>
        </row>
        <row r="12082">
          <cell r="A12082">
            <v>1500016684</v>
          </cell>
          <cell r="B12082">
            <v>0</v>
          </cell>
        </row>
        <row r="12083">
          <cell r="A12083">
            <v>1500016685</v>
          </cell>
          <cell r="B12083">
            <v>0</v>
          </cell>
        </row>
        <row r="12084">
          <cell r="A12084">
            <v>1500016709</v>
          </cell>
          <cell r="B12084">
            <v>0</v>
          </cell>
        </row>
        <row r="12085">
          <cell r="A12085">
            <v>1500016710</v>
          </cell>
          <cell r="B12085">
            <v>14.25</v>
          </cell>
        </row>
        <row r="12086">
          <cell r="A12086">
            <v>1500016711</v>
          </cell>
          <cell r="B12086">
            <v>0</v>
          </cell>
        </row>
        <row r="12087">
          <cell r="A12087">
            <v>1500016712</v>
          </cell>
          <cell r="B12087">
            <v>41.5416666666667</v>
          </cell>
        </row>
        <row r="12088">
          <cell r="A12088">
            <v>1500016713</v>
          </cell>
          <cell r="B12088">
            <v>2.9166666666666701</v>
          </cell>
        </row>
        <row r="12089">
          <cell r="A12089">
            <v>1500016715</v>
          </cell>
          <cell r="B12089">
            <v>0</v>
          </cell>
        </row>
        <row r="12090">
          <cell r="A12090">
            <v>1500016716</v>
          </cell>
          <cell r="B12090">
            <v>214.166666666667</v>
          </cell>
        </row>
        <row r="12091">
          <cell r="A12091">
            <v>1500016717</v>
          </cell>
          <cell r="B12091">
            <v>0</v>
          </cell>
        </row>
        <row r="12092">
          <cell r="A12092">
            <v>1500016718</v>
          </cell>
          <cell r="B12092">
            <v>0</v>
          </cell>
        </row>
        <row r="12093">
          <cell r="A12093">
            <v>1500016719</v>
          </cell>
          <cell r="B12093">
            <v>92</v>
          </cell>
        </row>
        <row r="12094">
          <cell r="A12094">
            <v>1500016766</v>
          </cell>
          <cell r="B12094">
            <v>38.558333333333302</v>
          </cell>
        </row>
        <row r="12095">
          <cell r="A12095">
            <v>1500016767</v>
          </cell>
          <cell r="B12095">
            <v>1.6666666666666701</v>
          </cell>
        </row>
        <row r="12096">
          <cell r="A12096">
            <v>1500016768</v>
          </cell>
          <cell r="B12096">
            <v>19.9166666666667</v>
          </cell>
        </row>
        <row r="12097">
          <cell r="A12097">
            <v>1500016769</v>
          </cell>
          <cell r="B12097">
            <v>0</v>
          </cell>
        </row>
        <row r="12098">
          <cell r="A12098">
            <v>1500016770</v>
          </cell>
          <cell r="B12098">
            <v>37.4166666666667</v>
          </cell>
        </row>
        <row r="12099">
          <cell r="A12099">
            <v>1500016771</v>
          </cell>
          <cell r="B12099">
            <v>11.2083333333333</v>
          </cell>
        </row>
        <row r="12100">
          <cell r="A12100">
            <v>1500016772</v>
          </cell>
          <cell r="B12100">
            <v>25.5</v>
          </cell>
        </row>
        <row r="12101">
          <cell r="A12101">
            <v>1500016773</v>
          </cell>
          <cell r="B12101">
            <v>5.8333333333333304</v>
          </cell>
        </row>
        <row r="12102">
          <cell r="A12102">
            <v>1500016774</v>
          </cell>
          <cell r="B12102">
            <v>47.25</v>
          </cell>
        </row>
        <row r="12103">
          <cell r="A12103">
            <v>1500016775</v>
          </cell>
          <cell r="B12103">
            <v>0</v>
          </cell>
        </row>
        <row r="12104">
          <cell r="A12104">
            <v>1500016776</v>
          </cell>
          <cell r="B12104">
            <v>563.25</v>
          </cell>
        </row>
        <row r="12105">
          <cell r="A12105">
            <v>1500016783</v>
          </cell>
          <cell r="B12105">
            <v>0</v>
          </cell>
        </row>
        <row r="12106">
          <cell r="A12106">
            <v>1500016784</v>
          </cell>
          <cell r="B12106">
            <v>66.625</v>
          </cell>
        </row>
        <row r="12107">
          <cell r="A12107">
            <v>1500016785</v>
          </cell>
          <cell r="B12107">
            <v>89.933333333333294</v>
          </cell>
        </row>
        <row r="12108">
          <cell r="A12108">
            <v>1500016786</v>
          </cell>
          <cell r="B12108">
            <v>0</v>
          </cell>
        </row>
        <row r="12109">
          <cell r="A12109">
            <v>1500016812</v>
          </cell>
          <cell r="B12109">
            <v>46</v>
          </cell>
        </row>
        <row r="12110">
          <cell r="A12110">
            <v>1500016813</v>
          </cell>
          <cell r="B12110">
            <v>2.0166666666666702</v>
          </cell>
        </row>
        <row r="12111">
          <cell r="A12111">
            <v>1500016814</v>
          </cell>
          <cell r="B12111">
            <v>28.0833333333333</v>
          </cell>
        </row>
        <row r="12112">
          <cell r="A12112">
            <v>1500016815</v>
          </cell>
          <cell r="B12112">
            <v>4.1666666666666696</v>
          </cell>
        </row>
        <row r="12113">
          <cell r="A12113">
            <v>1500016816</v>
          </cell>
          <cell r="B12113">
            <v>25.9166666666667</v>
          </cell>
        </row>
        <row r="12114">
          <cell r="A12114">
            <v>1500016817</v>
          </cell>
          <cell r="B12114">
            <v>28.533333333333299</v>
          </cell>
        </row>
        <row r="12115">
          <cell r="A12115">
            <v>1500016819</v>
          </cell>
          <cell r="B12115">
            <v>31.25</v>
          </cell>
        </row>
        <row r="12116">
          <cell r="A12116">
            <v>1500016820</v>
          </cell>
          <cell r="B12116">
            <v>20.0833333333333</v>
          </cell>
        </row>
        <row r="12117">
          <cell r="A12117">
            <v>1500016821</v>
          </cell>
          <cell r="B12117">
            <v>4.1666666666666696</v>
          </cell>
        </row>
        <row r="12118">
          <cell r="A12118">
            <v>1500016822</v>
          </cell>
          <cell r="B12118">
            <v>273.566666666667</v>
          </cell>
        </row>
        <row r="12119">
          <cell r="A12119">
            <v>1500016823</v>
          </cell>
          <cell r="B12119">
            <v>246.60833333333301</v>
          </cell>
        </row>
        <row r="12120">
          <cell r="A12120">
            <v>1500016829</v>
          </cell>
          <cell r="B12120">
            <v>0</v>
          </cell>
        </row>
        <row r="12121">
          <cell r="A12121">
            <v>1500016824</v>
          </cell>
          <cell r="B12121">
            <v>104.658333333333</v>
          </cell>
        </row>
        <row r="12122">
          <cell r="A12122">
            <v>1500016825</v>
          </cell>
          <cell r="B12122">
            <v>17.4166666666667</v>
          </cell>
        </row>
        <row r="12123">
          <cell r="A12123">
            <v>1500016826</v>
          </cell>
          <cell r="B12123">
            <v>5.8333333333333304</v>
          </cell>
        </row>
        <row r="12124">
          <cell r="A12124">
            <v>1500016827</v>
          </cell>
          <cell r="B12124">
            <v>0</v>
          </cell>
        </row>
        <row r="12125">
          <cell r="A12125">
            <v>1500016849</v>
          </cell>
          <cell r="B12125">
            <v>0</v>
          </cell>
        </row>
        <row r="12126">
          <cell r="A12126">
            <v>1500016883</v>
          </cell>
          <cell r="B12126">
            <v>14.5833333333333</v>
          </cell>
        </row>
        <row r="12127">
          <cell r="A12127">
            <v>1500016884</v>
          </cell>
          <cell r="B12127">
            <v>12.9166666666667</v>
          </cell>
        </row>
        <row r="12128">
          <cell r="A12128">
            <v>1500016886</v>
          </cell>
          <cell r="B12128">
            <v>6.8333333333333304</v>
          </cell>
        </row>
        <row r="12129">
          <cell r="A12129">
            <v>1500016885</v>
          </cell>
          <cell r="B12129">
            <v>49.975000000000001</v>
          </cell>
        </row>
        <row r="12130">
          <cell r="A12130">
            <v>1500016929</v>
          </cell>
          <cell r="B12130">
            <v>29.75</v>
          </cell>
        </row>
        <row r="12131">
          <cell r="A12131">
            <v>1500016933</v>
          </cell>
          <cell r="B12131">
            <v>3.1666666666666701</v>
          </cell>
        </row>
        <row r="12132">
          <cell r="A12132">
            <v>1500016941</v>
          </cell>
          <cell r="B12132">
            <v>0</v>
          </cell>
        </row>
        <row r="12133">
          <cell r="A12133">
            <v>1500016942</v>
          </cell>
          <cell r="B12133">
            <v>7.5833333333333304</v>
          </cell>
        </row>
        <row r="12134">
          <cell r="A12134">
            <v>1500016943</v>
          </cell>
          <cell r="B12134">
            <v>0</v>
          </cell>
        </row>
        <row r="12135">
          <cell r="A12135">
            <v>1500016931</v>
          </cell>
          <cell r="B12135">
            <v>13.3333333333333</v>
          </cell>
        </row>
        <row r="12136">
          <cell r="A12136">
            <v>1500016967</v>
          </cell>
          <cell r="B12136">
            <v>59.3333333333333</v>
          </cell>
        </row>
        <row r="12137">
          <cell r="A12137">
            <v>1500016969</v>
          </cell>
          <cell r="B12137">
            <v>52.016666666666701</v>
          </cell>
        </row>
        <row r="12138">
          <cell r="A12138">
            <v>1500016971</v>
          </cell>
          <cell r="B12138">
            <v>19.3333333333333</v>
          </cell>
        </row>
        <row r="12139">
          <cell r="A12139">
            <v>1500016972</v>
          </cell>
          <cell r="B12139">
            <v>25.5</v>
          </cell>
        </row>
        <row r="12140">
          <cell r="A12140">
            <v>1500016996</v>
          </cell>
          <cell r="B12140">
            <v>149.333333333333</v>
          </cell>
        </row>
        <row r="12141">
          <cell r="A12141">
            <v>1500016997</v>
          </cell>
          <cell r="B12141">
            <v>64.25</v>
          </cell>
        </row>
        <row r="12142">
          <cell r="A12142">
            <v>1500017057</v>
          </cell>
          <cell r="B12142">
            <v>230.23333333333301</v>
          </cell>
        </row>
        <row r="12143">
          <cell r="A12143">
            <v>1500017058</v>
          </cell>
          <cell r="B12143">
            <v>33.6666666666667</v>
          </cell>
        </row>
        <row r="12144">
          <cell r="A12144">
            <v>1500017059</v>
          </cell>
          <cell r="B12144">
            <v>0</v>
          </cell>
        </row>
        <row r="12145">
          <cell r="A12145">
            <v>1500017060</v>
          </cell>
          <cell r="B12145">
            <v>0</v>
          </cell>
        </row>
        <row r="12146">
          <cell r="A12146">
            <v>1500017026</v>
          </cell>
          <cell r="B12146">
            <v>0</v>
          </cell>
        </row>
        <row r="12147">
          <cell r="A12147">
            <v>1500017027</v>
          </cell>
          <cell r="B12147">
            <v>26.8333333333333</v>
          </cell>
        </row>
        <row r="12148">
          <cell r="A12148">
            <v>1500017028</v>
          </cell>
          <cell r="B12148">
            <v>31.6666666666667</v>
          </cell>
        </row>
        <row r="12149">
          <cell r="A12149">
            <v>1500017050</v>
          </cell>
          <cell r="B12149">
            <v>12.9166666666667</v>
          </cell>
        </row>
        <row r="12150">
          <cell r="A12150">
            <v>1500017051</v>
          </cell>
          <cell r="B12150">
            <v>34.116666666666703</v>
          </cell>
        </row>
        <row r="12151">
          <cell r="A12151">
            <v>1500017052</v>
          </cell>
          <cell r="B12151">
            <v>23.75</v>
          </cell>
        </row>
        <row r="12152">
          <cell r="A12152">
            <v>1500017055</v>
          </cell>
          <cell r="B12152">
            <v>0</v>
          </cell>
        </row>
        <row r="12153">
          <cell r="A12153">
            <v>1500017067</v>
          </cell>
          <cell r="B12153">
            <v>129.75</v>
          </cell>
        </row>
        <row r="12154">
          <cell r="A12154">
            <v>1500017068</v>
          </cell>
          <cell r="B12154">
            <v>38.508333333333297</v>
          </cell>
        </row>
        <row r="12155">
          <cell r="A12155">
            <v>1500017072</v>
          </cell>
          <cell r="B12155">
            <v>299.16666666666703</v>
          </cell>
        </row>
        <row r="12156">
          <cell r="A12156">
            <v>1500016860</v>
          </cell>
          <cell r="B12156">
            <v>367.25</v>
          </cell>
        </row>
        <row r="12157">
          <cell r="A12157">
            <v>1500017091</v>
          </cell>
          <cell r="B12157">
            <v>9.8333333333333304</v>
          </cell>
        </row>
        <row r="12158">
          <cell r="A12158">
            <v>1500017092</v>
          </cell>
          <cell r="B12158">
            <v>7.7083333333333304</v>
          </cell>
        </row>
        <row r="12159">
          <cell r="A12159">
            <v>1500017109</v>
          </cell>
          <cell r="B12159">
            <v>26.25</v>
          </cell>
        </row>
        <row r="12160">
          <cell r="A12160">
            <v>1500017122</v>
          </cell>
          <cell r="B12160">
            <v>16</v>
          </cell>
        </row>
        <row r="12161">
          <cell r="A12161">
            <v>1500017123</v>
          </cell>
          <cell r="B12161">
            <v>31.8333333333333</v>
          </cell>
        </row>
        <row r="12162">
          <cell r="A12162">
            <v>1500017124</v>
          </cell>
          <cell r="B12162">
            <v>6.5</v>
          </cell>
        </row>
        <row r="12163">
          <cell r="A12163">
            <v>1500017134</v>
          </cell>
          <cell r="B12163">
            <v>58.8333333333333</v>
          </cell>
        </row>
        <row r="12164">
          <cell r="A12164">
            <v>1500017143</v>
          </cell>
          <cell r="B12164">
            <v>0</v>
          </cell>
        </row>
        <row r="12165">
          <cell r="A12165">
            <v>1500017144</v>
          </cell>
          <cell r="B12165">
            <v>14</v>
          </cell>
        </row>
        <row r="12166">
          <cell r="A12166">
            <v>1500017160</v>
          </cell>
          <cell r="B12166">
            <v>21.9166666666667</v>
          </cell>
        </row>
        <row r="12167">
          <cell r="A12167">
            <v>1500017153</v>
          </cell>
          <cell r="B12167">
            <v>0</v>
          </cell>
        </row>
        <row r="12168">
          <cell r="A12168">
            <v>1500017157</v>
          </cell>
          <cell r="B12168">
            <v>0</v>
          </cell>
        </row>
        <row r="12169">
          <cell r="A12169">
            <v>1500017158</v>
          </cell>
          <cell r="B12169">
            <v>9.4166666666666696</v>
          </cell>
        </row>
        <row r="12170">
          <cell r="A12170">
            <v>1500017159</v>
          </cell>
          <cell r="B12170">
            <v>27.55</v>
          </cell>
        </row>
        <row r="12171">
          <cell r="A12171">
            <v>1500017161</v>
          </cell>
          <cell r="B12171">
            <v>14.4166666666667</v>
          </cell>
        </row>
        <row r="12172">
          <cell r="A12172">
            <v>1500017162</v>
          </cell>
          <cell r="B12172">
            <v>32.5416666666667</v>
          </cell>
        </row>
        <row r="12173">
          <cell r="A12173">
            <v>1500017169</v>
          </cell>
          <cell r="B12173">
            <v>5.4166666666666696</v>
          </cell>
        </row>
        <row r="12174">
          <cell r="A12174">
            <v>1500017171</v>
          </cell>
          <cell r="B12174">
            <v>22.9166666666667</v>
          </cell>
        </row>
        <row r="12175">
          <cell r="A12175">
            <v>1500017172</v>
          </cell>
          <cell r="B12175">
            <v>15.125</v>
          </cell>
        </row>
        <row r="12176">
          <cell r="A12176">
            <v>1500017173</v>
          </cell>
          <cell r="B12176">
            <v>19.25</v>
          </cell>
        </row>
        <row r="12177">
          <cell r="A12177">
            <v>1500017178</v>
          </cell>
          <cell r="B12177">
            <v>13.5416666666667</v>
          </cell>
        </row>
        <row r="12178">
          <cell r="A12178">
            <v>1500017179</v>
          </cell>
          <cell r="B12178">
            <v>0</v>
          </cell>
        </row>
        <row r="12179">
          <cell r="A12179">
            <v>1500017180</v>
          </cell>
          <cell r="B12179">
            <v>1.6666666666666701</v>
          </cell>
        </row>
        <row r="12180">
          <cell r="A12180">
            <v>1500017181</v>
          </cell>
          <cell r="B12180">
            <v>9.5833333333333304</v>
          </cell>
        </row>
        <row r="12181">
          <cell r="A12181">
            <v>1500017183</v>
          </cell>
          <cell r="B12181">
            <v>36.1666666666667</v>
          </cell>
        </row>
        <row r="12182">
          <cell r="A12182">
            <v>1500017187</v>
          </cell>
          <cell r="B12182">
            <v>445.66666666666703</v>
          </cell>
        </row>
        <row r="12183">
          <cell r="A12183">
            <v>1500017192</v>
          </cell>
          <cell r="B12183">
            <v>47.6666666666667</v>
          </cell>
        </row>
        <row r="12184">
          <cell r="A12184">
            <v>1500017202</v>
          </cell>
          <cell r="B12184">
            <v>15.25</v>
          </cell>
        </row>
        <row r="12185">
          <cell r="A12185">
            <v>1500017121</v>
          </cell>
          <cell r="B12185">
            <v>173.566666666667</v>
          </cell>
        </row>
        <row r="12186">
          <cell r="A12186">
            <v>1500017212</v>
          </cell>
          <cell r="B12186">
            <v>172.666666666667</v>
          </cell>
        </row>
        <row r="12187">
          <cell r="A12187">
            <v>1500017213</v>
          </cell>
          <cell r="B12187">
            <v>6</v>
          </cell>
        </row>
        <row r="12188">
          <cell r="A12188">
            <v>1500017214</v>
          </cell>
          <cell r="B12188">
            <v>110</v>
          </cell>
        </row>
        <row r="12189">
          <cell r="A12189">
            <v>1500017225</v>
          </cell>
          <cell r="B12189">
            <v>9.6666666666666696</v>
          </cell>
        </row>
        <row r="12190">
          <cell r="A12190">
            <v>1500017226</v>
          </cell>
          <cell r="B12190">
            <v>24.8</v>
          </cell>
        </row>
        <row r="12191">
          <cell r="A12191">
            <v>1500017227</v>
          </cell>
          <cell r="B12191">
            <v>0</v>
          </cell>
        </row>
        <row r="12192">
          <cell r="A12192">
            <v>1500017233</v>
          </cell>
          <cell r="B12192">
            <v>33</v>
          </cell>
        </row>
        <row r="12193">
          <cell r="A12193">
            <v>1500017236</v>
          </cell>
          <cell r="B12193">
            <v>110</v>
          </cell>
        </row>
        <row r="12194">
          <cell r="A12194">
            <v>1500017238</v>
          </cell>
          <cell r="B12194">
            <v>0</v>
          </cell>
        </row>
        <row r="12195">
          <cell r="A12195">
            <v>1500017239</v>
          </cell>
          <cell r="B12195">
            <v>0</v>
          </cell>
        </row>
        <row r="12196">
          <cell r="A12196">
            <v>1500017241</v>
          </cell>
          <cell r="B12196">
            <v>0</v>
          </cell>
        </row>
        <row r="12197">
          <cell r="A12197">
            <v>1500017242</v>
          </cell>
          <cell r="B12197">
            <v>38.65</v>
          </cell>
        </row>
        <row r="12198">
          <cell r="A12198">
            <v>1500017252</v>
          </cell>
          <cell r="B12198">
            <v>22.4166666666667</v>
          </cell>
        </row>
        <row r="12199">
          <cell r="A12199">
            <v>1500017283</v>
          </cell>
          <cell r="B12199">
            <v>112.833333333333</v>
          </cell>
        </row>
        <row r="12200">
          <cell r="A12200">
            <v>1500017306</v>
          </cell>
          <cell r="B12200">
            <v>14.25</v>
          </cell>
        </row>
        <row r="12201">
          <cell r="A12201">
            <v>1500017309</v>
          </cell>
          <cell r="B12201">
            <v>14.1666666666667</v>
          </cell>
        </row>
        <row r="12202">
          <cell r="A12202">
            <v>1500017310</v>
          </cell>
          <cell r="B12202">
            <v>29.5833333333333</v>
          </cell>
        </row>
        <row r="12203">
          <cell r="A12203">
            <v>1500017323</v>
          </cell>
          <cell r="B12203">
            <v>14.5</v>
          </cell>
        </row>
        <row r="12204">
          <cell r="A12204">
            <v>1500017324</v>
          </cell>
          <cell r="B12204">
            <v>20</v>
          </cell>
        </row>
        <row r="12205">
          <cell r="A12205">
            <v>1500017329</v>
          </cell>
          <cell r="B12205">
            <v>16.3333333333333</v>
          </cell>
        </row>
        <row r="12206">
          <cell r="A12206">
            <v>1500017334</v>
          </cell>
          <cell r="B12206">
            <v>0</v>
          </cell>
        </row>
        <row r="12207">
          <cell r="A12207">
            <v>1500017336</v>
          </cell>
          <cell r="B12207">
            <v>53.1666666666667</v>
          </cell>
        </row>
        <row r="12208">
          <cell r="A12208">
            <v>1500017343</v>
          </cell>
          <cell r="B12208">
            <v>10</v>
          </cell>
        </row>
        <row r="12209">
          <cell r="A12209">
            <v>1500017349</v>
          </cell>
          <cell r="B12209">
            <v>21.75</v>
          </cell>
        </row>
        <row r="12210">
          <cell r="A12210">
            <v>1500017256</v>
          </cell>
          <cell r="B12210">
            <v>14.125</v>
          </cell>
        </row>
        <row r="12211">
          <cell r="A12211">
            <v>1500017257</v>
          </cell>
          <cell r="B12211">
            <v>0</v>
          </cell>
        </row>
        <row r="12212">
          <cell r="A12212">
            <v>1500017258</v>
          </cell>
          <cell r="B12212">
            <v>56.5</v>
          </cell>
        </row>
        <row r="12213">
          <cell r="A12213">
            <v>1500017280</v>
          </cell>
          <cell r="B12213">
            <v>25.7</v>
          </cell>
        </row>
        <row r="12214">
          <cell r="A12214">
            <v>1500017281</v>
          </cell>
          <cell r="B12214">
            <v>27.25</v>
          </cell>
        </row>
        <row r="12215">
          <cell r="A12215">
            <v>1500017272</v>
          </cell>
          <cell r="B12215">
            <v>10.3333333333333</v>
          </cell>
        </row>
        <row r="12216">
          <cell r="A12216">
            <v>1500017274</v>
          </cell>
          <cell r="B12216">
            <v>113.116666666667</v>
          </cell>
        </row>
        <row r="12217">
          <cell r="A12217">
            <v>1500017276</v>
          </cell>
          <cell r="B12217">
            <v>3.3333333333333299</v>
          </cell>
        </row>
        <row r="12218">
          <cell r="A12218">
            <v>1500017376</v>
          </cell>
          <cell r="B12218">
            <v>27.5</v>
          </cell>
        </row>
        <row r="12219">
          <cell r="A12219">
            <v>1500017377</v>
          </cell>
          <cell r="B12219">
            <v>35.8333333333333</v>
          </cell>
        </row>
        <row r="12220">
          <cell r="A12220">
            <v>1500017402</v>
          </cell>
          <cell r="B12220">
            <v>11.4166666666667</v>
          </cell>
        </row>
        <row r="12221">
          <cell r="A12221">
            <v>1500017366</v>
          </cell>
          <cell r="B12221">
            <v>0</v>
          </cell>
        </row>
        <row r="12222">
          <cell r="A12222">
            <v>1500017373</v>
          </cell>
          <cell r="B12222">
            <v>30</v>
          </cell>
        </row>
        <row r="12223">
          <cell r="A12223">
            <v>1500017404</v>
          </cell>
          <cell r="B12223">
            <v>22.3333333333333</v>
          </cell>
        </row>
        <row r="12224">
          <cell r="A12224">
            <v>1500017405</v>
          </cell>
          <cell r="B12224">
            <v>85.4166666666667</v>
          </cell>
        </row>
        <row r="12225">
          <cell r="A12225">
            <v>1500017408</v>
          </cell>
          <cell r="B12225">
            <v>14.6666666666667</v>
          </cell>
        </row>
        <row r="12226">
          <cell r="A12226">
            <v>1500017415</v>
          </cell>
          <cell r="B12226">
            <v>7.0833333333333304</v>
          </cell>
        </row>
        <row r="12227">
          <cell r="A12227">
            <v>1500017419</v>
          </cell>
          <cell r="B12227">
            <v>37.633333333333297</v>
          </cell>
        </row>
        <row r="12228">
          <cell r="A12228">
            <v>1500017447</v>
          </cell>
          <cell r="B12228">
            <v>48.3333333333333</v>
          </cell>
        </row>
        <row r="12229">
          <cell r="A12229">
            <v>1500017462</v>
          </cell>
          <cell r="B12229">
            <v>21.8333333333333</v>
          </cell>
        </row>
        <row r="12230">
          <cell r="A12230">
            <v>1500017463</v>
          </cell>
          <cell r="B12230">
            <v>21.3333333333333</v>
          </cell>
        </row>
        <row r="12231">
          <cell r="A12231">
            <v>1500017468</v>
          </cell>
          <cell r="B12231">
            <v>21.625</v>
          </cell>
        </row>
        <row r="12232">
          <cell r="A12232">
            <v>1500017410</v>
          </cell>
          <cell r="B12232">
            <v>17.8333333333333</v>
          </cell>
        </row>
        <row r="12233">
          <cell r="A12233">
            <v>1500017426</v>
          </cell>
          <cell r="B12233">
            <v>63.3333333333333</v>
          </cell>
        </row>
        <row r="12234">
          <cell r="A12234">
            <v>1500017494</v>
          </cell>
          <cell r="B12234">
            <v>0</v>
          </cell>
        </row>
        <row r="12235">
          <cell r="A12235">
            <v>1500017495</v>
          </cell>
          <cell r="B12235">
            <v>10.6666666666667</v>
          </cell>
        </row>
        <row r="12236">
          <cell r="A12236">
            <v>1500017496</v>
          </cell>
          <cell r="B12236">
            <v>0</v>
          </cell>
        </row>
        <row r="12237">
          <cell r="A12237">
            <v>1500017497</v>
          </cell>
          <cell r="B12237">
            <v>26.3333333333333</v>
          </cell>
        </row>
        <row r="12238">
          <cell r="A12238">
            <v>1500017498</v>
          </cell>
          <cell r="B12238">
            <v>17.5</v>
          </cell>
        </row>
        <row r="12239">
          <cell r="A12239">
            <v>1500017499</v>
          </cell>
          <cell r="B12239">
            <v>43.3333333333333</v>
          </cell>
        </row>
        <row r="12240">
          <cell r="A12240">
            <v>1500017582</v>
          </cell>
          <cell r="B12240">
            <v>211.65833333333299</v>
          </cell>
        </row>
        <row r="12241">
          <cell r="A12241">
            <v>1500017594</v>
          </cell>
          <cell r="B12241">
            <v>3.3333333333333299</v>
          </cell>
        </row>
        <row r="12242">
          <cell r="A12242">
            <v>1500017598</v>
          </cell>
          <cell r="B12242">
            <v>2.0833333333333299</v>
          </cell>
        </row>
        <row r="12243">
          <cell r="A12243">
            <v>1500017599</v>
          </cell>
          <cell r="B12243">
            <v>4.6666666666666696</v>
          </cell>
        </row>
        <row r="12244">
          <cell r="A12244">
            <v>1500017600</v>
          </cell>
          <cell r="B12244">
            <v>9.75</v>
          </cell>
        </row>
        <row r="12245">
          <cell r="A12245">
            <v>1500017603</v>
          </cell>
          <cell r="B12245">
            <v>10.6666666666667</v>
          </cell>
        </row>
        <row r="12246">
          <cell r="A12246">
            <v>1500017605</v>
          </cell>
          <cell r="B12246">
            <v>7.6666666666666696</v>
          </cell>
        </row>
        <row r="12247">
          <cell r="A12247">
            <v>1500017606</v>
          </cell>
          <cell r="B12247">
            <v>36.3333333333333</v>
          </cell>
        </row>
        <row r="12248">
          <cell r="A12248">
            <v>1500017609</v>
          </cell>
          <cell r="B12248">
            <v>13.3333333333333</v>
          </cell>
        </row>
        <row r="12249">
          <cell r="A12249">
            <v>1500017567</v>
          </cell>
          <cell r="B12249">
            <v>168.75</v>
          </cell>
        </row>
        <row r="12250">
          <cell r="A12250">
            <v>1500017569</v>
          </cell>
          <cell r="B12250">
            <v>0</v>
          </cell>
        </row>
        <row r="12251">
          <cell r="A12251">
            <v>1500017579</v>
          </cell>
          <cell r="B12251">
            <v>104.333333333333</v>
          </cell>
        </row>
        <row r="12252">
          <cell r="A12252">
            <v>1500017580</v>
          </cell>
          <cell r="B12252">
            <v>20.6666666666667</v>
          </cell>
        </row>
        <row r="12253">
          <cell r="A12253">
            <v>1500017581</v>
          </cell>
          <cell r="B12253">
            <v>53.375</v>
          </cell>
        </row>
        <row r="12254">
          <cell r="A12254">
            <v>1500017612</v>
          </cell>
          <cell r="B12254">
            <v>0.41666666666666702</v>
          </cell>
        </row>
        <row r="12255">
          <cell r="A12255">
            <v>1500017616</v>
          </cell>
          <cell r="B12255">
            <v>0</v>
          </cell>
        </row>
        <row r="12256">
          <cell r="A12256">
            <v>1500017707</v>
          </cell>
          <cell r="B12256">
            <v>0</v>
          </cell>
        </row>
        <row r="12257">
          <cell r="A12257">
            <v>1500017708</v>
          </cell>
          <cell r="B12257">
            <v>19.8333333333333</v>
          </cell>
        </row>
        <row r="12258">
          <cell r="A12258">
            <v>1500017725</v>
          </cell>
          <cell r="B12258">
            <v>0</v>
          </cell>
        </row>
        <row r="12259">
          <cell r="A12259">
            <v>1500017738</v>
          </cell>
          <cell r="B12259">
            <v>41.5833333333333</v>
          </cell>
        </row>
        <row r="12260">
          <cell r="A12260">
            <v>1500017739</v>
          </cell>
          <cell r="B12260">
            <v>27.2916666666667</v>
          </cell>
        </row>
        <row r="12261">
          <cell r="A12261">
            <v>1500017740</v>
          </cell>
          <cell r="B12261">
            <v>10.75</v>
          </cell>
        </row>
        <row r="12262">
          <cell r="A12262">
            <v>1500017741</v>
          </cell>
          <cell r="B12262">
            <v>44.408333333333303</v>
          </cell>
        </row>
        <row r="12263">
          <cell r="A12263">
            <v>1500017742</v>
          </cell>
          <cell r="B12263">
            <v>45.1666666666667</v>
          </cell>
        </row>
        <row r="12264">
          <cell r="A12264">
            <v>1500017752</v>
          </cell>
          <cell r="B12264">
            <v>535.58333333333303</v>
          </cell>
        </row>
        <row r="12265">
          <cell r="A12265">
            <v>1500017754</v>
          </cell>
          <cell r="B12265">
            <v>34.5</v>
          </cell>
        </row>
        <row r="12266">
          <cell r="A12266">
            <v>1500017755</v>
          </cell>
          <cell r="B12266">
            <v>22.5</v>
          </cell>
        </row>
        <row r="12267">
          <cell r="A12267">
            <v>1500017756</v>
          </cell>
          <cell r="B12267">
            <v>22</v>
          </cell>
        </row>
        <row r="12268">
          <cell r="A12268">
            <v>1500017757</v>
          </cell>
          <cell r="B12268">
            <v>3.3333333333333299</v>
          </cell>
        </row>
        <row r="12269">
          <cell r="A12269">
            <v>1500017758</v>
          </cell>
          <cell r="B12269">
            <v>18.8333333333333</v>
          </cell>
        </row>
        <row r="12270">
          <cell r="A12270">
            <v>1500017759</v>
          </cell>
          <cell r="B12270">
            <v>0</v>
          </cell>
        </row>
        <row r="12271">
          <cell r="A12271">
            <v>1500017760</v>
          </cell>
          <cell r="B12271">
            <v>0</v>
          </cell>
        </row>
        <row r="12272">
          <cell r="A12272">
            <v>1500017761</v>
          </cell>
          <cell r="B12272">
            <v>48.116666666666703</v>
          </cell>
        </row>
        <row r="12273">
          <cell r="A12273">
            <v>1500017762</v>
          </cell>
          <cell r="B12273">
            <v>5.8333333333333304</v>
          </cell>
        </row>
        <row r="12274">
          <cell r="A12274">
            <v>1500017768</v>
          </cell>
          <cell r="B12274">
            <v>21.1666666666667</v>
          </cell>
        </row>
        <row r="12275">
          <cell r="A12275">
            <v>1500017769</v>
          </cell>
          <cell r="B12275">
            <v>16.6666666666667</v>
          </cell>
        </row>
        <row r="12276">
          <cell r="A12276">
            <v>1500017770</v>
          </cell>
          <cell r="B12276">
            <v>0</v>
          </cell>
        </row>
        <row r="12277">
          <cell r="A12277">
            <v>1500017771</v>
          </cell>
          <cell r="B12277">
            <v>40.8333333333333</v>
          </cell>
        </row>
        <row r="12278">
          <cell r="A12278">
            <v>1500017795</v>
          </cell>
          <cell r="B12278">
            <v>0</v>
          </cell>
        </row>
        <row r="12279">
          <cell r="A12279">
            <v>1500017802</v>
          </cell>
          <cell r="B12279">
            <v>6.6666666666666696</v>
          </cell>
        </row>
        <row r="12280">
          <cell r="A12280">
            <v>1500017818</v>
          </cell>
          <cell r="B12280">
            <v>21.3333333333333</v>
          </cell>
        </row>
        <row r="12281">
          <cell r="A12281">
            <v>1500017823</v>
          </cell>
          <cell r="B12281">
            <v>20.25</v>
          </cell>
        </row>
        <row r="12282">
          <cell r="A12282">
            <v>1500017826</v>
          </cell>
          <cell r="B12282">
            <v>15.3333333333333</v>
          </cell>
        </row>
        <row r="12283">
          <cell r="A12283">
            <v>1500017827</v>
          </cell>
          <cell r="B12283">
            <v>22.0833333333333</v>
          </cell>
        </row>
        <row r="12284">
          <cell r="A12284">
            <v>1500017847</v>
          </cell>
          <cell r="B12284">
            <v>9.75</v>
          </cell>
        </row>
        <row r="12285">
          <cell r="A12285">
            <v>1500017885</v>
          </cell>
          <cell r="B12285">
            <v>11.6666666666667</v>
          </cell>
        </row>
        <row r="12286">
          <cell r="A12286">
            <v>1500017886</v>
          </cell>
          <cell r="B12286">
            <v>10.5</v>
          </cell>
        </row>
        <row r="12287">
          <cell r="A12287">
            <v>1500017888</v>
          </cell>
          <cell r="B12287">
            <v>25.4166666666667</v>
          </cell>
        </row>
        <row r="12288">
          <cell r="A12288">
            <v>1500017889</v>
          </cell>
          <cell r="B12288">
            <v>5.1666666666666696</v>
          </cell>
        </row>
        <row r="12289">
          <cell r="A12289">
            <v>1500017903</v>
          </cell>
          <cell r="B12289">
            <v>19.3333333333333</v>
          </cell>
        </row>
        <row r="12290">
          <cell r="A12290">
            <v>1500017927</v>
          </cell>
          <cell r="B12290">
            <v>13.0833333333333</v>
          </cell>
        </row>
        <row r="12291">
          <cell r="A12291">
            <v>1500017933</v>
          </cell>
          <cell r="B12291">
            <v>18.850000000000001</v>
          </cell>
        </row>
        <row r="12292">
          <cell r="A12292">
            <v>1500017934</v>
          </cell>
          <cell r="B12292">
            <v>0</v>
          </cell>
        </row>
        <row r="12293">
          <cell r="A12293">
            <v>1500017935</v>
          </cell>
          <cell r="B12293">
            <v>7.9583333333333304</v>
          </cell>
        </row>
        <row r="12294">
          <cell r="A12294">
            <v>1500017936</v>
          </cell>
          <cell r="B12294">
            <v>21.25</v>
          </cell>
        </row>
        <row r="12295">
          <cell r="A12295">
            <v>1500017937</v>
          </cell>
          <cell r="B12295">
            <v>13.75</v>
          </cell>
        </row>
        <row r="12296">
          <cell r="A12296">
            <v>1500017908</v>
          </cell>
          <cell r="B12296">
            <v>66.1666666666667</v>
          </cell>
        </row>
        <row r="12297">
          <cell r="A12297">
            <v>1500017939</v>
          </cell>
          <cell r="B12297">
            <v>15.4166666666667</v>
          </cell>
        </row>
        <row r="12298">
          <cell r="A12298">
            <v>1500017940</v>
          </cell>
          <cell r="B12298">
            <v>9.1666666666666696</v>
          </cell>
        </row>
        <row r="12299">
          <cell r="A12299">
            <v>1500017941</v>
          </cell>
          <cell r="B12299">
            <v>7.25</v>
          </cell>
        </row>
        <row r="12300">
          <cell r="A12300">
            <v>1500017868</v>
          </cell>
          <cell r="B12300">
            <v>101.833333333333</v>
          </cell>
        </row>
        <row r="12301">
          <cell r="A12301">
            <v>1500017917</v>
          </cell>
          <cell r="B12301">
            <v>0</v>
          </cell>
        </row>
        <row r="12302">
          <cell r="A12302">
            <v>1500017920</v>
          </cell>
          <cell r="B12302">
            <v>39.5</v>
          </cell>
        </row>
        <row r="12303">
          <cell r="A12303">
            <v>1500017921</v>
          </cell>
          <cell r="B12303">
            <v>12.6666666666667</v>
          </cell>
        </row>
        <row r="12304">
          <cell r="A12304">
            <v>1500017922</v>
          </cell>
          <cell r="B12304">
            <v>17</v>
          </cell>
        </row>
        <row r="12305">
          <cell r="A12305">
            <v>1500017946</v>
          </cell>
          <cell r="B12305">
            <v>37.0833333333333</v>
          </cell>
        </row>
        <row r="12306">
          <cell r="A12306">
            <v>1500017947</v>
          </cell>
          <cell r="B12306">
            <v>1.6666666666666701</v>
          </cell>
        </row>
        <row r="12307">
          <cell r="A12307">
            <v>1500017948</v>
          </cell>
          <cell r="B12307">
            <v>43.341666666666697</v>
          </cell>
        </row>
        <row r="12308">
          <cell r="A12308">
            <v>1500017950</v>
          </cell>
          <cell r="B12308">
            <v>0</v>
          </cell>
        </row>
        <row r="12309">
          <cell r="A12309">
            <v>1500017963</v>
          </cell>
          <cell r="B12309">
            <v>0</v>
          </cell>
        </row>
        <row r="12310">
          <cell r="A12310">
            <v>1500017992</v>
          </cell>
          <cell r="B12310">
            <v>8.3333333333333304</v>
          </cell>
        </row>
        <row r="12311">
          <cell r="A12311">
            <v>1500017993</v>
          </cell>
          <cell r="B12311">
            <v>15.5416666666667</v>
          </cell>
        </row>
        <row r="12312">
          <cell r="A12312">
            <v>1500017996</v>
          </cell>
          <cell r="B12312">
            <v>0</v>
          </cell>
        </row>
        <row r="12313">
          <cell r="A12313">
            <v>1500017943</v>
          </cell>
          <cell r="B12313">
            <v>206.25</v>
          </cell>
        </row>
        <row r="12314">
          <cell r="A12314">
            <v>1500017971</v>
          </cell>
          <cell r="B12314">
            <v>0</v>
          </cell>
        </row>
        <row r="12315">
          <cell r="A12315">
            <v>1500017988</v>
          </cell>
          <cell r="B12315">
            <v>8.1666666666666696</v>
          </cell>
        </row>
        <row r="12316">
          <cell r="A12316">
            <v>1500018003</v>
          </cell>
          <cell r="B12316">
            <v>0</v>
          </cell>
        </row>
        <row r="12317">
          <cell r="A12317">
            <v>1500018004</v>
          </cell>
          <cell r="B12317">
            <v>541.83333333333303</v>
          </cell>
        </row>
        <row r="12318">
          <cell r="A12318">
            <v>1500018006</v>
          </cell>
          <cell r="B12318">
            <v>11.3333333333333</v>
          </cell>
        </row>
        <row r="12319">
          <cell r="A12319">
            <v>1500018007</v>
          </cell>
          <cell r="B12319">
            <v>27.5</v>
          </cell>
        </row>
        <row r="12320">
          <cell r="A12320">
            <v>1500018008</v>
          </cell>
          <cell r="B12320">
            <v>18.3333333333333</v>
          </cell>
        </row>
        <row r="12321">
          <cell r="A12321">
            <v>1500018015</v>
          </cell>
          <cell r="B12321">
            <v>123.958333333333</v>
          </cell>
        </row>
        <row r="12322">
          <cell r="A12322">
            <v>1500018025</v>
          </cell>
          <cell r="B12322">
            <v>3.75</v>
          </cell>
        </row>
        <row r="12323">
          <cell r="A12323">
            <v>1500018026</v>
          </cell>
          <cell r="B12323">
            <v>19.9166666666667</v>
          </cell>
        </row>
        <row r="12324">
          <cell r="A12324">
            <v>1500018027</v>
          </cell>
          <cell r="B12324">
            <v>45.575000000000003</v>
          </cell>
        </row>
        <row r="12325">
          <cell r="A12325">
            <v>1500018028</v>
          </cell>
          <cell r="B12325">
            <v>11.8333333333333</v>
          </cell>
        </row>
        <row r="12326">
          <cell r="A12326">
            <v>1500018062</v>
          </cell>
          <cell r="B12326">
            <v>0</v>
          </cell>
        </row>
        <row r="12327">
          <cell r="A12327">
            <v>1500018076</v>
          </cell>
          <cell r="B12327">
            <v>15.6666666666667</v>
          </cell>
        </row>
        <row r="12328">
          <cell r="A12328">
            <v>1500018077</v>
          </cell>
          <cell r="B12328">
            <v>12.658333333333299</v>
          </cell>
        </row>
        <row r="12329">
          <cell r="A12329">
            <v>1500018092</v>
          </cell>
          <cell r="B12329">
            <v>7.5416666666666696</v>
          </cell>
        </row>
        <row r="12330">
          <cell r="A12330">
            <v>1500018093</v>
          </cell>
          <cell r="B12330">
            <v>42.2916666666667</v>
          </cell>
        </row>
        <row r="12331">
          <cell r="A12331">
            <v>1500018099</v>
          </cell>
          <cell r="B12331">
            <v>56.5833333333333</v>
          </cell>
        </row>
        <row r="12332">
          <cell r="A12332">
            <v>1500018088</v>
          </cell>
          <cell r="B12332">
            <v>113.033333333333</v>
          </cell>
        </row>
        <row r="12333">
          <cell r="A12333">
            <v>1500018089</v>
          </cell>
          <cell r="B12333">
            <v>44.4166666666667</v>
          </cell>
        </row>
        <row r="12334">
          <cell r="A12334">
            <v>1500018119</v>
          </cell>
          <cell r="B12334">
            <v>18.3333333333333</v>
          </cell>
        </row>
        <row r="12335">
          <cell r="A12335">
            <v>1500018130</v>
          </cell>
          <cell r="B12335">
            <v>109.491666666667</v>
          </cell>
        </row>
        <row r="12336">
          <cell r="A12336">
            <v>1500018135</v>
          </cell>
          <cell r="B12336">
            <v>65.6666666666667</v>
          </cell>
        </row>
        <row r="12337">
          <cell r="A12337">
            <v>1500018173</v>
          </cell>
          <cell r="B12337">
            <v>63.866666666666703</v>
          </cell>
        </row>
        <row r="12338">
          <cell r="A12338">
            <v>1500018177</v>
          </cell>
          <cell r="B12338">
            <v>30.7916666666667</v>
          </cell>
        </row>
        <row r="12339">
          <cell r="A12339">
            <v>1500018178</v>
          </cell>
          <cell r="B12339">
            <v>9.1666666666666696</v>
          </cell>
        </row>
        <row r="12340">
          <cell r="A12340">
            <v>1500018170</v>
          </cell>
          <cell r="B12340">
            <v>47.875</v>
          </cell>
        </row>
        <row r="12341">
          <cell r="A12341">
            <v>1500018171</v>
          </cell>
          <cell r="B12341">
            <v>2.9583333333333299</v>
          </cell>
        </row>
        <row r="12342">
          <cell r="A12342">
            <v>1500018182</v>
          </cell>
          <cell r="B12342">
            <v>7</v>
          </cell>
        </row>
        <row r="12343">
          <cell r="A12343">
            <v>1500018207</v>
          </cell>
          <cell r="B12343">
            <v>12.75</v>
          </cell>
        </row>
        <row r="12344">
          <cell r="A12344">
            <v>1500018209</v>
          </cell>
          <cell r="B12344">
            <v>14.2916666666667</v>
          </cell>
        </row>
        <row r="12345">
          <cell r="A12345">
            <v>1500018210</v>
          </cell>
          <cell r="B12345">
            <v>7.0833333333333304</v>
          </cell>
        </row>
        <row r="12346">
          <cell r="A12346">
            <v>1500018214</v>
          </cell>
          <cell r="B12346">
            <v>8.0833333333333304</v>
          </cell>
        </row>
        <row r="12347">
          <cell r="A12347">
            <v>1500018215</v>
          </cell>
          <cell r="B12347">
            <v>1.4166666666666701</v>
          </cell>
        </row>
        <row r="12348">
          <cell r="A12348">
            <v>1500018216</v>
          </cell>
          <cell r="B12348">
            <v>6.8333333333333304</v>
          </cell>
        </row>
        <row r="12349">
          <cell r="A12349">
            <v>1500018221</v>
          </cell>
          <cell r="B12349">
            <v>0</v>
          </cell>
        </row>
        <row r="12350">
          <cell r="A12350">
            <v>1500018222</v>
          </cell>
          <cell r="B12350">
            <v>60.7916666666667</v>
          </cell>
        </row>
        <row r="12351">
          <cell r="A12351">
            <v>1500018223</v>
          </cell>
          <cell r="B12351">
            <v>90.0833333333333</v>
          </cell>
        </row>
        <row r="12352">
          <cell r="A12352">
            <v>1500018267</v>
          </cell>
          <cell r="B12352">
            <v>12.3333333333333</v>
          </cell>
        </row>
        <row r="12353">
          <cell r="A12353">
            <v>1500018268</v>
          </cell>
          <cell r="B12353">
            <v>15.158333333333299</v>
          </cell>
        </row>
        <row r="12354">
          <cell r="A12354">
            <v>1500018275</v>
          </cell>
          <cell r="B12354">
            <v>45.3333333333333</v>
          </cell>
        </row>
        <row r="12355">
          <cell r="A12355">
            <v>1500018276</v>
          </cell>
          <cell r="B12355">
            <v>0</v>
          </cell>
        </row>
        <row r="12356">
          <cell r="A12356">
            <v>1500018189</v>
          </cell>
          <cell r="B12356">
            <v>16.6666666666667</v>
          </cell>
        </row>
        <row r="12357">
          <cell r="A12357">
            <v>1500018255</v>
          </cell>
          <cell r="B12357">
            <v>4.0416666666666696</v>
          </cell>
        </row>
        <row r="12358">
          <cell r="A12358">
            <v>1500018256</v>
          </cell>
          <cell r="B12358">
            <v>0.75</v>
          </cell>
        </row>
        <row r="12359">
          <cell r="A12359">
            <v>1500018301</v>
          </cell>
          <cell r="B12359">
            <v>15.0833333333333</v>
          </cell>
        </row>
        <row r="12360">
          <cell r="A12360">
            <v>1500018302</v>
          </cell>
          <cell r="B12360">
            <v>354.808333333333</v>
          </cell>
        </row>
        <row r="12361">
          <cell r="A12361">
            <v>1500018303</v>
          </cell>
          <cell r="B12361">
            <v>228.42500000000001</v>
          </cell>
        </row>
        <row r="12362">
          <cell r="A12362">
            <v>1500018304</v>
          </cell>
          <cell r="B12362">
            <v>164.45</v>
          </cell>
        </row>
        <row r="12363">
          <cell r="A12363">
            <v>1500018305</v>
          </cell>
          <cell r="B12363">
            <v>3.3333333333333299</v>
          </cell>
        </row>
        <row r="12364">
          <cell r="A12364">
            <v>1500018306</v>
          </cell>
          <cell r="B12364">
            <v>4.1666666666666696</v>
          </cell>
        </row>
        <row r="12365">
          <cell r="A12365">
            <v>1500018307</v>
          </cell>
          <cell r="B12365">
            <v>12.25</v>
          </cell>
        </row>
        <row r="12366">
          <cell r="A12366">
            <v>1500018308</v>
          </cell>
          <cell r="B12366">
            <v>21.6666666666667</v>
          </cell>
        </row>
        <row r="12367">
          <cell r="A12367">
            <v>1500018309</v>
          </cell>
          <cell r="B12367">
            <v>12.5</v>
          </cell>
        </row>
        <row r="12368">
          <cell r="A12368">
            <v>1500018310</v>
          </cell>
          <cell r="B12368">
            <v>11.3</v>
          </cell>
        </row>
        <row r="12369">
          <cell r="A12369">
            <v>1500018311</v>
          </cell>
          <cell r="B12369">
            <v>13.3333333333333</v>
          </cell>
        </row>
        <row r="12370">
          <cell r="A12370">
            <v>1500018327</v>
          </cell>
          <cell r="B12370">
            <v>62.25</v>
          </cell>
        </row>
        <row r="12371">
          <cell r="A12371">
            <v>1500018328</v>
          </cell>
          <cell r="B12371">
            <v>42.95</v>
          </cell>
        </row>
        <row r="12372">
          <cell r="A12372">
            <v>1500018333</v>
          </cell>
          <cell r="B12372">
            <v>14.1666666666667</v>
          </cell>
        </row>
        <row r="12373">
          <cell r="A12373">
            <v>1500018357</v>
          </cell>
          <cell r="B12373">
            <v>0</v>
          </cell>
        </row>
        <row r="12374">
          <cell r="A12374">
            <v>1500018363</v>
          </cell>
          <cell r="B12374">
            <v>146.5</v>
          </cell>
        </row>
        <row r="12375">
          <cell r="A12375">
            <v>1500018392</v>
          </cell>
          <cell r="B12375">
            <v>1.6666666666666701</v>
          </cell>
        </row>
        <row r="12376">
          <cell r="A12376">
            <v>1500018393</v>
          </cell>
          <cell r="B12376">
            <v>27.3333333333333</v>
          </cell>
        </row>
        <row r="12377">
          <cell r="A12377">
            <v>1500018374</v>
          </cell>
          <cell r="B12377">
            <v>12.8333333333333</v>
          </cell>
        </row>
        <row r="12378">
          <cell r="A12378">
            <v>1500018375</v>
          </cell>
          <cell r="B12378">
            <v>0</v>
          </cell>
        </row>
        <row r="12379">
          <cell r="A12379">
            <v>1500018405</v>
          </cell>
          <cell r="B12379">
            <v>9.5833333333333304</v>
          </cell>
        </row>
        <row r="12380">
          <cell r="A12380">
            <v>1500018406</v>
          </cell>
          <cell r="B12380">
            <v>29.95</v>
          </cell>
        </row>
        <row r="12381">
          <cell r="A12381">
            <v>1500018408</v>
          </cell>
          <cell r="B12381">
            <v>0</v>
          </cell>
        </row>
        <row r="12382">
          <cell r="A12382">
            <v>1500018409</v>
          </cell>
          <cell r="B12382">
            <v>0</v>
          </cell>
        </row>
        <row r="12383">
          <cell r="A12383">
            <v>1500018410</v>
          </cell>
          <cell r="B12383">
            <v>0</v>
          </cell>
        </row>
        <row r="12384">
          <cell r="A12384">
            <v>1500018411</v>
          </cell>
          <cell r="B12384">
            <v>12.5</v>
          </cell>
        </row>
        <row r="12385">
          <cell r="A12385">
            <v>1500018412</v>
          </cell>
          <cell r="B12385">
            <v>7.4666666666666703</v>
          </cell>
        </row>
        <row r="12386">
          <cell r="A12386">
            <v>1500018422</v>
          </cell>
          <cell r="B12386">
            <v>9.5833333333333304</v>
          </cell>
        </row>
        <row r="12387">
          <cell r="A12387">
            <v>1500018434</v>
          </cell>
          <cell r="B12387">
            <v>38</v>
          </cell>
        </row>
        <row r="12388">
          <cell r="A12388">
            <v>1500018435</v>
          </cell>
          <cell r="B12388">
            <v>3.3333333333333299</v>
          </cell>
        </row>
        <row r="12389">
          <cell r="A12389">
            <v>1500018436</v>
          </cell>
          <cell r="B12389">
            <v>21.6666666666667</v>
          </cell>
        </row>
        <row r="12390">
          <cell r="A12390">
            <v>1500018417</v>
          </cell>
          <cell r="B12390">
            <v>44</v>
          </cell>
        </row>
        <row r="12391">
          <cell r="A12391">
            <v>1500018418</v>
          </cell>
          <cell r="B12391">
            <v>18.3333333333333</v>
          </cell>
        </row>
        <row r="12392">
          <cell r="A12392">
            <v>1500018466</v>
          </cell>
          <cell r="B12392">
            <v>88.0833333333333</v>
          </cell>
        </row>
        <row r="12393">
          <cell r="A12393">
            <v>1500018467</v>
          </cell>
          <cell r="B12393">
            <v>2.0833333333333299</v>
          </cell>
        </row>
        <row r="12394">
          <cell r="A12394">
            <v>1500018468</v>
          </cell>
          <cell r="B12394">
            <v>24.316666666666698</v>
          </cell>
        </row>
        <row r="12395">
          <cell r="A12395">
            <v>1500018469</v>
          </cell>
          <cell r="B12395">
            <v>6.25</v>
          </cell>
        </row>
        <row r="12396">
          <cell r="A12396">
            <v>1500018476</v>
          </cell>
          <cell r="B12396">
            <v>27.5</v>
          </cell>
        </row>
        <row r="12397">
          <cell r="A12397">
            <v>1500018491</v>
          </cell>
          <cell r="B12397">
            <v>6.25</v>
          </cell>
        </row>
        <row r="12398">
          <cell r="A12398">
            <v>1500018502</v>
          </cell>
          <cell r="B12398">
            <v>15.9166666666667</v>
          </cell>
        </row>
        <row r="12399">
          <cell r="A12399">
            <v>1500018503</v>
          </cell>
          <cell r="B12399">
            <v>31.75</v>
          </cell>
        </row>
        <row r="12400">
          <cell r="A12400">
            <v>1500018504</v>
          </cell>
          <cell r="B12400">
            <v>5.6666666666666696</v>
          </cell>
        </row>
        <row r="12401">
          <cell r="A12401">
            <v>1500018505</v>
          </cell>
          <cell r="B12401">
            <v>12.5</v>
          </cell>
        </row>
        <row r="12402">
          <cell r="A12402">
            <v>1500018506</v>
          </cell>
          <cell r="B12402">
            <v>26.766666666666701</v>
          </cell>
        </row>
        <row r="12403">
          <cell r="A12403">
            <v>1500018481</v>
          </cell>
          <cell r="B12403">
            <v>5.8333333333333304</v>
          </cell>
        </row>
        <row r="12404">
          <cell r="A12404">
            <v>1500018512</v>
          </cell>
          <cell r="B12404">
            <v>4.5833333333333304</v>
          </cell>
        </row>
        <row r="12405">
          <cell r="A12405">
            <v>1500018513</v>
          </cell>
          <cell r="B12405">
            <v>15.0833333333333</v>
          </cell>
        </row>
        <row r="12406">
          <cell r="A12406">
            <v>1500018514</v>
          </cell>
          <cell r="B12406">
            <v>12.6666666666667</v>
          </cell>
        </row>
        <row r="12407">
          <cell r="A12407">
            <v>1500018515</v>
          </cell>
          <cell r="B12407">
            <v>23.6666666666667</v>
          </cell>
        </row>
        <row r="12408">
          <cell r="A12408">
            <v>1500018516</v>
          </cell>
          <cell r="B12408">
            <v>33.6666666666667</v>
          </cell>
        </row>
        <row r="12409">
          <cell r="A12409">
            <v>1500018493</v>
          </cell>
          <cell r="B12409">
            <v>21.358333333333299</v>
          </cell>
        </row>
        <row r="12410">
          <cell r="A12410">
            <v>1500018494</v>
          </cell>
          <cell r="B12410">
            <v>7.5</v>
          </cell>
        </row>
        <row r="12411">
          <cell r="A12411">
            <v>1500018495</v>
          </cell>
          <cell r="B12411">
            <v>0.83333333333333304</v>
          </cell>
        </row>
        <row r="12412">
          <cell r="A12412">
            <v>1500018496</v>
          </cell>
          <cell r="B12412">
            <v>16.574999999999999</v>
          </cell>
        </row>
        <row r="12413">
          <cell r="A12413">
            <v>1500018497</v>
          </cell>
          <cell r="B12413">
            <v>17.9166666666667</v>
          </cell>
        </row>
        <row r="12414">
          <cell r="A12414">
            <v>1500018478</v>
          </cell>
          <cell r="B12414">
            <v>0</v>
          </cell>
        </row>
        <row r="12415">
          <cell r="A12415">
            <v>1500018479</v>
          </cell>
          <cell r="B12415">
            <v>75.6666666666667</v>
          </cell>
        </row>
        <row r="12416">
          <cell r="A12416">
            <v>1500018578</v>
          </cell>
          <cell r="B12416">
            <v>116.55</v>
          </cell>
        </row>
        <row r="12417">
          <cell r="A12417">
            <v>1500018580</v>
          </cell>
          <cell r="B12417">
            <v>35.2083333333333</v>
          </cell>
        </row>
        <row r="12418">
          <cell r="A12418">
            <v>1500018593</v>
          </cell>
          <cell r="B12418">
            <v>12.3333333333333</v>
          </cell>
        </row>
        <row r="12419">
          <cell r="A12419">
            <v>1500018594</v>
          </cell>
          <cell r="B12419">
            <v>5</v>
          </cell>
        </row>
        <row r="12420">
          <cell r="A12420">
            <v>1500018595</v>
          </cell>
          <cell r="B12420">
            <v>3.2749999999999999</v>
          </cell>
        </row>
        <row r="12421">
          <cell r="A12421">
            <v>1500018598</v>
          </cell>
          <cell r="B12421">
            <v>34.125</v>
          </cell>
        </row>
        <row r="12422">
          <cell r="A12422">
            <v>1500018480</v>
          </cell>
          <cell r="B12422">
            <v>169.21666666666701</v>
          </cell>
        </row>
        <row r="12423">
          <cell r="A12423">
            <v>1500018651</v>
          </cell>
          <cell r="B12423">
            <v>27.5</v>
          </cell>
        </row>
        <row r="12424">
          <cell r="A12424">
            <v>1500018672</v>
          </cell>
          <cell r="B12424">
            <v>22.875</v>
          </cell>
        </row>
        <row r="12425">
          <cell r="A12425">
            <v>1500018614</v>
          </cell>
          <cell r="B12425">
            <v>8.5833333333333304</v>
          </cell>
        </row>
        <row r="12426">
          <cell r="A12426">
            <v>1500018615</v>
          </cell>
          <cell r="B12426">
            <v>0</v>
          </cell>
        </row>
        <row r="12427">
          <cell r="A12427">
            <v>1500018616</v>
          </cell>
          <cell r="B12427">
            <v>0</v>
          </cell>
        </row>
        <row r="12428">
          <cell r="A12428">
            <v>1500018603</v>
          </cell>
          <cell r="B12428">
            <v>0</v>
          </cell>
        </row>
        <row r="12429">
          <cell r="A12429">
            <v>1500018605</v>
          </cell>
          <cell r="B12429">
            <v>112</v>
          </cell>
        </row>
        <row r="12430">
          <cell r="A12430">
            <v>1500018619</v>
          </cell>
          <cell r="B12430">
            <v>47.066666666666698</v>
          </cell>
        </row>
        <row r="12431">
          <cell r="A12431">
            <v>1500018620</v>
          </cell>
          <cell r="B12431">
            <v>26.6666666666667</v>
          </cell>
        </row>
        <row r="12432">
          <cell r="A12432">
            <v>1500018622</v>
          </cell>
          <cell r="B12432">
            <v>93.091666666666697</v>
          </cell>
        </row>
        <row r="12433">
          <cell r="A12433">
            <v>1500018637</v>
          </cell>
          <cell r="B12433">
            <v>14.3333333333333</v>
          </cell>
        </row>
        <row r="12434">
          <cell r="A12434">
            <v>1500018642</v>
          </cell>
          <cell r="B12434">
            <v>4.5</v>
          </cell>
        </row>
        <row r="12435">
          <cell r="A12435">
            <v>1500018644</v>
          </cell>
          <cell r="B12435">
            <v>39.6666666666667</v>
          </cell>
        </row>
        <row r="12436">
          <cell r="A12436">
            <v>1500018645</v>
          </cell>
          <cell r="B12436">
            <v>33.841666666666697</v>
          </cell>
        </row>
        <row r="12437">
          <cell r="A12437">
            <v>1500018656</v>
          </cell>
          <cell r="B12437">
            <v>0</v>
          </cell>
        </row>
        <row r="12438">
          <cell r="A12438">
            <v>1500018663</v>
          </cell>
          <cell r="B12438">
            <v>82.5</v>
          </cell>
        </row>
        <row r="12439">
          <cell r="A12439">
            <v>1500018668</v>
          </cell>
          <cell r="B12439">
            <v>0</v>
          </cell>
        </row>
        <row r="12440">
          <cell r="A12440">
            <v>1500018698</v>
          </cell>
          <cell r="B12440">
            <v>20.95</v>
          </cell>
        </row>
        <row r="12441">
          <cell r="A12441">
            <v>1500018702</v>
          </cell>
          <cell r="B12441">
            <v>16.6666666666667</v>
          </cell>
        </row>
        <row r="12442">
          <cell r="A12442">
            <v>1500018685</v>
          </cell>
          <cell r="B12442">
            <v>0</v>
          </cell>
        </row>
        <row r="12443">
          <cell r="A12443">
            <v>1500018686</v>
          </cell>
          <cell r="B12443">
            <v>4.5833333333333304</v>
          </cell>
        </row>
        <row r="12444">
          <cell r="A12444">
            <v>1500018691</v>
          </cell>
          <cell r="B12444">
            <v>40.5</v>
          </cell>
        </row>
        <row r="12445">
          <cell r="A12445">
            <v>1500018715</v>
          </cell>
          <cell r="B12445">
            <v>30.8333333333333</v>
          </cell>
        </row>
        <row r="12446">
          <cell r="A12446">
            <v>1500018705</v>
          </cell>
          <cell r="B12446">
            <v>10.9166666666667</v>
          </cell>
        </row>
        <row r="12447">
          <cell r="A12447">
            <v>1500018736</v>
          </cell>
          <cell r="B12447">
            <v>41</v>
          </cell>
        </row>
        <row r="12448">
          <cell r="A12448">
            <v>1500018739</v>
          </cell>
          <cell r="B12448">
            <v>45.3333333333333</v>
          </cell>
        </row>
        <row r="12449">
          <cell r="A12449">
            <v>1500018741</v>
          </cell>
          <cell r="B12449">
            <v>7.5833333333333304</v>
          </cell>
        </row>
        <row r="12450">
          <cell r="A12450">
            <v>1500018742</v>
          </cell>
          <cell r="B12450">
            <v>5.4166666666666696</v>
          </cell>
        </row>
        <row r="12451">
          <cell r="A12451">
            <v>1500018753</v>
          </cell>
          <cell r="B12451">
            <v>33.75</v>
          </cell>
        </row>
        <row r="12452">
          <cell r="A12452">
            <v>1500018768</v>
          </cell>
          <cell r="B12452">
            <v>0</v>
          </cell>
        </row>
        <row r="12453">
          <cell r="A12453">
            <v>1500018769</v>
          </cell>
          <cell r="B12453">
            <v>14.3333333333333</v>
          </cell>
        </row>
        <row r="12454">
          <cell r="A12454">
            <v>1500018754</v>
          </cell>
          <cell r="B12454">
            <v>2.5</v>
          </cell>
        </row>
        <row r="12455">
          <cell r="A12455">
            <v>1500018784</v>
          </cell>
          <cell r="B12455">
            <v>30</v>
          </cell>
        </row>
        <row r="12456">
          <cell r="A12456">
            <v>1500018725</v>
          </cell>
          <cell r="B12456">
            <v>0</v>
          </cell>
        </row>
        <row r="12457">
          <cell r="A12457">
            <v>1500018785</v>
          </cell>
          <cell r="B12457">
            <v>0</v>
          </cell>
        </row>
        <row r="12458">
          <cell r="A12458">
            <v>1500018865</v>
          </cell>
          <cell r="B12458">
            <v>57.3333333333333</v>
          </cell>
        </row>
        <row r="12459">
          <cell r="A12459">
            <v>1500018827</v>
          </cell>
          <cell r="B12459">
            <v>113.591666666667</v>
          </cell>
        </row>
        <row r="12460">
          <cell r="A12460">
            <v>1500018815</v>
          </cell>
          <cell r="B12460">
            <v>0</v>
          </cell>
        </row>
        <row r="12461">
          <cell r="A12461">
            <v>1500018824</v>
          </cell>
          <cell r="B12461">
            <v>0</v>
          </cell>
        </row>
        <row r="12462">
          <cell r="A12462">
            <v>1500018840</v>
          </cell>
          <cell r="B12462">
            <v>48.6666666666667</v>
          </cell>
        </row>
        <row r="12463">
          <cell r="A12463">
            <v>1500018799</v>
          </cell>
          <cell r="B12463">
            <v>33.016666666666701</v>
          </cell>
        </row>
        <row r="12464">
          <cell r="A12464">
            <v>1500018817</v>
          </cell>
          <cell r="B12464">
            <v>207.183333333333</v>
          </cell>
        </row>
        <row r="12465">
          <cell r="A12465">
            <v>1500018864</v>
          </cell>
          <cell r="B12465">
            <v>65.6666666666667</v>
          </cell>
        </row>
        <row r="12466">
          <cell r="A12466">
            <v>1500018862</v>
          </cell>
          <cell r="B12466">
            <v>200.166666666667</v>
          </cell>
        </row>
        <row r="12467">
          <cell r="A12467">
            <v>1500018813</v>
          </cell>
          <cell r="B12467">
            <v>26.5</v>
          </cell>
        </row>
        <row r="12468">
          <cell r="A12468">
            <v>1500018801</v>
          </cell>
          <cell r="B12468">
            <v>12.8333333333333</v>
          </cell>
        </row>
        <row r="12469">
          <cell r="A12469">
            <v>1500018828</v>
          </cell>
          <cell r="B12469">
            <v>12.9166666666667</v>
          </cell>
        </row>
        <row r="12470">
          <cell r="A12470">
            <v>1500018848</v>
          </cell>
          <cell r="B12470">
            <v>12.75</v>
          </cell>
        </row>
        <row r="12471">
          <cell r="A12471">
            <v>1500018850</v>
          </cell>
          <cell r="B12471">
            <v>12.3333333333333</v>
          </cell>
        </row>
        <row r="12472">
          <cell r="A12472">
            <v>1500018823</v>
          </cell>
          <cell r="B12472">
            <v>7.4166666666666696</v>
          </cell>
        </row>
        <row r="12473">
          <cell r="A12473">
            <v>1500018870</v>
          </cell>
          <cell r="B12473">
            <v>44</v>
          </cell>
        </row>
        <row r="12474">
          <cell r="A12474">
            <v>1500018872</v>
          </cell>
          <cell r="B12474">
            <v>157.833333333333</v>
          </cell>
        </row>
        <row r="12475">
          <cell r="A12475">
            <v>1500018879</v>
          </cell>
          <cell r="B12475">
            <v>5.1666666666666696</v>
          </cell>
        </row>
        <row r="12476">
          <cell r="A12476">
            <v>1500018881</v>
          </cell>
          <cell r="B12476">
            <v>10.1666666666667</v>
          </cell>
        </row>
        <row r="12477">
          <cell r="A12477">
            <v>1500018854</v>
          </cell>
          <cell r="B12477">
            <v>27.75</v>
          </cell>
        </row>
        <row r="12478">
          <cell r="A12478">
            <v>1500018856</v>
          </cell>
          <cell r="B12478">
            <v>13.7083333333333</v>
          </cell>
        </row>
        <row r="12479">
          <cell r="A12479">
            <v>1500018903</v>
          </cell>
          <cell r="B12479">
            <v>10</v>
          </cell>
        </row>
        <row r="12480">
          <cell r="A12480">
            <v>1500018910</v>
          </cell>
          <cell r="B12480">
            <v>14.3333333333333</v>
          </cell>
        </row>
        <row r="12481">
          <cell r="A12481">
            <v>1500018912</v>
          </cell>
          <cell r="B12481">
            <v>12.75</v>
          </cell>
        </row>
        <row r="12482">
          <cell r="A12482">
            <v>1500018923</v>
          </cell>
          <cell r="B12482">
            <v>21.4583333333333</v>
          </cell>
        </row>
        <row r="12483">
          <cell r="A12483">
            <v>1500018860</v>
          </cell>
          <cell r="B12483">
            <v>14.25</v>
          </cell>
        </row>
        <row r="12484">
          <cell r="A12484">
            <v>1500018861</v>
          </cell>
          <cell r="B12484">
            <v>5.5</v>
          </cell>
        </row>
        <row r="12485">
          <cell r="A12485">
            <v>1500018932</v>
          </cell>
          <cell r="B12485">
            <v>24.6666666666667</v>
          </cell>
        </row>
        <row r="12486">
          <cell r="A12486">
            <v>1500018924</v>
          </cell>
          <cell r="B12486">
            <v>7.5</v>
          </cell>
        </row>
        <row r="12487">
          <cell r="A12487">
            <v>1500018925</v>
          </cell>
          <cell r="B12487">
            <v>63.5</v>
          </cell>
        </row>
        <row r="12488">
          <cell r="A12488">
            <v>1500018942</v>
          </cell>
          <cell r="B12488">
            <v>9.9166666666666696</v>
          </cell>
        </row>
        <row r="12489">
          <cell r="A12489">
            <v>1500018943</v>
          </cell>
          <cell r="B12489">
            <v>35.741666666666703</v>
          </cell>
        </row>
        <row r="12490">
          <cell r="A12490">
            <v>1500018944</v>
          </cell>
          <cell r="B12490">
            <v>6.1666666666666696</v>
          </cell>
        </row>
        <row r="12491">
          <cell r="A12491">
            <v>1500018938</v>
          </cell>
          <cell r="B12491">
            <v>89.3333333333333</v>
          </cell>
        </row>
        <row r="12492">
          <cell r="A12492">
            <v>1500018939</v>
          </cell>
          <cell r="B12492">
            <v>0</v>
          </cell>
        </row>
        <row r="12493">
          <cell r="A12493">
            <v>1500018940</v>
          </cell>
          <cell r="B12493">
            <v>38.75</v>
          </cell>
        </row>
        <row r="12494">
          <cell r="A12494">
            <v>1500018954</v>
          </cell>
          <cell r="B12494">
            <v>17.875</v>
          </cell>
        </row>
        <row r="12495">
          <cell r="A12495">
            <v>1500018956</v>
          </cell>
          <cell r="B12495">
            <v>11.25</v>
          </cell>
        </row>
        <row r="12496">
          <cell r="A12496">
            <v>1500018962</v>
          </cell>
          <cell r="B12496">
            <v>8.3333333333333304</v>
          </cell>
        </row>
        <row r="12497">
          <cell r="A12497">
            <v>1500018958</v>
          </cell>
          <cell r="B12497">
            <v>16.6666666666667</v>
          </cell>
        </row>
        <row r="12498">
          <cell r="A12498">
            <v>1500018969</v>
          </cell>
          <cell r="B12498">
            <v>12.4166666666667</v>
          </cell>
        </row>
        <row r="12499">
          <cell r="A12499">
            <v>1500018972</v>
          </cell>
          <cell r="B12499">
            <v>5.8333333333333304</v>
          </cell>
        </row>
        <row r="12500">
          <cell r="A12500">
            <v>1500018960</v>
          </cell>
          <cell r="B12500">
            <v>4.1666666666666696</v>
          </cell>
        </row>
        <row r="12501">
          <cell r="A12501">
            <v>1500018961</v>
          </cell>
          <cell r="B12501">
            <v>7.8333333333333304</v>
          </cell>
        </row>
        <row r="12502">
          <cell r="A12502">
            <v>1500018986</v>
          </cell>
          <cell r="B12502">
            <v>9.8333333333333304</v>
          </cell>
        </row>
        <row r="12503">
          <cell r="A12503">
            <v>1500018987</v>
          </cell>
          <cell r="B12503">
            <v>12.0833333333333</v>
          </cell>
        </row>
        <row r="12504">
          <cell r="A12504">
            <v>1500018989</v>
          </cell>
          <cell r="B12504">
            <v>18.0416666666667</v>
          </cell>
        </row>
        <row r="12505">
          <cell r="A12505">
            <v>1500019004</v>
          </cell>
          <cell r="B12505">
            <v>18.5833333333333</v>
          </cell>
        </row>
        <row r="12506">
          <cell r="A12506">
            <v>1500019005</v>
          </cell>
          <cell r="B12506">
            <v>23.741666666666699</v>
          </cell>
        </row>
        <row r="12507">
          <cell r="A12507">
            <v>1500019013</v>
          </cell>
          <cell r="B12507">
            <v>9.5</v>
          </cell>
        </row>
        <row r="12508">
          <cell r="A12508">
            <v>1500019017</v>
          </cell>
          <cell r="B12508">
            <v>31.6666666666667</v>
          </cell>
        </row>
        <row r="12509">
          <cell r="A12509">
            <v>1500019022</v>
          </cell>
          <cell r="B12509">
            <v>112.166666666667</v>
          </cell>
        </row>
        <row r="12510">
          <cell r="A12510">
            <v>1500019030</v>
          </cell>
          <cell r="B12510">
            <v>0</v>
          </cell>
        </row>
        <row r="12511">
          <cell r="A12511">
            <v>1500019031</v>
          </cell>
          <cell r="B12511">
            <v>16.3333333333333</v>
          </cell>
        </row>
        <row r="12512">
          <cell r="A12512">
            <v>1500019032</v>
          </cell>
          <cell r="B12512">
            <v>16.3333333333333</v>
          </cell>
        </row>
        <row r="12513">
          <cell r="A12513">
            <v>1500019035</v>
          </cell>
          <cell r="B12513">
            <v>33.5833333333333</v>
          </cell>
        </row>
        <row r="12514">
          <cell r="A12514">
            <v>1500019036</v>
          </cell>
          <cell r="B12514">
            <v>53.1666666666667</v>
          </cell>
        </row>
        <row r="12515">
          <cell r="A12515">
            <v>1500019037</v>
          </cell>
          <cell r="B12515">
            <v>13.3333333333333</v>
          </cell>
        </row>
        <row r="12516">
          <cell r="A12516">
            <v>1500019034</v>
          </cell>
          <cell r="B12516">
            <v>6.0416666666666696</v>
          </cell>
        </row>
        <row r="12517">
          <cell r="A12517">
            <v>1500018999</v>
          </cell>
          <cell r="B12517">
            <v>11.875</v>
          </cell>
        </row>
        <row r="12518">
          <cell r="A12518">
            <v>1500019044</v>
          </cell>
          <cell r="B12518">
            <v>6.8333333333333304</v>
          </cell>
        </row>
        <row r="12519">
          <cell r="A12519">
            <v>1500019085</v>
          </cell>
          <cell r="B12519">
            <v>9.1666666666666696</v>
          </cell>
        </row>
        <row r="12520">
          <cell r="A12520">
            <v>1500019080</v>
          </cell>
          <cell r="B12520">
            <v>45.125</v>
          </cell>
        </row>
        <row r="12521">
          <cell r="A12521">
            <v>1500019081</v>
          </cell>
          <cell r="B12521">
            <v>20.4166666666667</v>
          </cell>
        </row>
        <row r="12522">
          <cell r="A12522">
            <v>1500019109</v>
          </cell>
          <cell r="B12522">
            <v>4.4166666666666696</v>
          </cell>
        </row>
        <row r="12523">
          <cell r="A12523">
            <v>1500019110</v>
          </cell>
          <cell r="B12523">
            <v>24.5833333333333</v>
          </cell>
        </row>
        <row r="12524">
          <cell r="A12524">
            <v>1500019070</v>
          </cell>
          <cell r="B12524">
            <v>30.5</v>
          </cell>
        </row>
        <row r="12525">
          <cell r="A12525">
            <v>1500019093</v>
          </cell>
          <cell r="B12525">
            <v>35.6666666666667</v>
          </cell>
        </row>
        <row r="12526">
          <cell r="A12526">
            <v>1500019097</v>
          </cell>
          <cell r="B12526">
            <v>0</v>
          </cell>
        </row>
        <row r="12527">
          <cell r="A12527">
            <v>1500019061</v>
          </cell>
          <cell r="B12527">
            <v>60.9166666666667</v>
          </cell>
        </row>
        <row r="12528">
          <cell r="A12528">
            <v>1500019075</v>
          </cell>
          <cell r="B12528">
            <v>14.1666666666667</v>
          </cell>
        </row>
        <row r="12529">
          <cell r="A12529">
            <v>1500019076</v>
          </cell>
          <cell r="B12529">
            <v>15</v>
          </cell>
        </row>
        <row r="12530">
          <cell r="A12530">
            <v>1500019098</v>
          </cell>
          <cell r="B12530">
            <v>9.1666666666666696</v>
          </cell>
        </row>
        <row r="12531">
          <cell r="A12531">
            <v>1500019123</v>
          </cell>
          <cell r="B12531">
            <v>7.5</v>
          </cell>
        </row>
        <row r="12532">
          <cell r="A12532">
            <v>1500019133</v>
          </cell>
          <cell r="B12532">
            <v>3.75</v>
          </cell>
        </row>
        <row r="12533">
          <cell r="A12533">
            <v>1500019090</v>
          </cell>
          <cell r="B12533">
            <v>25.9583333333333</v>
          </cell>
        </row>
        <row r="12534">
          <cell r="A12534">
            <v>1500019074</v>
          </cell>
          <cell r="B12534">
            <v>10.5833333333333</v>
          </cell>
        </row>
        <row r="12535">
          <cell r="A12535">
            <v>1500019094</v>
          </cell>
          <cell r="B12535">
            <v>13.9166666666667</v>
          </cell>
        </row>
        <row r="12536">
          <cell r="A12536">
            <v>1500019095</v>
          </cell>
          <cell r="B12536">
            <v>15.0833333333333</v>
          </cell>
        </row>
        <row r="12537">
          <cell r="A12537">
            <v>1500019079</v>
          </cell>
          <cell r="B12537">
            <v>6.6666666666666696</v>
          </cell>
        </row>
        <row r="12538">
          <cell r="A12538">
            <v>1500019142</v>
          </cell>
          <cell r="B12538">
            <v>0</v>
          </cell>
        </row>
        <row r="12539">
          <cell r="A12539">
            <v>1500019146</v>
          </cell>
          <cell r="B12539">
            <v>91.6666666666667</v>
          </cell>
        </row>
        <row r="12540">
          <cell r="A12540">
            <v>1500019148</v>
          </cell>
          <cell r="B12540">
            <v>29.1666666666667</v>
          </cell>
        </row>
        <row r="12541">
          <cell r="A12541">
            <v>1500019158</v>
          </cell>
          <cell r="B12541">
            <v>1.6666666666666701</v>
          </cell>
        </row>
        <row r="12542">
          <cell r="A12542">
            <v>1500019178</v>
          </cell>
          <cell r="B12542">
            <v>20.3333333333333</v>
          </cell>
        </row>
        <row r="12543">
          <cell r="A12543">
            <v>1500019159</v>
          </cell>
          <cell r="B12543">
            <v>13.3333333333333</v>
          </cell>
        </row>
        <row r="12544">
          <cell r="A12544">
            <v>1500019160</v>
          </cell>
          <cell r="B12544">
            <v>0</v>
          </cell>
        </row>
        <row r="12545">
          <cell r="A12545">
            <v>1500019167</v>
          </cell>
          <cell r="B12545">
            <v>0</v>
          </cell>
        </row>
        <row r="12546">
          <cell r="A12546">
            <v>1500019168</v>
          </cell>
          <cell r="B12546">
            <v>1.6666666666666701</v>
          </cell>
        </row>
        <row r="12547">
          <cell r="A12547">
            <v>1500019207</v>
          </cell>
          <cell r="B12547">
            <v>4.9166666666666696</v>
          </cell>
        </row>
        <row r="12548">
          <cell r="A12548">
            <v>1500019202</v>
          </cell>
          <cell r="B12548">
            <v>2.5</v>
          </cell>
        </row>
        <row r="12549">
          <cell r="A12549">
            <v>1500019171</v>
          </cell>
          <cell r="B12549">
            <v>56.3333333333333</v>
          </cell>
        </row>
        <row r="12550">
          <cell r="A12550">
            <v>1500019201</v>
          </cell>
          <cell r="B12550">
            <v>22.25</v>
          </cell>
        </row>
        <row r="12551">
          <cell r="A12551">
            <v>1500019212</v>
          </cell>
          <cell r="B12551">
            <v>0</v>
          </cell>
        </row>
        <row r="12552">
          <cell r="A12552">
            <v>1500019209</v>
          </cell>
          <cell r="B12552">
            <v>8.3333333333333304</v>
          </cell>
        </row>
        <row r="12553">
          <cell r="A12553">
            <v>1500019208</v>
          </cell>
          <cell r="B12553">
            <v>6.75</v>
          </cell>
        </row>
        <row r="12554">
          <cell r="A12554">
            <v>1500019228</v>
          </cell>
          <cell r="B12554">
            <v>15.6666666666667</v>
          </cell>
        </row>
        <row r="12555">
          <cell r="A12555">
            <v>1500019216</v>
          </cell>
          <cell r="B12555">
            <v>6.25</v>
          </cell>
        </row>
        <row r="12556">
          <cell r="A12556">
            <v>1500019218</v>
          </cell>
          <cell r="B12556">
            <v>6.6666666666666696</v>
          </cell>
        </row>
        <row r="12557">
          <cell r="A12557">
            <v>1500019233</v>
          </cell>
          <cell r="B12557">
            <v>0</v>
          </cell>
        </row>
        <row r="12558">
          <cell r="A12558">
            <v>1500019235</v>
          </cell>
          <cell r="B12558">
            <v>30.8333333333333</v>
          </cell>
        </row>
        <row r="12559">
          <cell r="A12559">
            <v>1500019241</v>
          </cell>
          <cell r="B12559">
            <v>5</v>
          </cell>
        </row>
        <row r="12560">
          <cell r="A12560">
            <v>1500019261</v>
          </cell>
          <cell r="B12560">
            <v>5.8333333333333304</v>
          </cell>
        </row>
        <row r="12561">
          <cell r="A12561">
            <v>1500019246</v>
          </cell>
          <cell r="B12561">
            <v>14.75</v>
          </cell>
        </row>
        <row r="12562">
          <cell r="A12562">
            <v>1500019284</v>
          </cell>
          <cell r="B12562">
            <v>2.6666666666666701</v>
          </cell>
        </row>
        <row r="12563">
          <cell r="A12563">
            <v>1500019283</v>
          </cell>
          <cell r="B12563">
            <v>3.1666666666666701</v>
          </cell>
        </row>
        <row r="12564">
          <cell r="A12564">
            <v>1500019278</v>
          </cell>
          <cell r="B12564">
            <v>42.4166666666667</v>
          </cell>
        </row>
        <row r="12565">
          <cell r="A12565">
            <v>1500019277</v>
          </cell>
          <cell r="B12565">
            <v>6.6666666666666696</v>
          </cell>
        </row>
        <row r="12566">
          <cell r="A12566">
            <v>1500019299</v>
          </cell>
          <cell r="B12566">
            <v>0</v>
          </cell>
        </row>
        <row r="12567">
          <cell r="A12567">
            <v>1500019282</v>
          </cell>
          <cell r="B12567">
            <v>0</v>
          </cell>
        </row>
        <row r="12568">
          <cell r="A12568">
            <v>1500019280</v>
          </cell>
          <cell r="B12568">
            <v>0</v>
          </cell>
        </row>
        <row r="12569">
          <cell r="A12569">
            <v>1500019281</v>
          </cell>
          <cell r="B12569">
            <v>6.0833333333333304</v>
          </cell>
        </row>
        <row r="12570">
          <cell r="A12570">
            <v>1500019323</v>
          </cell>
          <cell r="B12570">
            <v>0</v>
          </cell>
        </row>
        <row r="12571">
          <cell r="A12571">
            <v>1500019333</v>
          </cell>
          <cell r="B12571">
            <v>0</v>
          </cell>
        </row>
        <row r="12572">
          <cell r="A12572">
            <v>1500019334</v>
          </cell>
          <cell r="B12572">
            <v>4.1666666666666696</v>
          </cell>
        </row>
        <row r="12573">
          <cell r="A12573">
            <v>1500019314</v>
          </cell>
          <cell r="B12573">
            <v>0</v>
          </cell>
        </row>
        <row r="12574">
          <cell r="A12574">
            <v>1500019365</v>
          </cell>
          <cell r="B12574">
            <v>0</v>
          </cell>
        </row>
        <row r="12575">
          <cell r="A12575">
            <v>1500019364</v>
          </cell>
          <cell r="B12575">
            <v>0</v>
          </cell>
        </row>
        <row r="12576">
          <cell r="A12576">
            <v>1500019357</v>
          </cell>
          <cell r="B12576">
            <v>0</v>
          </cell>
        </row>
        <row r="12577">
          <cell r="A12577">
            <v>1500019363</v>
          </cell>
          <cell r="B12577">
            <v>0</v>
          </cell>
        </row>
        <row r="12578">
          <cell r="A12578">
            <v>1500019424</v>
          </cell>
          <cell r="B12578">
            <v>0</v>
          </cell>
        </row>
        <row r="12579">
          <cell r="A12579">
            <v>1500019408</v>
          </cell>
          <cell r="B12579">
            <v>0</v>
          </cell>
        </row>
        <row r="12580">
          <cell r="A12580">
            <v>1500019418</v>
          </cell>
          <cell r="B12580">
            <v>0</v>
          </cell>
        </row>
        <row r="12581">
          <cell r="A12581">
            <v>1500019421</v>
          </cell>
          <cell r="B12581">
            <v>0</v>
          </cell>
        </row>
        <row r="12582">
          <cell r="A12582">
            <v>1500019414</v>
          </cell>
          <cell r="B12582">
            <v>0</v>
          </cell>
        </row>
        <row r="12583">
          <cell r="A12583">
            <v>1500019371</v>
          </cell>
          <cell r="B12583">
            <v>0</v>
          </cell>
        </row>
        <row r="12584">
          <cell r="A12584">
            <v>1500019400</v>
          </cell>
          <cell r="B12584">
            <v>0</v>
          </cell>
        </row>
        <row r="12585">
          <cell r="A12585">
            <v>1500019401</v>
          </cell>
          <cell r="B12585">
            <v>0</v>
          </cell>
        </row>
        <row r="12586">
          <cell r="A12586">
            <v>1500019383</v>
          </cell>
          <cell r="B12586">
            <v>0</v>
          </cell>
        </row>
        <row r="12587">
          <cell r="A12587">
            <v>1500019369</v>
          </cell>
          <cell r="B12587">
            <v>0</v>
          </cell>
        </row>
        <row r="12588">
          <cell r="A12588">
            <v>1500019437</v>
          </cell>
          <cell r="B12588">
            <v>0</v>
          </cell>
        </row>
        <row r="12589">
          <cell r="A12589">
            <v>1500019409</v>
          </cell>
          <cell r="B12589">
            <v>0</v>
          </cell>
        </row>
        <row r="12590">
          <cell r="A12590">
            <v>1500019436</v>
          </cell>
          <cell r="B12590">
            <v>0</v>
          </cell>
        </row>
        <row r="12591">
          <cell r="A12591">
            <v>1500019379</v>
          </cell>
          <cell r="B12591">
            <v>0</v>
          </cell>
        </row>
        <row r="12592">
          <cell r="A12592">
            <v>1500019439</v>
          </cell>
          <cell r="B12592">
            <v>0</v>
          </cell>
        </row>
        <row r="12593">
          <cell r="A12593">
            <v>1500019433</v>
          </cell>
          <cell r="B12593">
            <v>0</v>
          </cell>
        </row>
        <row r="12594">
          <cell r="A12594">
            <v>1500019377</v>
          </cell>
          <cell r="B12594">
            <v>0</v>
          </cell>
        </row>
        <row r="12595">
          <cell r="A12595">
            <v>1500019368</v>
          </cell>
          <cell r="B12595">
            <v>0</v>
          </cell>
        </row>
        <row r="12596">
          <cell r="A12596">
            <v>1500019462</v>
          </cell>
          <cell r="B12596">
            <v>0</v>
          </cell>
        </row>
        <row r="12597">
          <cell r="A12597">
            <v>1500019480</v>
          </cell>
          <cell r="B12597">
            <v>0</v>
          </cell>
        </row>
        <row r="12598">
          <cell r="A12598">
            <v>1500019450</v>
          </cell>
          <cell r="B12598">
            <v>0</v>
          </cell>
        </row>
        <row r="12599">
          <cell r="A12599">
            <v>1500019451</v>
          </cell>
          <cell r="B12599">
            <v>0</v>
          </cell>
        </row>
        <row r="12600">
          <cell r="A12600">
            <v>1500019479</v>
          </cell>
          <cell r="B12600">
            <v>0</v>
          </cell>
        </row>
        <row r="12601">
          <cell r="A12601">
            <v>1500019449</v>
          </cell>
          <cell r="B12601">
            <v>0</v>
          </cell>
        </row>
        <row r="12602">
          <cell r="A12602">
            <v>1500019459</v>
          </cell>
          <cell r="B12602">
            <v>0</v>
          </cell>
        </row>
        <row r="12603">
          <cell r="A12603">
            <v>1500019467</v>
          </cell>
          <cell r="B12603">
            <v>0</v>
          </cell>
        </row>
        <row r="12604">
          <cell r="A12604">
            <v>1500019472</v>
          </cell>
          <cell r="B12604">
            <v>0</v>
          </cell>
        </row>
        <row r="12605">
          <cell r="A12605">
            <v>1500019470</v>
          </cell>
          <cell r="B12605">
            <v>0</v>
          </cell>
        </row>
        <row r="12606">
          <cell r="A12606">
            <v>1500019504</v>
          </cell>
          <cell r="B12606">
            <v>0</v>
          </cell>
        </row>
        <row r="12607">
          <cell r="A12607">
            <v>1500019486</v>
          </cell>
          <cell r="B12607">
            <v>0</v>
          </cell>
        </row>
        <row r="12608">
          <cell r="A12608">
            <v>1500019446</v>
          </cell>
          <cell r="B12608">
            <v>0</v>
          </cell>
        </row>
        <row r="12609">
          <cell r="A12609">
            <v>1500019496</v>
          </cell>
          <cell r="B12609">
            <v>0</v>
          </cell>
        </row>
        <row r="12610">
          <cell r="A12610">
            <v>1500019448</v>
          </cell>
          <cell r="B12610">
            <v>0</v>
          </cell>
        </row>
        <row r="12611">
          <cell r="A12611">
            <v>1500019468</v>
          </cell>
          <cell r="B12611">
            <v>0</v>
          </cell>
        </row>
        <row r="12612">
          <cell r="A12612">
            <v>1500019469</v>
          </cell>
          <cell r="B12612">
            <v>0</v>
          </cell>
        </row>
        <row r="12613">
          <cell r="A12613">
            <v>1500019478</v>
          </cell>
          <cell r="B12613">
            <v>0</v>
          </cell>
        </row>
        <row r="12614">
          <cell r="A12614" t="str">
            <v>WBS197</v>
          </cell>
          <cell r="B12614">
            <v>0</v>
          </cell>
        </row>
        <row r="12615">
          <cell r="A12615" t="str">
            <v>NSRE19295</v>
          </cell>
          <cell r="B12615">
            <v>0</v>
          </cell>
        </row>
        <row r="12616">
          <cell r="A12616" t="str">
            <v>NSRE19665</v>
          </cell>
          <cell r="B12616">
            <v>0</v>
          </cell>
        </row>
        <row r="12617">
          <cell r="A12617" t="str">
            <v>NSRE04408</v>
          </cell>
          <cell r="B12617">
            <v>0</v>
          </cell>
        </row>
        <row r="12618">
          <cell r="A12618" t="str">
            <v>WBN114</v>
          </cell>
          <cell r="B12618">
            <v>0</v>
          </cell>
        </row>
        <row r="12619">
          <cell r="A12619" t="str">
            <v>SDRE09886</v>
          </cell>
          <cell r="B12619">
            <v>0</v>
          </cell>
        </row>
        <row r="12620">
          <cell r="A12620" t="str">
            <v>WBM074</v>
          </cell>
          <cell r="B12620">
            <v>0</v>
          </cell>
        </row>
        <row r="12621">
          <cell r="A12621" t="str">
            <v>NSRE11166</v>
          </cell>
          <cell r="B12621">
            <v>0</v>
          </cell>
        </row>
        <row r="12622">
          <cell r="A12622" t="str">
            <v>SDRE02232</v>
          </cell>
          <cell r="B12622">
            <v>0</v>
          </cell>
        </row>
        <row r="12623">
          <cell r="A12623" t="str">
            <v>NSRE21492</v>
          </cell>
          <cell r="B12623">
            <v>0</v>
          </cell>
        </row>
        <row r="12624">
          <cell r="A12624" t="str">
            <v>WBS304</v>
          </cell>
          <cell r="B12624">
            <v>0</v>
          </cell>
        </row>
        <row r="12625">
          <cell r="A12625" t="str">
            <v>NSRE11712</v>
          </cell>
          <cell r="B12625">
            <v>0</v>
          </cell>
        </row>
        <row r="12626">
          <cell r="A12626" t="str">
            <v>WBS020</v>
          </cell>
          <cell r="B12626">
            <v>0</v>
          </cell>
        </row>
        <row r="12627">
          <cell r="A12627" t="str">
            <v>BHM157</v>
          </cell>
          <cell r="B12627">
            <v>0</v>
          </cell>
        </row>
        <row r="12628">
          <cell r="A12628" t="str">
            <v>BHM111</v>
          </cell>
          <cell r="B12628">
            <v>0</v>
          </cell>
        </row>
        <row r="12629">
          <cell r="A12629" t="str">
            <v>BHD017</v>
          </cell>
          <cell r="B12629">
            <v>0</v>
          </cell>
        </row>
        <row r="12630">
          <cell r="A12630" t="str">
            <v>BHV025</v>
          </cell>
          <cell r="B12630">
            <v>0</v>
          </cell>
        </row>
        <row r="12631">
          <cell r="A12631" t="str">
            <v>BHB073</v>
          </cell>
          <cell r="B12631">
            <v>0</v>
          </cell>
        </row>
        <row r="12632">
          <cell r="A12632" t="str">
            <v>BHG030</v>
          </cell>
          <cell r="B12632">
            <v>0</v>
          </cell>
        </row>
        <row r="12633">
          <cell r="A12633" t="str">
            <v>NSRE50063</v>
          </cell>
          <cell r="B12633">
            <v>0</v>
          </cell>
        </row>
        <row r="12634">
          <cell r="A12634" t="str">
            <v>NSRE52992</v>
          </cell>
          <cell r="B12634">
            <v>0</v>
          </cell>
        </row>
        <row r="12635">
          <cell r="A12635" t="str">
            <v>BHS001</v>
          </cell>
          <cell r="B12635">
            <v>0</v>
          </cell>
        </row>
        <row r="12636">
          <cell r="A12636" t="str">
            <v>NSNE14840</v>
          </cell>
          <cell r="B12636">
            <v>0</v>
          </cell>
        </row>
        <row r="12637">
          <cell r="A12637" t="str">
            <v>NSNE10659</v>
          </cell>
          <cell r="B12637">
            <v>0</v>
          </cell>
        </row>
        <row r="12638">
          <cell r="A12638" t="str">
            <v>NSNE15050</v>
          </cell>
          <cell r="B12638">
            <v>0</v>
          </cell>
        </row>
        <row r="12639">
          <cell r="A12639" t="str">
            <v>NSNE09442</v>
          </cell>
          <cell r="B12639">
            <v>0</v>
          </cell>
        </row>
        <row r="12640">
          <cell r="A12640" t="str">
            <v>NSNE06455</v>
          </cell>
          <cell r="B12640">
            <v>0</v>
          </cell>
        </row>
        <row r="12641">
          <cell r="A12641" t="str">
            <v>SDNE02722</v>
          </cell>
          <cell r="B12641">
            <v>0</v>
          </cell>
        </row>
        <row r="12642">
          <cell r="A12642" t="str">
            <v>SDNE05428</v>
          </cell>
          <cell r="B12642">
            <v>0</v>
          </cell>
        </row>
        <row r="12643">
          <cell r="A12643" t="str">
            <v>NSNE40420</v>
          </cell>
          <cell r="B12643">
            <v>0</v>
          </cell>
        </row>
        <row r="12644">
          <cell r="A12644" t="str">
            <v>NSNE40455</v>
          </cell>
          <cell r="B12644">
            <v>0</v>
          </cell>
        </row>
        <row r="12645">
          <cell r="A12645" t="str">
            <v>NSNE12726</v>
          </cell>
          <cell r="B12645">
            <v>0</v>
          </cell>
        </row>
        <row r="12646">
          <cell r="A12646" t="str">
            <v>SDNE09252</v>
          </cell>
          <cell r="B12646">
            <v>0</v>
          </cell>
        </row>
        <row r="12647">
          <cell r="A12647" t="str">
            <v>SDNE07547</v>
          </cell>
          <cell r="B12647">
            <v>0</v>
          </cell>
        </row>
        <row r="12648">
          <cell r="A12648" t="str">
            <v>NSNE14192</v>
          </cell>
          <cell r="B12648">
            <v>0</v>
          </cell>
        </row>
        <row r="12649">
          <cell r="A12649" t="str">
            <v>NSNE05295</v>
          </cell>
          <cell r="B12649">
            <v>0</v>
          </cell>
        </row>
        <row r="12650">
          <cell r="A12650" t="str">
            <v>NSNE09433</v>
          </cell>
          <cell r="B12650">
            <v>0</v>
          </cell>
        </row>
        <row r="12651">
          <cell r="A12651" t="str">
            <v>NSNE14985</v>
          </cell>
          <cell r="B12651">
            <v>0</v>
          </cell>
        </row>
        <row r="12652">
          <cell r="A12652" t="str">
            <v>SDNE08914</v>
          </cell>
          <cell r="B12652">
            <v>0</v>
          </cell>
        </row>
        <row r="12653">
          <cell r="A12653" t="str">
            <v>NSNE00323</v>
          </cell>
          <cell r="B12653">
            <v>0</v>
          </cell>
        </row>
        <row r="12654">
          <cell r="A12654" t="str">
            <v>R069</v>
          </cell>
          <cell r="B12654">
            <v>0</v>
          </cell>
        </row>
        <row r="12655">
          <cell r="A12655" t="str">
            <v>NSNE42182</v>
          </cell>
          <cell r="B12655">
            <v>0</v>
          </cell>
        </row>
        <row r="12656">
          <cell r="A12656" t="str">
            <v>SDNE03808</v>
          </cell>
          <cell r="B12656">
            <v>0</v>
          </cell>
        </row>
        <row r="12657">
          <cell r="A12657" t="str">
            <v>SDNE06120</v>
          </cell>
          <cell r="B12657">
            <v>0</v>
          </cell>
        </row>
        <row r="12658">
          <cell r="A12658" t="str">
            <v>NSNE42054</v>
          </cell>
          <cell r="B12658">
            <v>0</v>
          </cell>
        </row>
        <row r="12659">
          <cell r="A12659" t="str">
            <v>SDNE03665</v>
          </cell>
          <cell r="B1265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9DF97-BFF1-4E7D-8E8A-A405E0154246}">
  <dimension ref="A1:AF1766"/>
  <sheetViews>
    <sheetView showGridLines="0" tabSelected="1" topLeftCell="K1" zoomScaleNormal="100" workbookViewId="0">
      <pane ySplit="2" topLeftCell="A3" activePane="bottomLeft" state="frozen"/>
      <selection pane="bottomLeft" activeCell="A2" sqref="A2:AE2"/>
    </sheetView>
  </sheetViews>
  <sheetFormatPr defaultColWidth="12.6640625" defaultRowHeight="14.4" x14ac:dyDescent="0.3"/>
  <cols>
    <col min="1" max="1" width="7.109375" customWidth="1"/>
    <col min="2" max="2" width="18.44140625" customWidth="1"/>
    <col min="3" max="3" width="8.6640625" customWidth="1"/>
    <col min="4" max="4" width="11" customWidth="1"/>
    <col min="5" max="5" width="30.33203125" customWidth="1"/>
    <col min="6" max="6" width="10.33203125" customWidth="1"/>
    <col min="7" max="7" width="13.109375" customWidth="1"/>
    <col min="8" max="8" width="16" customWidth="1"/>
    <col min="9" max="9" width="10.88671875" customWidth="1"/>
    <col min="10" max="10" width="18.21875" customWidth="1"/>
    <col min="11" max="11" width="14.88671875" customWidth="1"/>
    <col min="12" max="12" width="8.6640625" customWidth="1"/>
    <col min="13" max="13" width="14.44140625" customWidth="1"/>
    <col min="14" max="14" width="10.6640625" customWidth="1"/>
    <col min="15" max="15" width="9.88671875" customWidth="1"/>
    <col min="16" max="16" width="9.33203125" customWidth="1"/>
    <col min="17" max="17" width="8.88671875" customWidth="1"/>
    <col min="18" max="18" width="10.33203125" customWidth="1"/>
    <col min="19" max="19" width="12.109375" customWidth="1"/>
    <col min="20" max="20" width="13.21875" customWidth="1"/>
    <col min="21" max="21" width="12.21875" customWidth="1"/>
    <col min="22" max="22" width="9.77734375" customWidth="1"/>
    <col min="23" max="23" width="12" customWidth="1"/>
    <col min="24" max="24" width="10.33203125" customWidth="1"/>
    <col min="25" max="25" width="10.109375" customWidth="1"/>
    <col min="26" max="26" width="5.109375" hidden="1" customWidth="1"/>
    <col min="27" max="28" width="11" hidden="1" customWidth="1"/>
    <col min="29" max="29" width="7.109375" hidden="1" customWidth="1"/>
    <col min="30" max="30" width="11" hidden="1" customWidth="1"/>
    <col min="31" max="31" width="17" customWidth="1"/>
    <col min="32" max="32" width="8.88671875" customWidth="1"/>
    <col min="33" max="33" width="10.6640625" customWidth="1"/>
  </cols>
  <sheetData>
    <row r="1" spans="1:32" ht="14.25" customHeight="1" x14ac:dyDescent="0.3">
      <c r="A1" s="1"/>
      <c r="B1" s="2"/>
      <c r="C1" s="2"/>
      <c r="D1" s="2"/>
      <c r="E1" s="2">
        <v>0</v>
      </c>
      <c r="F1" s="3">
        <f ca="1">TODAY()-3</f>
        <v>46271</v>
      </c>
      <c r="G1" s="4"/>
      <c r="H1" s="4"/>
      <c r="I1" s="3">
        <v>46112</v>
      </c>
      <c r="J1" s="1">
        <v>30</v>
      </c>
      <c r="K1" s="5">
        <f>SUBTOTAL(9,K3:K1728)</f>
        <v>357916.95000000013</v>
      </c>
      <c r="L1" s="6"/>
      <c r="M1" s="5"/>
      <c r="N1" s="5">
        <f>SUBTOTAL(9,N3:N1768)</f>
        <v>303947.03999999998</v>
      </c>
      <c r="O1" s="5"/>
      <c r="P1" s="5">
        <f>SUBTOTAL(9,P3:P1768)</f>
        <v>303947.03999999998</v>
      </c>
      <c r="Q1" s="4"/>
      <c r="R1" s="7"/>
      <c r="S1" s="1"/>
      <c r="T1" s="5">
        <f>SUBTOTAL(9,T3:T1768)</f>
        <v>291351.14999999997</v>
      </c>
      <c r="U1" s="5"/>
      <c r="V1" s="5">
        <f>SUBTOTAL(9,V3:V1768)</f>
        <v>291351.14999999997</v>
      </c>
      <c r="W1" s="8"/>
      <c r="X1" s="8"/>
      <c r="Y1" s="8"/>
      <c r="Z1" s="9"/>
      <c r="AA1" s="9"/>
      <c r="AB1" s="9"/>
      <c r="AC1" s="1"/>
      <c r="AD1" s="9"/>
      <c r="AE1" s="9"/>
      <c r="AF1" s="9"/>
    </row>
    <row r="2" spans="1:32" ht="28.5" customHeight="1" x14ac:dyDescent="0.3">
      <c r="A2" s="10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2">
        <v>46203</v>
      </c>
      <c r="L2" s="13" t="s">
        <v>10</v>
      </c>
      <c r="M2" s="13" t="s">
        <v>11</v>
      </c>
      <c r="N2" s="10" t="s">
        <v>12</v>
      </c>
      <c r="O2" s="12" t="s">
        <v>13</v>
      </c>
      <c r="P2" s="10" t="s">
        <v>12</v>
      </c>
      <c r="Q2" s="12" t="s">
        <v>14</v>
      </c>
      <c r="R2" s="14" t="s">
        <v>15</v>
      </c>
      <c r="S2" s="10" t="s">
        <v>16</v>
      </c>
      <c r="T2" s="15" t="s">
        <v>17</v>
      </c>
      <c r="U2" s="15" t="s">
        <v>18</v>
      </c>
      <c r="V2" s="15" t="s">
        <v>17</v>
      </c>
      <c r="W2" s="10" t="s">
        <v>19</v>
      </c>
      <c r="X2" s="10" t="s">
        <v>20</v>
      </c>
      <c r="Y2" s="15" t="s">
        <v>17</v>
      </c>
      <c r="Z2" s="16" t="s">
        <v>21</v>
      </c>
      <c r="AA2" s="10" t="s">
        <v>0</v>
      </c>
      <c r="AB2" s="10" t="s">
        <v>0</v>
      </c>
      <c r="AC2" s="10" t="s">
        <v>0</v>
      </c>
      <c r="AD2" s="17" t="s">
        <v>22</v>
      </c>
      <c r="AE2" s="10" t="s">
        <v>23</v>
      </c>
    </row>
    <row r="3" spans="1:32" ht="14.25" customHeight="1" x14ac:dyDescent="0.3">
      <c r="A3" s="18" t="s">
        <v>24</v>
      </c>
      <c r="B3" s="19" t="s">
        <v>25</v>
      </c>
      <c r="C3" s="20" t="s">
        <v>26</v>
      </c>
      <c r="D3" s="20">
        <v>1000000638</v>
      </c>
      <c r="E3" s="21" t="s">
        <v>27</v>
      </c>
      <c r="F3" s="22">
        <v>38384</v>
      </c>
      <c r="G3" s="22" t="str">
        <f t="shared" ref="G3:G66" si="0">IF(I3&gt;0,"Targeted Dealer","-")</f>
        <v>Targeted Dealer</v>
      </c>
      <c r="H3" s="22"/>
      <c r="I3" s="23">
        <v>90</v>
      </c>
      <c r="J3" s="23">
        <f t="shared" ref="J3:J66" si="1">I3/$J$1*($J$1-$E$1)</f>
        <v>90</v>
      </c>
      <c r="K3" s="24">
        <v>100</v>
      </c>
      <c r="L3" s="24">
        <f t="shared" ref="L3:L66" si="2">I3-K3</f>
        <v>-10</v>
      </c>
      <c r="M3" s="24">
        <f t="shared" ref="M3:M66" si="3">IFERROR((K3/J3%),"-")</f>
        <v>111.11111111111111</v>
      </c>
      <c r="N3" s="25">
        <v>80</v>
      </c>
      <c r="O3" s="26" t="str">
        <f t="shared" ref="O3:O66" si="4">IF(F3&lt;=$P$2,"June","")</f>
        <v>June</v>
      </c>
      <c r="P3" s="25">
        <f t="shared" ref="P3:P66" si="5">N3</f>
        <v>80</v>
      </c>
      <c r="Q3" s="27">
        <f t="shared" ref="Q3:Q66" si="6">K3-P3</f>
        <v>20</v>
      </c>
      <c r="R3" s="26" t="b">
        <f t="shared" ref="R3:R66" si="7">IFERROR(IF(O3="May",(K3/P3-1))," ")</f>
        <v>0</v>
      </c>
      <c r="S3" s="28" t="str">
        <f t="shared" ref="S3:S66" si="8">IF(N3&gt;0,IF(O3="","-",IF(R3&lt;0%,"DEGROWTH","GROWTH")))</f>
        <v>GROWTH</v>
      </c>
      <c r="T3" s="24">
        <v>87</v>
      </c>
      <c r="U3" s="29" t="str">
        <f t="shared" ref="U3:U66" si="9">IF(F3&lt;=$V$2,"May","")</f>
        <v>May</v>
      </c>
      <c r="V3" s="24">
        <f t="shared" ref="V3:V66" si="10">T3</f>
        <v>87</v>
      </c>
      <c r="W3" s="30">
        <f t="shared" ref="W3:W66" si="11">K3-V3</f>
        <v>13</v>
      </c>
      <c r="X3" s="31" t="b">
        <f t="shared" ref="X3:X66" si="12">IFERROR(IF(U3="June",(K3/V3-1)),0)</f>
        <v>0</v>
      </c>
      <c r="Y3" s="32" t="str">
        <f t="shared" ref="Y3:Y66" si="13">IF(T3&gt;0,IF(U3="","-",IF(X3&lt;0%,"DEGROWTH","GROWTH")))</f>
        <v>GROWTH</v>
      </c>
      <c r="Z3" s="33">
        <v>0</v>
      </c>
      <c r="AA3" s="18"/>
      <c r="AB3" s="18" t="s">
        <v>24</v>
      </c>
      <c r="AC3" s="18" t="s">
        <v>24</v>
      </c>
      <c r="AD3" s="34"/>
      <c r="AE3" s="35">
        <f>IFERROR(INDEX([1]Last6M_AvgSales_Ref!$B$2:$B$12659,MATCH(D3,[1]Last6M_AvgSales_Ref!$A$2:$A$12659,0)),"")</f>
        <v>116.666666666667</v>
      </c>
    </row>
    <row r="4" spans="1:32" ht="14.25" customHeight="1" x14ac:dyDescent="0.3">
      <c r="A4" s="18" t="s">
        <v>24</v>
      </c>
      <c r="B4" s="19" t="s">
        <v>28</v>
      </c>
      <c r="C4" s="20" t="s">
        <v>29</v>
      </c>
      <c r="D4" s="20">
        <v>1000000671</v>
      </c>
      <c r="E4" s="21" t="s">
        <v>30</v>
      </c>
      <c r="F4" s="22">
        <v>38390</v>
      </c>
      <c r="G4" s="22" t="str">
        <f t="shared" si="0"/>
        <v>-</v>
      </c>
      <c r="H4" s="22"/>
      <c r="I4" s="23">
        <v>0</v>
      </c>
      <c r="J4" s="23">
        <f t="shared" si="1"/>
        <v>0</v>
      </c>
      <c r="K4" s="24">
        <v>0</v>
      </c>
      <c r="L4" s="24">
        <f t="shared" si="2"/>
        <v>0</v>
      </c>
      <c r="M4" s="24" t="str">
        <f t="shared" si="3"/>
        <v>-</v>
      </c>
      <c r="N4" s="25">
        <v>0</v>
      </c>
      <c r="O4" s="26" t="str">
        <f t="shared" si="4"/>
        <v>June</v>
      </c>
      <c r="P4" s="25">
        <f t="shared" si="5"/>
        <v>0</v>
      </c>
      <c r="Q4" s="27">
        <f t="shared" si="6"/>
        <v>0</v>
      </c>
      <c r="R4" s="26" t="b">
        <f t="shared" si="7"/>
        <v>0</v>
      </c>
      <c r="S4" s="28" t="b">
        <f t="shared" si="8"/>
        <v>0</v>
      </c>
      <c r="T4" s="24">
        <v>0</v>
      </c>
      <c r="U4" s="29" t="str">
        <f t="shared" si="9"/>
        <v>May</v>
      </c>
      <c r="V4" s="24">
        <f t="shared" si="10"/>
        <v>0</v>
      </c>
      <c r="W4" s="30">
        <f t="shared" si="11"/>
        <v>0</v>
      </c>
      <c r="X4" s="31" t="b">
        <f t="shared" si="12"/>
        <v>0</v>
      </c>
      <c r="Y4" s="32" t="b">
        <f t="shared" si="13"/>
        <v>0</v>
      </c>
      <c r="Z4" s="33">
        <v>0</v>
      </c>
      <c r="AA4" s="18"/>
      <c r="AB4" s="18" t="s">
        <v>24</v>
      </c>
      <c r="AC4" s="18" t="s">
        <v>24</v>
      </c>
      <c r="AD4" s="34"/>
      <c r="AE4" s="35">
        <f>IFERROR(INDEX([1]Last6M_AvgSales_Ref!$B$2:$B$12659,MATCH(D4,[1]Last6M_AvgSales_Ref!$A$2:$A$12659,0)),"")</f>
        <v>3.3333333333333299</v>
      </c>
    </row>
    <row r="5" spans="1:32" ht="14.25" customHeight="1" x14ac:dyDescent="0.3">
      <c r="A5" s="36" t="s">
        <v>24</v>
      </c>
      <c r="B5" s="37" t="s">
        <v>28</v>
      </c>
      <c r="C5" s="38" t="s">
        <v>31</v>
      </c>
      <c r="D5" s="38">
        <v>1000000673</v>
      </c>
      <c r="E5" s="39" t="s">
        <v>32</v>
      </c>
      <c r="F5" s="40">
        <v>38490</v>
      </c>
      <c r="G5" s="22" t="str">
        <f t="shared" si="0"/>
        <v>Targeted Dealer</v>
      </c>
      <c r="H5" s="22"/>
      <c r="I5" s="23">
        <v>1700</v>
      </c>
      <c r="J5" s="23">
        <f t="shared" si="1"/>
        <v>1700</v>
      </c>
      <c r="K5" s="24">
        <v>1890</v>
      </c>
      <c r="L5" s="24">
        <f t="shared" si="2"/>
        <v>-190</v>
      </c>
      <c r="M5" s="24">
        <f t="shared" si="3"/>
        <v>111.17647058823529</v>
      </c>
      <c r="N5" s="25">
        <v>1750</v>
      </c>
      <c r="O5" s="26" t="str">
        <f t="shared" si="4"/>
        <v>June</v>
      </c>
      <c r="P5" s="25">
        <f t="shared" si="5"/>
        <v>1750</v>
      </c>
      <c r="Q5" s="27">
        <f t="shared" si="6"/>
        <v>140</v>
      </c>
      <c r="R5" s="26" t="b">
        <f t="shared" si="7"/>
        <v>0</v>
      </c>
      <c r="S5" s="28" t="str">
        <f t="shared" si="8"/>
        <v>GROWTH</v>
      </c>
      <c r="T5" s="24">
        <v>1498.5</v>
      </c>
      <c r="U5" s="29" t="str">
        <f t="shared" si="9"/>
        <v>May</v>
      </c>
      <c r="V5" s="24">
        <f t="shared" si="10"/>
        <v>1498.5</v>
      </c>
      <c r="W5" s="30">
        <f t="shared" si="11"/>
        <v>391.5</v>
      </c>
      <c r="X5" s="31" t="b">
        <f t="shared" si="12"/>
        <v>0</v>
      </c>
      <c r="Y5" s="32" t="str">
        <f t="shared" si="13"/>
        <v>GROWTH</v>
      </c>
      <c r="Z5" s="41">
        <v>0</v>
      </c>
      <c r="AA5" s="36"/>
      <c r="AB5" s="36" t="s">
        <v>24</v>
      </c>
      <c r="AC5" s="36" t="s">
        <v>24</v>
      </c>
      <c r="AD5" s="34"/>
      <c r="AE5" s="35">
        <f>IFERROR(INDEX([1]Last6M_AvgSales_Ref!$B$2:$B$12659,MATCH(D5,[1]Last6M_AvgSales_Ref!$A$2:$A$12659,0)),"")</f>
        <v>1647.5833333333301</v>
      </c>
    </row>
    <row r="6" spans="1:32" ht="14.25" customHeight="1" x14ac:dyDescent="0.3">
      <c r="A6" s="36" t="s">
        <v>24</v>
      </c>
      <c r="B6" s="37" t="s">
        <v>25</v>
      </c>
      <c r="C6" s="38" t="s">
        <v>33</v>
      </c>
      <c r="D6" s="38">
        <v>1000000669</v>
      </c>
      <c r="E6" s="39" t="s">
        <v>34</v>
      </c>
      <c r="F6" s="40">
        <v>39093</v>
      </c>
      <c r="G6" s="22" t="str">
        <f t="shared" si="0"/>
        <v>Targeted Dealer</v>
      </c>
      <c r="H6" s="22"/>
      <c r="I6" s="23">
        <v>39</v>
      </c>
      <c r="J6" s="23">
        <f t="shared" si="1"/>
        <v>39</v>
      </c>
      <c r="K6" s="24">
        <v>52</v>
      </c>
      <c r="L6" s="24">
        <f t="shared" si="2"/>
        <v>-13</v>
      </c>
      <c r="M6" s="24">
        <f t="shared" si="3"/>
        <v>133.33333333333334</v>
      </c>
      <c r="N6" s="25">
        <v>13</v>
      </c>
      <c r="O6" s="26" t="str">
        <f t="shared" si="4"/>
        <v>June</v>
      </c>
      <c r="P6" s="25">
        <f t="shared" si="5"/>
        <v>13</v>
      </c>
      <c r="Q6" s="27">
        <f t="shared" si="6"/>
        <v>39</v>
      </c>
      <c r="R6" s="26" t="b">
        <f t="shared" si="7"/>
        <v>0</v>
      </c>
      <c r="S6" s="28" t="str">
        <f t="shared" si="8"/>
        <v>GROWTH</v>
      </c>
      <c r="T6" s="24">
        <v>26</v>
      </c>
      <c r="U6" s="29" t="str">
        <f t="shared" si="9"/>
        <v>May</v>
      </c>
      <c r="V6" s="24">
        <f t="shared" si="10"/>
        <v>26</v>
      </c>
      <c r="W6" s="30">
        <f t="shared" si="11"/>
        <v>26</v>
      </c>
      <c r="X6" s="31" t="b">
        <f t="shared" si="12"/>
        <v>0</v>
      </c>
      <c r="Y6" s="32" t="str">
        <f t="shared" si="13"/>
        <v>GROWTH</v>
      </c>
      <c r="Z6" s="41">
        <v>0</v>
      </c>
      <c r="AA6" s="36"/>
      <c r="AB6" s="36" t="s">
        <v>24</v>
      </c>
      <c r="AC6" s="36" t="s">
        <v>24</v>
      </c>
      <c r="AD6" s="34"/>
      <c r="AE6" s="35">
        <f>IFERROR(INDEX([1]Last6M_AvgSales_Ref!$B$2:$B$12659,MATCH(D6,[1]Last6M_AvgSales_Ref!$A$2:$A$12659,0)),"")</f>
        <v>29.3333333333333</v>
      </c>
    </row>
    <row r="7" spans="1:32" ht="14.25" customHeight="1" x14ac:dyDescent="0.3">
      <c r="A7" s="36" t="s">
        <v>24</v>
      </c>
      <c r="B7" s="37" t="s">
        <v>25</v>
      </c>
      <c r="C7" s="38" t="s">
        <v>35</v>
      </c>
      <c r="D7" s="38">
        <v>1000000668</v>
      </c>
      <c r="E7" s="39" t="s">
        <v>36</v>
      </c>
      <c r="F7" s="40">
        <v>39257</v>
      </c>
      <c r="G7" s="22" t="str">
        <f t="shared" si="0"/>
        <v>Targeted Dealer</v>
      </c>
      <c r="H7" s="22"/>
      <c r="I7" s="23">
        <v>26</v>
      </c>
      <c r="J7" s="23">
        <f t="shared" si="1"/>
        <v>26</v>
      </c>
      <c r="K7" s="24">
        <v>26</v>
      </c>
      <c r="L7" s="24">
        <f t="shared" si="2"/>
        <v>0</v>
      </c>
      <c r="M7" s="24">
        <f t="shared" si="3"/>
        <v>100</v>
      </c>
      <c r="N7" s="25">
        <v>13</v>
      </c>
      <c r="O7" s="26" t="str">
        <f t="shared" si="4"/>
        <v>June</v>
      </c>
      <c r="P7" s="25">
        <f t="shared" si="5"/>
        <v>13</v>
      </c>
      <c r="Q7" s="27">
        <f t="shared" si="6"/>
        <v>13</v>
      </c>
      <c r="R7" s="26" t="b">
        <f t="shared" si="7"/>
        <v>0</v>
      </c>
      <c r="S7" s="28" t="str">
        <f t="shared" si="8"/>
        <v>GROWTH</v>
      </c>
      <c r="T7" s="24">
        <v>13</v>
      </c>
      <c r="U7" s="29" t="str">
        <f t="shared" si="9"/>
        <v>May</v>
      </c>
      <c r="V7" s="24">
        <f t="shared" si="10"/>
        <v>13</v>
      </c>
      <c r="W7" s="30">
        <f t="shared" si="11"/>
        <v>13</v>
      </c>
      <c r="X7" s="31" t="b">
        <f t="shared" si="12"/>
        <v>0</v>
      </c>
      <c r="Y7" s="32" t="str">
        <f t="shared" si="13"/>
        <v>GROWTH</v>
      </c>
      <c r="Z7" s="41">
        <v>0</v>
      </c>
      <c r="AA7" s="36"/>
      <c r="AB7" s="36" t="s">
        <v>24</v>
      </c>
      <c r="AC7" s="36" t="s">
        <v>24</v>
      </c>
      <c r="AD7" s="34"/>
      <c r="AE7" s="35">
        <f>IFERROR(INDEX([1]Last6M_AvgSales_Ref!$B$2:$B$12659,MATCH(D7,[1]Last6M_AvgSales_Ref!$A$2:$A$12659,0)),"")</f>
        <v>10.8333333333333</v>
      </c>
    </row>
    <row r="8" spans="1:32" ht="14.25" customHeight="1" x14ac:dyDescent="0.3">
      <c r="A8" s="36" t="s">
        <v>24</v>
      </c>
      <c r="B8" s="37" t="s">
        <v>28</v>
      </c>
      <c r="C8" s="38" t="s">
        <v>37</v>
      </c>
      <c r="D8" s="38">
        <v>1000000665</v>
      </c>
      <c r="E8" s="39" t="s">
        <v>38</v>
      </c>
      <c r="F8" s="40">
        <v>40672</v>
      </c>
      <c r="G8" s="22" t="str">
        <f t="shared" si="0"/>
        <v>Targeted Dealer</v>
      </c>
      <c r="H8" s="22"/>
      <c r="I8" s="23">
        <v>340</v>
      </c>
      <c r="J8" s="23">
        <f t="shared" si="1"/>
        <v>340</v>
      </c>
      <c r="K8" s="24">
        <v>380</v>
      </c>
      <c r="L8" s="24">
        <f t="shared" si="2"/>
        <v>-40</v>
      </c>
      <c r="M8" s="24">
        <f t="shared" si="3"/>
        <v>111.76470588235294</v>
      </c>
      <c r="N8" s="25">
        <v>340</v>
      </c>
      <c r="O8" s="26" t="str">
        <f t="shared" si="4"/>
        <v>June</v>
      </c>
      <c r="P8" s="25">
        <f t="shared" si="5"/>
        <v>340</v>
      </c>
      <c r="Q8" s="27">
        <f t="shared" si="6"/>
        <v>40</v>
      </c>
      <c r="R8" s="26" t="b">
        <f t="shared" si="7"/>
        <v>0</v>
      </c>
      <c r="S8" s="28" t="str">
        <f t="shared" si="8"/>
        <v>GROWTH</v>
      </c>
      <c r="T8" s="24">
        <v>280</v>
      </c>
      <c r="U8" s="29" t="str">
        <f t="shared" si="9"/>
        <v>May</v>
      </c>
      <c r="V8" s="24">
        <f t="shared" si="10"/>
        <v>280</v>
      </c>
      <c r="W8" s="30">
        <f t="shared" si="11"/>
        <v>100</v>
      </c>
      <c r="X8" s="31" t="b">
        <f t="shared" si="12"/>
        <v>0</v>
      </c>
      <c r="Y8" s="32" t="str">
        <f t="shared" si="13"/>
        <v>GROWTH</v>
      </c>
      <c r="Z8" s="41">
        <v>0</v>
      </c>
      <c r="AA8" s="36"/>
      <c r="AB8" s="36" t="s">
        <v>24</v>
      </c>
      <c r="AC8" s="36" t="s">
        <v>24</v>
      </c>
      <c r="AD8" s="34"/>
      <c r="AE8" s="35">
        <f>IFERROR(INDEX([1]Last6M_AvgSales_Ref!$B$2:$B$12659,MATCH(D8,[1]Last6M_AvgSales_Ref!$A$2:$A$12659,0)),"")</f>
        <v>378.33333333333297</v>
      </c>
    </row>
    <row r="9" spans="1:32" ht="14.25" customHeight="1" x14ac:dyDescent="0.3">
      <c r="A9" s="36" t="s">
        <v>24</v>
      </c>
      <c r="B9" s="37" t="s">
        <v>25</v>
      </c>
      <c r="C9" s="38" t="s">
        <v>39</v>
      </c>
      <c r="D9" s="38">
        <v>1000000653</v>
      </c>
      <c r="E9" s="39" t="s">
        <v>40</v>
      </c>
      <c r="F9" s="40">
        <v>41186</v>
      </c>
      <c r="G9" s="22" t="str">
        <f t="shared" si="0"/>
        <v>Targeted Dealer</v>
      </c>
      <c r="H9" s="22"/>
      <c r="I9" s="23">
        <v>80</v>
      </c>
      <c r="J9" s="23">
        <f t="shared" si="1"/>
        <v>80</v>
      </c>
      <c r="K9" s="24">
        <v>60</v>
      </c>
      <c r="L9" s="24">
        <f t="shared" si="2"/>
        <v>20</v>
      </c>
      <c r="M9" s="24">
        <f t="shared" si="3"/>
        <v>75</v>
      </c>
      <c r="N9" s="25">
        <v>80</v>
      </c>
      <c r="O9" s="26" t="str">
        <f t="shared" si="4"/>
        <v>June</v>
      </c>
      <c r="P9" s="25">
        <f t="shared" si="5"/>
        <v>80</v>
      </c>
      <c r="Q9" s="27">
        <f t="shared" si="6"/>
        <v>-20</v>
      </c>
      <c r="R9" s="26" t="b">
        <f t="shared" si="7"/>
        <v>0</v>
      </c>
      <c r="S9" s="28" t="str">
        <f t="shared" si="8"/>
        <v>GROWTH</v>
      </c>
      <c r="T9" s="24">
        <v>80</v>
      </c>
      <c r="U9" s="29" t="str">
        <f t="shared" si="9"/>
        <v>May</v>
      </c>
      <c r="V9" s="24">
        <f t="shared" si="10"/>
        <v>80</v>
      </c>
      <c r="W9" s="30">
        <f t="shared" si="11"/>
        <v>-20</v>
      </c>
      <c r="X9" s="31" t="b">
        <f t="shared" si="12"/>
        <v>0</v>
      </c>
      <c r="Y9" s="32" t="str">
        <f t="shared" si="13"/>
        <v>GROWTH</v>
      </c>
      <c r="Z9" s="41">
        <v>0</v>
      </c>
      <c r="AA9" s="36"/>
      <c r="AB9" s="36" t="s">
        <v>24</v>
      </c>
      <c r="AC9" s="36" t="s">
        <v>24</v>
      </c>
      <c r="AD9" s="34"/>
      <c r="AE9" s="35">
        <f>IFERROR(INDEX([1]Last6M_AvgSales_Ref!$B$2:$B$12659,MATCH(D9,[1]Last6M_AvgSales_Ref!$A$2:$A$12659,0)),"")</f>
        <v>51.6666666666667</v>
      </c>
    </row>
    <row r="10" spans="1:32" ht="14.25" customHeight="1" x14ac:dyDescent="0.3">
      <c r="A10" s="36" t="s">
        <v>24</v>
      </c>
      <c r="B10" s="37" t="s">
        <v>28</v>
      </c>
      <c r="C10" s="38" t="s">
        <v>41</v>
      </c>
      <c r="D10" s="38">
        <v>1000000634</v>
      </c>
      <c r="E10" s="39" t="s">
        <v>42</v>
      </c>
      <c r="F10" s="40">
        <v>41397</v>
      </c>
      <c r="G10" s="22" t="str">
        <f t="shared" si="0"/>
        <v>Targeted Dealer</v>
      </c>
      <c r="H10" s="22"/>
      <c r="I10" s="23">
        <v>110</v>
      </c>
      <c r="J10" s="23">
        <f t="shared" si="1"/>
        <v>110</v>
      </c>
      <c r="K10" s="24">
        <v>120</v>
      </c>
      <c r="L10" s="24">
        <f t="shared" si="2"/>
        <v>-10</v>
      </c>
      <c r="M10" s="24">
        <f t="shared" si="3"/>
        <v>109.09090909090908</v>
      </c>
      <c r="N10" s="25">
        <v>120</v>
      </c>
      <c r="O10" s="26" t="str">
        <f t="shared" si="4"/>
        <v>June</v>
      </c>
      <c r="P10" s="25">
        <f t="shared" si="5"/>
        <v>120</v>
      </c>
      <c r="Q10" s="27">
        <f t="shared" si="6"/>
        <v>0</v>
      </c>
      <c r="R10" s="26" t="b">
        <f t="shared" si="7"/>
        <v>0</v>
      </c>
      <c r="S10" s="28" t="str">
        <f t="shared" si="8"/>
        <v>GROWTH</v>
      </c>
      <c r="T10" s="24">
        <v>100</v>
      </c>
      <c r="U10" s="29" t="str">
        <f t="shared" si="9"/>
        <v>May</v>
      </c>
      <c r="V10" s="24">
        <f t="shared" si="10"/>
        <v>100</v>
      </c>
      <c r="W10" s="30">
        <f t="shared" si="11"/>
        <v>20</v>
      </c>
      <c r="X10" s="31" t="b">
        <f t="shared" si="12"/>
        <v>0</v>
      </c>
      <c r="Y10" s="32" t="str">
        <f t="shared" si="13"/>
        <v>GROWTH</v>
      </c>
      <c r="Z10" s="41">
        <v>0</v>
      </c>
      <c r="AA10" s="36"/>
      <c r="AB10" s="36" t="s">
        <v>24</v>
      </c>
      <c r="AC10" s="36" t="s">
        <v>24</v>
      </c>
      <c r="AD10" s="34"/>
      <c r="AE10" s="35">
        <f>IFERROR(INDEX([1]Last6M_AvgSales_Ref!$B$2:$B$12659,MATCH(D10,[1]Last6M_AvgSales_Ref!$A$2:$A$12659,0)),"")</f>
        <v>158.333333333333</v>
      </c>
    </row>
    <row r="11" spans="1:32" ht="14.25" customHeight="1" x14ac:dyDescent="0.3">
      <c r="A11" s="36" t="s">
        <v>24</v>
      </c>
      <c r="B11" s="37" t="s">
        <v>28</v>
      </c>
      <c r="C11" s="38" t="s">
        <v>43</v>
      </c>
      <c r="D11" s="38">
        <v>1000000654</v>
      </c>
      <c r="E11" s="39" t="s">
        <v>44</v>
      </c>
      <c r="F11" s="40">
        <v>41791</v>
      </c>
      <c r="G11" s="22" t="str">
        <f t="shared" si="0"/>
        <v>Targeted Dealer</v>
      </c>
      <c r="H11" s="22"/>
      <c r="I11" s="23">
        <v>160</v>
      </c>
      <c r="J11" s="23">
        <f t="shared" si="1"/>
        <v>160</v>
      </c>
      <c r="K11" s="24">
        <v>180</v>
      </c>
      <c r="L11" s="24">
        <f t="shared" si="2"/>
        <v>-20</v>
      </c>
      <c r="M11" s="24">
        <f t="shared" si="3"/>
        <v>112.5</v>
      </c>
      <c r="N11" s="25">
        <v>175</v>
      </c>
      <c r="O11" s="26" t="str">
        <f t="shared" si="4"/>
        <v>June</v>
      </c>
      <c r="P11" s="25">
        <f t="shared" si="5"/>
        <v>175</v>
      </c>
      <c r="Q11" s="27">
        <f t="shared" si="6"/>
        <v>5</v>
      </c>
      <c r="R11" s="26" t="b">
        <f t="shared" si="7"/>
        <v>0</v>
      </c>
      <c r="S11" s="28" t="str">
        <f t="shared" si="8"/>
        <v>GROWTH</v>
      </c>
      <c r="T11" s="24">
        <v>147.5</v>
      </c>
      <c r="U11" s="29" t="str">
        <f t="shared" si="9"/>
        <v>May</v>
      </c>
      <c r="V11" s="24">
        <f t="shared" si="10"/>
        <v>147.5</v>
      </c>
      <c r="W11" s="30">
        <f t="shared" si="11"/>
        <v>32.5</v>
      </c>
      <c r="X11" s="31" t="b">
        <f t="shared" si="12"/>
        <v>0</v>
      </c>
      <c r="Y11" s="32" t="str">
        <f t="shared" si="13"/>
        <v>GROWTH</v>
      </c>
      <c r="Z11" s="41">
        <v>0</v>
      </c>
      <c r="AA11" s="36"/>
      <c r="AB11" s="36" t="s">
        <v>24</v>
      </c>
      <c r="AC11" s="36" t="s">
        <v>24</v>
      </c>
      <c r="AD11" s="34"/>
      <c r="AE11" s="35">
        <f>IFERROR(INDEX([1]Last6M_AvgSales_Ref!$B$2:$B$12659,MATCH(D11,[1]Last6M_AvgSales_Ref!$A$2:$A$12659,0)),"")</f>
        <v>116.166666666667</v>
      </c>
    </row>
    <row r="12" spans="1:32" ht="14.25" customHeight="1" x14ac:dyDescent="0.3">
      <c r="A12" s="36" t="s">
        <v>24</v>
      </c>
      <c r="B12" s="37" t="s">
        <v>25</v>
      </c>
      <c r="C12" s="38" t="s">
        <v>45</v>
      </c>
      <c r="D12" s="38">
        <v>1000000655</v>
      </c>
      <c r="E12" s="39" t="s">
        <v>46</v>
      </c>
      <c r="F12" s="40">
        <v>41927</v>
      </c>
      <c r="G12" s="22" t="str">
        <f t="shared" si="0"/>
        <v>Targeted Dealer</v>
      </c>
      <c r="H12" s="22"/>
      <c r="I12" s="23">
        <v>26</v>
      </c>
      <c r="J12" s="23">
        <f t="shared" si="1"/>
        <v>26</v>
      </c>
      <c r="K12" s="24">
        <v>26</v>
      </c>
      <c r="L12" s="24">
        <f t="shared" si="2"/>
        <v>0</v>
      </c>
      <c r="M12" s="24">
        <f t="shared" si="3"/>
        <v>100</v>
      </c>
      <c r="N12" s="25">
        <v>33</v>
      </c>
      <c r="O12" s="26" t="str">
        <f t="shared" si="4"/>
        <v>June</v>
      </c>
      <c r="P12" s="25">
        <f t="shared" si="5"/>
        <v>33</v>
      </c>
      <c r="Q12" s="27">
        <f t="shared" si="6"/>
        <v>-7</v>
      </c>
      <c r="R12" s="26" t="b">
        <f t="shared" si="7"/>
        <v>0</v>
      </c>
      <c r="S12" s="28" t="str">
        <f t="shared" si="8"/>
        <v>GROWTH</v>
      </c>
      <c r="T12" s="24">
        <v>19.5</v>
      </c>
      <c r="U12" s="29" t="str">
        <f t="shared" si="9"/>
        <v>May</v>
      </c>
      <c r="V12" s="24">
        <f t="shared" si="10"/>
        <v>19.5</v>
      </c>
      <c r="W12" s="30">
        <f t="shared" si="11"/>
        <v>6.5</v>
      </c>
      <c r="X12" s="31" t="b">
        <f t="shared" si="12"/>
        <v>0</v>
      </c>
      <c r="Y12" s="32" t="str">
        <f t="shared" si="13"/>
        <v>GROWTH</v>
      </c>
      <c r="Z12" s="41">
        <v>0</v>
      </c>
      <c r="AA12" s="36"/>
      <c r="AB12" s="36" t="s">
        <v>24</v>
      </c>
      <c r="AC12" s="36" t="s">
        <v>24</v>
      </c>
      <c r="AD12" s="34"/>
      <c r="AE12" s="35">
        <f>IFERROR(INDEX([1]Last6M_AvgSales_Ref!$B$2:$B$12659,MATCH(D12,[1]Last6M_AvgSales_Ref!$A$2:$A$12659,0)),"")</f>
        <v>23.3333333333333</v>
      </c>
    </row>
    <row r="13" spans="1:32" ht="14.25" customHeight="1" x14ac:dyDescent="0.3">
      <c r="A13" s="36" t="s">
        <v>24</v>
      </c>
      <c r="B13" s="37" t="s">
        <v>28</v>
      </c>
      <c r="C13" s="38" t="s">
        <v>47</v>
      </c>
      <c r="D13" s="38">
        <v>1000000633</v>
      </c>
      <c r="E13" s="39" t="s">
        <v>48</v>
      </c>
      <c r="F13" s="40">
        <v>42048</v>
      </c>
      <c r="G13" s="22" t="str">
        <f t="shared" si="0"/>
        <v>Targeted Dealer</v>
      </c>
      <c r="H13" s="22"/>
      <c r="I13" s="23">
        <v>150</v>
      </c>
      <c r="J13" s="23">
        <f t="shared" si="1"/>
        <v>150</v>
      </c>
      <c r="K13" s="24">
        <v>200</v>
      </c>
      <c r="L13" s="24">
        <f t="shared" si="2"/>
        <v>-50</v>
      </c>
      <c r="M13" s="24">
        <f t="shared" si="3"/>
        <v>133.33333333333334</v>
      </c>
      <c r="N13" s="25">
        <v>171</v>
      </c>
      <c r="O13" s="26" t="str">
        <f t="shared" si="4"/>
        <v>June</v>
      </c>
      <c r="P13" s="25">
        <f t="shared" si="5"/>
        <v>171</v>
      </c>
      <c r="Q13" s="27">
        <f t="shared" si="6"/>
        <v>29</v>
      </c>
      <c r="R13" s="26" t="b">
        <f t="shared" si="7"/>
        <v>0</v>
      </c>
      <c r="S13" s="28" t="str">
        <f t="shared" si="8"/>
        <v>GROWTH</v>
      </c>
      <c r="T13" s="24">
        <v>122.5</v>
      </c>
      <c r="U13" s="29" t="str">
        <f t="shared" si="9"/>
        <v>May</v>
      </c>
      <c r="V13" s="24">
        <f t="shared" si="10"/>
        <v>122.5</v>
      </c>
      <c r="W13" s="30">
        <f t="shared" si="11"/>
        <v>77.5</v>
      </c>
      <c r="X13" s="31" t="b">
        <f t="shared" si="12"/>
        <v>0</v>
      </c>
      <c r="Y13" s="32" t="str">
        <f t="shared" si="13"/>
        <v>GROWTH</v>
      </c>
      <c r="Z13" s="41">
        <v>0</v>
      </c>
      <c r="AA13" s="36"/>
      <c r="AB13" s="36" t="s">
        <v>24</v>
      </c>
      <c r="AC13" s="36" t="s">
        <v>24</v>
      </c>
      <c r="AD13" s="34"/>
      <c r="AE13" s="35">
        <f>IFERROR(INDEX([1]Last6M_AvgSales_Ref!$B$2:$B$12659,MATCH(D13,[1]Last6M_AvgSales_Ref!$A$2:$A$12659,0)),"")</f>
        <v>165.25</v>
      </c>
    </row>
    <row r="14" spans="1:32" ht="14.25" customHeight="1" x14ac:dyDescent="0.3">
      <c r="A14" s="36" t="s">
        <v>24</v>
      </c>
      <c r="B14" s="37" t="s">
        <v>28</v>
      </c>
      <c r="C14" s="38" t="s">
        <v>49</v>
      </c>
      <c r="D14" s="38">
        <v>1000000672</v>
      </c>
      <c r="E14" s="39" t="s">
        <v>50</v>
      </c>
      <c r="F14" s="40">
        <v>42448</v>
      </c>
      <c r="G14" s="22" t="str">
        <f t="shared" si="0"/>
        <v>Targeted Dealer</v>
      </c>
      <c r="H14" s="22"/>
      <c r="I14" s="23">
        <v>40</v>
      </c>
      <c r="J14" s="23">
        <f t="shared" si="1"/>
        <v>40</v>
      </c>
      <c r="K14" s="24">
        <v>46</v>
      </c>
      <c r="L14" s="24">
        <f t="shared" si="2"/>
        <v>-6</v>
      </c>
      <c r="M14" s="24">
        <f t="shared" si="3"/>
        <v>115</v>
      </c>
      <c r="N14" s="25">
        <v>13</v>
      </c>
      <c r="O14" s="26" t="str">
        <f t="shared" si="4"/>
        <v>June</v>
      </c>
      <c r="P14" s="25">
        <f t="shared" si="5"/>
        <v>13</v>
      </c>
      <c r="Q14" s="27">
        <f t="shared" si="6"/>
        <v>33</v>
      </c>
      <c r="R14" s="26" t="b">
        <f t="shared" si="7"/>
        <v>0</v>
      </c>
      <c r="S14" s="28" t="str">
        <f t="shared" si="8"/>
        <v>GROWTH</v>
      </c>
      <c r="T14" s="24">
        <v>30</v>
      </c>
      <c r="U14" s="29" t="str">
        <f t="shared" si="9"/>
        <v>May</v>
      </c>
      <c r="V14" s="24">
        <f t="shared" si="10"/>
        <v>30</v>
      </c>
      <c r="W14" s="30">
        <f t="shared" si="11"/>
        <v>16</v>
      </c>
      <c r="X14" s="31" t="b">
        <f t="shared" si="12"/>
        <v>0</v>
      </c>
      <c r="Y14" s="32" t="str">
        <f t="shared" si="13"/>
        <v>GROWTH</v>
      </c>
      <c r="Z14" s="41">
        <v>0</v>
      </c>
      <c r="AA14" s="36"/>
      <c r="AB14" s="36" t="s">
        <v>24</v>
      </c>
      <c r="AC14" s="36" t="s">
        <v>24</v>
      </c>
      <c r="AD14" s="34"/>
      <c r="AE14" s="35">
        <f>IFERROR(INDEX([1]Last6M_AvgSales_Ref!$B$2:$B$12659,MATCH(D14,[1]Last6M_AvgSales_Ref!$A$2:$A$12659,0)),"")</f>
        <v>41.75</v>
      </c>
    </row>
    <row r="15" spans="1:32" ht="14.25" customHeight="1" x14ac:dyDescent="0.3">
      <c r="A15" s="36" t="s">
        <v>24</v>
      </c>
      <c r="B15" s="37" t="s">
        <v>25</v>
      </c>
      <c r="C15" s="38" t="s">
        <v>51</v>
      </c>
      <c r="D15" s="38">
        <v>1000000657</v>
      </c>
      <c r="E15" s="39" t="s">
        <v>52</v>
      </c>
      <c r="F15" s="40">
        <v>42822</v>
      </c>
      <c r="G15" s="22" t="str">
        <f t="shared" si="0"/>
        <v>-</v>
      </c>
      <c r="H15" s="22"/>
      <c r="I15" s="23">
        <v>0</v>
      </c>
      <c r="J15" s="23">
        <f t="shared" si="1"/>
        <v>0</v>
      </c>
      <c r="K15" s="24">
        <v>0</v>
      </c>
      <c r="L15" s="24">
        <f t="shared" si="2"/>
        <v>0</v>
      </c>
      <c r="M15" s="24" t="str">
        <f t="shared" si="3"/>
        <v>-</v>
      </c>
      <c r="N15" s="25">
        <v>0</v>
      </c>
      <c r="O15" s="26" t="str">
        <f t="shared" si="4"/>
        <v>June</v>
      </c>
      <c r="P15" s="25">
        <f t="shared" si="5"/>
        <v>0</v>
      </c>
      <c r="Q15" s="27">
        <f t="shared" si="6"/>
        <v>0</v>
      </c>
      <c r="R15" s="26" t="b">
        <f t="shared" si="7"/>
        <v>0</v>
      </c>
      <c r="S15" s="28" t="b">
        <f t="shared" si="8"/>
        <v>0</v>
      </c>
      <c r="T15" s="24">
        <v>20</v>
      </c>
      <c r="U15" s="29" t="str">
        <f t="shared" si="9"/>
        <v>May</v>
      </c>
      <c r="V15" s="24">
        <f t="shared" si="10"/>
        <v>20</v>
      </c>
      <c r="W15" s="30">
        <f t="shared" si="11"/>
        <v>-20</v>
      </c>
      <c r="X15" s="31" t="b">
        <f t="shared" si="12"/>
        <v>0</v>
      </c>
      <c r="Y15" s="32" t="str">
        <f t="shared" si="13"/>
        <v>GROWTH</v>
      </c>
      <c r="Z15" s="41">
        <v>0</v>
      </c>
      <c r="AA15" s="36"/>
      <c r="AB15" s="36" t="s">
        <v>24</v>
      </c>
      <c r="AC15" s="36" t="s">
        <v>24</v>
      </c>
      <c r="AD15" s="34"/>
      <c r="AE15" s="35">
        <f>IFERROR(INDEX([1]Last6M_AvgSales_Ref!$B$2:$B$12659,MATCH(D15,[1]Last6M_AvgSales_Ref!$A$2:$A$12659,0)),"")</f>
        <v>6.6666666666666696</v>
      </c>
    </row>
    <row r="16" spans="1:32" ht="14.25" customHeight="1" x14ac:dyDescent="0.3">
      <c r="A16" s="36" t="s">
        <v>24</v>
      </c>
      <c r="B16" s="37" t="s">
        <v>25</v>
      </c>
      <c r="C16" s="38" t="s">
        <v>53</v>
      </c>
      <c r="D16" s="38">
        <v>1000000647</v>
      </c>
      <c r="E16" s="39" t="s">
        <v>54</v>
      </c>
      <c r="F16" s="40">
        <v>42842</v>
      </c>
      <c r="G16" s="22" t="str">
        <f t="shared" si="0"/>
        <v>Targeted Dealer</v>
      </c>
      <c r="H16" s="22"/>
      <c r="I16" s="23">
        <v>20</v>
      </c>
      <c r="J16" s="23">
        <f t="shared" si="1"/>
        <v>20</v>
      </c>
      <c r="K16" s="24">
        <v>20</v>
      </c>
      <c r="L16" s="24">
        <f t="shared" si="2"/>
        <v>0</v>
      </c>
      <c r="M16" s="24">
        <f t="shared" si="3"/>
        <v>100</v>
      </c>
      <c r="N16" s="25">
        <v>20</v>
      </c>
      <c r="O16" s="26" t="str">
        <f t="shared" si="4"/>
        <v>June</v>
      </c>
      <c r="P16" s="25">
        <f t="shared" si="5"/>
        <v>20</v>
      </c>
      <c r="Q16" s="27">
        <f t="shared" si="6"/>
        <v>0</v>
      </c>
      <c r="R16" s="26" t="b">
        <f t="shared" si="7"/>
        <v>0</v>
      </c>
      <c r="S16" s="28" t="str">
        <f t="shared" si="8"/>
        <v>GROWTH</v>
      </c>
      <c r="T16" s="24">
        <v>100</v>
      </c>
      <c r="U16" s="29" t="str">
        <f t="shared" si="9"/>
        <v>May</v>
      </c>
      <c r="V16" s="24">
        <f t="shared" si="10"/>
        <v>100</v>
      </c>
      <c r="W16" s="30">
        <f t="shared" si="11"/>
        <v>-80</v>
      </c>
      <c r="X16" s="31" t="b">
        <f t="shared" si="12"/>
        <v>0</v>
      </c>
      <c r="Y16" s="32" t="str">
        <f t="shared" si="13"/>
        <v>GROWTH</v>
      </c>
      <c r="Z16" s="41">
        <v>0</v>
      </c>
      <c r="AA16" s="36"/>
      <c r="AB16" s="36" t="s">
        <v>24</v>
      </c>
      <c r="AC16" s="36" t="s">
        <v>24</v>
      </c>
      <c r="AD16" s="34"/>
      <c r="AE16" s="35">
        <f>IFERROR(INDEX([1]Last6M_AvgSales_Ref!$B$2:$B$12659,MATCH(D16,[1]Last6M_AvgSales_Ref!$A$2:$A$12659,0)),"")</f>
        <v>26.6666666666667</v>
      </c>
    </row>
    <row r="17" spans="1:31" ht="14.25" customHeight="1" x14ac:dyDescent="0.3">
      <c r="A17" s="36" t="s">
        <v>24</v>
      </c>
      <c r="B17" s="37" t="s">
        <v>28</v>
      </c>
      <c r="C17" s="38" t="s">
        <v>55</v>
      </c>
      <c r="D17" s="38">
        <v>1000000667</v>
      </c>
      <c r="E17" s="39" t="s">
        <v>56</v>
      </c>
      <c r="F17" s="40">
        <v>42849</v>
      </c>
      <c r="G17" s="22" t="str">
        <f t="shared" si="0"/>
        <v>Targeted Dealer</v>
      </c>
      <c r="H17" s="22"/>
      <c r="I17" s="23">
        <v>130</v>
      </c>
      <c r="J17" s="23">
        <f t="shared" si="1"/>
        <v>130</v>
      </c>
      <c r="K17" s="24">
        <v>140</v>
      </c>
      <c r="L17" s="24">
        <f t="shared" si="2"/>
        <v>-10</v>
      </c>
      <c r="M17" s="24">
        <f t="shared" si="3"/>
        <v>107.69230769230769</v>
      </c>
      <c r="N17" s="25">
        <v>80</v>
      </c>
      <c r="O17" s="26" t="str">
        <f t="shared" si="4"/>
        <v>June</v>
      </c>
      <c r="P17" s="25">
        <f t="shared" si="5"/>
        <v>80</v>
      </c>
      <c r="Q17" s="27">
        <f t="shared" si="6"/>
        <v>60</v>
      </c>
      <c r="R17" s="26" t="b">
        <f t="shared" si="7"/>
        <v>0</v>
      </c>
      <c r="S17" s="28" t="str">
        <f t="shared" si="8"/>
        <v>GROWTH</v>
      </c>
      <c r="T17" s="24">
        <v>100</v>
      </c>
      <c r="U17" s="29" t="str">
        <f t="shared" si="9"/>
        <v>May</v>
      </c>
      <c r="V17" s="24">
        <f t="shared" si="10"/>
        <v>100</v>
      </c>
      <c r="W17" s="30">
        <f t="shared" si="11"/>
        <v>40</v>
      </c>
      <c r="X17" s="31" t="b">
        <f t="shared" si="12"/>
        <v>0</v>
      </c>
      <c r="Y17" s="32" t="str">
        <f t="shared" si="13"/>
        <v>GROWTH</v>
      </c>
      <c r="Z17" s="41">
        <v>0</v>
      </c>
      <c r="AA17" s="36"/>
      <c r="AB17" s="36" t="s">
        <v>24</v>
      </c>
      <c r="AC17" s="36" t="s">
        <v>24</v>
      </c>
      <c r="AD17" s="34"/>
      <c r="AE17" s="35">
        <f>IFERROR(INDEX([1]Last6M_AvgSales_Ref!$B$2:$B$12659,MATCH(D17,[1]Last6M_AvgSales_Ref!$A$2:$A$12659,0)),"")</f>
        <v>106.666666666667</v>
      </c>
    </row>
    <row r="18" spans="1:31" ht="14.25" customHeight="1" x14ac:dyDescent="0.3">
      <c r="A18" s="36" t="s">
        <v>24</v>
      </c>
      <c r="B18" s="37" t="s">
        <v>25</v>
      </c>
      <c r="C18" s="38" t="s">
        <v>57</v>
      </c>
      <c r="D18" s="38">
        <v>1000000661</v>
      </c>
      <c r="E18" s="39" t="s">
        <v>58</v>
      </c>
      <c r="F18" s="40">
        <v>42914</v>
      </c>
      <c r="G18" s="22" t="str">
        <f t="shared" si="0"/>
        <v>Targeted Dealer</v>
      </c>
      <c r="H18" s="22"/>
      <c r="I18" s="23">
        <v>300</v>
      </c>
      <c r="J18" s="23">
        <f t="shared" si="1"/>
        <v>300</v>
      </c>
      <c r="K18" s="24">
        <v>293</v>
      </c>
      <c r="L18" s="24">
        <f t="shared" si="2"/>
        <v>7</v>
      </c>
      <c r="M18" s="24">
        <f t="shared" si="3"/>
        <v>97.666666666666671</v>
      </c>
      <c r="N18" s="25">
        <v>229</v>
      </c>
      <c r="O18" s="26" t="str">
        <f t="shared" si="4"/>
        <v>June</v>
      </c>
      <c r="P18" s="25">
        <f t="shared" si="5"/>
        <v>229</v>
      </c>
      <c r="Q18" s="27">
        <f t="shared" si="6"/>
        <v>64</v>
      </c>
      <c r="R18" s="26" t="b">
        <f t="shared" si="7"/>
        <v>0</v>
      </c>
      <c r="S18" s="28" t="str">
        <f t="shared" si="8"/>
        <v>GROWTH</v>
      </c>
      <c r="T18" s="24">
        <v>216</v>
      </c>
      <c r="U18" s="29" t="str">
        <f t="shared" si="9"/>
        <v>May</v>
      </c>
      <c r="V18" s="24">
        <f t="shared" si="10"/>
        <v>216</v>
      </c>
      <c r="W18" s="30">
        <f t="shared" si="11"/>
        <v>77</v>
      </c>
      <c r="X18" s="31" t="b">
        <f t="shared" si="12"/>
        <v>0</v>
      </c>
      <c r="Y18" s="32" t="str">
        <f t="shared" si="13"/>
        <v>GROWTH</v>
      </c>
      <c r="Z18" s="41">
        <v>0</v>
      </c>
      <c r="AA18" s="36"/>
      <c r="AB18" s="36" t="s">
        <v>24</v>
      </c>
      <c r="AC18" s="36" t="s">
        <v>24</v>
      </c>
      <c r="AD18" s="34"/>
      <c r="AE18" s="35">
        <f>IFERROR(INDEX([1]Last6M_AvgSales_Ref!$B$2:$B$12659,MATCH(D18,[1]Last6M_AvgSales_Ref!$A$2:$A$12659,0)),"")</f>
        <v>282.16666666666703</v>
      </c>
    </row>
    <row r="19" spans="1:31" ht="14.25" customHeight="1" x14ac:dyDescent="0.3">
      <c r="A19" s="36" t="s">
        <v>24</v>
      </c>
      <c r="B19" s="37" t="s">
        <v>59</v>
      </c>
      <c r="C19" s="38" t="s">
        <v>60</v>
      </c>
      <c r="D19" s="38">
        <v>1000000646</v>
      </c>
      <c r="E19" s="39" t="s">
        <v>61</v>
      </c>
      <c r="F19" s="40">
        <v>43132</v>
      </c>
      <c r="G19" s="22" t="str">
        <f t="shared" si="0"/>
        <v>Targeted Dealer</v>
      </c>
      <c r="H19" s="22"/>
      <c r="I19" s="23">
        <v>120</v>
      </c>
      <c r="J19" s="23">
        <f t="shared" si="1"/>
        <v>120</v>
      </c>
      <c r="K19" s="24">
        <v>100</v>
      </c>
      <c r="L19" s="24">
        <f t="shared" si="2"/>
        <v>20</v>
      </c>
      <c r="M19" s="24">
        <f t="shared" si="3"/>
        <v>83.333333333333343</v>
      </c>
      <c r="N19" s="25">
        <v>150</v>
      </c>
      <c r="O19" s="26" t="str">
        <f t="shared" si="4"/>
        <v>June</v>
      </c>
      <c r="P19" s="25">
        <f t="shared" si="5"/>
        <v>150</v>
      </c>
      <c r="Q19" s="27">
        <f t="shared" si="6"/>
        <v>-50</v>
      </c>
      <c r="R19" s="26" t="b">
        <f t="shared" si="7"/>
        <v>0</v>
      </c>
      <c r="S19" s="28" t="str">
        <f t="shared" si="8"/>
        <v>GROWTH</v>
      </c>
      <c r="T19" s="24">
        <v>100</v>
      </c>
      <c r="U19" s="29" t="str">
        <f t="shared" si="9"/>
        <v>May</v>
      </c>
      <c r="V19" s="24">
        <f t="shared" si="10"/>
        <v>100</v>
      </c>
      <c r="W19" s="30">
        <f t="shared" si="11"/>
        <v>0</v>
      </c>
      <c r="X19" s="31" t="b">
        <f t="shared" si="12"/>
        <v>0</v>
      </c>
      <c r="Y19" s="32" t="str">
        <f t="shared" si="13"/>
        <v>GROWTH</v>
      </c>
      <c r="Z19" s="41">
        <v>0</v>
      </c>
      <c r="AA19" s="36"/>
      <c r="AB19" s="36" t="s">
        <v>24</v>
      </c>
      <c r="AC19" s="36" t="s">
        <v>24</v>
      </c>
      <c r="AD19" s="34"/>
      <c r="AE19" s="35">
        <f>IFERROR(INDEX([1]Last6M_AvgSales_Ref!$B$2:$B$12659,MATCH(D19,[1]Last6M_AvgSales_Ref!$A$2:$A$12659,0)),"")</f>
        <v>202.333333333333</v>
      </c>
    </row>
    <row r="20" spans="1:31" ht="14.25" customHeight="1" x14ac:dyDescent="0.3">
      <c r="A20" s="36" t="s">
        <v>24</v>
      </c>
      <c r="B20" s="37" t="s">
        <v>25</v>
      </c>
      <c r="C20" s="38" t="s">
        <v>62</v>
      </c>
      <c r="D20" s="38">
        <v>1000000670</v>
      </c>
      <c r="E20" s="39" t="s">
        <v>63</v>
      </c>
      <c r="F20" s="40">
        <v>43154</v>
      </c>
      <c r="G20" s="22" t="str">
        <f t="shared" si="0"/>
        <v>-</v>
      </c>
      <c r="H20" s="22"/>
      <c r="I20" s="23">
        <v>0</v>
      </c>
      <c r="J20" s="23">
        <f t="shared" si="1"/>
        <v>0</v>
      </c>
      <c r="K20" s="24">
        <v>0</v>
      </c>
      <c r="L20" s="24">
        <f t="shared" si="2"/>
        <v>0</v>
      </c>
      <c r="M20" s="24" t="str">
        <f t="shared" si="3"/>
        <v>-</v>
      </c>
      <c r="N20" s="25">
        <v>0</v>
      </c>
      <c r="O20" s="26" t="str">
        <f t="shared" si="4"/>
        <v>June</v>
      </c>
      <c r="P20" s="25">
        <f t="shared" si="5"/>
        <v>0</v>
      </c>
      <c r="Q20" s="27">
        <f t="shared" si="6"/>
        <v>0</v>
      </c>
      <c r="R20" s="26" t="b">
        <f t="shared" si="7"/>
        <v>0</v>
      </c>
      <c r="S20" s="28" t="b">
        <f t="shared" si="8"/>
        <v>0</v>
      </c>
      <c r="T20" s="24">
        <v>458</v>
      </c>
      <c r="U20" s="29" t="str">
        <f t="shared" si="9"/>
        <v>May</v>
      </c>
      <c r="V20" s="24">
        <f t="shared" si="10"/>
        <v>458</v>
      </c>
      <c r="W20" s="30">
        <f t="shared" si="11"/>
        <v>-458</v>
      </c>
      <c r="X20" s="31" t="b">
        <f t="shared" si="12"/>
        <v>0</v>
      </c>
      <c r="Y20" s="32" t="str">
        <f t="shared" si="13"/>
        <v>GROWTH</v>
      </c>
      <c r="Z20" s="41">
        <v>0</v>
      </c>
      <c r="AA20" s="36"/>
      <c r="AB20" s="36" t="s">
        <v>24</v>
      </c>
      <c r="AC20" s="36" t="s">
        <v>24</v>
      </c>
      <c r="AD20" s="34"/>
      <c r="AE20" s="35">
        <f>IFERROR(INDEX([1]Last6M_AvgSales_Ref!$B$2:$B$12659,MATCH(D20,[1]Last6M_AvgSales_Ref!$A$2:$A$12659,0)),"")</f>
        <v>460</v>
      </c>
    </row>
    <row r="21" spans="1:31" ht="14.25" customHeight="1" x14ac:dyDescent="0.3">
      <c r="A21" s="36" t="s">
        <v>24</v>
      </c>
      <c r="B21" s="37" t="s">
        <v>25</v>
      </c>
      <c r="C21" s="38" t="s">
        <v>64</v>
      </c>
      <c r="D21" s="38">
        <v>1000000659</v>
      </c>
      <c r="E21" s="39" t="s">
        <v>65</v>
      </c>
      <c r="F21" s="40">
        <v>43258</v>
      </c>
      <c r="G21" s="22" t="str">
        <f t="shared" si="0"/>
        <v>-</v>
      </c>
      <c r="H21" s="22"/>
      <c r="I21" s="23">
        <v>0</v>
      </c>
      <c r="J21" s="23">
        <f t="shared" si="1"/>
        <v>0</v>
      </c>
      <c r="K21" s="24">
        <v>0</v>
      </c>
      <c r="L21" s="24">
        <f t="shared" si="2"/>
        <v>0</v>
      </c>
      <c r="M21" s="24" t="str">
        <f t="shared" si="3"/>
        <v>-</v>
      </c>
      <c r="N21" s="25">
        <v>0</v>
      </c>
      <c r="O21" s="26" t="str">
        <f t="shared" si="4"/>
        <v>June</v>
      </c>
      <c r="P21" s="25">
        <f t="shared" si="5"/>
        <v>0</v>
      </c>
      <c r="Q21" s="27">
        <f t="shared" si="6"/>
        <v>0</v>
      </c>
      <c r="R21" s="26" t="b">
        <f t="shared" si="7"/>
        <v>0</v>
      </c>
      <c r="S21" s="28" t="b">
        <f t="shared" si="8"/>
        <v>0</v>
      </c>
      <c r="T21" s="24">
        <v>26</v>
      </c>
      <c r="U21" s="29" t="str">
        <f t="shared" si="9"/>
        <v>May</v>
      </c>
      <c r="V21" s="24">
        <f t="shared" si="10"/>
        <v>26</v>
      </c>
      <c r="W21" s="30">
        <f t="shared" si="11"/>
        <v>-26</v>
      </c>
      <c r="X21" s="31" t="b">
        <f t="shared" si="12"/>
        <v>0</v>
      </c>
      <c r="Y21" s="32" t="str">
        <f t="shared" si="13"/>
        <v>GROWTH</v>
      </c>
      <c r="Z21" s="41">
        <v>0</v>
      </c>
      <c r="AA21" s="36"/>
      <c r="AB21" s="36" t="s">
        <v>24</v>
      </c>
      <c r="AC21" s="36" t="s">
        <v>24</v>
      </c>
      <c r="AD21" s="34"/>
      <c r="AE21" s="35">
        <f>IFERROR(INDEX([1]Last6M_AvgSales_Ref!$B$2:$B$12659,MATCH(D21,[1]Last6M_AvgSales_Ref!$A$2:$A$12659,0)),"")</f>
        <v>10.8333333333333</v>
      </c>
    </row>
    <row r="22" spans="1:31" ht="14.25" customHeight="1" x14ac:dyDescent="0.3">
      <c r="A22" s="36" t="s">
        <v>24</v>
      </c>
      <c r="B22" s="37" t="s">
        <v>28</v>
      </c>
      <c r="C22" s="38" t="s">
        <v>66</v>
      </c>
      <c r="D22" s="38">
        <v>1000000637</v>
      </c>
      <c r="E22" s="39" t="s">
        <v>67</v>
      </c>
      <c r="F22" s="40">
        <v>43294</v>
      </c>
      <c r="G22" s="22" t="str">
        <f t="shared" si="0"/>
        <v>Targeted Dealer</v>
      </c>
      <c r="H22" s="22"/>
      <c r="I22" s="23">
        <v>60</v>
      </c>
      <c r="J22" s="23">
        <f t="shared" si="1"/>
        <v>60</v>
      </c>
      <c r="K22" s="24">
        <v>60</v>
      </c>
      <c r="L22" s="24">
        <f t="shared" si="2"/>
        <v>0</v>
      </c>
      <c r="M22" s="24">
        <f t="shared" si="3"/>
        <v>100</v>
      </c>
      <c r="N22" s="25">
        <v>60</v>
      </c>
      <c r="O22" s="26" t="str">
        <f t="shared" si="4"/>
        <v>June</v>
      </c>
      <c r="P22" s="25">
        <f t="shared" si="5"/>
        <v>60</v>
      </c>
      <c r="Q22" s="27">
        <f t="shared" si="6"/>
        <v>0</v>
      </c>
      <c r="R22" s="26" t="b">
        <f t="shared" si="7"/>
        <v>0</v>
      </c>
      <c r="S22" s="28" t="str">
        <f t="shared" si="8"/>
        <v>GROWTH</v>
      </c>
      <c r="T22" s="24">
        <v>70</v>
      </c>
      <c r="U22" s="29" t="str">
        <f t="shared" si="9"/>
        <v>May</v>
      </c>
      <c r="V22" s="24">
        <f t="shared" si="10"/>
        <v>70</v>
      </c>
      <c r="W22" s="30">
        <f t="shared" si="11"/>
        <v>-10</v>
      </c>
      <c r="X22" s="31" t="b">
        <f t="shared" si="12"/>
        <v>0</v>
      </c>
      <c r="Y22" s="32" t="str">
        <f t="shared" si="13"/>
        <v>GROWTH</v>
      </c>
      <c r="Z22" s="41">
        <v>0</v>
      </c>
      <c r="AA22" s="36"/>
      <c r="AB22" s="36" t="s">
        <v>24</v>
      </c>
      <c r="AC22" s="36" t="s">
        <v>24</v>
      </c>
      <c r="AD22" s="34"/>
      <c r="AE22" s="35">
        <f>IFERROR(INDEX([1]Last6M_AvgSales_Ref!$B$2:$B$12659,MATCH(D22,[1]Last6M_AvgSales_Ref!$A$2:$A$12659,0)),"")</f>
        <v>116.666666666667</v>
      </c>
    </row>
    <row r="23" spans="1:31" ht="14.25" customHeight="1" x14ac:dyDescent="0.3">
      <c r="A23" s="36" t="s">
        <v>24</v>
      </c>
      <c r="B23" s="37" t="s">
        <v>28</v>
      </c>
      <c r="C23" s="38" t="s">
        <v>68</v>
      </c>
      <c r="D23" s="38">
        <v>1000000666</v>
      </c>
      <c r="E23" s="39" t="s">
        <v>69</v>
      </c>
      <c r="F23" s="40">
        <v>43328</v>
      </c>
      <c r="G23" s="22" t="str">
        <f t="shared" si="0"/>
        <v>Targeted Dealer</v>
      </c>
      <c r="H23" s="22"/>
      <c r="I23" s="23">
        <v>500</v>
      </c>
      <c r="J23" s="23">
        <f t="shared" si="1"/>
        <v>500.00000000000006</v>
      </c>
      <c r="K23" s="24">
        <v>586</v>
      </c>
      <c r="L23" s="24">
        <f t="shared" si="2"/>
        <v>-86</v>
      </c>
      <c r="M23" s="24">
        <f t="shared" si="3"/>
        <v>117.19999999999997</v>
      </c>
      <c r="N23" s="25">
        <v>331</v>
      </c>
      <c r="O23" s="26" t="str">
        <f t="shared" si="4"/>
        <v>June</v>
      </c>
      <c r="P23" s="25">
        <f t="shared" si="5"/>
        <v>331</v>
      </c>
      <c r="Q23" s="27">
        <f t="shared" si="6"/>
        <v>255</v>
      </c>
      <c r="R23" s="26" t="b">
        <f t="shared" si="7"/>
        <v>0</v>
      </c>
      <c r="S23" s="28" t="str">
        <f t="shared" si="8"/>
        <v>GROWTH</v>
      </c>
      <c r="T23" s="24">
        <v>240</v>
      </c>
      <c r="U23" s="29" t="str">
        <f t="shared" si="9"/>
        <v>May</v>
      </c>
      <c r="V23" s="24">
        <f t="shared" si="10"/>
        <v>240</v>
      </c>
      <c r="W23" s="30">
        <f t="shared" si="11"/>
        <v>346</v>
      </c>
      <c r="X23" s="31" t="b">
        <f t="shared" si="12"/>
        <v>0</v>
      </c>
      <c r="Y23" s="32" t="str">
        <f t="shared" si="13"/>
        <v>GROWTH</v>
      </c>
      <c r="Z23" s="41">
        <v>0</v>
      </c>
      <c r="AA23" s="36"/>
      <c r="AB23" s="36" t="s">
        <v>24</v>
      </c>
      <c r="AC23" s="36" t="s">
        <v>24</v>
      </c>
      <c r="AD23" s="34"/>
      <c r="AE23" s="35">
        <f>IFERROR(INDEX([1]Last6M_AvgSales_Ref!$B$2:$B$12659,MATCH(D23,[1]Last6M_AvgSales_Ref!$A$2:$A$12659,0)),"")</f>
        <v>429.66666666666703</v>
      </c>
    </row>
    <row r="24" spans="1:31" ht="14.25" customHeight="1" x14ac:dyDescent="0.3">
      <c r="A24" s="36" t="s">
        <v>24</v>
      </c>
      <c r="B24" s="37" t="s">
        <v>59</v>
      </c>
      <c r="C24" s="38" t="s">
        <v>70</v>
      </c>
      <c r="D24" s="38">
        <v>1000000658</v>
      </c>
      <c r="E24" s="39" t="s">
        <v>71</v>
      </c>
      <c r="F24" s="40">
        <v>43495</v>
      </c>
      <c r="G24" s="22" t="str">
        <f t="shared" si="0"/>
        <v>Targeted Dealer</v>
      </c>
      <c r="H24" s="22"/>
      <c r="I24" s="23">
        <v>500</v>
      </c>
      <c r="J24" s="23">
        <f t="shared" si="1"/>
        <v>500.00000000000006</v>
      </c>
      <c r="K24" s="24">
        <v>315</v>
      </c>
      <c r="L24" s="24">
        <f t="shared" si="2"/>
        <v>185</v>
      </c>
      <c r="M24" s="24">
        <f t="shared" si="3"/>
        <v>62.999999999999986</v>
      </c>
      <c r="N24" s="25">
        <v>690</v>
      </c>
      <c r="O24" s="26" t="str">
        <f t="shared" si="4"/>
        <v>June</v>
      </c>
      <c r="P24" s="25">
        <f t="shared" si="5"/>
        <v>690</v>
      </c>
      <c r="Q24" s="27">
        <f t="shared" si="6"/>
        <v>-375</v>
      </c>
      <c r="R24" s="26" t="b">
        <f t="shared" si="7"/>
        <v>0</v>
      </c>
      <c r="S24" s="28" t="str">
        <f t="shared" si="8"/>
        <v>GROWTH</v>
      </c>
      <c r="T24" s="24">
        <v>800</v>
      </c>
      <c r="U24" s="29" t="str">
        <f t="shared" si="9"/>
        <v>May</v>
      </c>
      <c r="V24" s="24">
        <f t="shared" si="10"/>
        <v>800</v>
      </c>
      <c r="W24" s="30">
        <f t="shared" si="11"/>
        <v>-485</v>
      </c>
      <c r="X24" s="31" t="b">
        <f t="shared" si="12"/>
        <v>0</v>
      </c>
      <c r="Y24" s="32" t="str">
        <f t="shared" si="13"/>
        <v>GROWTH</v>
      </c>
      <c r="Z24" s="41">
        <v>0</v>
      </c>
      <c r="AA24" s="36"/>
      <c r="AB24" s="36" t="s">
        <v>24</v>
      </c>
      <c r="AC24" s="36" t="s">
        <v>24</v>
      </c>
      <c r="AD24" s="34"/>
      <c r="AE24" s="35">
        <f>IFERROR(INDEX([1]Last6M_AvgSales_Ref!$B$2:$B$12659,MATCH(D24,[1]Last6M_AvgSales_Ref!$A$2:$A$12659,0)),"")</f>
        <v>963.83333333333303</v>
      </c>
    </row>
    <row r="25" spans="1:31" ht="14.25" customHeight="1" x14ac:dyDescent="0.3">
      <c r="A25" s="36" t="s">
        <v>24</v>
      </c>
      <c r="B25" s="37" t="s">
        <v>59</v>
      </c>
      <c r="C25" s="38" t="s">
        <v>72</v>
      </c>
      <c r="D25" s="38">
        <v>1000001037</v>
      </c>
      <c r="E25" s="39" t="s">
        <v>73</v>
      </c>
      <c r="F25" s="40">
        <v>43623</v>
      </c>
      <c r="G25" s="22" t="str">
        <f t="shared" si="0"/>
        <v>Targeted Dealer</v>
      </c>
      <c r="H25" s="22"/>
      <c r="I25" s="23">
        <v>2700</v>
      </c>
      <c r="J25" s="23">
        <f t="shared" si="1"/>
        <v>2700</v>
      </c>
      <c r="K25" s="24">
        <v>3490</v>
      </c>
      <c r="L25" s="24">
        <f t="shared" si="2"/>
        <v>-790</v>
      </c>
      <c r="M25" s="24">
        <f t="shared" si="3"/>
        <v>129.25925925925927</v>
      </c>
      <c r="N25" s="25">
        <v>2750</v>
      </c>
      <c r="O25" s="26" t="str">
        <f t="shared" si="4"/>
        <v>June</v>
      </c>
      <c r="P25" s="25">
        <f t="shared" si="5"/>
        <v>2750</v>
      </c>
      <c r="Q25" s="27">
        <f t="shared" si="6"/>
        <v>740</v>
      </c>
      <c r="R25" s="26" t="b">
        <f t="shared" si="7"/>
        <v>0</v>
      </c>
      <c r="S25" s="28" t="str">
        <f t="shared" si="8"/>
        <v>GROWTH</v>
      </c>
      <c r="T25" s="24">
        <v>2650</v>
      </c>
      <c r="U25" s="29" t="str">
        <f t="shared" si="9"/>
        <v>May</v>
      </c>
      <c r="V25" s="24">
        <f t="shared" si="10"/>
        <v>2650</v>
      </c>
      <c r="W25" s="30">
        <f t="shared" si="11"/>
        <v>840</v>
      </c>
      <c r="X25" s="31" t="b">
        <f t="shared" si="12"/>
        <v>0</v>
      </c>
      <c r="Y25" s="32" t="str">
        <f t="shared" si="13"/>
        <v>GROWTH</v>
      </c>
      <c r="Z25" s="41">
        <v>0</v>
      </c>
      <c r="AA25" s="36"/>
      <c r="AB25" s="36" t="s">
        <v>24</v>
      </c>
      <c r="AC25" s="36" t="s">
        <v>24</v>
      </c>
      <c r="AD25" s="34"/>
      <c r="AE25" s="35">
        <f>IFERROR(INDEX([1]Last6M_AvgSales_Ref!$B$2:$B$12659,MATCH(D25,[1]Last6M_AvgSales_Ref!$A$2:$A$12659,0)),"")</f>
        <v>3191.3916666666701</v>
      </c>
    </row>
    <row r="26" spans="1:31" ht="14.25" customHeight="1" x14ac:dyDescent="0.3">
      <c r="A26" s="36" t="s">
        <v>24</v>
      </c>
      <c r="B26" s="37" t="s">
        <v>25</v>
      </c>
      <c r="C26" s="38" t="s">
        <v>74</v>
      </c>
      <c r="D26" s="38">
        <v>1000001042</v>
      </c>
      <c r="E26" s="39" t="s">
        <v>75</v>
      </c>
      <c r="F26" s="40">
        <v>43642</v>
      </c>
      <c r="G26" s="22" t="str">
        <f t="shared" si="0"/>
        <v>-</v>
      </c>
      <c r="H26" s="22"/>
      <c r="I26" s="23">
        <v>0</v>
      </c>
      <c r="J26" s="23">
        <f t="shared" si="1"/>
        <v>0</v>
      </c>
      <c r="K26" s="24">
        <v>0</v>
      </c>
      <c r="L26" s="24">
        <f t="shared" si="2"/>
        <v>0</v>
      </c>
      <c r="M26" s="24" t="str">
        <f t="shared" si="3"/>
        <v>-</v>
      </c>
      <c r="N26" s="25">
        <v>0</v>
      </c>
      <c r="O26" s="26" t="str">
        <f t="shared" si="4"/>
        <v>June</v>
      </c>
      <c r="P26" s="25">
        <f t="shared" si="5"/>
        <v>0</v>
      </c>
      <c r="Q26" s="27">
        <f t="shared" si="6"/>
        <v>0</v>
      </c>
      <c r="R26" s="26" t="b">
        <f t="shared" si="7"/>
        <v>0</v>
      </c>
      <c r="S26" s="28" t="b">
        <f t="shared" si="8"/>
        <v>0</v>
      </c>
      <c r="T26" s="24">
        <v>0</v>
      </c>
      <c r="U26" s="29" t="str">
        <f t="shared" si="9"/>
        <v>May</v>
      </c>
      <c r="V26" s="24">
        <f t="shared" si="10"/>
        <v>0</v>
      </c>
      <c r="W26" s="30">
        <f t="shared" si="11"/>
        <v>0</v>
      </c>
      <c r="X26" s="31" t="b">
        <f t="shared" si="12"/>
        <v>0</v>
      </c>
      <c r="Y26" s="32" t="b">
        <f t="shared" si="13"/>
        <v>0</v>
      </c>
      <c r="Z26" s="41">
        <v>0</v>
      </c>
      <c r="AA26" s="36"/>
      <c r="AB26" s="36" t="s">
        <v>24</v>
      </c>
      <c r="AC26" s="36" t="s">
        <v>24</v>
      </c>
      <c r="AD26" s="34"/>
      <c r="AE26" s="35">
        <f>IFERROR(INDEX([1]Last6M_AvgSales_Ref!$B$2:$B$12659,MATCH(D26,[1]Last6M_AvgSales_Ref!$A$2:$A$12659,0)),"")</f>
        <v>8.6666666666666696</v>
      </c>
    </row>
    <row r="27" spans="1:31" ht="14.25" customHeight="1" x14ac:dyDescent="0.3">
      <c r="A27" s="36" t="s">
        <v>24</v>
      </c>
      <c r="B27" s="37" t="s">
        <v>59</v>
      </c>
      <c r="C27" s="38" t="s">
        <v>76</v>
      </c>
      <c r="D27" s="38">
        <v>1000001032</v>
      </c>
      <c r="E27" s="39" t="s">
        <v>77</v>
      </c>
      <c r="F27" s="40">
        <v>43647</v>
      </c>
      <c r="G27" s="22" t="str">
        <f t="shared" si="0"/>
        <v>Targeted Dealer</v>
      </c>
      <c r="H27" s="22"/>
      <c r="I27" s="23">
        <v>40</v>
      </c>
      <c r="J27" s="23">
        <f t="shared" si="1"/>
        <v>40</v>
      </c>
      <c r="K27" s="24">
        <v>42</v>
      </c>
      <c r="L27" s="24">
        <f t="shared" si="2"/>
        <v>-2</v>
      </c>
      <c r="M27" s="24">
        <f t="shared" si="3"/>
        <v>105</v>
      </c>
      <c r="N27" s="25">
        <v>0</v>
      </c>
      <c r="O27" s="26" t="str">
        <f t="shared" si="4"/>
        <v>June</v>
      </c>
      <c r="P27" s="25">
        <f t="shared" si="5"/>
        <v>0</v>
      </c>
      <c r="Q27" s="27">
        <f t="shared" si="6"/>
        <v>42</v>
      </c>
      <c r="R27" s="26" t="b">
        <f t="shared" si="7"/>
        <v>0</v>
      </c>
      <c r="S27" s="28" t="b">
        <f t="shared" si="8"/>
        <v>0</v>
      </c>
      <c r="T27" s="24">
        <v>47</v>
      </c>
      <c r="U27" s="29" t="str">
        <f t="shared" si="9"/>
        <v>May</v>
      </c>
      <c r="V27" s="24">
        <f t="shared" si="10"/>
        <v>47</v>
      </c>
      <c r="W27" s="30">
        <f t="shared" si="11"/>
        <v>-5</v>
      </c>
      <c r="X27" s="31" t="b">
        <f t="shared" si="12"/>
        <v>0</v>
      </c>
      <c r="Y27" s="32" t="str">
        <f t="shared" si="13"/>
        <v>GROWTH</v>
      </c>
      <c r="Z27" s="41">
        <v>0</v>
      </c>
      <c r="AA27" s="36"/>
      <c r="AB27" s="36" t="s">
        <v>24</v>
      </c>
      <c r="AC27" s="36" t="s">
        <v>24</v>
      </c>
      <c r="AD27" s="34"/>
      <c r="AE27" s="35">
        <f>IFERROR(INDEX([1]Last6M_AvgSales_Ref!$B$2:$B$12659,MATCH(D27,[1]Last6M_AvgSales_Ref!$A$2:$A$12659,0)),"")</f>
        <v>25</v>
      </c>
    </row>
    <row r="28" spans="1:31" ht="14.25" customHeight="1" x14ac:dyDescent="0.3">
      <c r="A28" s="36" t="s">
        <v>24</v>
      </c>
      <c r="B28" s="37" t="s">
        <v>28</v>
      </c>
      <c r="C28" s="38" t="s">
        <v>78</v>
      </c>
      <c r="D28" s="38">
        <v>1000001035</v>
      </c>
      <c r="E28" s="39" t="s">
        <v>79</v>
      </c>
      <c r="F28" s="40">
        <v>43795</v>
      </c>
      <c r="G28" s="22" t="str">
        <f t="shared" si="0"/>
        <v>Targeted Dealer</v>
      </c>
      <c r="H28" s="22"/>
      <c r="I28" s="23">
        <v>100</v>
      </c>
      <c r="J28" s="23">
        <f t="shared" si="1"/>
        <v>100</v>
      </c>
      <c r="K28" s="24">
        <v>100</v>
      </c>
      <c r="L28" s="24">
        <f t="shared" si="2"/>
        <v>0</v>
      </c>
      <c r="M28" s="24">
        <f t="shared" si="3"/>
        <v>100</v>
      </c>
      <c r="N28" s="25">
        <v>120</v>
      </c>
      <c r="O28" s="26" t="str">
        <f t="shared" si="4"/>
        <v>June</v>
      </c>
      <c r="P28" s="25">
        <f t="shared" si="5"/>
        <v>120</v>
      </c>
      <c r="Q28" s="27">
        <f t="shared" si="6"/>
        <v>-20</v>
      </c>
      <c r="R28" s="26" t="b">
        <f t="shared" si="7"/>
        <v>0</v>
      </c>
      <c r="S28" s="28" t="str">
        <f t="shared" si="8"/>
        <v>GROWTH</v>
      </c>
      <c r="T28" s="24">
        <v>90</v>
      </c>
      <c r="U28" s="29" t="str">
        <f t="shared" si="9"/>
        <v>May</v>
      </c>
      <c r="V28" s="24">
        <f t="shared" si="10"/>
        <v>90</v>
      </c>
      <c r="W28" s="30">
        <f t="shared" si="11"/>
        <v>10</v>
      </c>
      <c r="X28" s="31" t="b">
        <f t="shared" si="12"/>
        <v>0</v>
      </c>
      <c r="Y28" s="32" t="str">
        <f t="shared" si="13"/>
        <v>GROWTH</v>
      </c>
      <c r="Z28" s="41">
        <v>0</v>
      </c>
      <c r="AA28" s="36"/>
      <c r="AB28" s="36" t="s">
        <v>24</v>
      </c>
      <c r="AC28" s="36" t="s">
        <v>24</v>
      </c>
      <c r="AD28" s="34"/>
      <c r="AE28" s="35">
        <f>IFERROR(INDEX([1]Last6M_AvgSales_Ref!$B$2:$B$12659,MATCH(D28,[1]Last6M_AvgSales_Ref!$A$2:$A$12659,0)),"")</f>
        <v>92.1666666666667</v>
      </c>
    </row>
    <row r="29" spans="1:31" ht="14.25" customHeight="1" x14ac:dyDescent="0.3">
      <c r="A29" s="36" t="s">
        <v>24</v>
      </c>
      <c r="B29" s="37" t="s">
        <v>28</v>
      </c>
      <c r="C29" s="38" t="s">
        <v>80</v>
      </c>
      <c r="D29" s="38">
        <v>1000001033</v>
      </c>
      <c r="E29" s="39" t="s">
        <v>81</v>
      </c>
      <c r="F29" s="40">
        <v>44006</v>
      </c>
      <c r="G29" s="22" t="str">
        <f t="shared" si="0"/>
        <v>Targeted Dealer</v>
      </c>
      <c r="H29" s="22"/>
      <c r="I29" s="23">
        <v>200</v>
      </c>
      <c r="J29" s="23">
        <f t="shared" si="1"/>
        <v>200</v>
      </c>
      <c r="K29" s="24">
        <v>233</v>
      </c>
      <c r="L29" s="24">
        <f t="shared" si="2"/>
        <v>-33</v>
      </c>
      <c r="M29" s="24">
        <f t="shared" si="3"/>
        <v>116.5</v>
      </c>
      <c r="N29" s="25">
        <v>250</v>
      </c>
      <c r="O29" s="26" t="str">
        <f t="shared" si="4"/>
        <v>June</v>
      </c>
      <c r="P29" s="25">
        <f t="shared" si="5"/>
        <v>250</v>
      </c>
      <c r="Q29" s="27">
        <f t="shared" si="6"/>
        <v>-17</v>
      </c>
      <c r="R29" s="26" t="b">
        <f t="shared" si="7"/>
        <v>0</v>
      </c>
      <c r="S29" s="28" t="str">
        <f t="shared" si="8"/>
        <v>GROWTH</v>
      </c>
      <c r="T29" s="24">
        <v>152.5</v>
      </c>
      <c r="U29" s="29" t="str">
        <f t="shared" si="9"/>
        <v>May</v>
      </c>
      <c r="V29" s="24">
        <f t="shared" si="10"/>
        <v>152.5</v>
      </c>
      <c r="W29" s="30">
        <f t="shared" si="11"/>
        <v>80.5</v>
      </c>
      <c r="X29" s="31" t="b">
        <f t="shared" si="12"/>
        <v>0</v>
      </c>
      <c r="Y29" s="32" t="str">
        <f t="shared" si="13"/>
        <v>GROWTH</v>
      </c>
      <c r="Z29" s="41">
        <v>0</v>
      </c>
      <c r="AA29" s="36"/>
      <c r="AB29" s="36" t="s">
        <v>24</v>
      </c>
      <c r="AC29" s="36" t="s">
        <v>24</v>
      </c>
      <c r="AD29" s="34"/>
      <c r="AE29" s="35">
        <f>IFERROR(INDEX([1]Last6M_AvgSales_Ref!$B$2:$B$12659,MATCH(D29,[1]Last6M_AvgSales_Ref!$A$2:$A$12659,0)),"")</f>
        <v>196.833333333333</v>
      </c>
    </row>
    <row r="30" spans="1:31" ht="14.25" customHeight="1" x14ac:dyDescent="0.3">
      <c r="A30" s="36" t="s">
        <v>24</v>
      </c>
      <c r="B30" s="37" t="s">
        <v>25</v>
      </c>
      <c r="C30" s="38" t="s">
        <v>82</v>
      </c>
      <c r="D30" s="38">
        <v>1000001043</v>
      </c>
      <c r="E30" s="39" t="s">
        <v>83</v>
      </c>
      <c r="F30" s="40">
        <v>44036</v>
      </c>
      <c r="G30" s="22" t="str">
        <f t="shared" si="0"/>
        <v>Targeted Dealer</v>
      </c>
      <c r="H30" s="22"/>
      <c r="I30" s="23">
        <v>300</v>
      </c>
      <c r="J30" s="23">
        <f t="shared" si="1"/>
        <v>300</v>
      </c>
      <c r="K30" s="24">
        <v>300</v>
      </c>
      <c r="L30" s="24">
        <f t="shared" si="2"/>
        <v>0</v>
      </c>
      <c r="M30" s="24">
        <f t="shared" si="3"/>
        <v>100</v>
      </c>
      <c r="N30" s="25">
        <v>197</v>
      </c>
      <c r="O30" s="26" t="str">
        <f t="shared" si="4"/>
        <v>June</v>
      </c>
      <c r="P30" s="25">
        <f t="shared" si="5"/>
        <v>197</v>
      </c>
      <c r="Q30" s="27">
        <f t="shared" si="6"/>
        <v>103</v>
      </c>
      <c r="R30" s="26" t="b">
        <f t="shared" si="7"/>
        <v>0</v>
      </c>
      <c r="S30" s="28" t="str">
        <f t="shared" si="8"/>
        <v>GROWTH</v>
      </c>
      <c r="T30" s="24">
        <v>150</v>
      </c>
      <c r="U30" s="29" t="str">
        <f t="shared" si="9"/>
        <v>May</v>
      </c>
      <c r="V30" s="24">
        <f t="shared" si="10"/>
        <v>150</v>
      </c>
      <c r="W30" s="30">
        <f t="shared" si="11"/>
        <v>150</v>
      </c>
      <c r="X30" s="31" t="b">
        <f t="shared" si="12"/>
        <v>0</v>
      </c>
      <c r="Y30" s="32" t="str">
        <f t="shared" si="13"/>
        <v>GROWTH</v>
      </c>
      <c r="Z30" s="41">
        <v>0</v>
      </c>
      <c r="AA30" s="36"/>
      <c r="AB30" s="36" t="s">
        <v>24</v>
      </c>
      <c r="AC30" s="36" t="s">
        <v>24</v>
      </c>
      <c r="AD30" s="34"/>
      <c r="AE30" s="35">
        <f>IFERROR(INDEX([1]Last6M_AvgSales_Ref!$B$2:$B$12659,MATCH(D30,[1]Last6M_AvgSales_Ref!$A$2:$A$12659,0)),"")</f>
        <v>225</v>
      </c>
    </row>
    <row r="31" spans="1:31" ht="14.25" customHeight="1" x14ac:dyDescent="0.3">
      <c r="A31" s="36" t="s">
        <v>24</v>
      </c>
      <c r="B31" s="37" t="s">
        <v>25</v>
      </c>
      <c r="C31" s="38" t="s">
        <v>84</v>
      </c>
      <c r="D31" s="38">
        <v>1000001036</v>
      </c>
      <c r="E31" s="39" t="s">
        <v>85</v>
      </c>
      <c r="F31" s="40">
        <v>44104</v>
      </c>
      <c r="G31" s="22" t="str">
        <f t="shared" si="0"/>
        <v>Targeted Dealer</v>
      </c>
      <c r="H31" s="22"/>
      <c r="I31" s="23">
        <v>26</v>
      </c>
      <c r="J31" s="23">
        <f t="shared" si="1"/>
        <v>26</v>
      </c>
      <c r="K31" s="24">
        <v>26</v>
      </c>
      <c r="L31" s="24">
        <f t="shared" si="2"/>
        <v>0</v>
      </c>
      <c r="M31" s="24">
        <f t="shared" si="3"/>
        <v>100</v>
      </c>
      <c r="N31" s="25">
        <v>26</v>
      </c>
      <c r="O31" s="26" t="str">
        <f t="shared" si="4"/>
        <v>June</v>
      </c>
      <c r="P31" s="25">
        <f t="shared" si="5"/>
        <v>26</v>
      </c>
      <c r="Q31" s="27">
        <f t="shared" si="6"/>
        <v>0</v>
      </c>
      <c r="R31" s="26" t="b">
        <f t="shared" si="7"/>
        <v>0</v>
      </c>
      <c r="S31" s="28" t="str">
        <f t="shared" si="8"/>
        <v>GROWTH</v>
      </c>
      <c r="T31" s="24">
        <v>13</v>
      </c>
      <c r="U31" s="29" t="str">
        <f t="shared" si="9"/>
        <v>May</v>
      </c>
      <c r="V31" s="24">
        <f t="shared" si="10"/>
        <v>13</v>
      </c>
      <c r="W31" s="30">
        <f t="shared" si="11"/>
        <v>13</v>
      </c>
      <c r="X31" s="31" t="b">
        <f t="shared" si="12"/>
        <v>0</v>
      </c>
      <c r="Y31" s="32" t="str">
        <f t="shared" si="13"/>
        <v>GROWTH</v>
      </c>
      <c r="Z31" s="41">
        <v>0</v>
      </c>
      <c r="AA31" s="36"/>
      <c r="AB31" s="36" t="s">
        <v>24</v>
      </c>
      <c r="AC31" s="36" t="s">
        <v>24</v>
      </c>
      <c r="AD31" s="34"/>
      <c r="AE31" s="35">
        <f>IFERROR(INDEX([1]Last6M_AvgSales_Ref!$B$2:$B$12659,MATCH(D31,[1]Last6M_AvgSales_Ref!$A$2:$A$12659,0)),"")</f>
        <v>47.8333333333333</v>
      </c>
    </row>
    <row r="32" spans="1:31" ht="14.25" customHeight="1" x14ac:dyDescent="0.3">
      <c r="A32" s="36" t="s">
        <v>24</v>
      </c>
      <c r="B32" s="37" t="s">
        <v>25</v>
      </c>
      <c r="C32" s="38" t="s">
        <v>86</v>
      </c>
      <c r="D32" s="38">
        <v>1000001041</v>
      </c>
      <c r="E32" s="39" t="s">
        <v>87</v>
      </c>
      <c r="F32" s="40">
        <v>44188</v>
      </c>
      <c r="G32" s="22" t="str">
        <f t="shared" si="0"/>
        <v>Targeted Dealer</v>
      </c>
      <c r="H32" s="22"/>
      <c r="I32" s="23">
        <v>40</v>
      </c>
      <c r="J32" s="23">
        <f t="shared" si="1"/>
        <v>40</v>
      </c>
      <c r="K32" s="24">
        <v>40</v>
      </c>
      <c r="L32" s="24">
        <f t="shared" si="2"/>
        <v>0</v>
      </c>
      <c r="M32" s="24">
        <f t="shared" si="3"/>
        <v>100</v>
      </c>
      <c r="N32" s="25">
        <v>40</v>
      </c>
      <c r="O32" s="26" t="str">
        <f t="shared" si="4"/>
        <v>June</v>
      </c>
      <c r="P32" s="25">
        <f t="shared" si="5"/>
        <v>40</v>
      </c>
      <c r="Q32" s="27">
        <f t="shared" si="6"/>
        <v>0</v>
      </c>
      <c r="R32" s="26" t="b">
        <f t="shared" si="7"/>
        <v>0</v>
      </c>
      <c r="S32" s="28" t="str">
        <f t="shared" si="8"/>
        <v>GROWTH</v>
      </c>
      <c r="T32" s="24">
        <v>26</v>
      </c>
      <c r="U32" s="29" t="str">
        <f t="shared" si="9"/>
        <v>May</v>
      </c>
      <c r="V32" s="24">
        <f t="shared" si="10"/>
        <v>26</v>
      </c>
      <c r="W32" s="30">
        <f t="shared" si="11"/>
        <v>14</v>
      </c>
      <c r="X32" s="31" t="b">
        <f t="shared" si="12"/>
        <v>0</v>
      </c>
      <c r="Y32" s="32" t="str">
        <f t="shared" si="13"/>
        <v>GROWTH</v>
      </c>
      <c r="Z32" s="41">
        <v>0</v>
      </c>
      <c r="AA32" s="36"/>
      <c r="AB32" s="36" t="s">
        <v>24</v>
      </c>
      <c r="AC32" s="36" t="s">
        <v>24</v>
      </c>
      <c r="AD32" s="34"/>
      <c r="AE32" s="35">
        <f>IFERROR(INDEX([1]Last6M_AvgSales_Ref!$B$2:$B$12659,MATCH(D32,[1]Last6M_AvgSales_Ref!$A$2:$A$12659,0)),"")</f>
        <v>37.8333333333333</v>
      </c>
    </row>
    <row r="33" spans="1:31" ht="14.25" customHeight="1" x14ac:dyDescent="0.3">
      <c r="A33" s="36" t="s">
        <v>24</v>
      </c>
      <c r="B33" s="37" t="s">
        <v>28</v>
      </c>
      <c r="C33" s="38" t="s">
        <v>88</v>
      </c>
      <c r="D33" s="38">
        <v>1000001034</v>
      </c>
      <c r="E33" s="39" t="s">
        <v>89</v>
      </c>
      <c r="F33" s="40">
        <v>44191</v>
      </c>
      <c r="G33" s="22" t="str">
        <f t="shared" si="0"/>
        <v>Targeted Dealer</v>
      </c>
      <c r="H33" s="22"/>
      <c r="I33" s="23">
        <v>140</v>
      </c>
      <c r="J33" s="23">
        <f t="shared" si="1"/>
        <v>140</v>
      </c>
      <c r="K33" s="24">
        <v>140</v>
      </c>
      <c r="L33" s="24">
        <f t="shared" si="2"/>
        <v>0</v>
      </c>
      <c r="M33" s="24">
        <f t="shared" si="3"/>
        <v>100</v>
      </c>
      <c r="N33" s="25">
        <v>120</v>
      </c>
      <c r="O33" s="26" t="str">
        <f t="shared" si="4"/>
        <v>June</v>
      </c>
      <c r="P33" s="25">
        <f t="shared" si="5"/>
        <v>120</v>
      </c>
      <c r="Q33" s="27">
        <f t="shared" si="6"/>
        <v>20</v>
      </c>
      <c r="R33" s="26" t="b">
        <f t="shared" si="7"/>
        <v>0</v>
      </c>
      <c r="S33" s="28" t="str">
        <f t="shared" si="8"/>
        <v>GROWTH</v>
      </c>
      <c r="T33" s="24">
        <v>120</v>
      </c>
      <c r="U33" s="29" t="str">
        <f t="shared" si="9"/>
        <v>May</v>
      </c>
      <c r="V33" s="24">
        <f t="shared" si="10"/>
        <v>120</v>
      </c>
      <c r="W33" s="30">
        <f t="shared" si="11"/>
        <v>20</v>
      </c>
      <c r="X33" s="31" t="b">
        <f t="shared" si="12"/>
        <v>0</v>
      </c>
      <c r="Y33" s="32" t="str">
        <f t="shared" si="13"/>
        <v>GROWTH</v>
      </c>
      <c r="Z33" s="41">
        <v>0</v>
      </c>
      <c r="AA33" s="36"/>
      <c r="AB33" s="36" t="s">
        <v>24</v>
      </c>
      <c r="AC33" s="36" t="s">
        <v>24</v>
      </c>
      <c r="AD33" s="34"/>
      <c r="AE33" s="35">
        <f>IFERROR(INDEX([1]Last6M_AvgSales_Ref!$B$2:$B$12659,MATCH(D33,[1]Last6M_AvgSales_Ref!$A$2:$A$12659,0)),"")</f>
        <v>170</v>
      </c>
    </row>
    <row r="34" spans="1:31" ht="14.25" customHeight="1" x14ac:dyDescent="0.3">
      <c r="A34" s="36" t="s">
        <v>24</v>
      </c>
      <c r="B34" s="37" t="s">
        <v>25</v>
      </c>
      <c r="C34" s="38" t="s">
        <v>90</v>
      </c>
      <c r="D34" s="38">
        <v>1000001038</v>
      </c>
      <c r="E34" s="39" t="s">
        <v>91</v>
      </c>
      <c r="F34" s="40">
        <v>44495</v>
      </c>
      <c r="G34" s="22" t="str">
        <f t="shared" si="0"/>
        <v>-</v>
      </c>
      <c r="H34" s="22"/>
      <c r="I34" s="23">
        <v>0</v>
      </c>
      <c r="J34" s="23">
        <f t="shared" si="1"/>
        <v>0</v>
      </c>
      <c r="K34" s="24">
        <v>0</v>
      </c>
      <c r="L34" s="24">
        <f t="shared" si="2"/>
        <v>0</v>
      </c>
      <c r="M34" s="24" t="str">
        <f t="shared" si="3"/>
        <v>-</v>
      </c>
      <c r="N34" s="25">
        <v>0</v>
      </c>
      <c r="O34" s="26" t="str">
        <f t="shared" si="4"/>
        <v>June</v>
      </c>
      <c r="P34" s="25">
        <f t="shared" si="5"/>
        <v>0</v>
      </c>
      <c r="Q34" s="27">
        <f t="shared" si="6"/>
        <v>0</v>
      </c>
      <c r="R34" s="26" t="b">
        <f t="shared" si="7"/>
        <v>0</v>
      </c>
      <c r="S34" s="28" t="b">
        <f t="shared" si="8"/>
        <v>0</v>
      </c>
      <c r="T34" s="24">
        <v>46</v>
      </c>
      <c r="U34" s="29" t="str">
        <f t="shared" si="9"/>
        <v>May</v>
      </c>
      <c r="V34" s="24">
        <f t="shared" si="10"/>
        <v>46</v>
      </c>
      <c r="W34" s="30">
        <f t="shared" si="11"/>
        <v>-46</v>
      </c>
      <c r="X34" s="31" t="b">
        <f t="shared" si="12"/>
        <v>0</v>
      </c>
      <c r="Y34" s="32" t="str">
        <f t="shared" si="13"/>
        <v>GROWTH</v>
      </c>
      <c r="Z34" s="41">
        <v>0</v>
      </c>
      <c r="AA34" s="36"/>
      <c r="AB34" s="36" t="s">
        <v>24</v>
      </c>
      <c r="AC34" s="36" t="s">
        <v>24</v>
      </c>
      <c r="AD34" s="34"/>
      <c r="AE34" s="35">
        <f>IFERROR(INDEX([1]Last6M_AvgSales_Ref!$B$2:$B$12659,MATCH(D34,[1]Last6M_AvgSales_Ref!$A$2:$A$12659,0)),"")</f>
        <v>45.1666666666667</v>
      </c>
    </row>
    <row r="35" spans="1:31" ht="14.25" customHeight="1" x14ac:dyDescent="0.3">
      <c r="A35" s="36" t="s">
        <v>24</v>
      </c>
      <c r="B35" s="37" t="s">
        <v>28</v>
      </c>
      <c r="C35" s="38" t="s">
        <v>92</v>
      </c>
      <c r="D35" s="38">
        <v>1000002624</v>
      </c>
      <c r="E35" s="39" t="s">
        <v>93</v>
      </c>
      <c r="F35" s="40">
        <v>44636</v>
      </c>
      <c r="G35" s="22" t="str">
        <f t="shared" si="0"/>
        <v>Targeted Dealer</v>
      </c>
      <c r="H35" s="22"/>
      <c r="I35" s="23">
        <v>40</v>
      </c>
      <c r="J35" s="23">
        <f t="shared" si="1"/>
        <v>40</v>
      </c>
      <c r="K35" s="24">
        <v>40</v>
      </c>
      <c r="L35" s="24">
        <f t="shared" si="2"/>
        <v>0</v>
      </c>
      <c r="M35" s="24">
        <f t="shared" si="3"/>
        <v>100</v>
      </c>
      <c r="N35" s="25">
        <v>20</v>
      </c>
      <c r="O35" s="26" t="str">
        <f t="shared" si="4"/>
        <v>June</v>
      </c>
      <c r="P35" s="25">
        <f t="shared" si="5"/>
        <v>20</v>
      </c>
      <c r="Q35" s="27">
        <f t="shared" si="6"/>
        <v>20</v>
      </c>
      <c r="R35" s="26" t="b">
        <f t="shared" si="7"/>
        <v>0</v>
      </c>
      <c r="S35" s="28" t="str">
        <f t="shared" si="8"/>
        <v>GROWTH</v>
      </c>
      <c r="T35" s="24">
        <v>20</v>
      </c>
      <c r="U35" s="29" t="str">
        <f t="shared" si="9"/>
        <v>May</v>
      </c>
      <c r="V35" s="24">
        <f t="shared" si="10"/>
        <v>20</v>
      </c>
      <c r="W35" s="30">
        <f t="shared" si="11"/>
        <v>20</v>
      </c>
      <c r="X35" s="31" t="b">
        <f t="shared" si="12"/>
        <v>0</v>
      </c>
      <c r="Y35" s="32" t="str">
        <f t="shared" si="13"/>
        <v>GROWTH</v>
      </c>
      <c r="Z35" s="41">
        <v>0</v>
      </c>
      <c r="AA35" s="36"/>
      <c r="AB35" s="36" t="s">
        <v>24</v>
      </c>
      <c r="AC35" s="36" t="s">
        <v>24</v>
      </c>
      <c r="AD35" s="34"/>
      <c r="AE35" s="35">
        <f>IFERROR(INDEX([1]Last6M_AvgSales_Ref!$B$2:$B$12659,MATCH(D35,[1]Last6M_AvgSales_Ref!$A$2:$A$12659,0)),"")</f>
        <v>21.6666666666667</v>
      </c>
    </row>
    <row r="36" spans="1:31" ht="14.25" customHeight="1" x14ac:dyDescent="0.3">
      <c r="A36" s="36" t="s">
        <v>24</v>
      </c>
      <c r="B36" s="37" t="s">
        <v>59</v>
      </c>
      <c r="C36" s="38" t="s">
        <v>94</v>
      </c>
      <c r="D36" s="38">
        <v>1000002728</v>
      </c>
      <c r="E36" s="38" t="s">
        <v>95</v>
      </c>
      <c r="F36" s="40">
        <v>44671</v>
      </c>
      <c r="G36" s="22" t="str">
        <f t="shared" si="0"/>
        <v>-</v>
      </c>
      <c r="H36" s="22"/>
      <c r="I36" s="23">
        <v>0</v>
      </c>
      <c r="J36" s="23">
        <f t="shared" si="1"/>
        <v>0</v>
      </c>
      <c r="K36" s="24">
        <v>0</v>
      </c>
      <c r="L36" s="24">
        <f t="shared" si="2"/>
        <v>0</v>
      </c>
      <c r="M36" s="24" t="str">
        <f t="shared" si="3"/>
        <v>-</v>
      </c>
      <c r="N36" s="25">
        <v>0</v>
      </c>
      <c r="O36" s="26" t="str">
        <f t="shared" si="4"/>
        <v>June</v>
      </c>
      <c r="P36" s="25">
        <f t="shared" si="5"/>
        <v>0</v>
      </c>
      <c r="Q36" s="27">
        <f t="shared" si="6"/>
        <v>0</v>
      </c>
      <c r="R36" s="26" t="b">
        <f t="shared" si="7"/>
        <v>0</v>
      </c>
      <c r="S36" s="28" t="b">
        <f t="shared" si="8"/>
        <v>0</v>
      </c>
      <c r="T36" s="24">
        <v>0</v>
      </c>
      <c r="U36" s="29" t="str">
        <f t="shared" si="9"/>
        <v>May</v>
      </c>
      <c r="V36" s="24">
        <f t="shared" si="10"/>
        <v>0</v>
      </c>
      <c r="W36" s="30">
        <f t="shared" si="11"/>
        <v>0</v>
      </c>
      <c r="X36" s="31" t="b">
        <f t="shared" si="12"/>
        <v>0</v>
      </c>
      <c r="Y36" s="32" t="b">
        <f t="shared" si="13"/>
        <v>0</v>
      </c>
      <c r="Z36" s="41">
        <v>0</v>
      </c>
      <c r="AA36" s="36"/>
      <c r="AB36" s="36" t="s">
        <v>24</v>
      </c>
      <c r="AC36" s="36" t="s">
        <v>24</v>
      </c>
      <c r="AD36" s="34"/>
      <c r="AE36" s="35">
        <f>IFERROR(INDEX([1]Last6M_AvgSales_Ref!$B$2:$B$12659,MATCH(D36,[1]Last6M_AvgSales_Ref!$A$2:$A$12659,0)),"")</f>
        <v>3.3333333333333299</v>
      </c>
    </row>
    <row r="37" spans="1:31" ht="14.25" customHeight="1" x14ac:dyDescent="0.3">
      <c r="A37" s="36" t="s">
        <v>24</v>
      </c>
      <c r="B37" s="37" t="s">
        <v>28</v>
      </c>
      <c r="C37" s="38" t="s">
        <v>96</v>
      </c>
      <c r="D37" s="38">
        <v>1000002750</v>
      </c>
      <c r="E37" s="38" t="s">
        <v>97</v>
      </c>
      <c r="F37" s="40">
        <v>44700</v>
      </c>
      <c r="G37" s="22" t="str">
        <f t="shared" si="0"/>
        <v>Targeted Dealer</v>
      </c>
      <c r="H37" s="22"/>
      <c r="I37" s="23">
        <v>100</v>
      </c>
      <c r="J37" s="23">
        <f t="shared" si="1"/>
        <v>100</v>
      </c>
      <c r="K37" s="24">
        <v>120</v>
      </c>
      <c r="L37" s="24">
        <f t="shared" si="2"/>
        <v>-20</v>
      </c>
      <c r="M37" s="24">
        <f t="shared" si="3"/>
        <v>120</v>
      </c>
      <c r="N37" s="25">
        <v>60</v>
      </c>
      <c r="O37" s="26" t="str">
        <f t="shared" si="4"/>
        <v>June</v>
      </c>
      <c r="P37" s="25">
        <f t="shared" si="5"/>
        <v>60</v>
      </c>
      <c r="Q37" s="27">
        <f t="shared" si="6"/>
        <v>60</v>
      </c>
      <c r="R37" s="26" t="b">
        <f t="shared" si="7"/>
        <v>0</v>
      </c>
      <c r="S37" s="28" t="str">
        <f t="shared" si="8"/>
        <v>GROWTH</v>
      </c>
      <c r="T37" s="24">
        <v>80</v>
      </c>
      <c r="U37" s="29" t="str">
        <f t="shared" si="9"/>
        <v>May</v>
      </c>
      <c r="V37" s="24">
        <f t="shared" si="10"/>
        <v>80</v>
      </c>
      <c r="W37" s="30">
        <f t="shared" si="11"/>
        <v>40</v>
      </c>
      <c r="X37" s="31" t="b">
        <f t="shared" si="12"/>
        <v>0</v>
      </c>
      <c r="Y37" s="32" t="str">
        <f t="shared" si="13"/>
        <v>GROWTH</v>
      </c>
      <c r="Z37" s="41">
        <v>0</v>
      </c>
      <c r="AA37" s="36"/>
      <c r="AB37" s="36" t="s">
        <v>24</v>
      </c>
      <c r="AC37" s="36" t="s">
        <v>24</v>
      </c>
      <c r="AD37" s="34"/>
      <c r="AE37" s="35">
        <f>IFERROR(INDEX([1]Last6M_AvgSales_Ref!$B$2:$B$12659,MATCH(D37,[1]Last6M_AvgSales_Ref!$A$2:$A$12659,0)),"")</f>
        <v>90</v>
      </c>
    </row>
    <row r="38" spans="1:31" ht="14.25" customHeight="1" x14ac:dyDescent="0.3">
      <c r="A38" s="36" t="s">
        <v>24</v>
      </c>
      <c r="B38" s="37" t="s">
        <v>28</v>
      </c>
      <c r="C38" s="38" t="s">
        <v>98</v>
      </c>
      <c r="D38" s="38">
        <v>1000002818</v>
      </c>
      <c r="E38" s="38" t="s">
        <v>99</v>
      </c>
      <c r="F38" s="40">
        <v>44732</v>
      </c>
      <c r="G38" s="22" t="str">
        <f t="shared" si="0"/>
        <v>Targeted Dealer</v>
      </c>
      <c r="H38" s="22"/>
      <c r="I38" s="23">
        <v>25</v>
      </c>
      <c r="J38" s="23">
        <f t="shared" si="1"/>
        <v>25</v>
      </c>
      <c r="K38" s="24">
        <v>25</v>
      </c>
      <c r="L38" s="24">
        <f t="shared" si="2"/>
        <v>0</v>
      </c>
      <c r="M38" s="24">
        <f t="shared" si="3"/>
        <v>100</v>
      </c>
      <c r="N38" s="25">
        <v>0</v>
      </c>
      <c r="O38" s="26" t="str">
        <f t="shared" si="4"/>
        <v>June</v>
      </c>
      <c r="P38" s="25">
        <f t="shared" si="5"/>
        <v>0</v>
      </c>
      <c r="Q38" s="27">
        <f t="shared" si="6"/>
        <v>25</v>
      </c>
      <c r="R38" s="26" t="b">
        <f t="shared" si="7"/>
        <v>0</v>
      </c>
      <c r="S38" s="28" t="b">
        <f t="shared" si="8"/>
        <v>0</v>
      </c>
      <c r="T38" s="24">
        <v>50</v>
      </c>
      <c r="U38" s="29" t="str">
        <f t="shared" si="9"/>
        <v>May</v>
      </c>
      <c r="V38" s="24">
        <f t="shared" si="10"/>
        <v>50</v>
      </c>
      <c r="W38" s="30">
        <f t="shared" si="11"/>
        <v>-25</v>
      </c>
      <c r="X38" s="31" t="b">
        <f t="shared" si="12"/>
        <v>0</v>
      </c>
      <c r="Y38" s="32" t="str">
        <f t="shared" si="13"/>
        <v>GROWTH</v>
      </c>
      <c r="Z38" s="41">
        <v>0</v>
      </c>
      <c r="AA38" s="36"/>
      <c r="AB38" s="36" t="s">
        <v>24</v>
      </c>
      <c r="AC38" s="36" t="s">
        <v>24</v>
      </c>
      <c r="AD38" s="34"/>
      <c r="AE38" s="35">
        <f>IFERROR(INDEX([1]Last6M_AvgSales_Ref!$B$2:$B$12659,MATCH(D38,[1]Last6M_AvgSales_Ref!$A$2:$A$12659,0)),"")</f>
        <v>34.3333333333333</v>
      </c>
    </row>
    <row r="39" spans="1:31" ht="14.25" customHeight="1" x14ac:dyDescent="0.3">
      <c r="A39" s="36" t="s">
        <v>24</v>
      </c>
      <c r="B39" s="37" t="s">
        <v>25</v>
      </c>
      <c r="C39" s="38" t="s">
        <v>100</v>
      </c>
      <c r="D39" s="38">
        <v>1000002960</v>
      </c>
      <c r="E39" s="38" t="s">
        <v>101</v>
      </c>
      <c r="F39" s="40">
        <v>44818</v>
      </c>
      <c r="G39" s="22" t="str">
        <f t="shared" si="0"/>
        <v>Targeted Dealer</v>
      </c>
      <c r="H39" s="22"/>
      <c r="I39" s="23">
        <v>120</v>
      </c>
      <c r="J39" s="23">
        <f t="shared" si="1"/>
        <v>120</v>
      </c>
      <c r="K39" s="24">
        <v>120</v>
      </c>
      <c r="L39" s="24">
        <f t="shared" si="2"/>
        <v>0</v>
      </c>
      <c r="M39" s="24">
        <f t="shared" si="3"/>
        <v>100</v>
      </c>
      <c r="N39" s="25">
        <v>140</v>
      </c>
      <c r="O39" s="26" t="str">
        <f t="shared" si="4"/>
        <v>June</v>
      </c>
      <c r="P39" s="25">
        <f t="shared" si="5"/>
        <v>140</v>
      </c>
      <c r="Q39" s="27">
        <f t="shared" si="6"/>
        <v>-20</v>
      </c>
      <c r="R39" s="26" t="b">
        <f t="shared" si="7"/>
        <v>0</v>
      </c>
      <c r="S39" s="28" t="str">
        <f t="shared" si="8"/>
        <v>GROWTH</v>
      </c>
      <c r="T39" s="24">
        <v>80</v>
      </c>
      <c r="U39" s="29" t="str">
        <f t="shared" si="9"/>
        <v>May</v>
      </c>
      <c r="V39" s="24">
        <f t="shared" si="10"/>
        <v>80</v>
      </c>
      <c r="W39" s="30">
        <f t="shared" si="11"/>
        <v>40</v>
      </c>
      <c r="X39" s="31" t="b">
        <f t="shared" si="12"/>
        <v>0</v>
      </c>
      <c r="Y39" s="32" t="str">
        <f t="shared" si="13"/>
        <v>GROWTH</v>
      </c>
      <c r="Z39" s="41">
        <v>0</v>
      </c>
      <c r="AA39" s="36"/>
      <c r="AB39" s="36" t="s">
        <v>24</v>
      </c>
      <c r="AC39" s="36" t="s">
        <v>24</v>
      </c>
      <c r="AD39" s="34"/>
      <c r="AE39" s="35">
        <f>IFERROR(INDEX([1]Last6M_AvgSales_Ref!$B$2:$B$12659,MATCH(D39,[1]Last6M_AvgSales_Ref!$A$2:$A$12659,0)),"")</f>
        <v>200</v>
      </c>
    </row>
    <row r="40" spans="1:31" ht="14.25" customHeight="1" x14ac:dyDescent="0.3">
      <c r="A40" s="36" t="s">
        <v>24</v>
      </c>
      <c r="B40" s="37" t="s">
        <v>25</v>
      </c>
      <c r="C40" s="38" t="s">
        <v>102</v>
      </c>
      <c r="D40" s="38">
        <v>1000003133</v>
      </c>
      <c r="E40" s="38" t="s">
        <v>103</v>
      </c>
      <c r="F40" s="40">
        <v>44911</v>
      </c>
      <c r="G40" s="22" t="str">
        <f t="shared" si="0"/>
        <v>Targeted Dealer</v>
      </c>
      <c r="H40" s="22"/>
      <c r="I40" s="23">
        <v>33</v>
      </c>
      <c r="J40" s="23">
        <f t="shared" si="1"/>
        <v>33</v>
      </c>
      <c r="K40" s="24">
        <v>33</v>
      </c>
      <c r="L40" s="24">
        <f t="shared" si="2"/>
        <v>0</v>
      </c>
      <c r="M40" s="24">
        <f t="shared" si="3"/>
        <v>100</v>
      </c>
      <c r="N40" s="25">
        <v>13</v>
      </c>
      <c r="O40" s="26" t="str">
        <f t="shared" si="4"/>
        <v>June</v>
      </c>
      <c r="P40" s="25">
        <f t="shared" si="5"/>
        <v>13</v>
      </c>
      <c r="Q40" s="27">
        <f t="shared" si="6"/>
        <v>20</v>
      </c>
      <c r="R40" s="26" t="b">
        <f t="shared" si="7"/>
        <v>0</v>
      </c>
      <c r="S40" s="28" t="str">
        <f t="shared" si="8"/>
        <v>GROWTH</v>
      </c>
      <c r="T40" s="24">
        <v>20</v>
      </c>
      <c r="U40" s="29" t="str">
        <f t="shared" si="9"/>
        <v>May</v>
      </c>
      <c r="V40" s="24">
        <f t="shared" si="10"/>
        <v>20</v>
      </c>
      <c r="W40" s="30">
        <f t="shared" si="11"/>
        <v>13</v>
      </c>
      <c r="X40" s="31" t="b">
        <f t="shared" si="12"/>
        <v>0</v>
      </c>
      <c r="Y40" s="32" t="str">
        <f t="shared" si="13"/>
        <v>GROWTH</v>
      </c>
      <c r="Z40" s="41">
        <v>0</v>
      </c>
      <c r="AA40" s="36"/>
      <c r="AB40" s="36" t="s">
        <v>24</v>
      </c>
      <c r="AC40" s="36" t="s">
        <v>24</v>
      </c>
      <c r="AD40" s="34"/>
      <c r="AE40" s="35">
        <f>IFERROR(INDEX([1]Last6M_AvgSales_Ref!$B$2:$B$12659,MATCH(D40,[1]Last6M_AvgSales_Ref!$A$2:$A$12659,0)),"")</f>
        <v>28.8333333333333</v>
      </c>
    </row>
    <row r="41" spans="1:31" ht="14.25" customHeight="1" x14ac:dyDescent="0.3">
      <c r="A41" s="36" t="s">
        <v>24</v>
      </c>
      <c r="B41" s="37" t="s">
        <v>28</v>
      </c>
      <c r="C41" s="38" t="s">
        <v>104</v>
      </c>
      <c r="D41" s="38">
        <v>1000003202</v>
      </c>
      <c r="E41" s="38" t="s">
        <v>105</v>
      </c>
      <c r="F41" s="40">
        <v>44926</v>
      </c>
      <c r="G41" s="22" t="str">
        <f t="shared" si="0"/>
        <v>Targeted Dealer</v>
      </c>
      <c r="H41" s="22"/>
      <c r="I41" s="23">
        <v>20</v>
      </c>
      <c r="J41" s="23">
        <f t="shared" si="1"/>
        <v>20</v>
      </c>
      <c r="K41" s="24">
        <v>20</v>
      </c>
      <c r="L41" s="24">
        <f t="shared" si="2"/>
        <v>0</v>
      </c>
      <c r="M41" s="24">
        <f t="shared" si="3"/>
        <v>100</v>
      </c>
      <c r="N41" s="25">
        <v>0</v>
      </c>
      <c r="O41" s="26" t="str">
        <f t="shared" si="4"/>
        <v>June</v>
      </c>
      <c r="P41" s="25">
        <f t="shared" si="5"/>
        <v>0</v>
      </c>
      <c r="Q41" s="27">
        <f t="shared" si="6"/>
        <v>20</v>
      </c>
      <c r="R41" s="26" t="b">
        <f t="shared" si="7"/>
        <v>0</v>
      </c>
      <c r="S41" s="28" t="b">
        <f t="shared" si="8"/>
        <v>0</v>
      </c>
      <c r="T41" s="24">
        <v>40</v>
      </c>
      <c r="U41" s="29" t="str">
        <f t="shared" si="9"/>
        <v>May</v>
      </c>
      <c r="V41" s="24">
        <f t="shared" si="10"/>
        <v>40</v>
      </c>
      <c r="W41" s="30">
        <f t="shared" si="11"/>
        <v>-20</v>
      </c>
      <c r="X41" s="31" t="b">
        <f t="shared" si="12"/>
        <v>0</v>
      </c>
      <c r="Y41" s="32" t="str">
        <f t="shared" si="13"/>
        <v>GROWTH</v>
      </c>
      <c r="Z41" s="41">
        <v>0</v>
      </c>
      <c r="AA41" s="36"/>
      <c r="AB41" s="36" t="s">
        <v>24</v>
      </c>
      <c r="AC41" s="36" t="s">
        <v>24</v>
      </c>
      <c r="AD41" s="34"/>
      <c r="AE41" s="35">
        <f>IFERROR(INDEX([1]Last6M_AvgSales_Ref!$B$2:$B$12659,MATCH(D41,[1]Last6M_AvgSales_Ref!$A$2:$A$12659,0)),"")</f>
        <v>33.3333333333333</v>
      </c>
    </row>
    <row r="42" spans="1:31" ht="14.25" customHeight="1" x14ac:dyDescent="0.3">
      <c r="A42" s="36" t="s">
        <v>24</v>
      </c>
      <c r="B42" s="37" t="s">
        <v>28</v>
      </c>
      <c r="C42" s="38" t="s">
        <v>106</v>
      </c>
      <c r="D42" s="38">
        <v>1000003200</v>
      </c>
      <c r="E42" s="38" t="s">
        <v>107</v>
      </c>
      <c r="F42" s="40">
        <v>44926</v>
      </c>
      <c r="G42" s="22" t="str">
        <f t="shared" si="0"/>
        <v>Targeted Dealer</v>
      </c>
      <c r="H42" s="22"/>
      <c r="I42" s="23">
        <v>26</v>
      </c>
      <c r="J42" s="23">
        <f t="shared" si="1"/>
        <v>26</v>
      </c>
      <c r="K42" s="24">
        <v>13</v>
      </c>
      <c r="L42" s="24">
        <f t="shared" si="2"/>
        <v>13</v>
      </c>
      <c r="M42" s="24">
        <f t="shared" si="3"/>
        <v>50</v>
      </c>
      <c r="N42" s="25">
        <v>59</v>
      </c>
      <c r="O42" s="26" t="str">
        <f t="shared" si="4"/>
        <v>June</v>
      </c>
      <c r="P42" s="25">
        <f t="shared" si="5"/>
        <v>59</v>
      </c>
      <c r="Q42" s="27">
        <f t="shared" si="6"/>
        <v>-46</v>
      </c>
      <c r="R42" s="26" t="b">
        <f t="shared" si="7"/>
        <v>0</v>
      </c>
      <c r="S42" s="28" t="str">
        <f t="shared" si="8"/>
        <v>GROWTH</v>
      </c>
      <c r="T42" s="24">
        <v>45</v>
      </c>
      <c r="U42" s="29" t="str">
        <f t="shared" si="9"/>
        <v>May</v>
      </c>
      <c r="V42" s="24">
        <f t="shared" si="10"/>
        <v>45</v>
      </c>
      <c r="W42" s="30">
        <f t="shared" si="11"/>
        <v>-32</v>
      </c>
      <c r="X42" s="31" t="b">
        <f t="shared" si="12"/>
        <v>0</v>
      </c>
      <c r="Y42" s="32" t="str">
        <f t="shared" si="13"/>
        <v>GROWTH</v>
      </c>
      <c r="Z42" s="41">
        <v>0</v>
      </c>
      <c r="AA42" s="36"/>
      <c r="AB42" s="36" t="s">
        <v>24</v>
      </c>
      <c r="AC42" s="36" t="s">
        <v>24</v>
      </c>
      <c r="AD42" s="34"/>
      <c r="AE42" s="35">
        <f>IFERROR(INDEX([1]Last6M_AvgSales_Ref!$B$2:$B$12659,MATCH(D42,[1]Last6M_AvgSales_Ref!$A$2:$A$12659,0)),"")</f>
        <v>95</v>
      </c>
    </row>
    <row r="43" spans="1:31" ht="14.25" customHeight="1" x14ac:dyDescent="0.3">
      <c r="A43" s="36" t="s">
        <v>24</v>
      </c>
      <c r="B43" s="37" t="s">
        <v>28</v>
      </c>
      <c r="C43" s="38" t="s">
        <v>108</v>
      </c>
      <c r="D43" s="38">
        <v>1000003243</v>
      </c>
      <c r="E43" s="38" t="s">
        <v>109</v>
      </c>
      <c r="F43" s="40">
        <v>44937</v>
      </c>
      <c r="G43" s="22" t="str">
        <f t="shared" si="0"/>
        <v>Targeted Dealer</v>
      </c>
      <c r="H43" s="22"/>
      <c r="I43" s="23">
        <v>20</v>
      </c>
      <c r="J43" s="23">
        <f t="shared" si="1"/>
        <v>20</v>
      </c>
      <c r="K43" s="24">
        <v>20</v>
      </c>
      <c r="L43" s="24">
        <f t="shared" si="2"/>
        <v>0</v>
      </c>
      <c r="M43" s="24">
        <f t="shared" si="3"/>
        <v>100</v>
      </c>
      <c r="N43" s="25">
        <v>40</v>
      </c>
      <c r="O43" s="26" t="str">
        <f t="shared" si="4"/>
        <v>June</v>
      </c>
      <c r="P43" s="25">
        <f t="shared" si="5"/>
        <v>40</v>
      </c>
      <c r="Q43" s="27">
        <f t="shared" si="6"/>
        <v>-20</v>
      </c>
      <c r="R43" s="26" t="b">
        <f t="shared" si="7"/>
        <v>0</v>
      </c>
      <c r="S43" s="28" t="str">
        <f t="shared" si="8"/>
        <v>GROWTH</v>
      </c>
      <c r="T43" s="24">
        <v>10</v>
      </c>
      <c r="U43" s="29" t="str">
        <f t="shared" si="9"/>
        <v>May</v>
      </c>
      <c r="V43" s="24">
        <f t="shared" si="10"/>
        <v>10</v>
      </c>
      <c r="W43" s="30">
        <f t="shared" si="11"/>
        <v>10</v>
      </c>
      <c r="X43" s="31" t="b">
        <f t="shared" si="12"/>
        <v>0</v>
      </c>
      <c r="Y43" s="32" t="str">
        <f t="shared" si="13"/>
        <v>GROWTH</v>
      </c>
      <c r="Z43" s="41">
        <v>0</v>
      </c>
      <c r="AA43" s="36"/>
      <c r="AB43" s="36" t="s">
        <v>24</v>
      </c>
      <c r="AC43" s="36" t="s">
        <v>24</v>
      </c>
      <c r="AD43" s="34"/>
      <c r="AE43" s="35">
        <f>IFERROR(INDEX([1]Last6M_AvgSales_Ref!$B$2:$B$12659,MATCH(D43,[1]Last6M_AvgSales_Ref!$A$2:$A$12659,0)),"")</f>
        <v>15.8333333333333</v>
      </c>
    </row>
    <row r="44" spans="1:31" ht="14.25" customHeight="1" x14ac:dyDescent="0.3">
      <c r="A44" s="36" t="s">
        <v>24</v>
      </c>
      <c r="B44" s="37" t="s">
        <v>28</v>
      </c>
      <c r="C44" s="38" t="s">
        <v>110</v>
      </c>
      <c r="D44" s="38">
        <v>1000003314</v>
      </c>
      <c r="E44" s="38" t="s">
        <v>111</v>
      </c>
      <c r="F44" s="40">
        <v>44957</v>
      </c>
      <c r="G44" s="22" t="str">
        <f t="shared" si="0"/>
        <v>Targeted Dealer</v>
      </c>
      <c r="H44" s="22"/>
      <c r="I44" s="23">
        <v>40</v>
      </c>
      <c r="J44" s="23">
        <f t="shared" si="1"/>
        <v>40</v>
      </c>
      <c r="K44" s="24">
        <v>45</v>
      </c>
      <c r="L44" s="24">
        <f t="shared" si="2"/>
        <v>-5</v>
      </c>
      <c r="M44" s="24">
        <f t="shared" si="3"/>
        <v>112.5</v>
      </c>
      <c r="N44" s="25">
        <v>0</v>
      </c>
      <c r="O44" s="26" t="str">
        <f t="shared" si="4"/>
        <v>June</v>
      </c>
      <c r="P44" s="25">
        <f t="shared" si="5"/>
        <v>0</v>
      </c>
      <c r="Q44" s="27">
        <f t="shared" si="6"/>
        <v>45</v>
      </c>
      <c r="R44" s="26" t="b">
        <f t="shared" si="7"/>
        <v>0</v>
      </c>
      <c r="S44" s="28" t="b">
        <f t="shared" si="8"/>
        <v>0</v>
      </c>
      <c r="T44" s="24">
        <v>20</v>
      </c>
      <c r="U44" s="29" t="str">
        <f t="shared" si="9"/>
        <v>May</v>
      </c>
      <c r="V44" s="24">
        <f t="shared" si="10"/>
        <v>20</v>
      </c>
      <c r="W44" s="30">
        <f t="shared" si="11"/>
        <v>25</v>
      </c>
      <c r="X44" s="31" t="b">
        <f t="shared" si="12"/>
        <v>0</v>
      </c>
      <c r="Y44" s="32" t="str">
        <f t="shared" si="13"/>
        <v>GROWTH</v>
      </c>
      <c r="Z44" s="41">
        <v>0</v>
      </c>
      <c r="AA44" s="36"/>
      <c r="AB44" s="36" t="s">
        <v>24</v>
      </c>
      <c r="AC44" s="36" t="s">
        <v>24</v>
      </c>
      <c r="AD44" s="34"/>
      <c r="AE44" s="35">
        <f>IFERROR(INDEX([1]Last6M_AvgSales_Ref!$B$2:$B$12659,MATCH(D44,[1]Last6M_AvgSales_Ref!$A$2:$A$12659,0)),"")</f>
        <v>25.8333333333333</v>
      </c>
    </row>
    <row r="45" spans="1:31" ht="14.25" customHeight="1" x14ac:dyDescent="0.3">
      <c r="A45" s="36" t="s">
        <v>24</v>
      </c>
      <c r="B45" s="37" t="s">
        <v>59</v>
      </c>
      <c r="C45" s="38" t="s">
        <v>112</v>
      </c>
      <c r="D45" s="38">
        <v>1000003488</v>
      </c>
      <c r="E45" s="38" t="s">
        <v>113</v>
      </c>
      <c r="F45" s="40">
        <v>45042</v>
      </c>
      <c r="G45" s="22" t="str">
        <f t="shared" si="0"/>
        <v>Targeted Dealer</v>
      </c>
      <c r="H45" s="22"/>
      <c r="I45" s="23">
        <v>700</v>
      </c>
      <c r="J45" s="23">
        <f t="shared" si="1"/>
        <v>700</v>
      </c>
      <c r="K45" s="24">
        <v>1200</v>
      </c>
      <c r="L45" s="24">
        <f t="shared" si="2"/>
        <v>-500</v>
      </c>
      <c r="M45" s="24">
        <f t="shared" si="3"/>
        <v>171.42857142857142</v>
      </c>
      <c r="N45" s="25">
        <v>850</v>
      </c>
      <c r="O45" s="26" t="str">
        <f t="shared" si="4"/>
        <v>June</v>
      </c>
      <c r="P45" s="25">
        <f t="shared" si="5"/>
        <v>850</v>
      </c>
      <c r="Q45" s="27">
        <f t="shared" si="6"/>
        <v>350</v>
      </c>
      <c r="R45" s="26" t="b">
        <f t="shared" si="7"/>
        <v>0</v>
      </c>
      <c r="S45" s="28" t="str">
        <f t="shared" si="8"/>
        <v>GROWTH</v>
      </c>
      <c r="T45" s="24">
        <v>200</v>
      </c>
      <c r="U45" s="29" t="str">
        <f t="shared" si="9"/>
        <v>May</v>
      </c>
      <c r="V45" s="24">
        <f t="shared" si="10"/>
        <v>200</v>
      </c>
      <c r="W45" s="30">
        <f t="shared" si="11"/>
        <v>1000</v>
      </c>
      <c r="X45" s="31" t="b">
        <f t="shared" si="12"/>
        <v>0</v>
      </c>
      <c r="Y45" s="32" t="str">
        <f t="shared" si="13"/>
        <v>GROWTH</v>
      </c>
      <c r="Z45" s="41">
        <v>0</v>
      </c>
      <c r="AA45" s="36"/>
      <c r="AB45" s="36" t="s">
        <v>24</v>
      </c>
      <c r="AC45" s="36" t="s">
        <v>24</v>
      </c>
      <c r="AD45" s="34"/>
      <c r="AE45" s="35">
        <f>IFERROR(INDEX([1]Last6M_AvgSales_Ref!$B$2:$B$12659,MATCH(D45,[1]Last6M_AvgSales_Ref!$A$2:$A$12659,0)),"")</f>
        <v>560</v>
      </c>
    </row>
    <row r="46" spans="1:31" ht="14.25" customHeight="1" x14ac:dyDescent="0.3">
      <c r="A46" s="36" t="s">
        <v>24</v>
      </c>
      <c r="B46" s="37" t="s">
        <v>59</v>
      </c>
      <c r="C46" s="38" t="s">
        <v>114</v>
      </c>
      <c r="D46" s="38">
        <v>1000003532</v>
      </c>
      <c r="E46" s="38" t="s">
        <v>115</v>
      </c>
      <c r="F46" s="40">
        <v>45064</v>
      </c>
      <c r="G46" s="22" t="str">
        <f t="shared" si="0"/>
        <v>-</v>
      </c>
      <c r="H46" s="22"/>
      <c r="I46" s="23">
        <v>0</v>
      </c>
      <c r="J46" s="23">
        <f t="shared" si="1"/>
        <v>0</v>
      </c>
      <c r="K46" s="24">
        <v>0</v>
      </c>
      <c r="L46" s="24">
        <f t="shared" si="2"/>
        <v>0</v>
      </c>
      <c r="M46" s="24" t="str">
        <f t="shared" si="3"/>
        <v>-</v>
      </c>
      <c r="N46" s="25">
        <v>0</v>
      </c>
      <c r="O46" s="26" t="str">
        <f t="shared" si="4"/>
        <v>June</v>
      </c>
      <c r="P46" s="25">
        <f t="shared" si="5"/>
        <v>0</v>
      </c>
      <c r="Q46" s="27">
        <f t="shared" si="6"/>
        <v>0</v>
      </c>
      <c r="R46" s="26" t="b">
        <f t="shared" si="7"/>
        <v>0</v>
      </c>
      <c r="S46" s="28" t="b">
        <f t="shared" si="8"/>
        <v>0</v>
      </c>
      <c r="T46" s="24">
        <v>0</v>
      </c>
      <c r="U46" s="29" t="str">
        <f t="shared" si="9"/>
        <v>May</v>
      </c>
      <c r="V46" s="24">
        <f t="shared" si="10"/>
        <v>0</v>
      </c>
      <c r="W46" s="30">
        <f t="shared" si="11"/>
        <v>0</v>
      </c>
      <c r="X46" s="31" t="b">
        <f t="shared" si="12"/>
        <v>0</v>
      </c>
      <c r="Y46" s="32" t="b">
        <f t="shared" si="13"/>
        <v>0</v>
      </c>
      <c r="Z46" s="41">
        <v>0</v>
      </c>
      <c r="AA46" s="36"/>
      <c r="AB46" s="36" t="s">
        <v>24</v>
      </c>
      <c r="AC46" s="36" t="s">
        <v>24</v>
      </c>
      <c r="AD46" s="34"/>
      <c r="AE46" s="35">
        <f>IFERROR(INDEX([1]Last6M_AvgSales_Ref!$B$2:$B$12659,MATCH(D46,[1]Last6M_AvgSales_Ref!$A$2:$A$12659,0)),"")</f>
        <v>30</v>
      </c>
    </row>
    <row r="47" spans="1:31" ht="14.25" customHeight="1" x14ac:dyDescent="0.3">
      <c r="A47" s="36" t="s">
        <v>24</v>
      </c>
      <c r="B47" s="37" t="s">
        <v>59</v>
      </c>
      <c r="C47" s="38" t="s">
        <v>116</v>
      </c>
      <c r="D47" s="38">
        <v>1000003527</v>
      </c>
      <c r="E47" s="38" t="s">
        <v>117</v>
      </c>
      <c r="F47" s="40">
        <v>45065</v>
      </c>
      <c r="G47" s="22" t="str">
        <f t="shared" si="0"/>
        <v>Targeted Dealer</v>
      </c>
      <c r="H47" s="22"/>
      <c r="I47" s="23">
        <v>40</v>
      </c>
      <c r="J47" s="23">
        <f t="shared" si="1"/>
        <v>40</v>
      </c>
      <c r="K47" s="24">
        <v>40</v>
      </c>
      <c r="L47" s="24">
        <f t="shared" si="2"/>
        <v>0</v>
      </c>
      <c r="M47" s="24">
        <f t="shared" si="3"/>
        <v>100</v>
      </c>
      <c r="N47" s="25">
        <v>40</v>
      </c>
      <c r="O47" s="26" t="str">
        <f t="shared" si="4"/>
        <v>June</v>
      </c>
      <c r="P47" s="25">
        <f t="shared" si="5"/>
        <v>40</v>
      </c>
      <c r="Q47" s="27">
        <f t="shared" si="6"/>
        <v>0</v>
      </c>
      <c r="R47" s="26" t="b">
        <f t="shared" si="7"/>
        <v>0</v>
      </c>
      <c r="S47" s="28" t="str">
        <f t="shared" si="8"/>
        <v>GROWTH</v>
      </c>
      <c r="T47" s="24">
        <v>60</v>
      </c>
      <c r="U47" s="29" t="str">
        <f t="shared" si="9"/>
        <v>May</v>
      </c>
      <c r="V47" s="24">
        <f t="shared" si="10"/>
        <v>60</v>
      </c>
      <c r="W47" s="30">
        <f t="shared" si="11"/>
        <v>-20</v>
      </c>
      <c r="X47" s="31" t="b">
        <f t="shared" si="12"/>
        <v>0</v>
      </c>
      <c r="Y47" s="32" t="str">
        <f t="shared" si="13"/>
        <v>GROWTH</v>
      </c>
      <c r="Z47" s="41">
        <v>0</v>
      </c>
      <c r="AA47" s="36"/>
      <c r="AB47" s="36" t="s">
        <v>24</v>
      </c>
      <c r="AC47" s="36" t="s">
        <v>24</v>
      </c>
      <c r="AD47" s="34"/>
      <c r="AE47" s="35">
        <f>IFERROR(INDEX([1]Last6M_AvgSales_Ref!$B$2:$B$12659,MATCH(D47,[1]Last6M_AvgSales_Ref!$A$2:$A$12659,0)),"")</f>
        <v>22.5</v>
      </c>
    </row>
    <row r="48" spans="1:31" ht="14.25" customHeight="1" x14ac:dyDescent="0.3">
      <c r="A48" s="36" t="s">
        <v>24</v>
      </c>
      <c r="B48" s="37" t="s">
        <v>59</v>
      </c>
      <c r="C48" s="38" t="s">
        <v>118</v>
      </c>
      <c r="D48" s="38">
        <v>1000003545</v>
      </c>
      <c r="E48" s="38" t="s">
        <v>119</v>
      </c>
      <c r="F48" s="40">
        <v>45070</v>
      </c>
      <c r="G48" s="22" t="str">
        <f t="shared" si="0"/>
        <v>Targeted Dealer</v>
      </c>
      <c r="H48" s="22"/>
      <c r="I48" s="23">
        <v>20</v>
      </c>
      <c r="J48" s="23">
        <f t="shared" si="1"/>
        <v>20</v>
      </c>
      <c r="K48" s="24">
        <v>20</v>
      </c>
      <c r="L48" s="24">
        <f t="shared" si="2"/>
        <v>0</v>
      </c>
      <c r="M48" s="24">
        <f t="shared" si="3"/>
        <v>100</v>
      </c>
      <c r="N48" s="25">
        <v>20</v>
      </c>
      <c r="O48" s="26" t="str">
        <f t="shared" si="4"/>
        <v>June</v>
      </c>
      <c r="P48" s="25">
        <f t="shared" si="5"/>
        <v>20</v>
      </c>
      <c r="Q48" s="27">
        <f t="shared" si="6"/>
        <v>0</v>
      </c>
      <c r="R48" s="26" t="b">
        <f t="shared" si="7"/>
        <v>0</v>
      </c>
      <c r="S48" s="28" t="str">
        <f t="shared" si="8"/>
        <v>GROWTH</v>
      </c>
      <c r="T48" s="24">
        <v>20</v>
      </c>
      <c r="U48" s="29" t="str">
        <f t="shared" si="9"/>
        <v>May</v>
      </c>
      <c r="V48" s="24">
        <f t="shared" si="10"/>
        <v>20</v>
      </c>
      <c r="W48" s="30">
        <f t="shared" si="11"/>
        <v>0</v>
      </c>
      <c r="X48" s="31" t="b">
        <f t="shared" si="12"/>
        <v>0</v>
      </c>
      <c r="Y48" s="32" t="str">
        <f t="shared" si="13"/>
        <v>GROWTH</v>
      </c>
      <c r="Z48" s="41">
        <v>0</v>
      </c>
      <c r="AA48" s="36"/>
      <c r="AB48" s="36" t="s">
        <v>24</v>
      </c>
      <c r="AC48" s="36" t="s">
        <v>24</v>
      </c>
      <c r="AD48" s="34"/>
      <c r="AE48" s="35">
        <f>IFERROR(INDEX([1]Last6M_AvgSales_Ref!$B$2:$B$12659,MATCH(D48,[1]Last6M_AvgSales_Ref!$A$2:$A$12659,0)),"")</f>
        <v>26.6666666666667</v>
      </c>
    </row>
    <row r="49" spans="1:31" ht="14.25" customHeight="1" x14ac:dyDescent="0.3">
      <c r="A49" s="36" t="s">
        <v>24</v>
      </c>
      <c r="B49" s="37" t="s">
        <v>59</v>
      </c>
      <c r="C49" s="38" t="s">
        <v>120</v>
      </c>
      <c r="D49" s="38">
        <v>1000003549</v>
      </c>
      <c r="E49" s="38" t="s">
        <v>121</v>
      </c>
      <c r="F49" s="40">
        <v>45071</v>
      </c>
      <c r="G49" s="22" t="str">
        <f t="shared" si="0"/>
        <v>Targeted Dealer</v>
      </c>
      <c r="H49" s="22"/>
      <c r="I49" s="23">
        <v>20</v>
      </c>
      <c r="J49" s="23">
        <f t="shared" si="1"/>
        <v>20</v>
      </c>
      <c r="K49" s="24">
        <v>20</v>
      </c>
      <c r="L49" s="24">
        <f t="shared" si="2"/>
        <v>0</v>
      </c>
      <c r="M49" s="24">
        <f t="shared" si="3"/>
        <v>100</v>
      </c>
      <c r="N49" s="25">
        <v>30</v>
      </c>
      <c r="O49" s="26" t="str">
        <f t="shared" si="4"/>
        <v>June</v>
      </c>
      <c r="P49" s="25">
        <f t="shared" si="5"/>
        <v>30</v>
      </c>
      <c r="Q49" s="27">
        <f t="shared" si="6"/>
        <v>-10</v>
      </c>
      <c r="R49" s="26" t="b">
        <f t="shared" si="7"/>
        <v>0</v>
      </c>
      <c r="S49" s="28" t="str">
        <f t="shared" si="8"/>
        <v>GROWTH</v>
      </c>
      <c r="T49" s="24">
        <v>40</v>
      </c>
      <c r="U49" s="29" t="str">
        <f t="shared" si="9"/>
        <v>May</v>
      </c>
      <c r="V49" s="24">
        <f t="shared" si="10"/>
        <v>40</v>
      </c>
      <c r="W49" s="30">
        <f t="shared" si="11"/>
        <v>-20</v>
      </c>
      <c r="X49" s="31" t="b">
        <f t="shared" si="12"/>
        <v>0</v>
      </c>
      <c r="Y49" s="32" t="str">
        <f t="shared" si="13"/>
        <v>GROWTH</v>
      </c>
      <c r="Z49" s="41">
        <v>0</v>
      </c>
      <c r="AA49" s="36"/>
      <c r="AB49" s="36" t="s">
        <v>24</v>
      </c>
      <c r="AC49" s="36" t="s">
        <v>24</v>
      </c>
      <c r="AD49" s="34"/>
      <c r="AE49" s="35">
        <f>IFERROR(INDEX([1]Last6M_AvgSales_Ref!$B$2:$B$12659,MATCH(D49,[1]Last6M_AvgSales_Ref!$A$2:$A$12659,0)),"")</f>
        <v>26.6666666666667</v>
      </c>
    </row>
    <row r="50" spans="1:31" ht="14.25" customHeight="1" x14ac:dyDescent="0.3">
      <c r="A50" s="36" t="s">
        <v>24</v>
      </c>
      <c r="B50" s="37" t="s">
        <v>59</v>
      </c>
      <c r="C50" s="38" t="s">
        <v>122</v>
      </c>
      <c r="D50" s="38">
        <v>1000003596</v>
      </c>
      <c r="E50" s="38" t="s">
        <v>123</v>
      </c>
      <c r="F50" s="40">
        <v>45093</v>
      </c>
      <c r="G50" s="22" t="str">
        <f t="shared" si="0"/>
        <v>Targeted Dealer</v>
      </c>
      <c r="H50" s="22"/>
      <c r="I50" s="23">
        <v>10</v>
      </c>
      <c r="J50" s="23">
        <f t="shared" si="1"/>
        <v>10</v>
      </c>
      <c r="K50" s="24">
        <v>10</v>
      </c>
      <c r="L50" s="24">
        <f t="shared" si="2"/>
        <v>0</v>
      </c>
      <c r="M50" s="24">
        <f t="shared" si="3"/>
        <v>100</v>
      </c>
      <c r="N50" s="25">
        <v>10</v>
      </c>
      <c r="O50" s="26" t="str">
        <f t="shared" si="4"/>
        <v>June</v>
      </c>
      <c r="P50" s="25">
        <f t="shared" si="5"/>
        <v>10</v>
      </c>
      <c r="Q50" s="27">
        <f t="shared" si="6"/>
        <v>0</v>
      </c>
      <c r="R50" s="26" t="b">
        <f t="shared" si="7"/>
        <v>0</v>
      </c>
      <c r="S50" s="28" t="str">
        <f t="shared" si="8"/>
        <v>GROWTH</v>
      </c>
      <c r="T50" s="24">
        <v>20</v>
      </c>
      <c r="U50" s="29" t="str">
        <f t="shared" si="9"/>
        <v>May</v>
      </c>
      <c r="V50" s="24">
        <f t="shared" si="10"/>
        <v>20</v>
      </c>
      <c r="W50" s="30">
        <f t="shared" si="11"/>
        <v>-10</v>
      </c>
      <c r="X50" s="31" t="b">
        <f t="shared" si="12"/>
        <v>0</v>
      </c>
      <c r="Y50" s="32" t="str">
        <f t="shared" si="13"/>
        <v>GROWTH</v>
      </c>
      <c r="Z50" s="41">
        <v>0</v>
      </c>
      <c r="AA50" s="36"/>
      <c r="AB50" s="36" t="s">
        <v>24</v>
      </c>
      <c r="AC50" s="36" t="s">
        <v>24</v>
      </c>
      <c r="AD50" s="34"/>
      <c r="AE50" s="35">
        <f>IFERROR(INDEX([1]Last6M_AvgSales_Ref!$B$2:$B$12659,MATCH(D50,[1]Last6M_AvgSales_Ref!$A$2:$A$12659,0)),"")</f>
        <v>11.6666666666667</v>
      </c>
    </row>
    <row r="51" spans="1:31" ht="14.25" customHeight="1" x14ac:dyDescent="0.3">
      <c r="A51" s="36" t="s">
        <v>24</v>
      </c>
      <c r="B51" s="37" t="s">
        <v>28</v>
      </c>
      <c r="C51" s="38" t="s">
        <v>124</v>
      </c>
      <c r="D51" s="38">
        <v>1000003607</v>
      </c>
      <c r="E51" s="38" t="s">
        <v>125</v>
      </c>
      <c r="F51" s="40">
        <v>45097</v>
      </c>
      <c r="G51" s="22" t="str">
        <f t="shared" si="0"/>
        <v>Targeted Dealer</v>
      </c>
      <c r="H51" s="22"/>
      <c r="I51" s="23">
        <v>20</v>
      </c>
      <c r="J51" s="23">
        <f t="shared" si="1"/>
        <v>20</v>
      </c>
      <c r="K51" s="24">
        <v>22</v>
      </c>
      <c r="L51" s="24">
        <f t="shared" si="2"/>
        <v>-2</v>
      </c>
      <c r="M51" s="24">
        <f t="shared" si="3"/>
        <v>110</v>
      </c>
      <c r="N51" s="25">
        <v>40</v>
      </c>
      <c r="O51" s="26" t="str">
        <f t="shared" si="4"/>
        <v>June</v>
      </c>
      <c r="P51" s="25">
        <f t="shared" si="5"/>
        <v>40</v>
      </c>
      <c r="Q51" s="27">
        <f t="shared" si="6"/>
        <v>-18</v>
      </c>
      <c r="R51" s="26" t="b">
        <f t="shared" si="7"/>
        <v>0</v>
      </c>
      <c r="S51" s="28" t="str">
        <f t="shared" si="8"/>
        <v>GROWTH</v>
      </c>
      <c r="T51" s="24">
        <v>10</v>
      </c>
      <c r="U51" s="29" t="str">
        <f t="shared" si="9"/>
        <v>May</v>
      </c>
      <c r="V51" s="24">
        <f t="shared" si="10"/>
        <v>10</v>
      </c>
      <c r="W51" s="30">
        <f t="shared" si="11"/>
        <v>12</v>
      </c>
      <c r="X51" s="31" t="b">
        <f t="shared" si="12"/>
        <v>0</v>
      </c>
      <c r="Y51" s="32" t="str">
        <f t="shared" si="13"/>
        <v>GROWTH</v>
      </c>
      <c r="Z51" s="41">
        <v>0</v>
      </c>
      <c r="AA51" s="36"/>
      <c r="AB51" s="36" t="s">
        <v>24</v>
      </c>
      <c r="AC51" s="36" t="s">
        <v>24</v>
      </c>
      <c r="AD51" s="34"/>
      <c r="AE51" s="35">
        <f>IFERROR(INDEX([1]Last6M_AvgSales_Ref!$B$2:$B$12659,MATCH(D51,[1]Last6M_AvgSales_Ref!$A$2:$A$12659,0)),"")</f>
        <v>16.4166666666667</v>
      </c>
    </row>
    <row r="52" spans="1:31" ht="14.25" customHeight="1" x14ac:dyDescent="0.3">
      <c r="A52" s="36" t="s">
        <v>24</v>
      </c>
      <c r="B52" s="37" t="s">
        <v>28</v>
      </c>
      <c r="C52" s="38" t="s">
        <v>126</v>
      </c>
      <c r="D52" s="38">
        <v>1000003789</v>
      </c>
      <c r="E52" s="38" t="s">
        <v>127</v>
      </c>
      <c r="F52" s="40">
        <v>45278</v>
      </c>
      <c r="G52" s="22" t="str">
        <f t="shared" si="0"/>
        <v>-</v>
      </c>
      <c r="H52" s="22"/>
      <c r="I52" s="23">
        <v>0</v>
      </c>
      <c r="J52" s="23">
        <f t="shared" si="1"/>
        <v>0</v>
      </c>
      <c r="K52" s="24">
        <v>0</v>
      </c>
      <c r="L52" s="24">
        <f t="shared" si="2"/>
        <v>0</v>
      </c>
      <c r="M52" s="24" t="str">
        <f t="shared" si="3"/>
        <v>-</v>
      </c>
      <c r="N52" s="25">
        <v>0</v>
      </c>
      <c r="O52" s="26" t="str">
        <f t="shared" si="4"/>
        <v>June</v>
      </c>
      <c r="P52" s="25">
        <f t="shared" si="5"/>
        <v>0</v>
      </c>
      <c r="Q52" s="27">
        <f t="shared" si="6"/>
        <v>0</v>
      </c>
      <c r="R52" s="26" t="b">
        <f t="shared" si="7"/>
        <v>0</v>
      </c>
      <c r="S52" s="28" t="b">
        <f t="shared" si="8"/>
        <v>0</v>
      </c>
      <c r="T52" s="24">
        <v>20</v>
      </c>
      <c r="U52" s="29" t="str">
        <f t="shared" si="9"/>
        <v>May</v>
      </c>
      <c r="V52" s="24">
        <f t="shared" si="10"/>
        <v>20</v>
      </c>
      <c r="W52" s="30">
        <f t="shared" si="11"/>
        <v>-20</v>
      </c>
      <c r="X52" s="31" t="b">
        <f t="shared" si="12"/>
        <v>0</v>
      </c>
      <c r="Y52" s="32" t="str">
        <f t="shared" si="13"/>
        <v>GROWTH</v>
      </c>
      <c r="Z52" s="41">
        <v>0</v>
      </c>
      <c r="AA52" s="36"/>
      <c r="AB52" s="36" t="s">
        <v>24</v>
      </c>
      <c r="AC52" s="36" t="s">
        <v>24</v>
      </c>
      <c r="AD52" s="34"/>
      <c r="AE52" s="35">
        <f>IFERROR(INDEX([1]Last6M_AvgSales_Ref!$B$2:$B$12659,MATCH(D52,[1]Last6M_AvgSales_Ref!$A$2:$A$12659,0)),"")</f>
        <v>10.8333333333333</v>
      </c>
    </row>
    <row r="53" spans="1:31" ht="14.25" customHeight="1" x14ac:dyDescent="0.3">
      <c r="A53" s="36" t="s">
        <v>24</v>
      </c>
      <c r="B53" s="37" t="s">
        <v>28</v>
      </c>
      <c r="C53" s="38" t="s">
        <v>128</v>
      </c>
      <c r="D53" s="42">
        <v>1000003823</v>
      </c>
      <c r="E53" s="42" t="s">
        <v>129</v>
      </c>
      <c r="F53" s="43">
        <v>45310</v>
      </c>
      <c r="G53" s="22" t="str">
        <f t="shared" si="0"/>
        <v>-</v>
      </c>
      <c r="H53" s="22"/>
      <c r="I53" s="23">
        <v>0</v>
      </c>
      <c r="J53" s="23">
        <f t="shared" si="1"/>
        <v>0</v>
      </c>
      <c r="K53" s="24">
        <v>0</v>
      </c>
      <c r="L53" s="24">
        <f t="shared" si="2"/>
        <v>0</v>
      </c>
      <c r="M53" s="24" t="str">
        <f t="shared" si="3"/>
        <v>-</v>
      </c>
      <c r="N53" s="25">
        <v>0</v>
      </c>
      <c r="O53" s="26" t="str">
        <f t="shared" si="4"/>
        <v>June</v>
      </c>
      <c r="P53" s="25">
        <f t="shared" si="5"/>
        <v>0</v>
      </c>
      <c r="Q53" s="27">
        <f t="shared" si="6"/>
        <v>0</v>
      </c>
      <c r="R53" s="26" t="b">
        <f t="shared" si="7"/>
        <v>0</v>
      </c>
      <c r="S53" s="28" t="b">
        <f t="shared" si="8"/>
        <v>0</v>
      </c>
      <c r="T53" s="24">
        <v>10</v>
      </c>
      <c r="U53" s="29" t="str">
        <f t="shared" si="9"/>
        <v>May</v>
      </c>
      <c r="V53" s="24">
        <f t="shared" si="10"/>
        <v>10</v>
      </c>
      <c r="W53" s="30">
        <f t="shared" si="11"/>
        <v>-10</v>
      </c>
      <c r="X53" s="31" t="b">
        <f t="shared" si="12"/>
        <v>0</v>
      </c>
      <c r="Y53" s="32" t="str">
        <f t="shared" si="13"/>
        <v>GROWTH</v>
      </c>
      <c r="Z53" s="41">
        <v>0</v>
      </c>
      <c r="AA53" s="36"/>
      <c r="AB53" s="36" t="s">
        <v>24</v>
      </c>
      <c r="AC53" s="36" t="s">
        <v>24</v>
      </c>
      <c r="AD53" s="34"/>
      <c r="AE53" s="35">
        <f>IFERROR(INDEX([1]Last6M_AvgSales_Ref!$B$2:$B$12659,MATCH(D53,[1]Last6M_AvgSales_Ref!$A$2:$A$12659,0)),"")</f>
        <v>8.3333333333333304</v>
      </c>
    </row>
    <row r="54" spans="1:31" ht="14.25" customHeight="1" x14ac:dyDescent="0.3">
      <c r="A54" s="41" t="s">
        <v>24</v>
      </c>
      <c r="B54" s="37" t="s">
        <v>25</v>
      </c>
      <c r="C54" s="44" t="s">
        <v>130</v>
      </c>
      <c r="D54" s="44">
        <v>1000003840</v>
      </c>
      <c r="E54" s="44" t="s">
        <v>131</v>
      </c>
      <c r="F54" s="45">
        <v>45315</v>
      </c>
      <c r="G54" s="22" t="str">
        <f t="shared" si="0"/>
        <v>Targeted Dealer</v>
      </c>
      <c r="H54" s="22"/>
      <c r="I54" s="23">
        <v>26</v>
      </c>
      <c r="J54" s="23">
        <f t="shared" si="1"/>
        <v>26</v>
      </c>
      <c r="K54" s="24">
        <v>13</v>
      </c>
      <c r="L54" s="24">
        <f t="shared" si="2"/>
        <v>13</v>
      </c>
      <c r="M54" s="24">
        <f t="shared" si="3"/>
        <v>50</v>
      </c>
      <c r="N54" s="25">
        <v>26</v>
      </c>
      <c r="O54" s="26" t="str">
        <f t="shared" si="4"/>
        <v>June</v>
      </c>
      <c r="P54" s="25">
        <f t="shared" si="5"/>
        <v>26</v>
      </c>
      <c r="Q54" s="27">
        <f t="shared" si="6"/>
        <v>-13</v>
      </c>
      <c r="R54" s="26" t="b">
        <f t="shared" si="7"/>
        <v>0</v>
      </c>
      <c r="S54" s="28" t="str">
        <f t="shared" si="8"/>
        <v>GROWTH</v>
      </c>
      <c r="T54" s="24">
        <v>46</v>
      </c>
      <c r="U54" s="29" t="str">
        <f t="shared" si="9"/>
        <v>May</v>
      </c>
      <c r="V54" s="24">
        <f t="shared" si="10"/>
        <v>46</v>
      </c>
      <c r="W54" s="30">
        <f t="shared" si="11"/>
        <v>-33</v>
      </c>
      <c r="X54" s="31" t="b">
        <f t="shared" si="12"/>
        <v>0</v>
      </c>
      <c r="Y54" s="32" t="str">
        <f t="shared" si="13"/>
        <v>GROWTH</v>
      </c>
      <c r="Z54" s="41">
        <v>0</v>
      </c>
      <c r="AA54" s="36"/>
      <c r="AB54" s="36" t="s">
        <v>24</v>
      </c>
      <c r="AC54" s="41" t="s">
        <v>24</v>
      </c>
      <c r="AD54" s="34"/>
      <c r="AE54" s="35">
        <f>IFERROR(INDEX([1]Last6M_AvgSales_Ref!$B$2:$B$12659,MATCH(D54,[1]Last6M_AvgSales_Ref!$A$2:$A$12659,0)),"")</f>
        <v>32.5</v>
      </c>
    </row>
    <row r="55" spans="1:31" ht="14.25" customHeight="1" x14ac:dyDescent="0.3">
      <c r="A55" s="41" t="s">
        <v>24</v>
      </c>
      <c r="B55" s="37" t="s">
        <v>28</v>
      </c>
      <c r="C55" s="44" t="s">
        <v>132</v>
      </c>
      <c r="D55" s="44">
        <v>1000003892</v>
      </c>
      <c r="E55" s="44" t="s">
        <v>133</v>
      </c>
      <c r="F55" s="40">
        <v>45373</v>
      </c>
      <c r="G55" s="22" t="str">
        <f t="shared" si="0"/>
        <v>Targeted Dealer</v>
      </c>
      <c r="H55" s="22"/>
      <c r="I55" s="23">
        <v>26</v>
      </c>
      <c r="J55" s="23">
        <f t="shared" si="1"/>
        <v>26</v>
      </c>
      <c r="K55" s="24">
        <v>26</v>
      </c>
      <c r="L55" s="24">
        <f t="shared" si="2"/>
        <v>0</v>
      </c>
      <c r="M55" s="24">
        <f t="shared" si="3"/>
        <v>100</v>
      </c>
      <c r="N55" s="25">
        <v>13</v>
      </c>
      <c r="O55" s="26" t="str">
        <f t="shared" si="4"/>
        <v>June</v>
      </c>
      <c r="P55" s="25">
        <f t="shared" si="5"/>
        <v>13</v>
      </c>
      <c r="Q55" s="27">
        <f t="shared" si="6"/>
        <v>13</v>
      </c>
      <c r="R55" s="26" t="b">
        <f t="shared" si="7"/>
        <v>0</v>
      </c>
      <c r="S55" s="28" t="str">
        <f t="shared" si="8"/>
        <v>GROWTH</v>
      </c>
      <c r="T55" s="24">
        <v>40</v>
      </c>
      <c r="U55" s="29" t="str">
        <f t="shared" si="9"/>
        <v>May</v>
      </c>
      <c r="V55" s="24">
        <f t="shared" si="10"/>
        <v>40</v>
      </c>
      <c r="W55" s="30">
        <f t="shared" si="11"/>
        <v>-14</v>
      </c>
      <c r="X55" s="31" t="b">
        <f t="shared" si="12"/>
        <v>0</v>
      </c>
      <c r="Y55" s="32" t="str">
        <f t="shared" si="13"/>
        <v>GROWTH</v>
      </c>
      <c r="Z55" s="41">
        <v>0</v>
      </c>
      <c r="AA55" s="36"/>
      <c r="AB55" s="36" t="s">
        <v>24</v>
      </c>
      <c r="AC55" s="41" t="s">
        <v>24</v>
      </c>
      <c r="AD55" s="34"/>
      <c r="AE55" s="35">
        <f>IFERROR(INDEX([1]Last6M_AvgSales_Ref!$B$2:$B$12659,MATCH(D55,[1]Last6M_AvgSales_Ref!$A$2:$A$12659,0)),"")</f>
        <v>25.1666666666667</v>
      </c>
    </row>
    <row r="56" spans="1:31" ht="14.25" customHeight="1" x14ac:dyDescent="0.3">
      <c r="A56" s="41" t="s">
        <v>24</v>
      </c>
      <c r="B56" s="37" t="s">
        <v>59</v>
      </c>
      <c r="C56" s="44" t="s">
        <v>134</v>
      </c>
      <c r="D56" s="44">
        <v>1000003942</v>
      </c>
      <c r="E56" s="44" t="s">
        <v>135</v>
      </c>
      <c r="F56" s="40">
        <v>45421</v>
      </c>
      <c r="G56" s="22" t="str">
        <f t="shared" si="0"/>
        <v>Targeted Dealer</v>
      </c>
      <c r="H56" s="22"/>
      <c r="I56" s="23">
        <v>100</v>
      </c>
      <c r="J56" s="23">
        <f t="shared" si="1"/>
        <v>100</v>
      </c>
      <c r="K56" s="24">
        <v>140</v>
      </c>
      <c r="L56" s="24">
        <f t="shared" si="2"/>
        <v>-40</v>
      </c>
      <c r="M56" s="24">
        <f t="shared" si="3"/>
        <v>140</v>
      </c>
      <c r="N56" s="25">
        <v>100</v>
      </c>
      <c r="O56" s="26" t="str">
        <f t="shared" si="4"/>
        <v>June</v>
      </c>
      <c r="P56" s="25">
        <f t="shared" si="5"/>
        <v>100</v>
      </c>
      <c r="Q56" s="27">
        <f t="shared" si="6"/>
        <v>40</v>
      </c>
      <c r="R56" s="26" t="b">
        <f t="shared" si="7"/>
        <v>0</v>
      </c>
      <c r="S56" s="28" t="str">
        <f t="shared" si="8"/>
        <v>GROWTH</v>
      </c>
      <c r="T56" s="24">
        <v>80</v>
      </c>
      <c r="U56" s="29" t="str">
        <f t="shared" si="9"/>
        <v>May</v>
      </c>
      <c r="V56" s="24">
        <f t="shared" si="10"/>
        <v>80</v>
      </c>
      <c r="W56" s="30">
        <f t="shared" si="11"/>
        <v>60</v>
      </c>
      <c r="X56" s="31" t="b">
        <f t="shared" si="12"/>
        <v>0</v>
      </c>
      <c r="Y56" s="32" t="str">
        <f t="shared" si="13"/>
        <v>GROWTH</v>
      </c>
      <c r="Z56" s="41">
        <v>0</v>
      </c>
      <c r="AA56" s="36"/>
      <c r="AB56" s="36" t="s">
        <v>24</v>
      </c>
      <c r="AC56" s="41" t="s">
        <v>24</v>
      </c>
      <c r="AD56" s="34"/>
      <c r="AE56" s="35">
        <f>IFERROR(INDEX([1]Last6M_AvgSales_Ref!$B$2:$B$12659,MATCH(D56,[1]Last6M_AvgSales_Ref!$A$2:$A$12659,0)),"")</f>
        <v>123</v>
      </c>
    </row>
    <row r="57" spans="1:31" ht="14.25" customHeight="1" x14ac:dyDescent="0.3">
      <c r="A57" s="41" t="s">
        <v>24</v>
      </c>
      <c r="B57" s="37" t="s">
        <v>28</v>
      </c>
      <c r="C57" s="44" t="s">
        <v>136</v>
      </c>
      <c r="D57" s="44">
        <v>1000003948</v>
      </c>
      <c r="E57" s="44" t="s">
        <v>137</v>
      </c>
      <c r="F57" s="40">
        <v>45422</v>
      </c>
      <c r="G57" s="22" t="str">
        <f t="shared" si="0"/>
        <v>Targeted Dealer</v>
      </c>
      <c r="H57" s="22"/>
      <c r="I57" s="23">
        <v>26</v>
      </c>
      <c r="J57" s="23">
        <f t="shared" si="1"/>
        <v>26</v>
      </c>
      <c r="K57" s="24">
        <v>26</v>
      </c>
      <c r="L57" s="24">
        <f t="shared" si="2"/>
        <v>0</v>
      </c>
      <c r="M57" s="24">
        <f t="shared" si="3"/>
        <v>100</v>
      </c>
      <c r="N57" s="25">
        <v>26</v>
      </c>
      <c r="O57" s="26" t="str">
        <f t="shared" si="4"/>
        <v>June</v>
      </c>
      <c r="P57" s="25">
        <f t="shared" si="5"/>
        <v>26</v>
      </c>
      <c r="Q57" s="27">
        <f t="shared" si="6"/>
        <v>0</v>
      </c>
      <c r="R57" s="26" t="b">
        <f t="shared" si="7"/>
        <v>0</v>
      </c>
      <c r="S57" s="28" t="str">
        <f t="shared" si="8"/>
        <v>GROWTH</v>
      </c>
      <c r="T57" s="24">
        <v>104</v>
      </c>
      <c r="U57" s="29" t="str">
        <f t="shared" si="9"/>
        <v>May</v>
      </c>
      <c r="V57" s="24">
        <f t="shared" si="10"/>
        <v>104</v>
      </c>
      <c r="W57" s="30">
        <f t="shared" si="11"/>
        <v>-78</v>
      </c>
      <c r="X57" s="31" t="b">
        <f t="shared" si="12"/>
        <v>0</v>
      </c>
      <c r="Y57" s="32" t="str">
        <f t="shared" si="13"/>
        <v>GROWTH</v>
      </c>
      <c r="Z57" s="41">
        <v>0</v>
      </c>
      <c r="AA57" s="36"/>
      <c r="AB57" s="36" t="s">
        <v>24</v>
      </c>
      <c r="AC57" s="41" t="s">
        <v>24</v>
      </c>
      <c r="AD57" s="34"/>
      <c r="AE57" s="35">
        <f>IFERROR(INDEX([1]Last6M_AvgSales_Ref!$B$2:$B$12659,MATCH(D57,[1]Last6M_AvgSales_Ref!$A$2:$A$12659,0)),"")</f>
        <v>12.1666666666667</v>
      </c>
    </row>
    <row r="58" spans="1:31" ht="14.25" customHeight="1" x14ac:dyDescent="0.3">
      <c r="A58" s="41" t="s">
        <v>24</v>
      </c>
      <c r="B58" s="37" t="s">
        <v>28</v>
      </c>
      <c r="C58" s="44" t="s">
        <v>138</v>
      </c>
      <c r="D58" s="44">
        <v>1000003973</v>
      </c>
      <c r="E58" s="44" t="s">
        <v>139</v>
      </c>
      <c r="F58" s="40">
        <v>45430</v>
      </c>
      <c r="G58" s="22" t="str">
        <f t="shared" si="0"/>
        <v>Targeted Dealer</v>
      </c>
      <c r="H58" s="22"/>
      <c r="I58" s="23">
        <v>40</v>
      </c>
      <c r="J58" s="23">
        <f t="shared" si="1"/>
        <v>40</v>
      </c>
      <c r="K58" s="24">
        <v>0</v>
      </c>
      <c r="L58" s="24">
        <f t="shared" si="2"/>
        <v>40</v>
      </c>
      <c r="M58" s="24">
        <f t="shared" si="3"/>
        <v>0</v>
      </c>
      <c r="N58" s="25">
        <v>40</v>
      </c>
      <c r="O58" s="26" t="str">
        <f t="shared" si="4"/>
        <v>June</v>
      </c>
      <c r="P58" s="25">
        <f t="shared" si="5"/>
        <v>40</v>
      </c>
      <c r="Q58" s="27">
        <f t="shared" si="6"/>
        <v>-40</v>
      </c>
      <c r="R58" s="26" t="b">
        <f t="shared" si="7"/>
        <v>0</v>
      </c>
      <c r="S58" s="28" t="str">
        <f t="shared" si="8"/>
        <v>GROWTH</v>
      </c>
      <c r="T58" s="24">
        <v>150</v>
      </c>
      <c r="U58" s="29" t="str">
        <f t="shared" si="9"/>
        <v>May</v>
      </c>
      <c r="V58" s="24">
        <f t="shared" si="10"/>
        <v>150</v>
      </c>
      <c r="W58" s="30">
        <f t="shared" si="11"/>
        <v>-150</v>
      </c>
      <c r="X58" s="31" t="b">
        <f t="shared" si="12"/>
        <v>0</v>
      </c>
      <c r="Y58" s="32" t="str">
        <f t="shared" si="13"/>
        <v>GROWTH</v>
      </c>
      <c r="Z58" s="41">
        <v>0</v>
      </c>
      <c r="AA58" s="36"/>
      <c r="AB58" s="36" t="s">
        <v>24</v>
      </c>
      <c r="AC58" s="41" t="s">
        <v>24</v>
      </c>
      <c r="AD58" s="34"/>
      <c r="AE58" s="35">
        <f>IFERROR(INDEX([1]Last6M_AvgSales_Ref!$B$2:$B$12659,MATCH(D58,[1]Last6M_AvgSales_Ref!$A$2:$A$12659,0)),"")</f>
        <v>57.5</v>
      </c>
    </row>
    <row r="59" spans="1:31" ht="14.25" customHeight="1" x14ac:dyDescent="0.3">
      <c r="A59" s="41" t="s">
        <v>24</v>
      </c>
      <c r="B59" s="37" t="s">
        <v>28</v>
      </c>
      <c r="C59" s="44" t="s">
        <v>140</v>
      </c>
      <c r="D59" s="44">
        <v>1000003966</v>
      </c>
      <c r="E59" s="44" t="s">
        <v>141</v>
      </c>
      <c r="F59" s="40">
        <v>45433</v>
      </c>
      <c r="G59" s="22" t="str">
        <f t="shared" si="0"/>
        <v>Targeted Dealer</v>
      </c>
      <c r="H59" s="22"/>
      <c r="I59" s="23">
        <v>20</v>
      </c>
      <c r="J59" s="23">
        <f t="shared" si="1"/>
        <v>20</v>
      </c>
      <c r="K59" s="24">
        <v>20</v>
      </c>
      <c r="L59" s="24">
        <f t="shared" si="2"/>
        <v>0</v>
      </c>
      <c r="M59" s="24">
        <f t="shared" si="3"/>
        <v>100</v>
      </c>
      <c r="N59" s="25">
        <v>53</v>
      </c>
      <c r="O59" s="26" t="str">
        <f t="shared" si="4"/>
        <v>June</v>
      </c>
      <c r="P59" s="25">
        <f t="shared" si="5"/>
        <v>53</v>
      </c>
      <c r="Q59" s="27">
        <f t="shared" si="6"/>
        <v>-33</v>
      </c>
      <c r="R59" s="26" t="b">
        <f t="shared" si="7"/>
        <v>0</v>
      </c>
      <c r="S59" s="28" t="str">
        <f t="shared" si="8"/>
        <v>GROWTH</v>
      </c>
      <c r="T59" s="24">
        <v>20</v>
      </c>
      <c r="U59" s="29" t="str">
        <f t="shared" si="9"/>
        <v>May</v>
      </c>
      <c r="V59" s="24">
        <f t="shared" si="10"/>
        <v>20</v>
      </c>
      <c r="W59" s="30">
        <f t="shared" si="11"/>
        <v>0</v>
      </c>
      <c r="X59" s="31" t="b">
        <f t="shared" si="12"/>
        <v>0</v>
      </c>
      <c r="Y59" s="32" t="str">
        <f t="shared" si="13"/>
        <v>GROWTH</v>
      </c>
      <c r="Z59" s="41">
        <v>0</v>
      </c>
      <c r="AA59" s="36"/>
      <c r="AB59" s="36" t="s">
        <v>24</v>
      </c>
      <c r="AC59" s="41" t="s">
        <v>24</v>
      </c>
      <c r="AD59" s="34"/>
      <c r="AE59" s="35">
        <f>IFERROR(INDEX([1]Last6M_AvgSales_Ref!$B$2:$B$12659,MATCH(D59,[1]Last6M_AvgSales_Ref!$A$2:$A$12659,0)),"")</f>
        <v>36.3333333333333</v>
      </c>
    </row>
    <row r="60" spans="1:31" ht="14.25" customHeight="1" x14ac:dyDescent="0.3">
      <c r="A60" s="41" t="s">
        <v>24</v>
      </c>
      <c r="B60" s="37" t="s">
        <v>28</v>
      </c>
      <c r="C60" s="44" t="s">
        <v>142</v>
      </c>
      <c r="D60" s="44">
        <v>1000004002</v>
      </c>
      <c r="E60" s="44" t="s">
        <v>143</v>
      </c>
      <c r="F60" s="40">
        <v>45450</v>
      </c>
      <c r="G60" s="22" t="str">
        <f t="shared" si="0"/>
        <v>Targeted Dealer</v>
      </c>
      <c r="H60" s="22"/>
      <c r="I60" s="23">
        <v>100</v>
      </c>
      <c r="J60" s="23">
        <f t="shared" si="1"/>
        <v>100</v>
      </c>
      <c r="K60" s="24">
        <v>106</v>
      </c>
      <c r="L60" s="24">
        <f t="shared" si="2"/>
        <v>-6</v>
      </c>
      <c r="M60" s="24">
        <f t="shared" si="3"/>
        <v>106</v>
      </c>
      <c r="N60" s="25">
        <v>113</v>
      </c>
      <c r="O60" s="26" t="str">
        <f t="shared" si="4"/>
        <v>June</v>
      </c>
      <c r="P60" s="25">
        <f t="shared" si="5"/>
        <v>113</v>
      </c>
      <c r="Q60" s="27">
        <f t="shared" si="6"/>
        <v>-7</v>
      </c>
      <c r="R60" s="26" t="b">
        <f t="shared" si="7"/>
        <v>0</v>
      </c>
      <c r="S60" s="28" t="str">
        <f t="shared" si="8"/>
        <v>GROWTH</v>
      </c>
      <c r="T60" s="24">
        <v>72</v>
      </c>
      <c r="U60" s="29" t="str">
        <f t="shared" si="9"/>
        <v>May</v>
      </c>
      <c r="V60" s="24">
        <f t="shared" si="10"/>
        <v>72</v>
      </c>
      <c r="W60" s="30">
        <f t="shared" si="11"/>
        <v>34</v>
      </c>
      <c r="X60" s="31" t="b">
        <f t="shared" si="12"/>
        <v>0</v>
      </c>
      <c r="Y60" s="32" t="str">
        <f t="shared" si="13"/>
        <v>GROWTH</v>
      </c>
      <c r="Z60" s="41">
        <v>0</v>
      </c>
      <c r="AA60" s="36"/>
      <c r="AB60" s="36" t="s">
        <v>24</v>
      </c>
      <c r="AC60" s="41" t="s">
        <v>24</v>
      </c>
      <c r="AD60" s="34"/>
      <c r="AE60" s="35">
        <f>IFERROR(INDEX([1]Last6M_AvgSales_Ref!$B$2:$B$12659,MATCH(D60,[1]Last6M_AvgSales_Ref!$A$2:$A$12659,0)),"")</f>
        <v>80.3333333333333</v>
      </c>
    </row>
    <row r="61" spans="1:31" ht="14.25" customHeight="1" x14ac:dyDescent="0.3">
      <c r="A61" s="41" t="s">
        <v>24</v>
      </c>
      <c r="B61" s="37" t="s">
        <v>25</v>
      </c>
      <c r="C61" s="44" t="s">
        <v>144</v>
      </c>
      <c r="D61" s="44">
        <v>1000004044</v>
      </c>
      <c r="E61" s="44" t="s">
        <v>145</v>
      </c>
      <c r="F61" s="40">
        <v>45490</v>
      </c>
      <c r="G61" s="22" t="str">
        <f t="shared" si="0"/>
        <v>Targeted Dealer</v>
      </c>
      <c r="H61" s="22"/>
      <c r="I61" s="23">
        <v>20</v>
      </c>
      <c r="J61" s="23">
        <f t="shared" si="1"/>
        <v>20</v>
      </c>
      <c r="K61" s="24">
        <v>20</v>
      </c>
      <c r="L61" s="24">
        <f t="shared" si="2"/>
        <v>0</v>
      </c>
      <c r="M61" s="24">
        <f t="shared" si="3"/>
        <v>100</v>
      </c>
      <c r="N61" s="25">
        <v>20</v>
      </c>
      <c r="O61" s="26" t="str">
        <f t="shared" si="4"/>
        <v>June</v>
      </c>
      <c r="P61" s="25">
        <f t="shared" si="5"/>
        <v>20</v>
      </c>
      <c r="Q61" s="27">
        <f t="shared" si="6"/>
        <v>0</v>
      </c>
      <c r="R61" s="26" t="b">
        <f t="shared" si="7"/>
        <v>0</v>
      </c>
      <c r="S61" s="28" t="str">
        <f t="shared" si="8"/>
        <v>GROWTH</v>
      </c>
      <c r="T61" s="24">
        <v>13</v>
      </c>
      <c r="U61" s="29" t="str">
        <f t="shared" si="9"/>
        <v>May</v>
      </c>
      <c r="V61" s="24">
        <f t="shared" si="10"/>
        <v>13</v>
      </c>
      <c r="W61" s="30">
        <f t="shared" si="11"/>
        <v>7</v>
      </c>
      <c r="X61" s="31" t="b">
        <f t="shared" si="12"/>
        <v>0</v>
      </c>
      <c r="Y61" s="32" t="str">
        <f t="shared" si="13"/>
        <v>GROWTH</v>
      </c>
      <c r="Z61" s="41">
        <v>0</v>
      </c>
      <c r="AA61" s="36"/>
      <c r="AB61" s="36" t="s">
        <v>24</v>
      </c>
      <c r="AC61" s="41" t="s">
        <v>24</v>
      </c>
      <c r="AD61" s="34"/>
      <c r="AE61" s="35">
        <f>IFERROR(INDEX([1]Last6M_AvgSales_Ref!$B$2:$B$12659,MATCH(D61,[1]Last6M_AvgSales_Ref!$A$2:$A$12659,0)),"")</f>
        <v>22.1666666666667</v>
      </c>
    </row>
    <row r="62" spans="1:31" ht="14.25" customHeight="1" x14ac:dyDescent="0.3">
      <c r="A62" s="41" t="s">
        <v>24</v>
      </c>
      <c r="B62" s="37" t="s">
        <v>25</v>
      </c>
      <c r="C62" s="44" t="s">
        <v>146</v>
      </c>
      <c r="D62" s="44">
        <v>1000004043</v>
      </c>
      <c r="E62" s="44" t="s">
        <v>147</v>
      </c>
      <c r="F62" s="40">
        <v>45490</v>
      </c>
      <c r="G62" s="22" t="str">
        <f t="shared" si="0"/>
        <v>Targeted Dealer</v>
      </c>
      <c r="H62" s="22"/>
      <c r="I62" s="23">
        <v>39</v>
      </c>
      <c r="J62" s="23">
        <f t="shared" si="1"/>
        <v>39</v>
      </c>
      <c r="K62" s="24">
        <v>46</v>
      </c>
      <c r="L62" s="24">
        <f t="shared" si="2"/>
        <v>-7</v>
      </c>
      <c r="M62" s="24">
        <f t="shared" si="3"/>
        <v>117.94871794871794</v>
      </c>
      <c r="N62" s="25">
        <v>20</v>
      </c>
      <c r="O62" s="26" t="str">
        <f t="shared" si="4"/>
        <v>June</v>
      </c>
      <c r="P62" s="25">
        <f t="shared" si="5"/>
        <v>20</v>
      </c>
      <c r="Q62" s="27">
        <f t="shared" si="6"/>
        <v>26</v>
      </c>
      <c r="R62" s="26" t="b">
        <f t="shared" si="7"/>
        <v>0</v>
      </c>
      <c r="S62" s="28" t="str">
        <f t="shared" si="8"/>
        <v>GROWTH</v>
      </c>
      <c r="T62" s="24">
        <v>13</v>
      </c>
      <c r="U62" s="29" t="str">
        <f t="shared" si="9"/>
        <v>May</v>
      </c>
      <c r="V62" s="24">
        <f t="shared" si="10"/>
        <v>13</v>
      </c>
      <c r="W62" s="30">
        <f t="shared" si="11"/>
        <v>33</v>
      </c>
      <c r="X62" s="31" t="b">
        <f t="shared" si="12"/>
        <v>0</v>
      </c>
      <c r="Y62" s="32" t="str">
        <f t="shared" si="13"/>
        <v>GROWTH</v>
      </c>
      <c r="Z62" s="41">
        <v>0</v>
      </c>
      <c r="AA62" s="36"/>
      <c r="AB62" s="36" t="s">
        <v>24</v>
      </c>
      <c r="AC62" s="41" t="s">
        <v>24</v>
      </c>
      <c r="AD62" s="34"/>
      <c r="AE62" s="35">
        <f>IFERROR(INDEX([1]Last6M_AvgSales_Ref!$B$2:$B$12659,MATCH(D62,[1]Last6M_AvgSales_Ref!$A$2:$A$12659,0)),"")</f>
        <v>27.3333333333333</v>
      </c>
    </row>
    <row r="63" spans="1:31" ht="14.25" customHeight="1" x14ac:dyDescent="0.3">
      <c r="A63" s="41" t="s">
        <v>24</v>
      </c>
      <c r="B63" s="37" t="s">
        <v>28</v>
      </c>
      <c r="C63" s="44" t="s">
        <v>148</v>
      </c>
      <c r="D63" s="44">
        <v>1000004099</v>
      </c>
      <c r="E63" s="44" t="s">
        <v>149</v>
      </c>
      <c r="F63" s="40">
        <v>45532</v>
      </c>
      <c r="G63" s="22" t="str">
        <f t="shared" si="0"/>
        <v>Targeted Dealer</v>
      </c>
      <c r="H63" s="22"/>
      <c r="I63" s="23">
        <v>20</v>
      </c>
      <c r="J63" s="23">
        <f t="shared" si="1"/>
        <v>20</v>
      </c>
      <c r="K63" s="24">
        <v>20</v>
      </c>
      <c r="L63" s="24">
        <f t="shared" si="2"/>
        <v>0</v>
      </c>
      <c r="M63" s="24">
        <f t="shared" si="3"/>
        <v>100</v>
      </c>
      <c r="N63" s="25">
        <v>20</v>
      </c>
      <c r="O63" s="26" t="str">
        <f t="shared" si="4"/>
        <v>June</v>
      </c>
      <c r="P63" s="25">
        <f t="shared" si="5"/>
        <v>20</v>
      </c>
      <c r="Q63" s="27">
        <f t="shared" si="6"/>
        <v>0</v>
      </c>
      <c r="R63" s="26" t="b">
        <f t="shared" si="7"/>
        <v>0</v>
      </c>
      <c r="S63" s="28" t="str">
        <f t="shared" si="8"/>
        <v>GROWTH</v>
      </c>
      <c r="T63" s="24">
        <v>40</v>
      </c>
      <c r="U63" s="29" t="str">
        <f t="shared" si="9"/>
        <v>May</v>
      </c>
      <c r="V63" s="24">
        <f t="shared" si="10"/>
        <v>40</v>
      </c>
      <c r="W63" s="30">
        <f t="shared" si="11"/>
        <v>-20</v>
      </c>
      <c r="X63" s="31" t="b">
        <f t="shared" si="12"/>
        <v>0</v>
      </c>
      <c r="Y63" s="32" t="str">
        <f t="shared" si="13"/>
        <v>GROWTH</v>
      </c>
      <c r="Z63" s="41">
        <v>0</v>
      </c>
      <c r="AA63" s="36"/>
      <c r="AB63" s="36" t="s">
        <v>24</v>
      </c>
      <c r="AC63" s="41" t="s">
        <v>24</v>
      </c>
      <c r="AD63" s="34"/>
      <c r="AE63" s="35">
        <f>IFERROR(INDEX([1]Last6M_AvgSales_Ref!$B$2:$B$12659,MATCH(D63,[1]Last6M_AvgSales_Ref!$A$2:$A$12659,0)),"")</f>
        <v>21.1666666666667</v>
      </c>
    </row>
    <row r="64" spans="1:31" ht="14.25" customHeight="1" x14ac:dyDescent="0.3">
      <c r="A64" s="36" t="s">
        <v>24</v>
      </c>
      <c r="B64" s="38" t="s">
        <v>150</v>
      </c>
      <c r="C64" s="38" t="s">
        <v>151</v>
      </c>
      <c r="D64" s="38">
        <v>1000000618</v>
      </c>
      <c r="E64" s="39" t="s">
        <v>152</v>
      </c>
      <c r="F64" s="40">
        <v>41135</v>
      </c>
      <c r="G64" s="22" t="str">
        <f t="shared" si="0"/>
        <v>Targeted Dealer</v>
      </c>
      <c r="H64" s="22"/>
      <c r="I64" s="23">
        <v>580</v>
      </c>
      <c r="J64" s="23">
        <f t="shared" si="1"/>
        <v>580</v>
      </c>
      <c r="K64" s="24">
        <v>680</v>
      </c>
      <c r="L64" s="24">
        <f t="shared" si="2"/>
        <v>-100</v>
      </c>
      <c r="M64" s="24">
        <f t="shared" si="3"/>
        <v>117.24137931034483</v>
      </c>
      <c r="N64" s="25">
        <v>580</v>
      </c>
      <c r="O64" s="26" t="str">
        <f t="shared" si="4"/>
        <v>June</v>
      </c>
      <c r="P64" s="25">
        <f t="shared" si="5"/>
        <v>580</v>
      </c>
      <c r="Q64" s="27">
        <f t="shared" si="6"/>
        <v>100</v>
      </c>
      <c r="R64" s="26" t="b">
        <f t="shared" si="7"/>
        <v>0</v>
      </c>
      <c r="S64" s="28" t="str">
        <f t="shared" si="8"/>
        <v>GROWTH</v>
      </c>
      <c r="T64" s="24">
        <v>520</v>
      </c>
      <c r="U64" s="29" t="str">
        <f t="shared" si="9"/>
        <v>May</v>
      </c>
      <c r="V64" s="24">
        <f t="shared" si="10"/>
        <v>520</v>
      </c>
      <c r="W64" s="30">
        <f t="shared" si="11"/>
        <v>160</v>
      </c>
      <c r="X64" s="31" t="b">
        <f t="shared" si="12"/>
        <v>0</v>
      </c>
      <c r="Y64" s="32" t="str">
        <f t="shared" si="13"/>
        <v>GROWTH</v>
      </c>
      <c r="Z64" s="41">
        <v>0</v>
      </c>
      <c r="AA64" s="36"/>
      <c r="AB64" s="36" t="s">
        <v>24</v>
      </c>
      <c r="AC64" s="36" t="s">
        <v>24</v>
      </c>
      <c r="AD64" s="34"/>
      <c r="AE64" s="35">
        <f>IFERROR(INDEX([1]Last6M_AvgSales_Ref!$B$2:$B$12659,MATCH(D64,[1]Last6M_AvgSales_Ref!$A$2:$A$12659,0)),"")</f>
        <v>690</v>
      </c>
    </row>
    <row r="65" spans="1:31" ht="14.25" customHeight="1" x14ac:dyDescent="0.3">
      <c r="A65" s="36" t="s">
        <v>24</v>
      </c>
      <c r="B65" s="38" t="s">
        <v>150</v>
      </c>
      <c r="C65" s="38" t="s">
        <v>153</v>
      </c>
      <c r="D65" s="38">
        <v>1000000615</v>
      </c>
      <c r="E65" s="39" t="s">
        <v>154</v>
      </c>
      <c r="F65" s="40">
        <v>42044</v>
      </c>
      <c r="G65" s="22" t="str">
        <f t="shared" si="0"/>
        <v>Targeted Dealer</v>
      </c>
      <c r="H65" s="22"/>
      <c r="I65" s="23">
        <v>40</v>
      </c>
      <c r="J65" s="23">
        <f t="shared" si="1"/>
        <v>40</v>
      </c>
      <c r="K65" s="24">
        <v>20</v>
      </c>
      <c r="L65" s="24">
        <f t="shared" si="2"/>
        <v>20</v>
      </c>
      <c r="M65" s="24">
        <f t="shared" si="3"/>
        <v>50</v>
      </c>
      <c r="N65" s="25">
        <v>0</v>
      </c>
      <c r="O65" s="26" t="str">
        <f t="shared" si="4"/>
        <v>June</v>
      </c>
      <c r="P65" s="25">
        <f t="shared" si="5"/>
        <v>0</v>
      </c>
      <c r="Q65" s="27">
        <f t="shared" si="6"/>
        <v>20</v>
      </c>
      <c r="R65" s="26" t="b">
        <f t="shared" si="7"/>
        <v>0</v>
      </c>
      <c r="S65" s="28" t="b">
        <f t="shared" si="8"/>
        <v>0</v>
      </c>
      <c r="T65" s="24">
        <v>40</v>
      </c>
      <c r="U65" s="29" t="str">
        <f t="shared" si="9"/>
        <v>May</v>
      </c>
      <c r="V65" s="24">
        <f t="shared" si="10"/>
        <v>40</v>
      </c>
      <c r="W65" s="30">
        <f t="shared" si="11"/>
        <v>-20</v>
      </c>
      <c r="X65" s="31" t="b">
        <f t="shared" si="12"/>
        <v>0</v>
      </c>
      <c r="Y65" s="32" t="str">
        <f t="shared" si="13"/>
        <v>GROWTH</v>
      </c>
      <c r="Z65" s="41">
        <v>0</v>
      </c>
      <c r="AA65" s="36"/>
      <c r="AB65" s="36" t="s">
        <v>24</v>
      </c>
      <c r="AC65" s="36" t="s">
        <v>24</v>
      </c>
      <c r="AD65" s="34"/>
      <c r="AE65" s="35">
        <f>IFERROR(INDEX([1]Last6M_AvgSales_Ref!$B$2:$B$12659,MATCH(D65,[1]Last6M_AvgSales_Ref!$A$2:$A$12659,0)),"")</f>
        <v>16.6666666666667</v>
      </c>
    </row>
    <row r="66" spans="1:31" ht="14.25" customHeight="1" x14ac:dyDescent="0.3">
      <c r="A66" s="36" t="s">
        <v>24</v>
      </c>
      <c r="B66" s="38" t="s">
        <v>150</v>
      </c>
      <c r="C66" s="38" t="s">
        <v>155</v>
      </c>
      <c r="D66" s="38">
        <v>1000000616</v>
      </c>
      <c r="E66" s="39" t="s">
        <v>156</v>
      </c>
      <c r="F66" s="40">
        <v>42254</v>
      </c>
      <c r="G66" s="22" t="str">
        <f t="shared" si="0"/>
        <v>Targeted Dealer</v>
      </c>
      <c r="H66" s="22"/>
      <c r="I66" s="23">
        <v>40</v>
      </c>
      <c r="J66" s="23">
        <f t="shared" si="1"/>
        <v>40</v>
      </c>
      <c r="K66" s="24">
        <v>40</v>
      </c>
      <c r="L66" s="24">
        <f t="shared" si="2"/>
        <v>0</v>
      </c>
      <c r="M66" s="24">
        <f t="shared" si="3"/>
        <v>100</v>
      </c>
      <c r="N66" s="25">
        <v>20</v>
      </c>
      <c r="O66" s="26" t="str">
        <f t="shared" si="4"/>
        <v>June</v>
      </c>
      <c r="P66" s="25">
        <f t="shared" si="5"/>
        <v>20</v>
      </c>
      <c r="Q66" s="27">
        <f t="shared" si="6"/>
        <v>20</v>
      </c>
      <c r="R66" s="26" t="b">
        <f t="shared" si="7"/>
        <v>0</v>
      </c>
      <c r="S66" s="28" t="str">
        <f t="shared" si="8"/>
        <v>GROWTH</v>
      </c>
      <c r="T66" s="24">
        <v>20</v>
      </c>
      <c r="U66" s="29" t="str">
        <f t="shared" si="9"/>
        <v>May</v>
      </c>
      <c r="V66" s="24">
        <f t="shared" si="10"/>
        <v>20</v>
      </c>
      <c r="W66" s="30">
        <f t="shared" si="11"/>
        <v>20</v>
      </c>
      <c r="X66" s="31" t="b">
        <f t="shared" si="12"/>
        <v>0</v>
      </c>
      <c r="Y66" s="32" t="str">
        <f t="shared" si="13"/>
        <v>GROWTH</v>
      </c>
      <c r="Z66" s="41">
        <v>0</v>
      </c>
      <c r="AA66" s="36"/>
      <c r="AB66" s="36" t="s">
        <v>24</v>
      </c>
      <c r="AC66" s="36" t="s">
        <v>24</v>
      </c>
      <c r="AD66" s="34"/>
      <c r="AE66" s="35">
        <f>IFERROR(INDEX([1]Last6M_AvgSales_Ref!$B$2:$B$12659,MATCH(D66,[1]Last6M_AvgSales_Ref!$A$2:$A$12659,0)),"")</f>
        <v>33.3333333333333</v>
      </c>
    </row>
    <row r="67" spans="1:31" ht="14.25" customHeight="1" x14ac:dyDescent="0.3">
      <c r="A67" s="36" t="s">
        <v>24</v>
      </c>
      <c r="B67" s="38" t="s">
        <v>150</v>
      </c>
      <c r="C67" s="38" t="s">
        <v>157</v>
      </c>
      <c r="D67" s="38">
        <v>1000001007</v>
      </c>
      <c r="E67" s="39" t="s">
        <v>158</v>
      </c>
      <c r="F67" s="40">
        <v>43832</v>
      </c>
      <c r="G67" s="22" t="str">
        <f t="shared" ref="G67:G130" si="14">IF(I67&gt;0,"Targeted Dealer","-")</f>
        <v>Targeted Dealer</v>
      </c>
      <c r="H67" s="22"/>
      <c r="I67" s="23">
        <v>280</v>
      </c>
      <c r="J67" s="23">
        <f t="shared" ref="J67:J130" si="15">I67/$J$1*($J$1-$E$1)</f>
        <v>280</v>
      </c>
      <c r="K67" s="24">
        <v>340</v>
      </c>
      <c r="L67" s="24">
        <f t="shared" ref="L67:L130" si="16">I67-K67</f>
        <v>-60</v>
      </c>
      <c r="M67" s="24">
        <f t="shared" ref="M67:M130" si="17">IFERROR((K67/J67%),"-")</f>
        <v>121.42857142857143</v>
      </c>
      <c r="N67" s="25">
        <v>290</v>
      </c>
      <c r="O67" s="26" t="str">
        <f t="shared" ref="O67:O130" si="18">IF(F67&lt;=$P$2,"June","")</f>
        <v>June</v>
      </c>
      <c r="P67" s="25">
        <f t="shared" ref="P67:P130" si="19">N67</f>
        <v>290</v>
      </c>
      <c r="Q67" s="27">
        <f t="shared" ref="Q67:Q130" si="20">K67-P67</f>
        <v>50</v>
      </c>
      <c r="R67" s="26" t="b">
        <f t="shared" ref="R67:R130" si="21">IFERROR(IF(O67="May",(K67/P67-1))," ")</f>
        <v>0</v>
      </c>
      <c r="S67" s="28" t="str">
        <f t="shared" ref="S67:S130" si="22">IF(N67&gt;0,IF(O67="","-",IF(R67&lt;0%,"DEGROWTH","GROWTH")))</f>
        <v>GROWTH</v>
      </c>
      <c r="T67" s="24">
        <v>260</v>
      </c>
      <c r="U67" s="29" t="str">
        <f t="shared" ref="U67:U130" si="23">IF(F67&lt;=$V$2,"May","")</f>
        <v>May</v>
      </c>
      <c r="V67" s="24">
        <f t="shared" ref="V67:V130" si="24">T67</f>
        <v>260</v>
      </c>
      <c r="W67" s="30">
        <f t="shared" ref="W67:W130" si="25">K67-V67</f>
        <v>80</v>
      </c>
      <c r="X67" s="31" t="b">
        <f t="shared" ref="X67:X130" si="26">IFERROR(IF(U67="June",(K67/V67-1)),0)</f>
        <v>0</v>
      </c>
      <c r="Y67" s="32" t="str">
        <f t="shared" ref="Y67:Y130" si="27">IF(T67&gt;0,IF(U67="","-",IF(X67&lt;0%,"DEGROWTH","GROWTH")))</f>
        <v>GROWTH</v>
      </c>
      <c r="Z67" s="41">
        <v>0</v>
      </c>
      <c r="AA67" s="36"/>
      <c r="AB67" s="36" t="s">
        <v>24</v>
      </c>
      <c r="AC67" s="36" t="s">
        <v>24</v>
      </c>
      <c r="AD67" s="34"/>
      <c r="AE67" s="35">
        <f>IFERROR(INDEX([1]Last6M_AvgSales_Ref!$B$2:$B$12659,MATCH(D67,[1]Last6M_AvgSales_Ref!$A$2:$A$12659,0)),"")</f>
        <v>276.66666666666703</v>
      </c>
    </row>
    <row r="68" spans="1:31" ht="14.25" customHeight="1" x14ac:dyDescent="0.3">
      <c r="A68" s="36" t="s">
        <v>24</v>
      </c>
      <c r="B68" s="38" t="s">
        <v>150</v>
      </c>
      <c r="C68" s="38" t="s">
        <v>159</v>
      </c>
      <c r="D68" s="38">
        <v>1000001008</v>
      </c>
      <c r="E68" s="39" t="s">
        <v>160</v>
      </c>
      <c r="F68" s="40">
        <v>43832</v>
      </c>
      <c r="G68" s="22" t="str">
        <f t="shared" si="14"/>
        <v>Targeted Dealer</v>
      </c>
      <c r="H68" s="22"/>
      <c r="I68" s="23">
        <v>280</v>
      </c>
      <c r="J68" s="23">
        <f t="shared" si="15"/>
        <v>280</v>
      </c>
      <c r="K68" s="24">
        <v>375</v>
      </c>
      <c r="L68" s="24">
        <f t="shared" si="16"/>
        <v>-95</v>
      </c>
      <c r="M68" s="24">
        <f t="shared" si="17"/>
        <v>133.92857142857144</v>
      </c>
      <c r="N68" s="25">
        <v>322.5</v>
      </c>
      <c r="O68" s="26" t="str">
        <f t="shared" si="18"/>
        <v>June</v>
      </c>
      <c r="P68" s="25">
        <f t="shared" si="19"/>
        <v>322.5</v>
      </c>
      <c r="Q68" s="27">
        <f t="shared" si="20"/>
        <v>52.5</v>
      </c>
      <c r="R68" s="26" t="b">
        <f t="shared" si="21"/>
        <v>0</v>
      </c>
      <c r="S68" s="28" t="str">
        <f t="shared" si="22"/>
        <v>GROWTH</v>
      </c>
      <c r="T68" s="24">
        <v>205</v>
      </c>
      <c r="U68" s="29" t="str">
        <f t="shared" si="23"/>
        <v>May</v>
      </c>
      <c r="V68" s="24">
        <f t="shared" si="24"/>
        <v>205</v>
      </c>
      <c r="W68" s="30">
        <f t="shared" si="25"/>
        <v>170</v>
      </c>
      <c r="X68" s="31" t="b">
        <f t="shared" si="26"/>
        <v>0</v>
      </c>
      <c r="Y68" s="32" t="str">
        <f t="shared" si="27"/>
        <v>GROWTH</v>
      </c>
      <c r="Z68" s="41">
        <v>0</v>
      </c>
      <c r="AA68" s="36"/>
      <c r="AB68" s="36" t="s">
        <v>24</v>
      </c>
      <c r="AC68" s="36" t="s">
        <v>24</v>
      </c>
      <c r="AD68" s="34"/>
      <c r="AE68" s="35">
        <f>IFERROR(INDEX([1]Last6M_AvgSales_Ref!$B$2:$B$12659,MATCH(D68,[1]Last6M_AvgSales_Ref!$A$2:$A$12659,0)),"")</f>
        <v>353.33333333333297</v>
      </c>
    </row>
    <row r="69" spans="1:31" ht="14.25" customHeight="1" x14ac:dyDescent="0.3">
      <c r="A69" s="36" t="s">
        <v>24</v>
      </c>
      <c r="B69" s="38" t="s">
        <v>150</v>
      </c>
      <c r="C69" s="38" t="s">
        <v>161</v>
      </c>
      <c r="D69" s="38">
        <v>1000000652</v>
      </c>
      <c r="E69" s="39" t="s">
        <v>162</v>
      </c>
      <c r="F69" s="40">
        <v>43906</v>
      </c>
      <c r="G69" s="22" t="str">
        <f t="shared" si="14"/>
        <v>Targeted Dealer</v>
      </c>
      <c r="H69" s="22"/>
      <c r="I69" s="23">
        <v>40</v>
      </c>
      <c r="J69" s="23">
        <f t="shared" si="15"/>
        <v>40</v>
      </c>
      <c r="K69" s="24">
        <v>42</v>
      </c>
      <c r="L69" s="24">
        <f t="shared" si="16"/>
        <v>-2</v>
      </c>
      <c r="M69" s="24">
        <f t="shared" si="17"/>
        <v>105</v>
      </c>
      <c r="N69" s="25">
        <v>0</v>
      </c>
      <c r="O69" s="26" t="str">
        <f t="shared" si="18"/>
        <v>June</v>
      </c>
      <c r="P69" s="25">
        <f t="shared" si="19"/>
        <v>0</v>
      </c>
      <c r="Q69" s="27">
        <f t="shared" si="20"/>
        <v>42</v>
      </c>
      <c r="R69" s="26" t="b">
        <f t="shared" si="21"/>
        <v>0</v>
      </c>
      <c r="S69" s="28" t="b">
        <f t="shared" si="22"/>
        <v>0</v>
      </c>
      <c r="T69" s="24">
        <v>20</v>
      </c>
      <c r="U69" s="29" t="str">
        <f t="shared" si="23"/>
        <v>May</v>
      </c>
      <c r="V69" s="24">
        <f t="shared" si="24"/>
        <v>20</v>
      </c>
      <c r="W69" s="30">
        <f t="shared" si="25"/>
        <v>22</v>
      </c>
      <c r="X69" s="31" t="b">
        <f t="shared" si="26"/>
        <v>0</v>
      </c>
      <c r="Y69" s="32" t="str">
        <f t="shared" si="27"/>
        <v>GROWTH</v>
      </c>
      <c r="Z69" s="41">
        <v>0</v>
      </c>
      <c r="AA69" s="36"/>
      <c r="AB69" s="36" t="s">
        <v>24</v>
      </c>
      <c r="AC69" s="36" t="s">
        <v>24</v>
      </c>
      <c r="AD69" s="34"/>
      <c r="AE69" s="35">
        <f>IFERROR(INDEX([1]Last6M_AvgSales_Ref!$B$2:$B$12659,MATCH(D69,[1]Last6M_AvgSales_Ref!$A$2:$A$12659,0)),"")</f>
        <v>30.3333333333333</v>
      </c>
    </row>
    <row r="70" spans="1:31" ht="14.25" customHeight="1" x14ac:dyDescent="0.3">
      <c r="A70" s="36" t="s">
        <v>24</v>
      </c>
      <c r="B70" s="38" t="s">
        <v>150</v>
      </c>
      <c r="C70" s="38" t="s">
        <v>163</v>
      </c>
      <c r="D70" s="38">
        <v>1000001006</v>
      </c>
      <c r="E70" s="39" t="s">
        <v>164</v>
      </c>
      <c r="F70" s="40">
        <v>44459</v>
      </c>
      <c r="G70" s="22" t="str">
        <f t="shared" si="14"/>
        <v>Targeted Dealer</v>
      </c>
      <c r="H70" s="22"/>
      <c r="I70" s="23">
        <v>20</v>
      </c>
      <c r="J70" s="23">
        <f t="shared" si="15"/>
        <v>20</v>
      </c>
      <c r="K70" s="24">
        <v>20</v>
      </c>
      <c r="L70" s="24">
        <f t="shared" si="16"/>
        <v>0</v>
      </c>
      <c r="M70" s="24">
        <f t="shared" si="17"/>
        <v>100</v>
      </c>
      <c r="N70" s="25">
        <v>40</v>
      </c>
      <c r="O70" s="26" t="str">
        <f t="shared" si="18"/>
        <v>June</v>
      </c>
      <c r="P70" s="25">
        <f t="shared" si="19"/>
        <v>40</v>
      </c>
      <c r="Q70" s="27">
        <f t="shared" si="20"/>
        <v>-20</v>
      </c>
      <c r="R70" s="26" t="b">
        <f t="shared" si="21"/>
        <v>0</v>
      </c>
      <c r="S70" s="28" t="str">
        <f t="shared" si="22"/>
        <v>GROWTH</v>
      </c>
      <c r="T70" s="24">
        <v>44.5</v>
      </c>
      <c r="U70" s="29" t="str">
        <f t="shared" si="23"/>
        <v>May</v>
      </c>
      <c r="V70" s="24">
        <f t="shared" si="24"/>
        <v>44.5</v>
      </c>
      <c r="W70" s="30">
        <f t="shared" si="25"/>
        <v>-24.5</v>
      </c>
      <c r="X70" s="31" t="b">
        <f t="shared" si="26"/>
        <v>0</v>
      </c>
      <c r="Y70" s="32" t="str">
        <f t="shared" si="27"/>
        <v>GROWTH</v>
      </c>
      <c r="Z70" s="41">
        <v>0</v>
      </c>
      <c r="AA70" s="36"/>
      <c r="AB70" s="36" t="s">
        <v>24</v>
      </c>
      <c r="AC70" s="36" t="s">
        <v>24</v>
      </c>
      <c r="AD70" s="34"/>
      <c r="AE70" s="35">
        <f>IFERROR(INDEX([1]Last6M_AvgSales_Ref!$B$2:$B$12659,MATCH(D70,[1]Last6M_AvgSales_Ref!$A$2:$A$12659,0)),"")</f>
        <v>50</v>
      </c>
    </row>
    <row r="71" spans="1:31" ht="14.25" customHeight="1" x14ac:dyDescent="0.3">
      <c r="A71" s="36" t="s">
        <v>24</v>
      </c>
      <c r="B71" s="38" t="s">
        <v>150</v>
      </c>
      <c r="C71" s="38" t="s">
        <v>165</v>
      </c>
      <c r="D71" s="38">
        <v>1000002620</v>
      </c>
      <c r="E71" s="39" t="s">
        <v>166</v>
      </c>
      <c r="F71" s="40">
        <v>44628</v>
      </c>
      <c r="G71" s="22" t="str">
        <f t="shared" si="14"/>
        <v>Targeted Dealer</v>
      </c>
      <c r="H71" s="22"/>
      <c r="I71" s="23">
        <v>60</v>
      </c>
      <c r="J71" s="23">
        <f t="shared" si="15"/>
        <v>60</v>
      </c>
      <c r="K71" s="24">
        <v>125</v>
      </c>
      <c r="L71" s="24">
        <f t="shared" si="16"/>
        <v>-65</v>
      </c>
      <c r="M71" s="24">
        <f t="shared" si="17"/>
        <v>208.33333333333334</v>
      </c>
      <c r="N71" s="25">
        <v>75</v>
      </c>
      <c r="O71" s="26" t="str">
        <f t="shared" si="18"/>
        <v>June</v>
      </c>
      <c r="P71" s="25">
        <f t="shared" si="19"/>
        <v>75</v>
      </c>
      <c r="Q71" s="27">
        <f t="shared" si="20"/>
        <v>50</v>
      </c>
      <c r="R71" s="26" t="b">
        <f t="shared" si="21"/>
        <v>0</v>
      </c>
      <c r="S71" s="28" t="str">
        <f t="shared" si="22"/>
        <v>GROWTH</v>
      </c>
      <c r="T71" s="24">
        <v>50</v>
      </c>
      <c r="U71" s="29" t="str">
        <f t="shared" si="23"/>
        <v>May</v>
      </c>
      <c r="V71" s="24">
        <f t="shared" si="24"/>
        <v>50</v>
      </c>
      <c r="W71" s="30">
        <f t="shared" si="25"/>
        <v>75</v>
      </c>
      <c r="X71" s="31" t="b">
        <f t="shared" si="26"/>
        <v>0</v>
      </c>
      <c r="Y71" s="32" t="str">
        <f t="shared" si="27"/>
        <v>GROWTH</v>
      </c>
      <c r="Z71" s="41">
        <v>0</v>
      </c>
      <c r="AA71" s="36"/>
      <c r="AB71" s="36" t="s">
        <v>24</v>
      </c>
      <c r="AC71" s="36" t="s">
        <v>24</v>
      </c>
      <c r="AD71" s="34"/>
      <c r="AE71" s="35">
        <f>IFERROR(INDEX([1]Last6M_AvgSales_Ref!$B$2:$B$12659,MATCH(D71,[1]Last6M_AvgSales_Ref!$A$2:$A$12659,0)),"")</f>
        <v>104.166666666667</v>
      </c>
    </row>
    <row r="72" spans="1:31" ht="14.25" customHeight="1" x14ac:dyDescent="0.3">
      <c r="A72" s="36" t="s">
        <v>24</v>
      </c>
      <c r="B72" s="38" t="s">
        <v>150</v>
      </c>
      <c r="C72" s="38" t="s">
        <v>167</v>
      </c>
      <c r="D72" s="38">
        <v>1000003164</v>
      </c>
      <c r="E72" s="38" t="s">
        <v>168</v>
      </c>
      <c r="F72" s="40">
        <v>44916</v>
      </c>
      <c r="G72" s="22" t="str">
        <f t="shared" si="14"/>
        <v>Targeted Dealer</v>
      </c>
      <c r="H72" s="22"/>
      <c r="I72" s="23">
        <v>100</v>
      </c>
      <c r="J72" s="23">
        <f t="shared" si="15"/>
        <v>100</v>
      </c>
      <c r="K72" s="24">
        <v>128</v>
      </c>
      <c r="L72" s="24">
        <f t="shared" si="16"/>
        <v>-28</v>
      </c>
      <c r="M72" s="24">
        <f t="shared" si="17"/>
        <v>128</v>
      </c>
      <c r="N72" s="25">
        <v>128</v>
      </c>
      <c r="O72" s="26" t="str">
        <f t="shared" si="18"/>
        <v>June</v>
      </c>
      <c r="P72" s="25">
        <f t="shared" si="19"/>
        <v>128</v>
      </c>
      <c r="Q72" s="27">
        <f t="shared" si="20"/>
        <v>0</v>
      </c>
      <c r="R72" s="26" t="b">
        <f t="shared" si="21"/>
        <v>0</v>
      </c>
      <c r="S72" s="28" t="str">
        <f t="shared" si="22"/>
        <v>GROWTH</v>
      </c>
      <c r="T72" s="24">
        <v>128</v>
      </c>
      <c r="U72" s="29" t="str">
        <f t="shared" si="23"/>
        <v>May</v>
      </c>
      <c r="V72" s="24">
        <f t="shared" si="24"/>
        <v>128</v>
      </c>
      <c r="W72" s="30">
        <f t="shared" si="25"/>
        <v>0</v>
      </c>
      <c r="X72" s="31" t="b">
        <f t="shared" si="26"/>
        <v>0</v>
      </c>
      <c r="Y72" s="32" t="str">
        <f t="shared" si="27"/>
        <v>GROWTH</v>
      </c>
      <c r="Z72" s="41">
        <v>0</v>
      </c>
      <c r="AA72" s="36"/>
      <c r="AB72" s="36" t="s">
        <v>24</v>
      </c>
      <c r="AC72" s="36" t="s">
        <v>24</v>
      </c>
      <c r="AD72" s="34"/>
      <c r="AE72" s="35">
        <f>IFERROR(INDEX([1]Last6M_AvgSales_Ref!$B$2:$B$12659,MATCH(D72,[1]Last6M_AvgSales_Ref!$A$2:$A$12659,0)),"")</f>
        <v>135.333333333333</v>
      </c>
    </row>
    <row r="73" spans="1:31" ht="14.25" customHeight="1" x14ac:dyDescent="0.3">
      <c r="A73" s="41" t="s">
        <v>24</v>
      </c>
      <c r="B73" s="44" t="s">
        <v>169</v>
      </c>
      <c r="C73" s="44" t="s">
        <v>170</v>
      </c>
      <c r="D73" s="44">
        <v>1000004006</v>
      </c>
      <c r="E73" s="44" t="s">
        <v>171</v>
      </c>
      <c r="F73" s="40">
        <v>45456</v>
      </c>
      <c r="G73" s="22" t="str">
        <f t="shared" si="14"/>
        <v>Targeted Dealer</v>
      </c>
      <c r="H73" s="22"/>
      <c r="I73" s="23">
        <v>60</v>
      </c>
      <c r="J73" s="23">
        <f t="shared" si="15"/>
        <v>60</v>
      </c>
      <c r="K73" s="24">
        <v>80</v>
      </c>
      <c r="L73" s="24">
        <f t="shared" si="16"/>
        <v>-20</v>
      </c>
      <c r="M73" s="24">
        <f t="shared" si="17"/>
        <v>133.33333333333334</v>
      </c>
      <c r="N73" s="25">
        <v>0</v>
      </c>
      <c r="O73" s="26" t="str">
        <f t="shared" si="18"/>
        <v>June</v>
      </c>
      <c r="P73" s="25">
        <f t="shared" si="19"/>
        <v>0</v>
      </c>
      <c r="Q73" s="27">
        <f t="shared" si="20"/>
        <v>80</v>
      </c>
      <c r="R73" s="26" t="b">
        <f t="shared" si="21"/>
        <v>0</v>
      </c>
      <c r="S73" s="28" t="b">
        <f t="shared" si="22"/>
        <v>0</v>
      </c>
      <c r="T73" s="24">
        <v>10</v>
      </c>
      <c r="U73" s="29" t="str">
        <f t="shared" si="23"/>
        <v>May</v>
      </c>
      <c r="V73" s="24">
        <f t="shared" si="24"/>
        <v>10</v>
      </c>
      <c r="W73" s="30">
        <f t="shared" si="25"/>
        <v>70</v>
      </c>
      <c r="X73" s="31" t="b">
        <f t="shared" si="26"/>
        <v>0</v>
      </c>
      <c r="Y73" s="32" t="str">
        <f t="shared" si="27"/>
        <v>GROWTH</v>
      </c>
      <c r="Z73" s="41">
        <v>0</v>
      </c>
      <c r="AA73" s="36"/>
      <c r="AB73" s="36" t="s">
        <v>24</v>
      </c>
      <c r="AC73" s="41" t="s">
        <v>24</v>
      </c>
      <c r="AD73" s="34"/>
      <c r="AE73" s="35">
        <f>IFERROR(INDEX([1]Last6M_AvgSales_Ref!$B$2:$B$12659,MATCH(D73,[1]Last6M_AvgSales_Ref!$A$2:$A$12659,0)),"")</f>
        <v>43.3333333333333</v>
      </c>
    </row>
    <row r="74" spans="1:31" ht="14.25" customHeight="1" x14ac:dyDescent="0.3">
      <c r="A74" s="41" t="s">
        <v>24</v>
      </c>
      <c r="B74" s="44" t="s">
        <v>169</v>
      </c>
      <c r="C74" s="44" t="s">
        <v>172</v>
      </c>
      <c r="D74" s="46">
        <v>1000004090</v>
      </c>
      <c r="E74" s="46" t="s">
        <v>173</v>
      </c>
      <c r="F74" s="40">
        <v>45524</v>
      </c>
      <c r="G74" s="22" t="str">
        <f t="shared" si="14"/>
        <v>Targeted Dealer</v>
      </c>
      <c r="H74" s="22"/>
      <c r="I74" s="23">
        <v>40</v>
      </c>
      <c r="J74" s="23">
        <f t="shared" si="15"/>
        <v>40</v>
      </c>
      <c r="K74" s="24">
        <v>40</v>
      </c>
      <c r="L74" s="24">
        <f t="shared" si="16"/>
        <v>0</v>
      </c>
      <c r="M74" s="24">
        <f t="shared" si="17"/>
        <v>100</v>
      </c>
      <c r="N74" s="25">
        <v>60</v>
      </c>
      <c r="O74" s="26" t="str">
        <f t="shared" si="18"/>
        <v>June</v>
      </c>
      <c r="P74" s="25">
        <f t="shared" si="19"/>
        <v>60</v>
      </c>
      <c r="Q74" s="27">
        <f t="shared" si="20"/>
        <v>-20</v>
      </c>
      <c r="R74" s="26" t="b">
        <f t="shared" si="21"/>
        <v>0</v>
      </c>
      <c r="S74" s="28" t="str">
        <f t="shared" si="22"/>
        <v>GROWTH</v>
      </c>
      <c r="T74" s="24">
        <v>52</v>
      </c>
      <c r="U74" s="29" t="str">
        <f t="shared" si="23"/>
        <v>May</v>
      </c>
      <c r="V74" s="24">
        <f t="shared" si="24"/>
        <v>52</v>
      </c>
      <c r="W74" s="30">
        <f t="shared" si="25"/>
        <v>-12</v>
      </c>
      <c r="X74" s="31" t="b">
        <f t="shared" si="26"/>
        <v>0</v>
      </c>
      <c r="Y74" s="32" t="str">
        <f t="shared" si="27"/>
        <v>GROWTH</v>
      </c>
      <c r="Z74" s="41">
        <v>0</v>
      </c>
      <c r="AA74" s="36"/>
      <c r="AB74" s="36" t="s">
        <v>24</v>
      </c>
      <c r="AC74" s="41" t="s">
        <v>24</v>
      </c>
      <c r="AD74" s="34"/>
      <c r="AE74" s="35">
        <f>IFERROR(INDEX([1]Last6M_AvgSales_Ref!$B$2:$B$12659,MATCH(D74,[1]Last6M_AvgSales_Ref!$A$2:$A$12659,0)),"")</f>
        <v>50</v>
      </c>
    </row>
    <row r="75" spans="1:31" ht="14.25" customHeight="1" x14ac:dyDescent="0.3">
      <c r="A75" s="36" t="s">
        <v>24</v>
      </c>
      <c r="B75" s="37" t="s">
        <v>174</v>
      </c>
      <c r="C75" s="38" t="s">
        <v>175</v>
      </c>
      <c r="D75" s="38">
        <v>1000000744</v>
      </c>
      <c r="E75" s="39" t="s">
        <v>176</v>
      </c>
      <c r="F75" s="40">
        <v>38939</v>
      </c>
      <c r="G75" s="22" t="str">
        <f t="shared" si="14"/>
        <v>Targeted Dealer</v>
      </c>
      <c r="H75" s="22"/>
      <c r="I75" s="23">
        <v>230</v>
      </c>
      <c r="J75" s="23">
        <f t="shared" si="15"/>
        <v>230</v>
      </c>
      <c r="K75" s="24">
        <v>245</v>
      </c>
      <c r="L75" s="24">
        <f t="shared" si="16"/>
        <v>-15</v>
      </c>
      <c r="M75" s="24">
        <f t="shared" si="17"/>
        <v>106.5217391304348</v>
      </c>
      <c r="N75" s="25">
        <v>230</v>
      </c>
      <c r="O75" s="26" t="str">
        <f t="shared" si="18"/>
        <v>June</v>
      </c>
      <c r="P75" s="25">
        <f t="shared" si="19"/>
        <v>230</v>
      </c>
      <c r="Q75" s="27">
        <f t="shared" si="20"/>
        <v>15</v>
      </c>
      <c r="R75" s="26" t="b">
        <f t="shared" si="21"/>
        <v>0</v>
      </c>
      <c r="S75" s="28" t="str">
        <f t="shared" si="22"/>
        <v>GROWTH</v>
      </c>
      <c r="T75" s="24">
        <v>227.5</v>
      </c>
      <c r="U75" s="29" t="str">
        <f t="shared" si="23"/>
        <v>May</v>
      </c>
      <c r="V75" s="24">
        <f t="shared" si="24"/>
        <v>227.5</v>
      </c>
      <c r="W75" s="30">
        <f t="shared" si="25"/>
        <v>17.5</v>
      </c>
      <c r="X75" s="31" t="b">
        <f t="shared" si="26"/>
        <v>0</v>
      </c>
      <c r="Y75" s="32" t="str">
        <f t="shared" si="27"/>
        <v>GROWTH</v>
      </c>
      <c r="Z75" s="41">
        <v>0</v>
      </c>
      <c r="AA75" s="36"/>
      <c r="AB75" s="36" t="s">
        <v>24</v>
      </c>
      <c r="AC75" s="36" t="s">
        <v>24</v>
      </c>
      <c r="AD75" s="34"/>
      <c r="AE75" s="35">
        <f>IFERROR(INDEX([1]Last6M_AvgSales_Ref!$B$2:$B$12659,MATCH(D75,[1]Last6M_AvgSales_Ref!$A$2:$A$12659,0)),"")</f>
        <v>244.77500000000001</v>
      </c>
    </row>
    <row r="76" spans="1:31" ht="14.25" customHeight="1" x14ac:dyDescent="0.3">
      <c r="A76" s="36" t="s">
        <v>24</v>
      </c>
      <c r="B76" s="37" t="s">
        <v>177</v>
      </c>
      <c r="C76" s="38" t="s">
        <v>178</v>
      </c>
      <c r="D76" s="38">
        <v>1000000732</v>
      </c>
      <c r="E76" s="39" t="s">
        <v>179</v>
      </c>
      <c r="F76" s="40">
        <v>39057</v>
      </c>
      <c r="G76" s="22" t="str">
        <f t="shared" si="14"/>
        <v>Targeted Dealer</v>
      </c>
      <c r="H76" s="22"/>
      <c r="I76" s="23">
        <v>4400</v>
      </c>
      <c r="J76" s="23">
        <f t="shared" si="15"/>
        <v>4400</v>
      </c>
      <c r="K76" s="24">
        <v>5377.6</v>
      </c>
      <c r="L76" s="24">
        <f t="shared" si="16"/>
        <v>-977.60000000000036</v>
      </c>
      <c r="M76" s="24">
        <f t="shared" si="17"/>
        <v>122.21818181818183</v>
      </c>
      <c r="N76" s="25">
        <v>4254.5</v>
      </c>
      <c r="O76" s="26" t="str">
        <f t="shared" si="18"/>
        <v>June</v>
      </c>
      <c r="P76" s="25">
        <f t="shared" si="19"/>
        <v>4254.5</v>
      </c>
      <c r="Q76" s="27">
        <f t="shared" si="20"/>
        <v>1123.1000000000004</v>
      </c>
      <c r="R76" s="26" t="b">
        <f t="shared" si="21"/>
        <v>0</v>
      </c>
      <c r="S76" s="28" t="str">
        <f t="shared" si="22"/>
        <v>GROWTH</v>
      </c>
      <c r="T76" s="24">
        <v>4317.3500000000004</v>
      </c>
      <c r="U76" s="29" t="str">
        <f t="shared" si="23"/>
        <v>May</v>
      </c>
      <c r="V76" s="24">
        <f t="shared" si="24"/>
        <v>4317.3500000000004</v>
      </c>
      <c r="W76" s="30">
        <f t="shared" si="25"/>
        <v>1060.25</v>
      </c>
      <c r="X76" s="31" t="b">
        <f t="shared" si="26"/>
        <v>0</v>
      </c>
      <c r="Y76" s="32" t="str">
        <f t="shared" si="27"/>
        <v>GROWTH</v>
      </c>
      <c r="Z76" s="41">
        <v>0</v>
      </c>
      <c r="AA76" s="36"/>
      <c r="AB76" s="36" t="s">
        <v>24</v>
      </c>
      <c r="AC76" s="36" t="s">
        <v>24</v>
      </c>
      <c r="AD76" s="34"/>
      <c r="AE76" s="35">
        <f>IFERROR(INDEX([1]Last6M_AvgSales_Ref!$B$2:$B$12659,MATCH(D76,[1]Last6M_AvgSales_Ref!$A$2:$A$12659,0)),"")</f>
        <v>5011.8583333333299</v>
      </c>
    </row>
    <row r="77" spans="1:31" ht="14.25" customHeight="1" x14ac:dyDescent="0.3">
      <c r="A77" s="36" t="s">
        <v>24</v>
      </c>
      <c r="B77" s="37" t="s">
        <v>174</v>
      </c>
      <c r="C77" s="38" t="s">
        <v>180</v>
      </c>
      <c r="D77" s="38">
        <v>1000000729</v>
      </c>
      <c r="E77" s="39" t="s">
        <v>181</v>
      </c>
      <c r="F77" s="40">
        <v>39283</v>
      </c>
      <c r="G77" s="22" t="str">
        <f t="shared" si="14"/>
        <v>Targeted Dealer</v>
      </c>
      <c r="H77" s="22"/>
      <c r="I77" s="23">
        <v>20</v>
      </c>
      <c r="J77" s="23">
        <f t="shared" si="15"/>
        <v>20</v>
      </c>
      <c r="K77" s="24">
        <v>2</v>
      </c>
      <c r="L77" s="24">
        <f t="shared" si="16"/>
        <v>18</v>
      </c>
      <c r="M77" s="24">
        <f t="shared" si="17"/>
        <v>10</v>
      </c>
      <c r="N77" s="25">
        <v>8</v>
      </c>
      <c r="O77" s="26" t="str">
        <f t="shared" si="18"/>
        <v>June</v>
      </c>
      <c r="P77" s="25">
        <f t="shared" si="19"/>
        <v>8</v>
      </c>
      <c r="Q77" s="27">
        <f t="shared" si="20"/>
        <v>-6</v>
      </c>
      <c r="R77" s="26" t="b">
        <f t="shared" si="21"/>
        <v>0</v>
      </c>
      <c r="S77" s="28" t="str">
        <f t="shared" si="22"/>
        <v>GROWTH</v>
      </c>
      <c r="T77" s="24">
        <v>3.5</v>
      </c>
      <c r="U77" s="29" t="str">
        <f t="shared" si="23"/>
        <v>May</v>
      </c>
      <c r="V77" s="24">
        <f t="shared" si="24"/>
        <v>3.5</v>
      </c>
      <c r="W77" s="30">
        <f t="shared" si="25"/>
        <v>-1.5</v>
      </c>
      <c r="X77" s="31" t="b">
        <f t="shared" si="26"/>
        <v>0</v>
      </c>
      <c r="Y77" s="32" t="str">
        <f t="shared" si="27"/>
        <v>GROWTH</v>
      </c>
      <c r="Z77" s="41">
        <v>0</v>
      </c>
      <c r="AA77" s="36"/>
      <c r="AB77" s="36" t="s">
        <v>24</v>
      </c>
      <c r="AC77" s="36" t="s">
        <v>24</v>
      </c>
      <c r="AD77" s="34"/>
      <c r="AE77" s="35">
        <f>IFERROR(INDEX([1]Last6M_AvgSales_Ref!$B$2:$B$12659,MATCH(D77,[1]Last6M_AvgSales_Ref!$A$2:$A$12659,0)),"")</f>
        <v>9.75</v>
      </c>
    </row>
    <row r="78" spans="1:31" ht="14.25" customHeight="1" x14ac:dyDescent="0.3">
      <c r="A78" s="36" t="s">
        <v>24</v>
      </c>
      <c r="B78" s="37" t="s">
        <v>177</v>
      </c>
      <c r="C78" s="38" t="s">
        <v>182</v>
      </c>
      <c r="D78" s="38">
        <v>1000000737</v>
      </c>
      <c r="E78" s="39" t="s">
        <v>183</v>
      </c>
      <c r="F78" s="40">
        <v>39746</v>
      </c>
      <c r="G78" s="22" t="str">
        <f t="shared" si="14"/>
        <v>Targeted Dealer</v>
      </c>
      <c r="H78" s="22"/>
      <c r="I78" s="23">
        <v>1070</v>
      </c>
      <c r="J78" s="23">
        <f t="shared" si="15"/>
        <v>1070</v>
      </c>
      <c r="K78" s="24">
        <v>1335</v>
      </c>
      <c r="L78" s="24">
        <f t="shared" si="16"/>
        <v>-265</v>
      </c>
      <c r="M78" s="24">
        <f t="shared" si="17"/>
        <v>124.76635514018692</v>
      </c>
      <c r="N78" s="25">
        <v>1175</v>
      </c>
      <c r="O78" s="26" t="str">
        <f t="shared" si="18"/>
        <v>June</v>
      </c>
      <c r="P78" s="25">
        <f t="shared" si="19"/>
        <v>1175</v>
      </c>
      <c r="Q78" s="27">
        <f t="shared" si="20"/>
        <v>160</v>
      </c>
      <c r="R78" s="26" t="b">
        <f t="shared" si="21"/>
        <v>0</v>
      </c>
      <c r="S78" s="28" t="str">
        <f t="shared" si="22"/>
        <v>GROWTH</v>
      </c>
      <c r="T78" s="24">
        <v>1035</v>
      </c>
      <c r="U78" s="29" t="str">
        <f t="shared" si="23"/>
        <v>May</v>
      </c>
      <c r="V78" s="24">
        <f t="shared" si="24"/>
        <v>1035</v>
      </c>
      <c r="W78" s="30">
        <f t="shared" si="25"/>
        <v>300</v>
      </c>
      <c r="X78" s="31" t="b">
        <f t="shared" si="26"/>
        <v>0</v>
      </c>
      <c r="Y78" s="32" t="str">
        <f t="shared" si="27"/>
        <v>GROWTH</v>
      </c>
      <c r="Z78" s="41">
        <v>0</v>
      </c>
      <c r="AA78" s="36"/>
      <c r="AB78" s="36" t="s">
        <v>24</v>
      </c>
      <c r="AC78" s="36" t="s">
        <v>24</v>
      </c>
      <c r="AD78" s="34"/>
      <c r="AE78" s="35">
        <f>IFERROR(INDEX([1]Last6M_AvgSales_Ref!$B$2:$B$12659,MATCH(D78,[1]Last6M_AvgSales_Ref!$A$2:$A$12659,0)),"")</f>
        <v>1249.05</v>
      </c>
    </row>
    <row r="79" spans="1:31" ht="14.25" customHeight="1" x14ac:dyDescent="0.3">
      <c r="A79" s="36" t="s">
        <v>24</v>
      </c>
      <c r="B79" s="37" t="s">
        <v>174</v>
      </c>
      <c r="C79" s="38" t="s">
        <v>184</v>
      </c>
      <c r="D79" s="38">
        <v>1000000733</v>
      </c>
      <c r="E79" s="39" t="s">
        <v>185</v>
      </c>
      <c r="F79" s="40">
        <v>39996</v>
      </c>
      <c r="G79" s="22" t="str">
        <f t="shared" si="14"/>
        <v>Targeted Dealer</v>
      </c>
      <c r="H79" s="22"/>
      <c r="I79" s="23">
        <v>170</v>
      </c>
      <c r="J79" s="23">
        <f t="shared" si="15"/>
        <v>170</v>
      </c>
      <c r="K79" s="24">
        <v>184.25</v>
      </c>
      <c r="L79" s="24">
        <f t="shared" si="16"/>
        <v>-14.25</v>
      </c>
      <c r="M79" s="24">
        <f t="shared" si="17"/>
        <v>108.38235294117648</v>
      </c>
      <c r="N79" s="25">
        <v>65</v>
      </c>
      <c r="O79" s="26" t="str">
        <f t="shared" si="18"/>
        <v>June</v>
      </c>
      <c r="P79" s="25">
        <f t="shared" si="19"/>
        <v>65</v>
      </c>
      <c r="Q79" s="27">
        <f t="shared" si="20"/>
        <v>119.25</v>
      </c>
      <c r="R79" s="26" t="b">
        <f t="shared" si="21"/>
        <v>0</v>
      </c>
      <c r="S79" s="28" t="str">
        <f t="shared" si="22"/>
        <v>GROWTH</v>
      </c>
      <c r="T79" s="24">
        <v>168</v>
      </c>
      <c r="U79" s="29" t="str">
        <f t="shared" si="23"/>
        <v>May</v>
      </c>
      <c r="V79" s="24">
        <f t="shared" si="24"/>
        <v>168</v>
      </c>
      <c r="W79" s="30">
        <f t="shared" si="25"/>
        <v>16.25</v>
      </c>
      <c r="X79" s="31" t="b">
        <f t="shared" si="26"/>
        <v>0</v>
      </c>
      <c r="Y79" s="32" t="str">
        <f t="shared" si="27"/>
        <v>GROWTH</v>
      </c>
      <c r="Z79" s="41">
        <v>0</v>
      </c>
      <c r="AA79" s="36"/>
      <c r="AB79" s="36" t="s">
        <v>24</v>
      </c>
      <c r="AC79" s="36" t="s">
        <v>24</v>
      </c>
      <c r="AD79" s="34"/>
      <c r="AE79" s="35">
        <f>IFERROR(INDEX([1]Last6M_AvgSales_Ref!$B$2:$B$12659,MATCH(D79,[1]Last6M_AvgSales_Ref!$A$2:$A$12659,0)),"")</f>
        <v>103.041666666667</v>
      </c>
    </row>
    <row r="80" spans="1:31" ht="14.25" customHeight="1" x14ac:dyDescent="0.3">
      <c r="A80" s="36" t="s">
        <v>24</v>
      </c>
      <c r="B80" s="37" t="s">
        <v>174</v>
      </c>
      <c r="C80" s="38" t="s">
        <v>186</v>
      </c>
      <c r="D80" s="38">
        <v>1000000745</v>
      </c>
      <c r="E80" s="39" t="s">
        <v>187</v>
      </c>
      <c r="F80" s="40">
        <v>40655</v>
      </c>
      <c r="G80" s="22" t="str">
        <f t="shared" si="14"/>
        <v>Targeted Dealer</v>
      </c>
      <c r="H80" s="22"/>
      <c r="I80" s="23">
        <v>30</v>
      </c>
      <c r="J80" s="23">
        <f t="shared" si="15"/>
        <v>30</v>
      </c>
      <c r="K80" s="24">
        <v>39</v>
      </c>
      <c r="L80" s="24">
        <f t="shared" si="16"/>
        <v>-9</v>
      </c>
      <c r="M80" s="24">
        <f t="shared" si="17"/>
        <v>130</v>
      </c>
      <c r="N80" s="25">
        <v>33.5</v>
      </c>
      <c r="O80" s="26" t="str">
        <f t="shared" si="18"/>
        <v>June</v>
      </c>
      <c r="P80" s="25">
        <f t="shared" si="19"/>
        <v>33.5</v>
      </c>
      <c r="Q80" s="27">
        <f t="shared" si="20"/>
        <v>5.5</v>
      </c>
      <c r="R80" s="26" t="b">
        <f t="shared" si="21"/>
        <v>0</v>
      </c>
      <c r="S80" s="28" t="str">
        <f t="shared" si="22"/>
        <v>GROWTH</v>
      </c>
      <c r="T80" s="24">
        <v>20</v>
      </c>
      <c r="U80" s="29" t="str">
        <f t="shared" si="23"/>
        <v>May</v>
      </c>
      <c r="V80" s="24">
        <f t="shared" si="24"/>
        <v>20</v>
      </c>
      <c r="W80" s="30">
        <f t="shared" si="25"/>
        <v>19</v>
      </c>
      <c r="X80" s="31" t="b">
        <f t="shared" si="26"/>
        <v>0</v>
      </c>
      <c r="Y80" s="32" t="str">
        <f t="shared" si="27"/>
        <v>GROWTH</v>
      </c>
      <c r="Z80" s="41">
        <v>0</v>
      </c>
      <c r="AA80" s="36"/>
      <c r="AB80" s="36" t="s">
        <v>24</v>
      </c>
      <c r="AC80" s="36" t="s">
        <v>24</v>
      </c>
      <c r="AD80" s="34"/>
      <c r="AE80" s="35">
        <f>IFERROR(INDEX([1]Last6M_AvgSales_Ref!$B$2:$B$12659,MATCH(D80,[1]Last6M_AvgSales_Ref!$A$2:$A$12659,0)),"")</f>
        <v>43.4166666666667</v>
      </c>
    </row>
    <row r="81" spans="1:31" ht="14.25" customHeight="1" x14ac:dyDescent="0.3">
      <c r="A81" s="36" t="s">
        <v>24</v>
      </c>
      <c r="B81" s="37" t="s">
        <v>174</v>
      </c>
      <c r="C81" s="38" t="s">
        <v>188</v>
      </c>
      <c r="D81" s="38">
        <v>1000000740</v>
      </c>
      <c r="E81" s="39" t="s">
        <v>189</v>
      </c>
      <c r="F81" s="40">
        <v>40669</v>
      </c>
      <c r="G81" s="22" t="str">
        <f t="shared" si="14"/>
        <v>Targeted Dealer</v>
      </c>
      <c r="H81" s="22"/>
      <c r="I81" s="23">
        <v>65</v>
      </c>
      <c r="J81" s="23">
        <f t="shared" si="15"/>
        <v>65</v>
      </c>
      <c r="K81" s="24">
        <v>40</v>
      </c>
      <c r="L81" s="24">
        <f t="shared" si="16"/>
        <v>25</v>
      </c>
      <c r="M81" s="24">
        <f t="shared" si="17"/>
        <v>61.538461538461533</v>
      </c>
      <c r="N81" s="25">
        <v>35</v>
      </c>
      <c r="O81" s="26" t="str">
        <f t="shared" si="18"/>
        <v>June</v>
      </c>
      <c r="P81" s="25">
        <f t="shared" si="19"/>
        <v>35</v>
      </c>
      <c r="Q81" s="27">
        <f t="shared" si="20"/>
        <v>5</v>
      </c>
      <c r="R81" s="26" t="b">
        <f t="shared" si="21"/>
        <v>0</v>
      </c>
      <c r="S81" s="28" t="str">
        <f t="shared" si="22"/>
        <v>GROWTH</v>
      </c>
      <c r="T81" s="24">
        <v>71</v>
      </c>
      <c r="U81" s="29" t="str">
        <f t="shared" si="23"/>
        <v>May</v>
      </c>
      <c r="V81" s="24">
        <f t="shared" si="24"/>
        <v>71</v>
      </c>
      <c r="W81" s="30">
        <f t="shared" si="25"/>
        <v>-31</v>
      </c>
      <c r="X81" s="31" t="b">
        <f t="shared" si="26"/>
        <v>0</v>
      </c>
      <c r="Y81" s="32" t="str">
        <f t="shared" si="27"/>
        <v>GROWTH</v>
      </c>
      <c r="Z81" s="41">
        <v>0</v>
      </c>
      <c r="AA81" s="36"/>
      <c r="AB81" s="36" t="s">
        <v>24</v>
      </c>
      <c r="AC81" s="36" t="s">
        <v>24</v>
      </c>
      <c r="AD81" s="34"/>
      <c r="AE81" s="35">
        <f>IFERROR(INDEX([1]Last6M_AvgSales_Ref!$B$2:$B$12659,MATCH(D81,[1]Last6M_AvgSales_Ref!$A$2:$A$12659,0)),"")</f>
        <v>65.375</v>
      </c>
    </row>
    <row r="82" spans="1:31" ht="14.25" customHeight="1" x14ac:dyDescent="0.3">
      <c r="A82" s="36" t="s">
        <v>24</v>
      </c>
      <c r="B82" s="37" t="s">
        <v>177</v>
      </c>
      <c r="C82" s="38" t="s">
        <v>190</v>
      </c>
      <c r="D82" s="38">
        <v>1000000722</v>
      </c>
      <c r="E82" s="39" t="s">
        <v>191</v>
      </c>
      <c r="F82" s="40">
        <v>41212</v>
      </c>
      <c r="G82" s="22" t="str">
        <f t="shared" si="14"/>
        <v>Targeted Dealer</v>
      </c>
      <c r="H82" s="22"/>
      <c r="I82" s="23">
        <v>160</v>
      </c>
      <c r="J82" s="23">
        <f t="shared" si="15"/>
        <v>160</v>
      </c>
      <c r="K82" s="24">
        <v>170</v>
      </c>
      <c r="L82" s="24">
        <f t="shared" si="16"/>
        <v>-10</v>
      </c>
      <c r="M82" s="24">
        <f t="shared" si="17"/>
        <v>106.25</v>
      </c>
      <c r="N82" s="25">
        <v>125</v>
      </c>
      <c r="O82" s="26" t="str">
        <f t="shared" si="18"/>
        <v>June</v>
      </c>
      <c r="P82" s="25">
        <f t="shared" si="19"/>
        <v>125</v>
      </c>
      <c r="Q82" s="27">
        <f t="shared" si="20"/>
        <v>45</v>
      </c>
      <c r="R82" s="26" t="b">
        <f t="shared" si="21"/>
        <v>0</v>
      </c>
      <c r="S82" s="28" t="str">
        <f t="shared" si="22"/>
        <v>GROWTH</v>
      </c>
      <c r="T82" s="24">
        <v>170</v>
      </c>
      <c r="U82" s="29" t="str">
        <f t="shared" si="23"/>
        <v>May</v>
      </c>
      <c r="V82" s="24">
        <f t="shared" si="24"/>
        <v>170</v>
      </c>
      <c r="W82" s="30">
        <f t="shared" si="25"/>
        <v>0</v>
      </c>
      <c r="X82" s="31" t="b">
        <f t="shared" si="26"/>
        <v>0</v>
      </c>
      <c r="Y82" s="32" t="str">
        <f t="shared" si="27"/>
        <v>GROWTH</v>
      </c>
      <c r="Z82" s="41">
        <v>0</v>
      </c>
      <c r="AA82" s="36"/>
      <c r="AB82" s="36" t="s">
        <v>24</v>
      </c>
      <c r="AC82" s="36" t="s">
        <v>24</v>
      </c>
      <c r="AD82" s="34"/>
      <c r="AE82" s="35">
        <f>IFERROR(INDEX([1]Last6M_AvgSales_Ref!$B$2:$B$12659,MATCH(D82,[1]Last6M_AvgSales_Ref!$A$2:$A$12659,0)),"")</f>
        <v>165</v>
      </c>
    </row>
    <row r="83" spans="1:31" ht="14.25" customHeight="1" x14ac:dyDescent="0.3">
      <c r="A83" s="36" t="s">
        <v>24</v>
      </c>
      <c r="B83" s="37" t="s">
        <v>174</v>
      </c>
      <c r="C83" s="38" t="s">
        <v>192</v>
      </c>
      <c r="D83" s="38">
        <v>1000000735</v>
      </c>
      <c r="E83" s="39" t="s">
        <v>193</v>
      </c>
      <c r="F83" s="40">
        <v>41372</v>
      </c>
      <c r="G83" s="22" t="str">
        <f t="shared" si="14"/>
        <v>Targeted Dealer</v>
      </c>
      <c r="H83" s="22"/>
      <c r="I83" s="23">
        <v>400</v>
      </c>
      <c r="J83" s="23">
        <f t="shared" si="15"/>
        <v>400</v>
      </c>
      <c r="K83" s="24">
        <v>480</v>
      </c>
      <c r="L83" s="24">
        <f t="shared" si="16"/>
        <v>-80</v>
      </c>
      <c r="M83" s="24">
        <f t="shared" si="17"/>
        <v>120</v>
      </c>
      <c r="N83" s="25">
        <v>408.9</v>
      </c>
      <c r="O83" s="26" t="str">
        <f t="shared" si="18"/>
        <v>June</v>
      </c>
      <c r="P83" s="25">
        <f t="shared" si="19"/>
        <v>408.9</v>
      </c>
      <c r="Q83" s="27">
        <f t="shared" si="20"/>
        <v>71.100000000000023</v>
      </c>
      <c r="R83" s="26" t="b">
        <f t="shared" si="21"/>
        <v>0</v>
      </c>
      <c r="S83" s="28" t="str">
        <f t="shared" si="22"/>
        <v>GROWTH</v>
      </c>
      <c r="T83" s="24">
        <v>260</v>
      </c>
      <c r="U83" s="29" t="str">
        <f t="shared" si="23"/>
        <v>May</v>
      </c>
      <c r="V83" s="24">
        <f t="shared" si="24"/>
        <v>260</v>
      </c>
      <c r="W83" s="30">
        <f t="shared" si="25"/>
        <v>220</v>
      </c>
      <c r="X83" s="31" t="b">
        <f t="shared" si="26"/>
        <v>0</v>
      </c>
      <c r="Y83" s="32" t="str">
        <f t="shared" si="27"/>
        <v>GROWTH</v>
      </c>
      <c r="Z83" s="41">
        <v>0</v>
      </c>
      <c r="AA83" s="36"/>
      <c r="AB83" s="36" t="s">
        <v>24</v>
      </c>
      <c r="AC83" s="36" t="s">
        <v>24</v>
      </c>
      <c r="AD83" s="34"/>
      <c r="AE83" s="35">
        <f>IFERROR(INDEX([1]Last6M_AvgSales_Ref!$B$2:$B$12659,MATCH(D83,[1]Last6M_AvgSales_Ref!$A$2:$A$12659,0)),"")</f>
        <v>516.08333333333303</v>
      </c>
    </row>
    <row r="84" spans="1:31" ht="14.25" customHeight="1" x14ac:dyDescent="0.3">
      <c r="A84" s="36" t="s">
        <v>24</v>
      </c>
      <c r="B84" s="37" t="s">
        <v>177</v>
      </c>
      <c r="C84" s="38" t="s">
        <v>194</v>
      </c>
      <c r="D84" s="38">
        <v>1000000728</v>
      </c>
      <c r="E84" s="39" t="s">
        <v>195</v>
      </c>
      <c r="F84" s="40">
        <v>41470</v>
      </c>
      <c r="G84" s="22" t="str">
        <f t="shared" si="14"/>
        <v>Targeted Dealer</v>
      </c>
      <c r="H84" s="22"/>
      <c r="I84" s="23">
        <v>40</v>
      </c>
      <c r="J84" s="23">
        <f t="shared" si="15"/>
        <v>40</v>
      </c>
      <c r="K84" s="24">
        <v>40</v>
      </c>
      <c r="L84" s="24">
        <f t="shared" si="16"/>
        <v>0</v>
      </c>
      <c r="M84" s="24">
        <f t="shared" si="17"/>
        <v>100</v>
      </c>
      <c r="N84" s="25">
        <v>40</v>
      </c>
      <c r="O84" s="26" t="str">
        <f t="shared" si="18"/>
        <v>June</v>
      </c>
      <c r="P84" s="25">
        <f t="shared" si="19"/>
        <v>40</v>
      </c>
      <c r="Q84" s="27">
        <f t="shared" si="20"/>
        <v>0</v>
      </c>
      <c r="R84" s="26" t="b">
        <f t="shared" si="21"/>
        <v>0</v>
      </c>
      <c r="S84" s="28" t="str">
        <f t="shared" si="22"/>
        <v>GROWTH</v>
      </c>
      <c r="T84" s="24">
        <v>40</v>
      </c>
      <c r="U84" s="29" t="str">
        <f t="shared" si="23"/>
        <v>May</v>
      </c>
      <c r="V84" s="24">
        <f t="shared" si="24"/>
        <v>40</v>
      </c>
      <c r="W84" s="30">
        <f t="shared" si="25"/>
        <v>0</v>
      </c>
      <c r="X84" s="31" t="b">
        <f t="shared" si="26"/>
        <v>0</v>
      </c>
      <c r="Y84" s="32" t="str">
        <f t="shared" si="27"/>
        <v>GROWTH</v>
      </c>
      <c r="Z84" s="41">
        <v>0</v>
      </c>
      <c r="AA84" s="36"/>
      <c r="AB84" s="36" t="s">
        <v>24</v>
      </c>
      <c r="AC84" s="36" t="s">
        <v>24</v>
      </c>
      <c r="AD84" s="34"/>
      <c r="AE84" s="35">
        <f>IFERROR(INDEX([1]Last6M_AvgSales_Ref!$B$2:$B$12659,MATCH(D84,[1]Last6M_AvgSales_Ref!$A$2:$A$12659,0)),"")</f>
        <v>27.9166666666667</v>
      </c>
    </row>
    <row r="85" spans="1:31" ht="14.25" customHeight="1" x14ac:dyDescent="0.3">
      <c r="A85" s="36" t="s">
        <v>24</v>
      </c>
      <c r="B85" s="37" t="s">
        <v>174</v>
      </c>
      <c r="C85" s="38" t="s">
        <v>196</v>
      </c>
      <c r="D85" s="38">
        <v>1000000742</v>
      </c>
      <c r="E85" s="39" t="s">
        <v>197</v>
      </c>
      <c r="F85" s="40">
        <v>41505</v>
      </c>
      <c r="G85" s="22" t="str">
        <f t="shared" si="14"/>
        <v>Targeted Dealer</v>
      </c>
      <c r="H85" s="22"/>
      <c r="I85" s="23">
        <v>630</v>
      </c>
      <c r="J85" s="23">
        <f t="shared" si="15"/>
        <v>630</v>
      </c>
      <c r="K85" s="24">
        <v>562</v>
      </c>
      <c r="L85" s="24">
        <f t="shared" si="16"/>
        <v>68</v>
      </c>
      <c r="M85" s="24">
        <f t="shared" si="17"/>
        <v>89.206349206349202</v>
      </c>
      <c r="N85" s="25">
        <v>474</v>
      </c>
      <c r="O85" s="26" t="str">
        <f t="shared" si="18"/>
        <v>June</v>
      </c>
      <c r="P85" s="25">
        <f t="shared" si="19"/>
        <v>474</v>
      </c>
      <c r="Q85" s="27">
        <f t="shared" si="20"/>
        <v>88</v>
      </c>
      <c r="R85" s="26" t="b">
        <f t="shared" si="21"/>
        <v>0</v>
      </c>
      <c r="S85" s="28" t="str">
        <f t="shared" si="22"/>
        <v>GROWTH</v>
      </c>
      <c r="T85" s="24">
        <v>578.75</v>
      </c>
      <c r="U85" s="29" t="str">
        <f t="shared" si="23"/>
        <v>May</v>
      </c>
      <c r="V85" s="24">
        <f t="shared" si="24"/>
        <v>578.75</v>
      </c>
      <c r="W85" s="30">
        <f t="shared" si="25"/>
        <v>-16.75</v>
      </c>
      <c r="X85" s="31" t="b">
        <f t="shared" si="26"/>
        <v>0</v>
      </c>
      <c r="Y85" s="32" t="str">
        <f t="shared" si="27"/>
        <v>GROWTH</v>
      </c>
      <c r="Z85" s="41">
        <v>0</v>
      </c>
      <c r="AA85" s="36"/>
      <c r="AB85" s="36" t="s">
        <v>24</v>
      </c>
      <c r="AC85" s="36" t="s">
        <v>24</v>
      </c>
      <c r="AD85" s="34"/>
      <c r="AE85" s="35">
        <f>IFERROR(INDEX([1]Last6M_AvgSales_Ref!$B$2:$B$12659,MATCH(D85,[1]Last6M_AvgSales_Ref!$A$2:$A$12659,0)),"")</f>
        <v>731.97500000000002</v>
      </c>
    </row>
    <row r="86" spans="1:31" ht="14.25" customHeight="1" x14ac:dyDescent="0.3">
      <c r="A86" s="36" t="s">
        <v>24</v>
      </c>
      <c r="B86" s="37" t="s">
        <v>177</v>
      </c>
      <c r="C86" s="38" t="s">
        <v>198</v>
      </c>
      <c r="D86" s="38">
        <v>1000000726</v>
      </c>
      <c r="E86" s="39" t="s">
        <v>199</v>
      </c>
      <c r="F86" s="40">
        <v>41701</v>
      </c>
      <c r="G86" s="22" t="str">
        <f t="shared" si="14"/>
        <v>Targeted Dealer</v>
      </c>
      <c r="H86" s="22"/>
      <c r="I86" s="23">
        <v>100</v>
      </c>
      <c r="J86" s="23">
        <f t="shared" si="15"/>
        <v>100</v>
      </c>
      <c r="K86" s="24">
        <v>95</v>
      </c>
      <c r="L86" s="24">
        <f t="shared" si="16"/>
        <v>5</v>
      </c>
      <c r="M86" s="24">
        <f t="shared" si="17"/>
        <v>95</v>
      </c>
      <c r="N86" s="25">
        <v>80</v>
      </c>
      <c r="O86" s="26" t="str">
        <f t="shared" si="18"/>
        <v>June</v>
      </c>
      <c r="P86" s="25">
        <f t="shared" si="19"/>
        <v>80</v>
      </c>
      <c r="Q86" s="27">
        <f t="shared" si="20"/>
        <v>15</v>
      </c>
      <c r="R86" s="26" t="b">
        <f t="shared" si="21"/>
        <v>0</v>
      </c>
      <c r="S86" s="28" t="str">
        <f t="shared" si="22"/>
        <v>GROWTH</v>
      </c>
      <c r="T86" s="24">
        <v>80</v>
      </c>
      <c r="U86" s="29" t="str">
        <f t="shared" si="23"/>
        <v>May</v>
      </c>
      <c r="V86" s="24">
        <f t="shared" si="24"/>
        <v>80</v>
      </c>
      <c r="W86" s="30">
        <f t="shared" si="25"/>
        <v>15</v>
      </c>
      <c r="X86" s="31" t="b">
        <f t="shared" si="26"/>
        <v>0</v>
      </c>
      <c r="Y86" s="32" t="str">
        <f t="shared" si="27"/>
        <v>GROWTH</v>
      </c>
      <c r="Z86" s="41">
        <v>0</v>
      </c>
      <c r="AA86" s="36"/>
      <c r="AB86" s="36" t="s">
        <v>24</v>
      </c>
      <c r="AC86" s="36" t="s">
        <v>24</v>
      </c>
      <c r="AD86" s="34"/>
      <c r="AE86" s="35">
        <f>IFERROR(INDEX([1]Last6M_AvgSales_Ref!$B$2:$B$12659,MATCH(D86,[1]Last6M_AvgSales_Ref!$A$2:$A$12659,0)),"")</f>
        <v>110.833333333333</v>
      </c>
    </row>
    <row r="87" spans="1:31" ht="14.25" customHeight="1" x14ac:dyDescent="0.3">
      <c r="A87" s="36" t="s">
        <v>24</v>
      </c>
      <c r="B87" s="37" t="s">
        <v>174</v>
      </c>
      <c r="C87" s="38" t="s">
        <v>200</v>
      </c>
      <c r="D87" s="38">
        <v>1000000746</v>
      </c>
      <c r="E87" s="39" t="s">
        <v>201</v>
      </c>
      <c r="F87" s="40">
        <v>42216</v>
      </c>
      <c r="G87" s="22" t="str">
        <f t="shared" si="14"/>
        <v>Targeted Dealer</v>
      </c>
      <c r="H87" s="22"/>
      <c r="I87" s="23">
        <v>120</v>
      </c>
      <c r="J87" s="23">
        <f t="shared" si="15"/>
        <v>120</v>
      </c>
      <c r="K87" s="24">
        <v>160</v>
      </c>
      <c r="L87" s="24">
        <f t="shared" si="16"/>
        <v>-40</v>
      </c>
      <c r="M87" s="24">
        <f t="shared" si="17"/>
        <v>133.33333333333334</v>
      </c>
      <c r="N87" s="25">
        <v>144</v>
      </c>
      <c r="O87" s="26" t="str">
        <f t="shared" si="18"/>
        <v>June</v>
      </c>
      <c r="P87" s="25">
        <f t="shared" si="19"/>
        <v>144</v>
      </c>
      <c r="Q87" s="27">
        <f t="shared" si="20"/>
        <v>16</v>
      </c>
      <c r="R87" s="26" t="b">
        <f t="shared" si="21"/>
        <v>0</v>
      </c>
      <c r="S87" s="28" t="str">
        <f t="shared" si="22"/>
        <v>GROWTH</v>
      </c>
      <c r="T87" s="24">
        <v>90</v>
      </c>
      <c r="U87" s="29" t="str">
        <f t="shared" si="23"/>
        <v>May</v>
      </c>
      <c r="V87" s="24">
        <f t="shared" si="24"/>
        <v>90</v>
      </c>
      <c r="W87" s="30">
        <f t="shared" si="25"/>
        <v>70</v>
      </c>
      <c r="X87" s="31" t="b">
        <f t="shared" si="26"/>
        <v>0</v>
      </c>
      <c r="Y87" s="32" t="str">
        <f t="shared" si="27"/>
        <v>GROWTH</v>
      </c>
      <c r="Z87" s="41">
        <v>0</v>
      </c>
      <c r="AA87" s="36"/>
      <c r="AB87" s="36" t="s">
        <v>24</v>
      </c>
      <c r="AC87" s="36" t="s">
        <v>24</v>
      </c>
      <c r="AD87" s="34"/>
      <c r="AE87" s="35">
        <f>IFERROR(INDEX([1]Last6M_AvgSales_Ref!$B$2:$B$12659,MATCH(D87,[1]Last6M_AvgSales_Ref!$A$2:$A$12659,0)),"")</f>
        <v>150</v>
      </c>
    </row>
    <row r="88" spans="1:31" ht="14.25" customHeight="1" x14ac:dyDescent="0.3">
      <c r="A88" s="36" t="s">
        <v>24</v>
      </c>
      <c r="B88" s="37" t="s">
        <v>177</v>
      </c>
      <c r="C88" s="38" t="s">
        <v>202</v>
      </c>
      <c r="D88" s="38">
        <v>1000000741</v>
      </c>
      <c r="E88" s="39" t="s">
        <v>203</v>
      </c>
      <c r="F88" s="40">
        <v>42889</v>
      </c>
      <c r="G88" s="22" t="str">
        <f t="shared" si="14"/>
        <v>Targeted Dealer</v>
      </c>
      <c r="H88" s="22"/>
      <c r="I88" s="23">
        <v>160</v>
      </c>
      <c r="J88" s="23">
        <f t="shared" si="15"/>
        <v>160</v>
      </c>
      <c r="K88" s="24">
        <v>160</v>
      </c>
      <c r="L88" s="24">
        <f t="shared" si="16"/>
        <v>0</v>
      </c>
      <c r="M88" s="24">
        <f t="shared" si="17"/>
        <v>100</v>
      </c>
      <c r="N88" s="25">
        <v>160</v>
      </c>
      <c r="O88" s="26" t="str">
        <f t="shared" si="18"/>
        <v>June</v>
      </c>
      <c r="P88" s="25">
        <f t="shared" si="19"/>
        <v>160</v>
      </c>
      <c r="Q88" s="27">
        <f t="shared" si="20"/>
        <v>0</v>
      </c>
      <c r="R88" s="26" t="b">
        <f t="shared" si="21"/>
        <v>0</v>
      </c>
      <c r="S88" s="28" t="str">
        <f t="shared" si="22"/>
        <v>GROWTH</v>
      </c>
      <c r="T88" s="24">
        <v>100</v>
      </c>
      <c r="U88" s="29" t="str">
        <f t="shared" si="23"/>
        <v>May</v>
      </c>
      <c r="V88" s="24">
        <f t="shared" si="24"/>
        <v>100</v>
      </c>
      <c r="W88" s="30">
        <f t="shared" si="25"/>
        <v>60</v>
      </c>
      <c r="X88" s="31" t="b">
        <f t="shared" si="26"/>
        <v>0</v>
      </c>
      <c r="Y88" s="32" t="str">
        <f t="shared" si="27"/>
        <v>GROWTH</v>
      </c>
      <c r="Z88" s="41">
        <v>0</v>
      </c>
      <c r="AA88" s="36"/>
      <c r="AB88" s="36" t="s">
        <v>24</v>
      </c>
      <c r="AC88" s="36" t="s">
        <v>24</v>
      </c>
      <c r="AD88" s="34"/>
      <c r="AE88" s="35">
        <f>IFERROR(INDEX([1]Last6M_AvgSales_Ref!$B$2:$B$12659,MATCH(D88,[1]Last6M_AvgSales_Ref!$A$2:$A$12659,0)),"")</f>
        <v>190.833333333333</v>
      </c>
    </row>
    <row r="89" spans="1:31" ht="14.25" customHeight="1" x14ac:dyDescent="0.3">
      <c r="A89" s="36" t="s">
        <v>24</v>
      </c>
      <c r="B89" s="37" t="s">
        <v>174</v>
      </c>
      <c r="C89" s="38" t="s">
        <v>204</v>
      </c>
      <c r="D89" s="38">
        <v>1000000736</v>
      </c>
      <c r="E89" s="39" t="s">
        <v>205</v>
      </c>
      <c r="F89" s="40">
        <v>42929</v>
      </c>
      <c r="G89" s="22" t="str">
        <f t="shared" si="14"/>
        <v>Targeted Dealer</v>
      </c>
      <c r="H89" s="22"/>
      <c r="I89" s="23">
        <v>630</v>
      </c>
      <c r="J89" s="23">
        <f t="shared" si="15"/>
        <v>630</v>
      </c>
      <c r="K89" s="24">
        <v>749</v>
      </c>
      <c r="L89" s="24">
        <f t="shared" si="16"/>
        <v>-119</v>
      </c>
      <c r="M89" s="24">
        <f t="shared" si="17"/>
        <v>118.88888888888889</v>
      </c>
      <c r="N89" s="25">
        <v>662.5</v>
      </c>
      <c r="O89" s="26" t="str">
        <f t="shared" si="18"/>
        <v>June</v>
      </c>
      <c r="P89" s="25">
        <f t="shared" si="19"/>
        <v>662.5</v>
      </c>
      <c r="Q89" s="27">
        <f t="shared" si="20"/>
        <v>86.5</v>
      </c>
      <c r="R89" s="26" t="b">
        <f t="shared" si="21"/>
        <v>0</v>
      </c>
      <c r="S89" s="28" t="str">
        <f t="shared" si="22"/>
        <v>GROWTH</v>
      </c>
      <c r="T89" s="24">
        <v>613.25</v>
      </c>
      <c r="U89" s="29" t="str">
        <f t="shared" si="23"/>
        <v>May</v>
      </c>
      <c r="V89" s="24">
        <f t="shared" si="24"/>
        <v>613.25</v>
      </c>
      <c r="W89" s="30">
        <f t="shared" si="25"/>
        <v>135.75</v>
      </c>
      <c r="X89" s="31" t="b">
        <f t="shared" si="26"/>
        <v>0</v>
      </c>
      <c r="Y89" s="32" t="str">
        <f t="shared" si="27"/>
        <v>GROWTH</v>
      </c>
      <c r="Z89" s="41">
        <v>0</v>
      </c>
      <c r="AA89" s="36"/>
      <c r="AB89" s="36" t="s">
        <v>24</v>
      </c>
      <c r="AC89" s="36" t="s">
        <v>24</v>
      </c>
      <c r="AD89" s="34"/>
      <c r="AE89" s="35">
        <f>IFERROR(INDEX([1]Last6M_AvgSales_Ref!$B$2:$B$12659,MATCH(D89,[1]Last6M_AvgSales_Ref!$A$2:$A$12659,0)),"")</f>
        <v>808.75</v>
      </c>
    </row>
    <row r="90" spans="1:31" ht="14.25" customHeight="1" x14ac:dyDescent="0.3">
      <c r="A90" s="36" t="s">
        <v>24</v>
      </c>
      <c r="B90" s="37" t="s">
        <v>177</v>
      </c>
      <c r="C90" s="38" t="s">
        <v>206</v>
      </c>
      <c r="D90" s="38">
        <v>1000000725</v>
      </c>
      <c r="E90" s="39" t="s">
        <v>207</v>
      </c>
      <c r="F90" s="40">
        <v>43252</v>
      </c>
      <c r="G90" s="22" t="str">
        <f t="shared" si="14"/>
        <v>Targeted Dealer</v>
      </c>
      <c r="H90" s="22"/>
      <c r="I90" s="23">
        <v>280</v>
      </c>
      <c r="J90" s="23">
        <f t="shared" si="15"/>
        <v>280</v>
      </c>
      <c r="K90" s="24">
        <v>180</v>
      </c>
      <c r="L90" s="24">
        <f t="shared" si="16"/>
        <v>100</v>
      </c>
      <c r="M90" s="24">
        <f t="shared" si="17"/>
        <v>64.285714285714292</v>
      </c>
      <c r="N90" s="25">
        <v>155</v>
      </c>
      <c r="O90" s="26" t="str">
        <f t="shared" si="18"/>
        <v>June</v>
      </c>
      <c r="P90" s="25">
        <f t="shared" si="19"/>
        <v>155</v>
      </c>
      <c r="Q90" s="27">
        <f t="shared" si="20"/>
        <v>25</v>
      </c>
      <c r="R90" s="26" t="b">
        <f t="shared" si="21"/>
        <v>0</v>
      </c>
      <c r="S90" s="28" t="str">
        <f t="shared" si="22"/>
        <v>GROWTH</v>
      </c>
      <c r="T90" s="24">
        <v>260</v>
      </c>
      <c r="U90" s="29" t="str">
        <f t="shared" si="23"/>
        <v>May</v>
      </c>
      <c r="V90" s="24">
        <f t="shared" si="24"/>
        <v>260</v>
      </c>
      <c r="W90" s="30">
        <f t="shared" si="25"/>
        <v>-80</v>
      </c>
      <c r="X90" s="31" t="b">
        <f t="shared" si="26"/>
        <v>0</v>
      </c>
      <c r="Y90" s="32" t="str">
        <f t="shared" si="27"/>
        <v>GROWTH</v>
      </c>
      <c r="Z90" s="41">
        <v>0</v>
      </c>
      <c r="AA90" s="36"/>
      <c r="AB90" s="36" t="s">
        <v>24</v>
      </c>
      <c r="AC90" s="36" t="s">
        <v>24</v>
      </c>
      <c r="AD90" s="34"/>
      <c r="AE90" s="35">
        <f>IFERROR(INDEX([1]Last6M_AvgSales_Ref!$B$2:$B$12659,MATCH(D90,[1]Last6M_AvgSales_Ref!$A$2:$A$12659,0)),"")</f>
        <v>259.41666666666703</v>
      </c>
    </row>
    <row r="91" spans="1:31" ht="14.25" customHeight="1" x14ac:dyDescent="0.3">
      <c r="A91" s="36" t="s">
        <v>24</v>
      </c>
      <c r="B91" s="37" t="s">
        <v>174</v>
      </c>
      <c r="C91" s="38" t="s">
        <v>208</v>
      </c>
      <c r="D91" s="38">
        <v>1000000738</v>
      </c>
      <c r="E91" s="39" t="s">
        <v>209</v>
      </c>
      <c r="F91" s="40">
        <v>43326</v>
      </c>
      <c r="G91" s="22" t="str">
        <f t="shared" si="14"/>
        <v>Targeted Dealer</v>
      </c>
      <c r="H91" s="22"/>
      <c r="I91" s="23">
        <v>240</v>
      </c>
      <c r="J91" s="23">
        <f t="shared" si="15"/>
        <v>240</v>
      </c>
      <c r="K91" s="24">
        <v>305</v>
      </c>
      <c r="L91" s="24">
        <f t="shared" si="16"/>
        <v>-65</v>
      </c>
      <c r="M91" s="24">
        <f t="shared" si="17"/>
        <v>127.08333333333334</v>
      </c>
      <c r="N91" s="25">
        <v>240</v>
      </c>
      <c r="O91" s="26" t="str">
        <f t="shared" si="18"/>
        <v>June</v>
      </c>
      <c r="P91" s="25">
        <f t="shared" si="19"/>
        <v>240</v>
      </c>
      <c r="Q91" s="27">
        <f t="shared" si="20"/>
        <v>65</v>
      </c>
      <c r="R91" s="26" t="b">
        <f t="shared" si="21"/>
        <v>0</v>
      </c>
      <c r="S91" s="28" t="str">
        <f t="shared" si="22"/>
        <v>GROWTH</v>
      </c>
      <c r="T91" s="24">
        <v>200</v>
      </c>
      <c r="U91" s="29" t="str">
        <f t="shared" si="23"/>
        <v>May</v>
      </c>
      <c r="V91" s="24">
        <f t="shared" si="24"/>
        <v>200</v>
      </c>
      <c r="W91" s="30">
        <f t="shared" si="25"/>
        <v>105</v>
      </c>
      <c r="X91" s="31" t="b">
        <f t="shared" si="26"/>
        <v>0</v>
      </c>
      <c r="Y91" s="32" t="str">
        <f t="shared" si="27"/>
        <v>GROWTH</v>
      </c>
      <c r="Z91" s="41">
        <v>0</v>
      </c>
      <c r="AA91" s="36"/>
      <c r="AB91" s="36" t="s">
        <v>24</v>
      </c>
      <c r="AC91" s="36" t="s">
        <v>24</v>
      </c>
      <c r="AD91" s="34"/>
      <c r="AE91" s="35">
        <f>IFERROR(INDEX([1]Last6M_AvgSales_Ref!$B$2:$B$12659,MATCH(D91,[1]Last6M_AvgSales_Ref!$A$2:$A$12659,0)),"")</f>
        <v>240.833333333333</v>
      </c>
    </row>
    <row r="92" spans="1:31" ht="14.25" customHeight="1" x14ac:dyDescent="0.3">
      <c r="A92" s="36" t="s">
        <v>24</v>
      </c>
      <c r="B92" s="37" t="s">
        <v>177</v>
      </c>
      <c r="C92" s="38" t="s">
        <v>210</v>
      </c>
      <c r="D92" s="38">
        <v>1000000731</v>
      </c>
      <c r="E92" s="39" t="s">
        <v>211</v>
      </c>
      <c r="F92" s="40">
        <v>43426</v>
      </c>
      <c r="G92" s="22" t="str">
        <f t="shared" si="14"/>
        <v>Targeted Dealer</v>
      </c>
      <c r="H92" s="22"/>
      <c r="I92" s="23">
        <v>240</v>
      </c>
      <c r="J92" s="23">
        <f t="shared" si="15"/>
        <v>240</v>
      </c>
      <c r="K92" s="24">
        <v>340</v>
      </c>
      <c r="L92" s="24">
        <f t="shared" si="16"/>
        <v>-100</v>
      </c>
      <c r="M92" s="24">
        <f t="shared" si="17"/>
        <v>141.66666666666669</v>
      </c>
      <c r="N92" s="25">
        <v>228</v>
      </c>
      <c r="O92" s="26" t="str">
        <f t="shared" si="18"/>
        <v>June</v>
      </c>
      <c r="P92" s="25">
        <f t="shared" si="19"/>
        <v>228</v>
      </c>
      <c r="Q92" s="27">
        <f t="shared" si="20"/>
        <v>112</v>
      </c>
      <c r="R92" s="26" t="b">
        <f t="shared" si="21"/>
        <v>0</v>
      </c>
      <c r="S92" s="28" t="str">
        <f t="shared" si="22"/>
        <v>GROWTH</v>
      </c>
      <c r="T92" s="24">
        <v>217.5</v>
      </c>
      <c r="U92" s="29" t="str">
        <f t="shared" si="23"/>
        <v>May</v>
      </c>
      <c r="V92" s="24">
        <f t="shared" si="24"/>
        <v>217.5</v>
      </c>
      <c r="W92" s="30">
        <f t="shared" si="25"/>
        <v>122.5</v>
      </c>
      <c r="X92" s="31" t="b">
        <f t="shared" si="26"/>
        <v>0</v>
      </c>
      <c r="Y92" s="32" t="str">
        <f t="shared" si="27"/>
        <v>GROWTH</v>
      </c>
      <c r="Z92" s="41">
        <v>0</v>
      </c>
      <c r="AA92" s="36"/>
      <c r="AB92" s="36" t="s">
        <v>24</v>
      </c>
      <c r="AC92" s="36" t="s">
        <v>24</v>
      </c>
      <c r="AD92" s="34"/>
      <c r="AE92" s="35">
        <f>IFERROR(INDEX([1]Last6M_AvgSales_Ref!$B$2:$B$12659,MATCH(D92,[1]Last6M_AvgSales_Ref!$A$2:$A$12659,0)),"")</f>
        <v>277.08333333333297</v>
      </c>
    </row>
    <row r="93" spans="1:31" ht="14.25" customHeight="1" x14ac:dyDescent="0.3">
      <c r="A93" s="36" t="s">
        <v>24</v>
      </c>
      <c r="B93" s="37" t="s">
        <v>174</v>
      </c>
      <c r="C93" s="38" t="s">
        <v>212</v>
      </c>
      <c r="D93" s="38">
        <v>1000001067</v>
      </c>
      <c r="E93" s="39" t="s">
        <v>213</v>
      </c>
      <c r="F93" s="40">
        <v>43647</v>
      </c>
      <c r="G93" s="22" t="str">
        <f t="shared" si="14"/>
        <v>Targeted Dealer</v>
      </c>
      <c r="H93" s="22"/>
      <c r="I93" s="23">
        <v>20</v>
      </c>
      <c r="J93" s="23">
        <f t="shared" si="15"/>
        <v>20</v>
      </c>
      <c r="K93" s="24">
        <v>5</v>
      </c>
      <c r="L93" s="24">
        <f t="shared" si="16"/>
        <v>15</v>
      </c>
      <c r="M93" s="24">
        <f t="shared" si="17"/>
        <v>25</v>
      </c>
      <c r="N93" s="25">
        <v>12</v>
      </c>
      <c r="O93" s="26" t="str">
        <f t="shared" si="18"/>
        <v>June</v>
      </c>
      <c r="P93" s="25">
        <f t="shared" si="19"/>
        <v>12</v>
      </c>
      <c r="Q93" s="27">
        <f t="shared" si="20"/>
        <v>-7</v>
      </c>
      <c r="R93" s="26" t="b">
        <f t="shared" si="21"/>
        <v>0</v>
      </c>
      <c r="S93" s="28" t="str">
        <f t="shared" si="22"/>
        <v>GROWTH</v>
      </c>
      <c r="T93" s="24">
        <v>0</v>
      </c>
      <c r="U93" s="29" t="str">
        <f t="shared" si="23"/>
        <v>May</v>
      </c>
      <c r="V93" s="24">
        <f t="shared" si="24"/>
        <v>0</v>
      </c>
      <c r="W93" s="30">
        <f t="shared" si="25"/>
        <v>5</v>
      </c>
      <c r="X93" s="31" t="b">
        <f t="shared" si="26"/>
        <v>0</v>
      </c>
      <c r="Y93" s="32" t="b">
        <f t="shared" si="27"/>
        <v>0</v>
      </c>
      <c r="Z93" s="41">
        <v>0</v>
      </c>
      <c r="AA93" s="36"/>
      <c r="AB93" s="36" t="s">
        <v>24</v>
      </c>
      <c r="AC93" s="36" t="s">
        <v>24</v>
      </c>
      <c r="AD93" s="34"/>
      <c r="AE93" s="35">
        <f>IFERROR(INDEX([1]Last6M_AvgSales_Ref!$B$2:$B$12659,MATCH(D93,[1]Last6M_AvgSales_Ref!$A$2:$A$12659,0)),"")</f>
        <v>20.875</v>
      </c>
    </row>
    <row r="94" spans="1:31" ht="14.25" customHeight="1" x14ac:dyDescent="0.3">
      <c r="A94" s="36" t="s">
        <v>24</v>
      </c>
      <c r="B94" s="37" t="s">
        <v>174</v>
      </c>
      <c r="C94" s="38" t="s">
        <v>214</v>
      </c>
      <c r="D94" s="38">
        <v>1000001066</v>
      </c>
      <c r="E94" s="39" t="s">
        <v>215</v>
      </c>
      <c r="F94" s="40">
        <v>43843</v>
      </c>
      <c r="G94" s="22" t="str">
        <f t="shared" si="14"/>
        <v>Targeted Dealer</v>
      </c>
      <c r="H94" s="22"/>
      <c r="I94" s="23">
        <v>200</v>
      </c>
      <c r="J94" s="23">
        <f t="shared" si="15"/>
        <v>200</v>
      </c>
      <c r="K94" s="24">
        <v>224</v>
      </c>
      <c r="L94" s="24">
        <f t="shared" si="16"/>
        <v>-24</v>
      </c>
      <c r="M94" s="24">
        <f t="shared" si="17"/>
        <v>112</v>
      </c>
      <c r="N94" s="25">
        <v>205</v>
      </c>
      <c r="O94" s="26" t="str">
        <f t="shared" si="18"/>
        <v>June</v>
      </c>
      <c r="P94" s="25">
        <f t="shared" si="19"/>
        <v>205</v>
      </c>
      <c r="Q94" s="27">
        <f t="shared" si="20"/>
        <v>19</v>
      </c>
      <c r="R94" s="26" t="b">
        <f t="shared" si="21"/>
        <v>0</v>
      </c>
      <c r="S94" s="28" t="str">
        <f t="shared" si="22"/>
        <v>GROWTH</v>
      </c>
      <c r="T94" s="24">
        <v>180</v>
      </c>
      <c r="U94" s="29" t="str">
        <f t="shared" si="23"/>
        <v>May</v>
      </c>
      <c r="V94" s="24">
        <f t="shared" si="24"/>
        <v>180</v>
      </c>
      <c r="W94" s="30">
        <f t="shared" si="25"/>
        <v>44</v>
      </c>
      <c r="X94" s="31" t="b">
        <f t="shared" si="26"/>
        <v>0</v>
      </c>
      <c r="Y94" s="32" t="str">
        <f t="shared" si="27"/>
        <v>GROWTH</v>
      </c>
      <c r="Z94" s="41">
        <v>0</v>
      </c>
      <c r="AA94" s="36"/>
      <c r="AB94" s="36" t="s">
        <v>24</v>
      </c>
      <c r="AC94" s="36" t="s">
        <v>24</v>
      </c>
      <c r="AD94" s="34"/>
      <c r="AE94" s="35">
        <f>IFERROR(INDEX([1]Last6M_AvgSales_Ref!$B$2:$B$12659,MATCH(D94,[1]Last6M_AvgSales_Ref!$A$2:$A$12659,0)),"")</f>
        <v>257.75</v>
      </c>
    </row>
    <row r="95" spans="1:31" ht="14.25" customHeight="1" x14ac:dyDescent="0.3">
      <c r="A95" s="36" t="s">
        <v>24</v>
      </c>
      <c r="B95" s="37" t="s">
        <v>177</v>
      </c>
      <c r="C95" s="38" t="s">
        <v>216</v>
      </c>
      <c r="D95" s="38">
        <v>1000000734</v>
      </c>
      <c r="E95" s="39" t="s">
        <v>217</v>
      </c>
      <c r="F95" s="40">
        <v>43899</v>
      </c>
      <c r="G95" s="22" t="str">
        <f t="shared" si="14"/>
        <v>Targeted Dealer</v>
      </c>
      <c r="H95" s="22"/>
      <c r="I95" s="23">
        <v>120</v>
      </c>
      <c r="J95" s="23">
        <f t="shared" si="15"/>
        <v>120</v>
      </c>
      <c r="K95" s="24">
        <v>85</v>
      </c>
      <c r="L95" s="24">
        <f t="shared" si="16"/>
        <v>35</v>
      </c>
      <c r="M95" s="24">
        <f t="shared" si="17"/>
        <v>70.833333333333343</v>
      </c>
      <c r="N95" s="25">
        <v>0</v>
      </c>
      <c r="O95" s="26" t="str">
        <f t="shared" si="18"/>
        <v>June</v>
      </c>
      <c r="P95" s="25">
        <f t="shared" si="19"/>
        <v>0</v>
      </c>
      <c r="Q95" s="27">
        <f t="shared" si="20"/>
        <v>85</v>
      </c>
      <c r="R95" s="26" t="b">
        <f t="shared" si="21"/>
        <v>0</v>
      </c>
      <c r="S95" s="28" t="b">
        <f t="shared" si="22"/>
        <v>0</v>
      </c>
      <c r="T95" s="24">
        <v>120</v>
      </c>
      <c r="U95" s="29" t="str">
        <f t="shared" si="23"/>
        <v>May</v>
      </c>
      <c r="V95" s="24">
        <f t="shared" si="24"/>
        <v>120</v>
      </c>
      <c r="W95" s="30">
        <f t="shared" si="25"/>
        <v>-35</v>
      </c>
      <c r="X95" s="31" t="b">
        <f t="shared" si="26"/>
        <v>0</v>
      </c>
      <c r="Y95" s="32" t="str">
        <f t="shared" si="27"/>
        <v>GROWTH</v>
      </c>
      <c r="Z95" s="41">
        <v>0</v>
      </c>
      <c r="AA95" s="36"/>
      <c r="AB95" s="36" t="s">
        <v>24</v>
      </c>
      <c r="AC95" s="36" t="s">
        <v>24</v>
      </c>
      <c r="AD95" s="34"/>
      <c r="AE95" s="35">
        <f>IFERROR(INDEX([1]Last6M_AvgSales_Ref!$B$2:$B$12659,MATCH(D95,[1]Last6M_AvgSales_Ref!$A$2:$A$12659,0)),"")</f>
        <v>65</v>
      </c>
    </row>
    <row r="96" spans="1:31" ht="14.25" customHeight="1" x14ac:dyDescent="0.3">
      <c r="A96" s="36" t="s">
        <v>24</v>
      </c>
      <c r="B96" s="37" t="s">
        <v>174</v>
      </c>
      <c r="C96" s="38" t="s">
        <v>218</v>
      </c>
      <c r="D96" s="38">
        <v>1000001068</v>
      </c>
      <c r="E96" s="39" t="s">
        <v>219</v>
      </c>
      <c r="F96" s="40">
        <v>44050</v>
      </c>
      <c r="G96" s="22" t="str">
        <f t="shared" si="14"/>
        <v>Targeted Dealer</v>
      </c>
      <c r="H96" s="22"/>
      <c r="I96" s="23">
        <v>50</v>
      </c>
      <c r="J96" s="23">
        <f t="shared" si="15"/>
        <v>50</v>
      </c>
      <c r="K96" s="24">
        <v>50</v>
      </c>
      <c r="L96" s="24">
        <f t="shared" si="16"/>
        <v>0</v>
      </c>
      <c r="M96" s="24">
        <f t="shared" si="17"/>
        <v>100</v>
      </c>
      <c r="N96" s="25">
        <v>10</v>
      </c>
      <c r="O96" s="26" t="str">
        <f t="shared" si="18"/>
        <v>June</v>
      </c>
      <c r="P96" s="25">
        <f t="shared" si="19"/>
        <v>10</v>
      </c>
      <c r="Q96" s="27">
        <f t="shared" si="20"/>
        <v>40</v>
      </c>
      <c r="R96" s="26" t="b">
        <f t="shared" si="21"/>
        <v>0</v>
      </c>
      <c r="S96" s="28" t="str">
        <f t="shared" si="22"/>
        <v>GROWTH</v>
      </c>
      <c r="T96" s="24">
        <v>40</v>
      </c>
      <c r="U96" s="29" t="str">
        <f t="shared" si="23"/>
        <v>May</v>
      </c>
      <c r="V96" s="24">
        <f t="shared" si="24"/>
        <v>40</v>
      </c>
      <c r="W96" s="30">
        <f t="shared" si="25"/>
        <v>10</v>
      </c>
      <c r="X96" s="31" t="b">
        <f t="shared" si="26"/>
        <v>0</v>
      </c>
      <c r="Y96" s="32" t="str">
        <f t="shared" si="27"/>
        <v>GROWTH</v>
      </c>
      <c r="Z96" s="41">
        <v>0</v>
      </c>
      <c r="AA96" s="36"/>
      <c r="AB96" s="36" t="s">
        <v>24</v>
      </c>
      <c r="AC96" s="36" t="s">
        <v>24</v>
      </c>
      <c r="AD96" s="34"/>
      <c r="AE96" s="35">
        <f>IFERROR(INDEX([1]Last6M_AvgSales_Ref!$B$2:$B$12659,MATCH(D96,[1]Last6M_AvgSales_Ref!$A$2:$A$12659,0)),"")</f>
        <v>56.5833333333333</v>
      </c>
    </row>
    <row r="97" spans="1:31" ht="14.25" customHeight="1" x14ac:dyDescent="0.3">
      <c r="A97" s="36" t="s">
        <v>24</v>
      </c>
      <c r="B97" s="37" t="s">
        <v>177</v>
      </c>
      <c r="C97" s="38" t="s">
        <v>220</v>
      </c>
      <c r="D97" s="38">
        <v>1000001069</v>
      </c>
      <c r="E97" s="39" t="s">
        <v>221</v>
      </c>
      <c r="F97" s="40">
        <v>44256</v>
      </c>
      <c r="G97" s="22" t="str">
        <f t="shared" si="14"/>
        <v>Targeted Dealer</v>
      </c>
      <c r="H97" s="22"/>
      <c r="I97" s="23">
        <v>100</v>
      </c>
      <c r="J97" s="23">
        <f t="shared" si="15"/>
        <v>100</v>
      </c>
      <c r="K97" s="24">
        <v>120</v>
      </c>
      <c r="L97" s="24">
        <f t="shared" si="16"/>
        <v>-20</v>
      </c>
      <c r="M97" s="24">
        <f t="shared" si="17"/>
        <v>120</v>
      </c>
      <c r="N97" s="25">
        <v>40</v>
      </c>
      <c r="O97" s="26" t="str">
        <f t="shared" si="18"/>
        <v>June</v>
      </c>
      <c r="P97" s="25">
        <f t="shared" si="19"/>
        <v>40</v>
      </c>
      <c r="Q97" s="27">
        <f t="shared" si="20"/>
        <v>80</v>
      </c>
      <c r="R97" s="26" t="b">
        <f t="shared" si="21"/>
        <v>0</v>
      </c>
      <c r="S97" s="28" t="str">
        <f t="shared" si="22"/>
        <v>GROWTH</v>
      </c>
      <c r="T97" s="24">
        <v>80</v>
      </c>
      <c r="U97" s="29" t="str">
        <f t="shared" si="23"/>
        <v>May</v>
      </c>
      <c r="V97" s="24">
        <f t="shared" si="24"/>
        <v>80</v>
      </c>
      <c r="W97" s="30">
        <f t="shared" si="25"/>
        <v>40</v>
      </c>
      <c r="X97" s="31" t="b">
        <f t="shared" si="26"/>
        <v>0</v>
      </c>
      <c r="Y97" s="32" t="str">
        <f t="shared" si="27"/>
        <v>GROWTH</v>
      </c>
      <c r="Z97" s="41">
        <v>0</v>
      </c>
      <c r="AA97" s="36"/>
      <c r="AB97" s="36" t="s">
        <v>24</v>
      </c>
      <c r="AC97" s="36" t="s">
        <v>24</v>
      </c>
      <c r="AD97" s="34"/>
      <c r="AE97" s="35">
        <f>IFERROR(INDEX([1]Last6M_AvgSales_Ref!$B$2:$B$12659,MATCH(D97,[1]Last6M_AvgSales_Ref!$A$2:$A$12659,0)),"")</f>
        <v>120.583333333333</v>
      </c>
    </row>
    <row r="98" spans="1:31" ht="14.25" customHeight="1" x14ac:dyDescent="0.3">
      <c r="A98" s="36" t="s">
        <v>24</v>
      </c>
      <c r="B98" s="37" t="s">
        <v>177</v>
      </c>
      <c r="C98" s="38" t="s">
        <v>222</v>
      </c>
      <c r="D98" s="38">
        <v>1000001065</v>
      </c>
      <c r="E98" s="39" t="s">
        <v>223</v>
      </c>
      <c r="F98" s="40">
        <v>44296</v>
      </c>
      <c r="G98" s="22" t="str">
        <f t="shared" si="14"/>
        <v>Targeted Dealer</v>
      </c>
      <c r="H98" s="22"/>
      <c r="I98" s="23">
        <v>300</v>
      </c>
      <c r="J98" s="23">
        <f t="shared" si="15"/>
        <v>300</v>
      </c>
      <c r="K98" s="24">
        <v>253.85</v>
      </c>
      <c r="L98" s="24">
        <f t="shared" si="16"/>
        <v>46.150000000000006</v>
      </c>
      <c r="M98" s="24">
        <f t="shared" si="17"/>
        <v>84.61666666666666</v>
      </c>
      <c r="N98" s="25">
        <v>125</v>
      </c>
      <c r="O98" s="26" t="str">
        <f t="shared" si="18"/>
        <v>June</v>
      </c>
      <c r="P98" s="25">
        <f t="shared" si="19"/>
        <v>125</v>
      </c>
      <c r="Q98" s="27">
        <f t="shared" si="20"/>
        <v>128.85</v>
      </c>
      <c r="R98" s="26" t="b">
        <f t="shared" si="21"/>
        <v>0</v>
      </c>
      <c r="S98" s="28" t="str">
        <f t="shared" si="22"/>
        <v>GROWTH</v>
      </c>
      <c r="T98" s="24">
        <v>260</v>
      </c>
      <c r="U98" s="29" t="str">
        <f t="shared" si="23"/>
        <v>May</v>
      </c>
      <c r="V98" s="24">
        <f t="shared" si="24"/>
        <v>260</v>
      </c>
      <c r="W98" s="30">
        <f t="shared" si="25"/>
        <v>-6.1500000000000057</v>
      </c>
      <c r="X98" s="31" t="b">
        <f t="shared" si="26"/>
        <v>0</v>
      </c>
      <c r="Y98" s="32" t="str">
        <f t="shared" si="27"/>
        <v>GROWTH</v>
      </c>
      <c r="Z98" s="41">
        <v>0</v>
      </c>
      <c r="AA98" s="36"/>
      <c r="AB98" s="36" t="s">
        <v>24</v>
      </c>
      <c r="AC98" s="36" t="s">
        <v>24</v>
      </c>
      <c r="AD98" s="34"/>
      <c r="AE98" s="35">
        <f>IFERROR(INDEX([1]Last6M_AvgSales_Ref!$B$2:$B$12659,MATCH(D98,[1]Last6M_AvgSales_Ref!$A$2:$A$12659,0)),"")</f>
        <v>307.5</v>
      </c>
    </row>
    <row r="99" spans="1:31" ht="14.25" customHeight="1" x14ac:dyDescent="0.3">
      <c r="A99" s="36" t="s">
        <v>24</v>
      </c>
      <c r="B99" s="37" t="s">
        <v>174</v>
      </c>
      <c r="C99" s="38" t="s">
        <v>224</v>
      </c>
      <c r="D99" s="38">
        <v>1000002403</v>
      </c>
      <c r="E99" s="39" t="s">
        <v>225</v>
      </c>
      <c r="F99" s="40">
        <v>44560</v>
      </c>
      <c r="G99" s="22" t="str">
        <f t="shared" si="14"/>
        <v>Targeted Dealer</v>
      </c>
      <c r="H99" s="22"/>
      <c r="I99" s="23">
        <v>30</v>
      </c>
      <c r="J99" s="23">
        <f t="shared" si="15"/>
        <v>30</v>
      </c>
      <c r="K99" s="24">
        <v>28</v>
      </c>
      <c r="L99" s="24">
        <f t="shared" si="16"/>
        <v>2</v>
      </c>
      <c r="M99" s="24">
        <f t="shared" si="17"/>
        <v>93.333333333333343</v>
      </c>
      <c r="N99" s="25">
        <v>21</v>
      </c>
      <c r="O99" s="26" t="str">
        <f t="shared" si="18"/>
        <v>June</v>
      </c>
      <c r="P99" s="25">
        <f t="shared" si="19"/>
        <v>21</v>
      </c>
      <c r="Q99" s="27">
        <f t="shared" si="20"/>
        <v>7</v>
      </c>
      <c r="R99" s="26" t="b">
        <f t="shared" si="21"/>
        <v>0</v>
      </c>
      <c r="S99" s="28" t="str">
        <f t="shared" si="22"/>
        <v>GROWTH</v>
      </c>
      <c r="T99" s="24">
        <v>25</v>
      </c>
      <c r="U99" s="29" t="str">
        <f t="shared" si="23"/>
        <v>May</v>
      </c>
      <c r="V99" s="24">
        <f t="shared" si="24"/>
        <v>25</v>
      </c>
      <c r="W99" s="30">
        <f t="shared" si="25"/>
        <v>3</v>
      </c>
      <c r="X99" s="31" t="b">
        <f t="shared" si="26"/>
        <v>0</v>
      </c>
      <c r="Y99" s="32" t="str">
        <f t="shared" si="27"/>
        <v>GROWTH</v>
      </c>
      <c r="Z99" s="41">
        <v>0</v>
      </c>
      <c r="AA99" s="36"/>
      <c r="AB99" s="36" t="s">
        <v>24</v>
      </c>
      <c r="AC99" s="36" t="s">
        <v>24</v>
      </c>
      <c r="AD99" s="34"/>
      <c r="AE99" s="35">
        <f>IFERROR(INDEX([1]Last6M_AvgSales_Ref!$B$2:$B$12659,MATCH(D99,[1]Last6M_AvgSales_Ref!$A$2:$A$12659,0)),"")</f>
        <v>27.6666666666667</v>
      </c>
    </row>
    <row r="100" spans="1:31" ht="14.25" customHeight="1" x14ac:dyDescent="0.3">
      <c r="A100" s="36" t="s">
        <v>24</v>
      </c>
      <c r="B100" s="37" t="s">
        <v>174</v>
      </c>
      <c r="C100" s="38" t="s">
        <v>226</v>
      </c>
      <c r="D100" s="38">
        <v>1000002406</v>
      </c>
      <c r="E100" s="39" t="s">
        <v>227</v>
      </c>
      <c r="F100" s="40">
        <v>44574</v>
      </c>
      <c r="G100" s="22" t="str">
        <f t="shared" si="14"/>
        <v>Targeted Dealer</v>
      </c>
      <c r="H100" s="22"/>
      <c r="I100" s="23">
        <v>65</v>
      </c>
      <c r="J100" s="23">
        <f t="shared" si="15"/>
        <v>65</v>
      </c>
      <c r="K100" s="24">
        <v>65</v>
      </c>
      <c r="L100" s="24">
        <f t="shared" si="16"/>
        <v>0</v>
      </c>
      <c r="M100" s="24">
        <f t="shared" si="17"/>
        <v>100</v>
      </c>
      <c r="N100" s="25">
        <v>40</v>
      </c>
      <c r="O100" s="26" t="str">
        <f t="shared" si="18"/>
        <v>June</v>
      </c>
      <c r="P100" s="25">
        <f t="shared" si="19"/>
        <v>40</v>
      </c>
      <c r="Q100" s="27">
        <f t="shared" si="20"/>
        <v>25</v>
      </c>
      <c r="R100" s="26" t="b">
        <f t="shared" si="21"/>
        <v>0</v>
      </c>
      <c r="S100" s="28" t="str">
        <f t="shared" si="22"/>
        <v>GROWTH</v>
      </c>
      <c r="T100" s="24">
        <v>60</v>
      </c>
      <c r="U100" s="29" t="str">
        <f t="shared" si="23"/>
        <v>May</v>
      </c>
      <c r="V100" s="24">
        <f t="shared" si="24"/>
        <v>60</v>
      </c>
      <c r="W100" s="30">
        <f t="shared" si="25"/>
        <v>5</v>
      </c>
      <c r="X100" s="31" t="b">
        <f t="shared" si="26"/>
        <v>0</v>
      </c>
      <c r="Y100" s="32" t="str">
        <f t="shared" si="27"/>
        <v>GROWTH</v>
      </c>
      <c r="Z100" s="41">
        <v>0</v>
      </c>
      <c r="AA100" s="36"/>
      <c r="AB100" s="36" t="s">
        <v>24</v>
      </c>
      <c r="AC100" s="36" t="s">
        <v>24</v>
      </c>
      <c r="AD100" s="34"/>
      <c r="AE100" s="35">
        <f>IFERROR(INDEX([1]Last6M_AvgSales_Ref!$B$2:$B$12659,MATCH(D100,[1]Last6M_AvgSales_Ref!$A$2:$A$12659,0)),"")</f>
        <v>70.25</v>
      </c>
    </row>
    <row r="101" spans="1:31" ht="14.25" customHeight="1" x14ac:dyDescent="0.3">
      <c r="A101" s="36" t="s">
        <v>24</v>
      </c>
      <c r="B101" s="37" t="s">
        <v>177</v>
      </c>
      <c r="C101" s="38" t="s">
        <v>228</v>
      </c>
      <c r="D101" s="38">
        <v>1000002619</v>
      </c>
      <c r="E101" s="39" t="s">
        <v>229</v>
      </c>
      <c r="F101" s="40">
        <v>44628</v>
      </c>
      <c r="G101" s="22" t="str">
        <f t="shared" si="14"/>
        <v>Targeted Dealer</v>
      </c>
      <c r="H101" s="22"/>
      <c r="I101" s="23">
        <v>60</v>
      </c>
      <c r="J101" s="23">
        <f t="shared" si="15"/>
        <v>60</v>
      </c>
      <c r="K101" s="24">
        <v>80</v>
      </c>
      <c r="L101" s="24">
        <f t="shared" si="16"/>
        <v>-20</v>
      </c>
      <c r="M101" s="24">
        <f t="shared" si="17"/>
        <v>133.33333333333334</v>
      </c>
      <c r="N101" s="25">
        <v>60</v>
      </c>
      <c r="O101" s="26" t="str">
        <f t="shared" si="18"/>
        <v>June</v>
      </c>
      <c r="P101" s="25">
        <f t="shared" si="19"/>
        <v>60</v>
      </c>
      <c r="Q101" s="27">
        <f t="shared" si="20"/>
        <v>20</v>
      </c>
      <c r="R101" s="26" t="b">
        <f t="shared" si="21"/>
        <v>0</v>
      </c>
      <c r="S101" s="28" t="str">
        <f t="shared" si="22"/>
        <v>GROWTH</v>
      </c>
      <c r="T101" s="24">
        <v>20</v>
      </c>
      <c r="U101" s="29" t="str">
        <f t="shared" si="23"/>
        <v>May</v>
      </c>
      <c r="V101" s="24">
        <f t="shared" si="24"/>
        <v>20</v>
      </c>
      <c r="W101" s="30">
        <f t="shared" si="25"/>
        <v>60</v>
      </c>
      <c r="X101" s="31" t="b">
        <f t="shared" si="26"/>
        <v>0</v>
      </c>
      <c r="Y101" s="32" t="str">
        <f t="shared" si="27"/>
        <v>GROWTH</v>
      </c>
      <c r="Z101" s="41">
        <v>0</v>
      </c>
      <c r="AA101" s="36"/>
      <c r="AB101" s="36" t="s">
        <v>24</v>
      </c>
      <c r="AC101" s="36" t="s">
        <v>24</v>
      </c>
      <c r="AD101" s="34"/>
      <c r="AE101" s="35">
        <f>IFERROR(INDEX([1]Last6M_AvgSales_Ref!$B$2:$B$12659,MATCH(D101,[1]Last6M_AvgSales_Ref!$A$2:$A$12659,0)),"")</f>
        <v>72.6666666666667</v>
      </c>
    </row>
    <row r="102" spans="1:31" ht="14.25" customHeight="1" x14ac:dyDescent="0.3">
      <c r="A102" s="36" t="s">
        <v>24</v>
      </c>
      <c r="B102" s="37" t="s">
        <v>177</v>
      </c>
      <c r="C102" s="38" t="s">
        <v>230</v>
      </c>
      <c r="D102" s="38">
        <v>1000002761</v>
      </c>
      <c r="E102" s="39" t="s">
        <v>231</v>
      </c>
      <c r="F102" s="40">
        <v>44706</v>
      </c>
      <c r="G102" s="22" t="str">
        <f t="shared" si="14"/>
        <v>Targeted Dealer</v>
      </c>
      <c r="H102" s="22"/>
      <c r="I102" s="23">
        <v>80</v>
      </c>
      <c r="J102" s="23">
        <f t="shared" si="15"/>
        <v>80</v>
      </c>
      <c r="K102" s="24">
        <v>45</v>
      </c>
      <c r="L102" s="24">
        <f t="shared" si="16"/>
        <v>35</v>
      </c>
      <c r="M102" s="24">
        <f t="shared" si="17"/>
        <v>56.25</v>
      </c>
      <c r="N102" s="25">
        <v>20</v>
      </c>
      <c r="O102" s="26" t="str">
        <f t="shared" si="18"/>
        <v>June</v>
      </c>
      <c r="P102" s="25">
        <f t="shared" si="19"/>
        <v>20</v>
      </c>
      <c r="Q102" s="27">
        <f t="shared" si="20"/>
        <v>25</v>
      </c>
      <c r="R102" s="26" t="b">
        <f t="shared" si="21"/>
        <v>0</v>
      </c>
      <c r="S102" s="28" t="str">
        <f t="shared" si="22"/>
        <v>GROWTH</v>
      </c>
      <c r="T102" s="24">
        <v>60</v>
      </c>
      <c r="U102" s="29" t="str">
        <f t="shared" si="23"/>
        <v>May</v>
      </c>
      <c r="V102" s="24">
        <f t="shared" si="24"/>
        <v>60</v>
      </c>
      <c r="W102" s="30">
        <f t="shared" si="25"/>
        <v>-15</v>
      </c>
      <c r="X102" s="31" t="b">
        <f t="shared" si="26"/>
        <v>0</v>
      </c>
      <c r="Y102" s="32" t="str">
        <f t="shared" si="27"/>
        <v>GROWTH</v>
      </c>
      <c r="Z102" s="41">
        <v>0</v>
      </c>
      <c r="AA102" s="36"/>
      <c r="AB102" s="36" t="s">
        <v>24</v>
      </c>
      <c r="AC102" s="36" t="s">
        <v>24</v>
      </c>
      <c r="AD102" s="34"/>
      <c r="AE102" s="35">
        <f>IFERROR(INDEX([1]Last6M_AvgSales_Ref!$B$2:$B$12659,MATCH(D102,[1]Last6M_AvgSales_Ref!$A$2:$A$12659,0)),"")</f>
        <v>69.1666666666667</v>
      </c>
    </row>
    <row r="103" spans="1:31" ht="14.25" customHeight="1" x14ac:dyDescent="0.3">
      <c r="A103" s="36" t="s">
        <v>24</v>
      </c>
      <c r="B103" s="37" t="s">
        <v>174</v>
      </c>
      <c r="C103" s="38" t="s">
        <v>232</v>
      </c>
      <c r="D103" s="38">
        <v>1000003193</v>
      </c>
      <c r="E103" s="39" t="s">
        <v>233</v>
      </c>
      <c r="F103" s="40">
        <v>44924</v>
      </c>
      <c r="G103" s="22" t="str">
        <f t="shared" si="14"/>
        <v>Targeted Dealer</v>
      </c>
      <c r="H103" s="22"/>
      <c r="I103" s="23">
        <v>20</v>
      </c>
      <c r="J103" s="23">
        <f t="shared" si="15"/>
        <v>20</v>
      </c>
      <c r="K103" s="24">
        <v>0</v>
      </c>
      <c r="L103" s="24">
        <f t="shared" si="16"/>
        <v>20</v>
      </c>
      <c r="M103" s="24">
        <f t="shared" si="17"/>
        <v>0</v>
      </c>
      <c r="N103" s="25">
        <v>24.5</v>
      </c>
      <c r="O103" s="26" t="str">
        <f t="shared" si="18"/>
        <v>June</v>
      </c>
      <c r="P103" s="25">
        <f t="shared" si="19"/>
        <v>24.5</v>
      </c>
      <c r="Q103" s="27">
        <f t="shared" si="20"/>
        <v>-24.5</v>
      </c>
      <c r="R103" s="26" t="b">
        <f t="shared" si="21"/>
        <v>0</v>
      </c>
      <c r="S103" s="28" t="str">
        <f t="shared" si="22"/>
        <v>GROWTH</v>
      </c>
      <c r="T103" s="24">
        <v>48</v>
      </c>
      <c r="U103" s="29" t="str">
        <f t="shared" si="23"/>
        <v>May</v>
      </c>
      <c r="V103" s="24">
        <f t="shared" si="24"/>
        <v>48</v>
      </c>
      <c r="W103" s="30">
        <f t="shared" si="25"/>
        <v>-48</v>
      </c>
      <c r="X103" s="31" t="b">
        <f t="shared" si="26"/>
        <v>0</v>
      </c>
      <c r="Y103" s="32" t="str">
        <f t="shared" si="27"/>
        <v>GROWTH</v>
      </c>
      <c r="Z103" s="41">
        <v>0</v>
      </c>
      <c r="AA103" s="36"/>
      <c r="AB103" s="36" t="s">
        <v>24</v>
      </c>
      <c r="AC103" s="36" t="s">
        <v>24</v>
      </c>
      <c r="AD103" s="34"/>
      <c r="AE103" s="35">
        <f>IFERROR(INDEX([1]Last6M_AvgSales_Ref!$B$2:$B$12659,MATCH(D103,[1]Last6M_AvgSales_Ref!$A$2:$A$12659,0)),"")</f>
        <v>57.75</v>
      </c>
    </row>
    <row r="104" spans="1:31" ht="14.25" customHeight="1" x14ac:dyDescent="0.3">
      <c r="A104" s="36" t="s">
        <v>24</v>
      </c>
      <c r="B104" s="37" t="s">
        <v>177</v>
      </c>
      <c r="C104" s="38" t="s">
        <v>234</v>
      </c>
      <c r="D104" s="38">
        <v>1000003508</v>
      </c>
      <c r="E104" s="38" t="s">
        <v>235</v>
      </c>
      <c r="F104" s="40">
        <v>45046</v>
      </c>
      <c r="G104" s="22" t="str">
        <f t="shared" si="14"/>
        <v>Targeted Dealer</v>
      </c>
      <c r="H104" s="22"/>
      <c r="I104" s="23">
        <v>210</v>
      </c>
      <c r="J104" s="23">
        <f t="shared" si="15"/>
        <v>210</v>
      </c>
      <c r="K104" s="24">
        <v>205</v>
      </c>
      <c r="L104" s="24">
        <f t="shared" si="16"/>
        <v>5</v>
      </c>
      <c r="M104" s="24">
        <f t="shared" si="17"/>
        <v>97.61904761904762</v>
      </c>
      <c r="N104" s="25">
        <v>205</v>
      </c>
      <c r="O104" s="26" t="str">
        <f t="shared" si="18"/>
        <v>June</v>
      </c>
      <c r="P104" s="25">
        <f t="shared" si="19"/>
        <v>205</v>
      </c>
      <c r="Q104" s="27">
        <f t="shared" si="20"/>
        <v>0</v>
      </c>
      <c r="R104" s="26" t="b">
        <f t="shared" si="21"/>
        <v>0</v>
      </c>
      <c r="S104" s="28" t="str">
        <f t="shared" si="22"/>
        <v>GROWTH</v>
      </c>
      <c r="T104" s="24">
        <v>200</v>
      </c>
      <c r="U104" s="29" t="str">
        <f t="shared" si="23"/>
        <v>May</v>
      </c>
      <c r="V104" s="24">
        <f t="shared" si="24"/>
        <v>200</v>
      </c>
      <c r="W104" s="30">
        <f t="shared" si="25"/>
        <v>5</v>
      </c>
      <c r="X104" s="31" t="b">
        <f t="shared" si="26"/>
        <v>0</v>
      </c>
      <c r="Y104" s="32" t="str">
        <f t="shared" si="27"/>
        <v>GROWTH</v>
      </c>
      <c r="Z104" s="41">
        <v>0</v>
      </c>
      <c r="AA104" s="36"/>
      <c r="AB104" s="36" t="s">
        <v>24</v>
      </c>
      <c r="AC104" s="36" t="s">
        <v>24</v>
      </c>
      <c r="AD104" s="34"/>
      <c r="AE104" s="35">
        <f>IFERROR(INDEX([1]Last6M_AvgSales_Ref!$B$2:$B$12659,MATCH(D104,[1]Last6M_AvgSales_Ref!$A$2:$A$12659,0)),"")</f>
        <v>214.5</v>
      </c>
    </row>
    <row r="105" spans="1:31" ht="14.25" customHeight="1" x14ac:dyDescent="0.3">
      <c r="A105" s="36" t="s">
        <v>24</v>
      </c>
      <c r="B105" s="37" t="s">
        <v>174</v>
      </c>
      <c r="C105" s="38" t="s">
        <v>236</v>
      </c>
      <c r="D105" s="38">
        <v>1000003525</v>
      </c>
      <c r="E105" s="38" t="s">
        <v>237</v>
      </c>
      <c r="F105" s="40">
        <v>45065</v>
      </c>
      <c r="G105" s="22" t="str">
        <f t="shared" si="14"/>
        <v>Targeted Dealer</v>
      </c>
      <c r="H105" s="22"/>
      <c r="I105" s="23">
        <v>100</v>
      </c>
      <c r="J105" s="23">
        <f t="shared" si="15"/>
        <v>100</v>
      </c>
      <c r="K105" s="24">
        <v>142.75</v>
      </c>
      <c r="L105" s="24">
        <f t="shared" si="16"/>
        <v>-42.75</v>
      </c>
      <c r="M105" s="24">
        <f t="shared" si="17"/>
        <v>142.75</v>
      </c>
      <c r="N105" s="25">
        <v>122.5</v>
      </c>
      <c r="O105" s="26" t="str">
        <f t="shared" si="18"/>
        <v>June</v>
      </c>
      <c r="P105" s="25">
        <f t="shared" si="19"/>
        <v>122.5</v>
      </c>
      <c r="Q105" s="27">
        <f t="shared" si="20"/>
        <v>20.25</v>
      </c>
      <c r="R105" s="26" t="b">
        <f t="shared" si="21"/>
        <v>0</v>
      </c>
      <c r="S105" s="28" t="str">
        <f t="shared" si="22"/>
        <v>GROWTH</v>
      </c>
      <c r="T105" s="24">
        <v>122.3</v>
      </c>
      <c r="U105" s="29" t="str">
        <f t="shared" si="23"/>
        <v>May</v>
      </c>
      <c r="V105" s="24">
        <f t="shared" si="24"/>
        <v>122.3</v>
      </c>
      <c r="W105" s="30">
        <f t="shared" si="25"/>
        <v>20.450000000000003</v>
      </c>
      <c r="X105" s="31" t="b">
        <f t="shared" si="26"/>
        <v>0</v>
      </c>
      <c r="Y105" s="32" t="str">
        <f t="shared" si="27"/>
        <v>GROWTH</v>
      </c>
      <c r="Z105" s="41">
        <v>0</v>
      </c>
      <c r="AA105" s="36"/>
      <c r="AB105" s="36" t="s">
        <v>24</v>
      </c>
      <c r="AC105" s="36" t="s">
        <v>24</v>
      </c>
      <c r="AD105" s="34"/>
      <c r="AE105" s="35">
        <f>IFERROR(INDEX([1]Last6M_AvgSales_Ref!$B$2:$B$12659,MATCH(D105,[1]Last6M_AvgSales_Ref!$A$2:$A$12659,0)),"")</f>
        <v>116.23333333333299</v>
      </c>
    </row>
    <row r="106" spans="1:31" ht="14.25" customHeight="1" x14ac:dyDescent="0.3">
      <c r="A106" s="36" t="s">
        <v>24</v>
      </c>
      <c r="B106" s="37" t="s">
        <v>174</v>
      </c>
      <c r="C106" s="38" t="s">
        <v>238</v>
      </c>
      <c r="D106" s="38">
        <v>1000003589</v>
      </c>
      <c r="E106" s="38" t="s">
        <v>239</v>
      </c>
      <c r="F106" s="40">
        <v>45084</v>
      </c>
      <c r="G106" s="22" t="str">
        <f t="shared" si="14"/>
        <v>Targeted Dealer</v>
      </c>
      <c r="H106" s="22"/>
      <c r="I106" s="23">
        <v>90</v>
      </c>
      <c r="J106" s="23">
        <f t="shared" si="15"/>
        <v>90</v>
      </c>
      <c r="K106" s="24">
        <v>120</v>
      </c>
      <c r="L106" s="24">
        <f t="shared" si="16"/>
        <v>-30</v>
      </c>
      <c r="M106" s="24">
        <f t="shared" si="17"/>
        <v>133.33333333333334</v>
      </c>
      <c r="N106" s="25">
        <v>50</v>
      </c>
      <c r="O106" s="26" t="str">
        <f t="shared" si="18"/>
        <v>June</v>
      </c>
      <c r="P106" s="25">
        <f t="shared" si="19"/>
        <v>50</v>
      </c>
      <c r="Q106" s="27">
        <f t="shared" si="20"/>
        <v>70</v>
      </c>
      <c r="R106" s="26" t="b">
        <f t="shared" si="21"/>
        <v>0</v>
      </c>
      <c r="S106" s="28" t="str">
        <f t="shared" si="22"/>
        <v>GROWTH</v>
      </c>
      <c r="T106" s="24">
        <v>100</v>
      </c>
      <c r="U106" s="29" t="str">
        <f t="shared" si="23"/>
        <v>May</v>
      </c>
      <c r="V106" s="24">
        <f t="shared" si="24"/>
        <v>100</v>
      </c>
      <c r="W106" s="30">
        <f t="shared" si="25"/>
        <v>20</v>
      </c>
      <c r="X106" s="31" t="b">
        <f t="shared" si="26"/>
        <v>0</v>
      </c>
      <c r="Y106" s="32" t="str">
        <f t="shared" si="27"/>
        <v>GROWTH</v>
      </c>
      <c r="Z106" s="41">
        <v>0</v>
      </c>
      <c r="AA106" s="36"/>
      <c r="AB106" s="36" t="s">
        <v>24</v>
      </c>
      <c r="AC106" s="36" t="s">
        <v>24</v>
      </c>
      <c r="AD106" s="34"/>
      <c r="AE106" s="35">
        <f>IFERROR(INDEX([1]Last6M_AvgSales_Ref!$B$2:$B$12659,MATCH(D106,[1]Last6M_AvgSales_Ref!$A$2:$A$12659,0)),"")</f>
        <v>116.25</v>
      </c>
    </row>
    <row r="107" spans="1:31" ht="14.25" customHeight="1" x14ac:dyDescent="0.3">
      <c r="A107" s="36" t="s">
        <v>24</v>
      </c>
      <c r="B107" s="37" t="s">
        <v>177</v>
      </c>
      <c r="C107" s="38" t="s">
        <v>240</v>
      </c>
      <c r="D107" s="38">
        <v>1000003599</v>
      </c>
      <c r="E107" s="38" t="s">
        <v>241</v>
      </c>
      <c r="F107" s="40">
        <v>45100</v>
      </c>
      <c r="G107" s="22" t="str">
        <f t="shared" si="14"/>
        <v>Targeted Dealer</v>
      </c>
      <c r="H107" s="22"/>
      <c r="I107" s="23">
        <v>120</v>
      </c>
      <c r="J107" s="23">
        <f t="shared" si="15"/>
        <v>120</v>
      </c>
      <c r="K107" s="24">
        <v>120</v>
      </c>
      <c r="L107" s="24">
        <f t="shared" si="16"/>
        <v>0</v>
      </c>
      <c r="M107" s="24">
        <f t="shared" si="17"/>
        <v>100</v>
      </c>
      <c r="N107" s="25">
        <v>40</v>
      </c>
      <c r="O107" s="26" t="str">
        <f t="shared" si="18"/>
        <v>June</v>
      </c>
      <c r="P107" s="25">
        <f t="shared" si="19"/>
        <v>40</v>
      </c>
      <c r="Q107" s="27">
        <f t="shared" si="20"/>
        <v>80</v>
      </c>
      <c r="R107" s="26" t="b">
        <f t="shared" si="21"/>
        <v>0</v>
      </c>
      <c r="S107" s="28" t="str">
        <f t="shared" si="22"/>
        <v>GROWTH</v>
      </c>
      <c r="T107" s="24">
        <v>100</v>
      </c>
      <c r="U107" s="29" t="str">
        <f t="shared" si="23"/>
        <v>May</v>
      </c>
      <c r="V107" s="24">
        <f t="shared" si="24"/>
        <v>100</v>
      </c>
      <c r="W107" s="30">
        <f t="shared" si="25"/>
        <v>20</v>
      </c>
      <c r="X107" s="31" t="b">
        <f t="shared" si="26"/>
        <v>0</v>
      </c>
      <c r="Y107" s="32" t="str">
        <f t="shared" si="27"/>
        <v>GROWTH</v>
      </c>
      <c r="Z107" s="41">
        <v>0</v>
      </c>
      <c r="AA107" s="36"/>
      <c r="AB107" s="36" t="s">
        <v>24</v>
      </c>
      <c r="AC107" s="36" t="s">
        <v>24</v>
      </c>
      <c r="AD107" s="34"/>
      <c r="AE107" s="35">
        <f>IFERROR(INDEX([1]Last6M_AvgSales_Ref!$B$2:$B$12659,MATCH(D107,[1]Last6M_AvgSales_Ref!$A$2:$A$12659,0)),"")</f>
        <v>97.5</v>
      </c>
    </row>
    <row r="108" spans="1:31" ht="14.25" customHeight="1" x14ac:dyDescent="0.3">
      <c r="A108" s="36" t="s">
        <v>24</v>
      </c>
      <c r="B108" s="37" t="s">
        <v>174</v>
      </c>
      <c r="C108" s="38" t="s">
        <v>242</v>
      </c>
      <c r="D108" s="38">
        <v>1000003635</v>
      </c>
      <c r="E108" s="38" t="s">
        <v>243</v>
      </c>
      <c r="F108" s="40">
        <v>45127</v>
      </c>
      <c r="G108" s="22" t="str">
        <f t="shared" si="14"/>
        <v>Targeted Dealer</v>
      </c>
      <c r="H108" s="22"/>
      <c r="I108" s="23">
        <v>40</v>
      </c>
      <c r="J108" s="23">
        <f t="shared" si="15"/>
        <v>40</v>
      </c>
      <c r="K108" s="24">
        <v>34</v>
      </c>
      <c r="L108" s="24">
        <f t="shared" si="16"/>
        <v>6</v>
      </c>
      <c r="M108" s="24">
        <f t="shared" si="17"/>
        <v>85</v>
      </c>
      <c r="N108" s="25">
        <v>20</v>
      </c>
      <c r="O108" s="26" t="str">
        <f t="shared" si="18"/>
        <v>June</v>
      </c>
      <c r="P108" s="25">
        <f t="shared" si="19"/>
        <v>20</v>
      </c>
      <c r="Q108" s="27">
        <f t="shared" si="20"/>
        <v>14</v>
      </c>
      <c r="R108" s="26" t="b">
        <f t="shared" si="21"/>
        <v>0</v>
      </c>
      <c r="S108" s="28" t="str">
        <f t="shared" si="22"/>
        <v>GROWTH</v>
      </c>
      <c r="T108" s="24">
        <v>20.5</v>
      </c>
      <c r="U108" s="29" t="str">
        <f t="shared" si="23"/>
        <v>May</v>
      </c>
      <c r="V108" s="24">
        <f t="shared" si="24"/>
        <v>20.5</v>
      </c>
      <c r="W108" s="30">
        <f t="shared" si="25"/>
        <v>13.5</v>
      </c>
      <c r="X108" s="31" t="b">
        <f t="shared" si="26"/>
        <v>0</v>
      </c>
      <c r="Y108" s="32" t="str">
        <f t="shared" si="27"/>
        <v>GROWTH</v>
      </c>
      <c r="Z108" s="41">
        <v>0</v>
      </c>
      <c r="AA108" s="36"/>
      <c r="AB108" s="36" t="s">
        <v>24</v>
      </c>
      <c r="AC108" s="36" t="s">
        <v>24</v>
      </c>
      <c r="AD108" s="34"/>
      <c r="AE108" s="35">
        <f>IFERROR(INDEX([1]Last6M_AvgSales_Ref!$B$2:$B$12659,MATCH(D108,[1]Last6M_AvgSales_Ref!$A$2:$A$12659,0)),"")</f>
        <v>54.975000000000001</v>
      </c>
    </row>
    <row r="109" spans="1:31" ht="14.25" customHeight="1" x14ac:dyDescent="0.3">
      <c r="A109" s="36" t="s">
        <v>24</v>
      </c>
      <c r="B109" s="37" t="s">
        <v>174</v>
      </c>
      <c r="C109" s="38" t="s">
        <v>244</v>
      </c>
      <c r="D109" s="38">
        <v>1000003663</v>
      </c>
      <c r="E109" s="38" t="s">
        <v>245</v>
      </c>
      <c r="F109" s="40">
        <v>45135</v>
      </c>
      <c r="G109" s="22" t="str">
        <f t="shared" si="14"/>
        <v>Targeted Dealer</v>
      </c>
      <c r="H109" s="22"/>
      <c r="I109" s="23">
        <v>100</v>
      </c>
      <c r="J109" s="23">
        <f t="shared" si="15"/>
        <v>100</v>
      </c>
      <c r="K109" s="24">
        <v>125.5</v>
      </c>
      <c r="L109" s="24">
        <f t="shared" si="16"/>
        <v>-25.5</v>
      </c>
      <c r="M109" s="24">
        <f t="shared" si="17"/>
        <v>125.5</v>
      </c>
      <c r="N109" s="25">
        <v>65.5</v>
      </c>
      <c r="O109" s="26" t="str">
        <f t="shared" si="18"/>
        <v>June</v>
      </c>
      <c r="P109" s="25">
        <f t="shared" si="19"/>
        <v>65.5</v>
      </c>
      <c r="Q109" s="27">
        <f t="shared" si="20"/>
        <v>60</v>
      </c>
      <c r="R109" s="26" t="b">
        <f t="shared" si="21"/>
        <v>0</v>
      </c>
      <c r="S109" s="28" t="str">
        <f t="shared" si="22"/>
        <v>GROWTH</v>
      </c>
      <c r="T109" s="24">
        <v>36</v>
      </c>
      <c r="U109" s="29" t="str">
        <f t="shared" si="23"/>
        <v>May</v>
      </c>
      <c r="V109" s="24">
        <f t="shared" si="24"/>
        <v>36</v>
      </c>
      <c r="W109" s="30">
        <f t="shared" si="25"/>
        <v>89.5</v>
      </c>
      <c r="X109" s="31" t="b">
        <f t="shared" si="26"/>
        <v>0</v>
      </c>
      <c r="Y109" s="32" t="str">
        <f t="shared" si="27"/>
        <v>GROWTH</v>
      </c>
      <c r="Z109" s="41">
        <v>0</v>
      </c>
      <c r="AA109" s="36"/>
      <c r="AB109" s="36" t="s">
        <v>24</v>
      </c>
      <c r="AC109" s="36" t="s">
        <v>24</v>
      </c>
      <c r="AD109" s="34"/>
      <c r="AE109" s="35">
        <f>IFERROR(INDEX([1]Last6M_AvgSales_Ref!$B$2:$B$12659,MATCH(D109,[1]Last6M_AvgSales_Ref!$A$2:$A$12659,0)),"")</f>
        <v>106.375</v>
      </c>
    </row>
    <row r="110" spans="1:31" ht="14.25" customHeight="1" x14ac:dyDescent="0.3">
      <c r="A110" s="36" t="s">
        <v>24</v>
      </c>
      <c r="B110" s="37" t="s">
        <v>174</v>
      </c>
      <c r="C110" s="38" t="s">
        <v>246</v>
      </c>
      <c r="D110" s="38">
        <v>1000003702</v>
      </c>
      <c r="E110" s="38" t="s">
        <v>247</v>
      </c>
      <c r="F110" s="40">
        <v>45171</v>
      </c>
      <c r="G110" s="22" t="str">
        <f t="shared" si="14"/>
        <v>Targeted Dealer</v>
      </c>
      <c r="H110" s="22"/>
      <c r="I110" s="23">
        <v>90</v>
      </c>
      <c r="J110" s="23">
        <f t="shared" si="15"/>
        <v>90</v>
      </c>
      <c r="K110" s="24">
        <v>101.5</v>
      </c>
      <c r="L110" s="24">
        <f t="shared" si="16"/>
        <v>-11.5</v>
      </c>
      <c r="M110" s="24">
        <f t="shared" si="17"/>
        <v>112.77777777777777</v>
      </c>
      <c r="N110" s="25">
        <v>53.25</v>
      </c>
      <c r="O110" s="26" t="str">
        <f t="shared" si="18"/>
        <v>June</v>
      </c>
      <c r="P110" s="25">
        <f t="shared" si="19"/>
        <v>53.25</v>
      </c>
      <c r="Q110" s="27">
        <f t="shared" si="20"/>
        <v>48.25</v>
      </c>
      <c r="R110" s="26" t="b">
        <f t="shared" si="21"/>
        <v>0</v>
      </c>
      <c r="S110" s="28" t="str">
        <f t="shared" si="22"/>
        <v>GROWTH</v>
      </c>
      <c r="T110" s="24">
        <v>85.5</v>
      </c>
      <c r="U110" s="29" t="str">
        <f t="shared" si="23"/>
        <v>May</v>
      </c>
      <c r="V110" s="24">
        <f t="shared" si="24"/>
        <v>85.5</v>
      </c>
      <c r="W110" s="30">
        <f t="shared" si="25"/>
        <v>16</v>
      </c>
      <c r="X110" s="31" t="b">
        <f t="shared" si="26"/>
        <v>0</v>
      </c>
      <c r="Y110" s="32" t="str">
        <f t="shared" si="27"/>
        <v>GROWTH</v>
      </c>
      <c r="Z110" s="41">
        <v>0</v>
      </c>
      <c r="AA110" s="36"/>
      <c r="AB110" s="36" t="s">
        <v>24</v>
      </c>
      <c r="AC110" s="36" t="s">
        <v>24</v>
      </c>
      <c r="AD110" s="34"/>
      <c r="AE110" s="35">
        <f>IFERROR(INDEX([1]Last6M_AvgSales_Ref!$B$2:$B$12659,MATCH(D110,[1]Last6M_AvgSales_Ref!$A$2:$A$12659,0)),"")</f>
        <v>109.583333333333</v>
      </c>
    </row>
    <row r="111" spans="1:31" ht="14.25" customHeight="1" x14ac:dyDescent="0.3">
      <c r="A111" s="41" t="s">
        <v>24</v>
      </c>
      <c r="B111" s="37" t="s">
        <v>177</v>
      </c>
      <c r="C111" s="44" t="s">
        <v>248</v>
      </c>
      <c r="D111" s="44">
        <v>1000003841</v>
      </c>
      <c r="E111" s="44" t="s">
        <v>249</v>
      </c>
      <c r="F111" s="45">
        <v>45321</v>
      </c>
      <c r="G111" s="22" t="str">
        <f t="shared" si="14"/>
        <v>Targeted Dealer</v>
      </c>
      <c r="H111" s="22"/>
      <c r="I111" s="23">
        <v>120</v>
      </c>
      <c r="J111" s="23">
        <f t="shared" si="15"/>
        <v>120</v>
      </c>
      <c r="K111" s="24">
        <v>135</v>
      </c>
      <c r="L111" s="24">
        <f t="shared" si="16"/>
        <v>-15</v>
      </c>
      <c r="M111" s="24">
        <f t="shared" si="17"/>
        <v>112.5</v>
      </c>
      <c r="N111" s="25">
        <v>0</v>
      </c>
      <c r="O111" s="26" t="str">
        <f t="shared" si="18"/>
        <v>June</v>
      </c>
      <c r="P111" s="25">
        <f t="shared" si="19"/>
        <v>0</v>
      </c>
      <c r="Q111" s="27">
        <f t="shared" si="20"/>
        <v>135</v>
      </c>
      <c r="R111" s="26" t="b">
        <f t="shared" si="21"/>
        <v>0</v>
      </c>
      <c r="S111" s="28" t="b">
        <f t="shared" si="22"/>
        <v>0</v>
      </c>
      <c r="T111" s="24">
        <v>100</v>
      </c>
      <c r="U111" s="29" t="str">
        <f t="shared" si="23"/>
        <v>May</v>
      </c>
      <c r="V111" s="24">
        <f t="shared" si="24"/>
        <v>100</v>
      </c>
      <c r="W111" s="30">
        <f t="shared" si="25"/>
        <v>35</v>
      </c>
      <c r="X111" s="31" t="b">
        <f t="shared" si="26"/>
        <v>0</v>
      </c>
      <c r="Y111" s="32" t="str">
        <f t="shared" si="27"/>
        <v>GROWTH</v>
      </c>
      <c r="Z111" s="41">
        <v>0</v>
      </c>
      <c r="AA111" s="36"/>
      <c r="AB111" s="36" t="s">
        <v>24</v>
      </c>
      <c r="AC111" s="41" t="s">
        <v>24</v>
      </c>
      <c r="AD111" s="34"/>
      <c r="AE111" s="35">
        <f>IFERROR(INDEX([1]Last6M_AvgSales_Ref!$B$2:$B$12659,MATCH(D111,[1]Last6M_AvgSales_Ref!$A$2:$A$12659,0)),"")</f>
        <v>99.1666666666667</v>
      </c>
    </row>
    <row r="112" spans="1:31" ht="14.25" customHeight="1" x14ac:dyDescent="0.3">
      <c r="A112" s="41" t="s">
        <v>24</v>
      </c>
      <c r="B112" s="37" t="s">
        <v>174</v>
      </c>
      <c r="C112" s="44" t="s">
        <v>250</v>
      </c>
      <c r="D112" s="44">
        <v>1000003864</v>
      </c>
      <c r="E112" s="44" t="s">
        <v>251</v>
      </c>
      <c r="F112" s="40">
        <v>45338</v>
      </c>
      <c r="G112" s="22" t="str">
        <f t="shared" si="14"/>
        <v>Targeted Dealer</v>
      </c>
      <c r="H112" s="22"/>
      <c r="I112" s="23">
        <v>80</v>
      </c>
      <c r="J112" s="23">
        <f t="shared" si="15"/>
        <v>80</v>
      </c>
      <c r="K112" s="24">
        <v>70</v>
      </c>
      <c r="L112" s="24">
        <f t="shared" si="16"/>
        <v>10</v>
      </c>
      <c r="M112" s="24">
        <f t="shared" si="17"/>
        <v>87.5</v>
      </c>
      <c r="N112" s="25">
        <v>69.5</v>
      </c>
      <c r="O112" s="26" t="str">
        <f t="shared" si="18"/>
        <v>June</v>
      </c>
      <c r="P112" s="25">
        <f t="shared" si="19"/>
        <v>69.5</v>
      </c>
      <c r="Q112" s="27">
        <f t="shared" si="20"/>
        <v>0.5</v>
      </c>
      <c r="R112" s="26" t="b">
        <f t="shared" si="21"/>
        <v>0</v>
      </c>
      <c r="S112" s="28" t="str">
        <f t="shared" si="22"/>
        <v>GROWTH</v>
      </c>
      <c r="T112" s="24">
        <v>80.25</v>
      </c>
      <c r="U112" s="29" t="str">
        <f t="shared" si="23"/>
        <v>May</v>
      </c>
      <c r="V112" s="24">
        <f t="shared" si="24"/>
        <v>80.25</v>
      </c>
      <c r="W112" s="30">
        <f t="shared" si="25"/>
        <v>-10.25</v>
      </c>
      <c r="X112" s="31" t="b">
        <f t="shared" si="26"/>
        <v>0</v>
      </c>
      <c r="Y112" s="32" t="str">
        <f t="shared" si="27"/>
        <v>GROWTH</v>
      </c>
      <c r="Z112" s="41">
        <v>0</v>
      </c>
      <c r="AA112" s="36"/>
      <c r="AB112" s="36" t="s">
        <v>24</v>
      </c>
      <c r="AC112" s="41" t="s">
        <v>24</v>
      </c>
      <c r="AD112" s="34"/>
      <c r="AE112" s="35">
        <f>IFERROR(INDEX([1]Last6M_AvgSales_Ref!$B$2:$B$12659,MATCH(D112,[1]Last6M_AvgSales_Ref!$A$2:$A$12659,0)),"")</f>
        <v>76.508333333333297</v>
      </c>
    </row>
    <row r="113" spans="1:31" ht="14.25" customHeight="1" x14ac:dyDescent="0.3">
      <c r="A113" s="41" t="s">
        <v>24</v>
      </c>
      <c r="B113" s="37" t="s">
        <v>177</v>
      </c>
      <c r="C113" s="44" t="s">
        <v>252</v>
      </c>
      <c r="D113" s="44">
        <v>1000003885</v>
      </c>
      <c r="E113" s="44" t="s">
        <v>253</v>
      </c>
      <c r="F113" s="40">
        <v>45359</v>
      </c>
      <c r="G113" s="22" t="str">
        <f t="shared" si="14"/>
        <v>Targeted Dealer</v>
      </c>
      <c r="H113" s="22"/>
      <c r="I113" s="23">
        <v>240</v>
      </c>
      <c r="J113" s="23">
        <f t="shared" si="15"/>
        <v>240</v>
      </c>
      <c r="K113" s="24">
        <v>200</v>
      </c>
      <c r="L113" s="24">
        <f t="shared" si="16"/>
        <v>40</v>
      </c>
      <c r="M113" s="24">
        <f t="shared" si="17"/>
        <v>83.333333333333343</v>
      </c>
      <c r="N113" s="25">
        <v>280</v>
      </c>
      <c r="O113" s="26" t="str">
        <f t="shared" si="18"/>
        <v>June</v>
      </c>
      <c r="P113" s="25">
        <f t="shared" si="19"/>
        <v>280</v>
      </c>
      <c r="Q113" s="27">
        <f t="shared" si="20"/>
        <v>-80</v>
      </c>
      <c r="R113" s="26" t="b">
        <f t="shared" si="21"/>
        <v>0</v>
      </c>
      <c r="S113" s="28" t="str">
        <f t="shared" si="22"/>
        <v>GROWTH</v>
      </c>
      <c r="T113" s="24">
        <v>240</v>
      </c>
      <c r="U113" s="29" t="str">
        <f t="shared" si="23"/>
        <v>May</v>
      </c>
      <c r="V113" s="24">
        <f t="shared" si="24"/>
        <v>240</v>
      </c>
      <c r="W113" s="30">
        <f t="shared" si="25"/>
        <v>-40</v>
      </c>
      <c r="X113" s="31" t="b">
        <f t="shared" si="26"/>
        <v>0</v>
      </c>
      <c r="Y113" s="32" t="str">
        <f t="shared" si="27"/>
        <v>GROWTH</v>
      </c>
      <c r="Z113" s="41">
        <v>0</v>
      </c>
      <c r="AA113" s="36"/>
      <c r="AB113" s="36" t="s">
        <v>24</v>
      </c>
      <c r="AC113" s="41" t="s">
        <v>24</v>
      </c>
      <c r="AD113" s="34"/>
      <c r="AE113" s="35">
        <f>IFERROR(INDEX([1]Last6M_AvgSales_Ref!$B$2:$B$12659,MATCH(D113,[1]Last6M_AvgSales_Ref!$A$2:$A$12659,0)),"")</f>
        <v>275</v>
      </c>
    </row>
    <row r="114" spans="1:31" ht="14.25" customHeight="1" x14ac:dyDescent="0.3">
      <c r="A114" s="41" t="s">
        <v>24</v>
      </c>
      <c r="B114" s="37" t="s">
        <v>174</v>
      </c>
      <c r="C114" s="44" t="s">
        <v>254</v>
      </c>
      <c r="D114" s="44">
        <v>1000003900</v>
      </c>
      <c r="E114" s="44" t="s">
        <v>255</v>
      </c>
      <c r="F114" s="40">
        <v>45381</v>
      </c>
      <c r="G114" s="22" t="str">
        <f t="shared" si="14"/>
        <v>Targeted Dealer</v>
      </c>
      <c r="H114" s="22"/>
      <c r="I114" s="23">
        <v>90</v>
      </c>
      <c r="J114" s="23">
        <f t="shared" si="15"/>
        <v>90</v>
      </c>
      <c r="K114" s="24">
        <v>120</v>
      </c>
      <c r="L114" s="24">
        <f t="shared" si="16"/>
        <v>-30</v>
      </c>
      <c r="M114" s="24">
        <f t="shared" si="17"/>
        <v>133.33333333333334</v>
      </c>
      <c r="N114" s="25">
        <v>135.5</v>
      </c>
      <c r="O114" s="26" t="str">
        <f t="shared" si="18"/>
        <v>June</v>
      </c>
      <c r="P114" s="25">
        <f t="shared" si="19"/>
        <v>135.5</v>
      </c>
      <c r="Q114" s="27">
        <f t="shared" si="20"/>
        <v>-15.5</v>
      </c>
      <c r="R114" s="26" t="b">
        <f t="shared" si="21"/>
        <v>0</v>
      </c>
      <c r="S114" s="28" t="str">
        <f t="shared" si="22"/>
        <v>GROWTH</v>
      </c>
      <c r="T114" s="24">
        <v>88</v>
      </c>
      <c r="U114" s="29" t="str">
        <f t="shared" si="23"/>
        <v>May</v>
      </c>
      <c r="V114" s="24">
        <f t="shared" si="24"/>
        <v>88</v>
      </c>
      <c r="W114" s="30">
        <f t="shared" si="25"/>
        <v>32</v>
      </c>
      <c r="X114" s="31" t="b">
        <f t="shared" si="26"/>
        <v>0</v>
      </c>
      <c r="Y114" s="32" t="str">
        <f t="shared" si="27"/>
        <v>GROWTH</v>
      </c>
      <c r="Z114" s="41">
        <v>0</v>
      </c>
      <c r="AA114" s="36"/>
      <c r="AB114" s="36" t="s">
        <v>24</v>
      </c>
      <c r="AC114" s="41" t="s">
        <v>24</v>
      </c>
      <c r="AD114" s="34"/>
      <c r="AE114" s="35">
        <f>IFERROR(INDEX([1]Last6M_AvgSales_Ref!$B$2:$B$12659,MATCH(D114,[1]Last6M_AvgSales_Ref!$A$2:$A$12659,0)),"")</f>
        <v>114</v>
      </c>
    </row>
    <row r="115" spans="1:31" ht="14.25" customHeight="1" x14ac:dyDescent="0.3">
      <c r="A115" s="41" t="s">
        <v>24</v>
      </c>
      <c r="B115" s="37" t="s">
        <v>174</v>
      </c>
      <c r="C115" s="44" t="s">
        <v>256</v>
      </c>
      <c r="D115" s="44">
        <v>1000003910</v>
      </c>
      <c r="E115" s="44" t="s">
        <v>257</v>
      </c>
      <c r="F115" s="40">
        <v>45400</v>
      </c>
      <c r="G115" s="22" t="str">
        <f t="shared" si="14"/>
        <v>Targeted Dealer</v>
      </c>
      <c r="H115" s="22"/>
      <c r="I115" s="23">
        <v>30</v>
      </c>
      <c r="J115" s="23">
        <f t="shared" si="15"/>
        <v>30</v>
      </c>
      <c r="K115" s="24">
        <v>28.5</v>
      </c>
      <c r="L115" s="24">
        <f t="shared" si="16"/>
        <v>1.5</v>
      </c>
      <c r="M115" s="24">
        <f t="shared" si="17"/>
        <v>95</v>
      </c>
      <c r="N115" s="25">
        <v>20.75</v>
      </c>
      <c r="O115" s="26" t="str">
        <f t="shared" si="18"/>
        <v>June</v>
      </c>
      <c r="P115" s="25">
        <f t="shared" si="19"/>
        <v>20.75</v>
      </c>
      <c r="Q115" s="27">
        <f t="shared" si="20"/>
        <v>7.75</v>
      </c>
      <c r="R115" s="26" t="b">
        <f t="shared" si="21"/>
        <v>0</v>
      </c>
      <c r="S115" s="28" t="str">
        <f t="shared" si="22"/>
        <v>GROWTH</v>
      </c>
      <c r="T115" s="24">
        <v>15.25</v>
      </c>
      <c r="U115" s="29" t="str">
        <f t="shared" si="23"/>
        <v>May</v>
      </c>
      <c r="V115" s="24">
        <f t="shared" si="24"/>
        <v>15.25</v>
      </c>
      <c r="W115" s="30">
        <f t="shared" si="25"/>
        <v>13.25</v>
      </c>
      <c r="X115" s="31" t="b">
        <f t="shared" si="26"/>
        <v>0</v>
      </c>
      <c r="Y115" s="32" t="str">
        <f t="shared" si="27"/>
        <v>GROWTH</v>
      </c>
      <c r="Z115" s="41">
        <v>0</v>
      </c>
      <c r="AA115" s="36"/>
      <c r="AB115" s="36" t="s">
        <v>24</v>
      </c>
      <c r="AC115" s="41" t="s">
        <v>24</v>
      </c>
      <c r="AD115" s="34"/>
      <c r="AE115" s="35">
        <f>IFERROR(INDEX([1]Last6M_AvgSales_Ref!$B$2:$B$12659,MATCH(D115,[1]Last6M_AvgSales_Ref!$A$2:$A$12659,0)),"")</f>
        <v>24.25</v>
      </c>
    </row>
    <row r="116" spans="1:31" ht="14.25" customHeight="1" x14ac:dyDescent="0.3">
      <c r="A116" s="41" t="s">
        <v>24</v>
      </c>
      <c r="B116" s="37" t="s">
        <v>174</v>
      </c>
      <c r="C116" s="44" t="s">
        <v>258</v>
      </c>
      <c r="D116" s="44">
        <v>1000003932</v>
      </c>
      <c r="E116" s="44" t="s">
        <v>259</v>
      </c>
      <c r="F116" s="40">
        <v>45412</v>
      </c>
      <c r="G116" s="22" t="str">
        <f t="shared" si="14"/>
        <v>Targeted Dealer</v>
      </c>
      <c r="H116" s="22"/>
      <c r="I116" s="23">
        <v>90</v>
      </c>
      <c r="J116" s="23">
        <f t="shared" si="15"/>
        <v>90</v>
      </c>
      <c r="K116" s="24">
        <v>126.25</v>
      </c>
      <c r="L116" s="24">
        <f t="shared" si="16"/>
        <v>-36.25</v>
      </c>
      <c r="M116" s="24">
        <f t="shared" si="17"/>
        <v>140.27777777777777</v>
      </c>
      <c r="N116" s="25">
        <v>90.15</v>
      </c>
      <c r="O116" s="26" t="str">
        <f t="shared" si="18"/>
        <v>June</v>
      </c>
      <c r="P116" s="25">
        <f t="shared" si="19"/>
        <v>90.15</v>
      </c>
      <c r="Q116" s="27">
        <f t="shared" si="20"/>
        <v>36.099999999999994</v>
      </c>
      <c r="R116" s="26" t="b">
        <f t="shared" si="21"/>
        <v>0</v>
      </c>
      <c r="S116" s="28" t="str">
        <f t="shared" si="22"/>
        <v>GROWTH</v>
      </c>
      <c r="T116" s="24">
        <v>66.5</v>
      </c>
      <c r="U116" s="29" t="str">
        <f t="shared" si="23"/>
        <v>May</v>
      </c>
      <c r="V116" s="24">
        <f t="shared" si="24"/>
        <v>66.5</v>
      </c>
      <c r="W116" s="30">
        <f t="shared" si="25"/>
        <v>59.75</v>
      </c>
      <c r="X116" s="31" t="b">
        <f t="shared" si="26"/>
        <v>0</v>
      </c>
      <c r="Y116" s="32" t="str">
        <f t="shared" si="27"/>
        <v>GROWTH</v>
      </c>
      <c r="Z116" s="41">
        <v>0</v>
      </c>
      <c r="AA116" s="36"/>
      <c r="AB116" s="36" t="s">
        <v>24</v>
      </c>
      <c r="AC116" s="41" t="s">
        <v>24</v>
      </c>
      <c r="AD116" s="34"/>
      <c r="AE116" s="35">
        <f>IFERROR(INDEX([1]Last6M_AvgSales_Ref!$B$2:$B$12659,MATCH(D116,[1]Last6M_AvgSales_Ref!$A$2:$A$12659,0)),"")</f>
        <v>88.4583333333333</v>
      </c>
    </row>
    <row r="117" spans="1:31" ht="14.25" customHeight="1" x14ac:dyDescent="0.3">
      <c r="A117" s="41" t="s">
        <v>24</v>
      </c>
      <c r="B117" s="37" t="s">
        <v>177</v>
      </c>
      <c r="C117" s="44" t="s">
        <v>260</v>
      </c>
      <c r="D117" s="44">
        <v>1000003995</v>
      </c>
      <c r="E117" s="44" t="s">
        <v>261</v>
      </c>
      <c r="F117" s="40">
        <v>45446</v>
      </c>
      <c r="G117" s="22" t="str">
        <f t="shared" si="14"/>
        <v>Targeted Dealer</v>
      </c>
      <c r="H117" s="22"/>
      <c r="I117" s="23">
        <v>140</v>
      </c>
      <c r="J117" s="23">
        <f t="shared" si="15"/>
        <v>140</v>
      </c>
      <c r="K117" s="24">
        <v>115</v>
      </c>
      <c r="L117" s="24">
        <f t="shared" si="16"/>
        <v>25</v>
      </c>
      <c r="M117" s="24">
        <f t="shared" si="17"/>
        <v>82.142857142857153</v>
      </c>
      <c r="N117" s="25">
        <v>160</v>
      </c>
      <c r="O117" s="26" t="str">
        <f t="shared" si="18"/>
        <v>June</v>
      </c>
      <c r="P117" s="25">
        <f t="shared" si="19"/>
        <v>160</v>
      </c>
      <c r="Q117" s="27">
        <f t="shared" si="20"/>
        <v>-45</v>
      </c>
      <c r="R117" s="26" t="b">
        <f t="shared" si="21"/>
        <v>0</v>
      </c>
      <c r="S117" s="28" t="str">
        <f t="shared" si="22"/>
        <v>GROWTH</v>
      </c>
      <c r="T117" s="24">
        <v>80</v>
      </c>
      <c r="U117" s="29" t="str">
        <f t="shared" si="23"/>
        <v>May</v>
      </c>
      <c r="V117" s="24">
        <f t="shared" si="24"/>
        <v>80</v>
      </c>
      <c r="W117" s="30">
        <f t="shared" si="25"/>
        <v>35</v>
      </c>
      <c r="X117" s="31" t="b">
        <f t="shared" si="26"/>
        <v>0</v>
      </c>
      <c r="Y117" s="32" t="str">
        <f t="shared" si="27"/>
        <v>GROWTH</v>
      </c>
      <c r="Z117" s="41">
        <v>0</v>
      </c>
      <c r="AA117" s="36"/>
      <c r="AB117" s="36" t="s">
        <v>24</v>
      </c>
      <c r="AC117" s="41" t="s">
        <v>24</v>
      </c>
      <c r="AD117" s="34"/>
      <c r="AE117" s="35">
        <f>IFERROR(INDEX([1]Last6M_AvgSales_Ref!$B$2:$B$12659,MATCH(D117,[1]Last6M_AvgSales_Ref!$A$2:$A$12659,0)),"")</f>
        <v>178.666666666667</v>
      </c>
    </row>
    <row r="118" spans="1:31" ht="14.25" customHeight="1" x14ac:dyDescent="0.3">
      <c r="A118" s="41" t="s">
        <v>24</v>
      </c>
      <c r="B118" s="37" t="s">
        <v>174</v>
      </c>
      <c r="C118" s="44" t="s">
        <v>262</v>
      </c>
      <c r="D118" s="44">
        <v>1000004005</v>
      </c>
      <c r="E118" s="44" t="s">
        <v>263</v>
      </c>
      <c r="F118" s="40">
        <v>45454</v>
      </c>
      <c r="G118" s="22" t="str">
        <f t="shared" si="14"/>
        <v>Targeted Dealer</v>
      </c>
      <c r="H118" s="22"/>
      <c r="I118" s="23">
        <v>80</v>
      </c>
      <c r="J118" s="23">
        <f t="shared" si="15"/>
        <v>80</v>
      </c>
      <c r="K118" s="24">
        <v>83.5</v>
      </c>
      <c r="L118" s="24">
        <f t="shared" si="16"/>
        <v>-3.5</v>
      </c>
      <c r="M118" s="24">
        <f t="shared" si="17"/>
        <v>104.375</v>
      </c>
      <c r="N118" s="25">
        <v>78.5</v>
      </c>
      <c r="O118" s="26" t="str">
        <f t="shared" si="18"/>
        <v>June</v>
      </c>
      <c r="P118" s="25">
        <f t="shared" si="19"/>
        <v>78.5</v>
      </c>
      <c r="Q118" s="27">
        <f t="shared" si="20"/>
        <v>5</v>
      </c>
      <c r="R118" s="26" t="b">
        <f t="shared" si="21"/>
        <v>0</v>
      </c>
      <c r="S118" s="28" t="str">
        <f t="shared" si="22"/>
        <v>GROWTH</v>
      </c>
      <c r="T118" s="24">
        <v>48.5</v>
      </c>
      <c r="U118" s="29" t="str">
        <f t="shared" si="23"/>
        <v>May</v>
      </c>
      <c r="V118" s="24">
        <f t="shared" si="24"/>
        <v>48.5</v>
      </c>
      <c r="W118" s="30">
        <f t="shared" si="25"/>
        <v>35</v>
      </c>
      <c r="X118" s="31" t="b">
        <f t="shared" si="26"/>
        <v>0</v>
      </c>
      <c r="Y118" s="32" t="str">
        <f t="shared" si="27"/>
        <v>GROWTH</v>
      </c>
      <c r="Z118" s="41">
        <v>0</v>
      </c>
      <c r="AA118" s="36"/>
      <c r="AB118" s="36" t="s">
        <v>24</v>
      </c>
      <c r="AC118" s="41" t="s">
        <v>24</v>
      </c>
      <c r="AD118" s="34"/>
      <c r="AE118" s="35">
        <f>IFERROR(INDEX([1]Last6M_AvgSales_Ref!$B$2:$B$12659,MATCH(D118,[1]Last6M_AvgSales_Ref!$A$2:$A$12659,0)),"")</f>
        <v>101.916666666667</v>
      </c>
    </row>
    <row r="119" spans="1:31" ht="14.25" customHeight="1" x14ac:dyDescent="0.3">
      <c r="A119" s="36" t="s">
        <v>24</v>
      </c>
      <c r="B119" s="37" t="s">
        <v>264</v>
      </c>
      <c r="C119" s="38" t="s">
        <v>265</v>
      </c>
      <c r="D119" s="38">
        <v>1000000476</v>
      </c>
      <c r="E119" s="39" t="s">
        <v>266</v>
      </c>
      <c r="F119" s="40">
        <v>38768</v>
      </c>
      <c r="G119" s="22" t="str">
        <f t="shared" si="14"/>
        <v>Targeted Dealer</v>
      </c>
      <c r="H119" s="22"/>
      <c r="I119" s="23">
        <v>4660</v>
      </c>
      <c r="J119" s="23">
        <f t="shared" si="15"/>
        <v>4660</v>
      </c>
      <c r="K119" s="24">
        <v>5496.25</v>
      </c>
      <c r="L119" s="24">
        <f t="shared" si="16"/>
        <v>-836.25</v>
      </c>
      <c r="M119" s="24">
        <f t="shared" si="17"/>
        <v>117.94527896995707</v>
      </c>
      <c r="N119" s="25">
        <v>4527</v>
      </c>
      <c r="O119" s="26" t="str">
        <f t="shared" si="18"/>
        <v>June</v>
      </c>
      <c r="P119" s="25">
        <f t="shared" si="19"/>
        <v>4527</v>
      </c>
      <c r="Q119" s="27">
        <f t="shared" si="20"/>
        <v>969.25</v>
      </c>
      <c r="R119" s="26" t="b">
        <f t="shared" si="21"/>
        <v>0</v>
      </c>
      <c r="S119" s="28" t="str">
        <f t="shared" si="22"/>
        <v>GROWTH</v>
      </c>
      <c r="T119" s="24">
        <v>4375.45</v>
      </c>
      <c r="U119" s="29" t="str">
        <f t="shared" si="23"/>
        <v>May</v>
      </c>
      <c r="V119" s="24">
        <f t="shared" si="24"/>
        <v>4375.45</v>
      </c>
      <c r="W119" s="30">
        <f t="shared" si="25"/>
        <v>1120.8000000000002</v>
      </c>
      <c r="X119" s="31" t="b">
        <f t="shared" si="26"/>
        <v>0</v>
      </c>
      <c r="Y119" s="32" t="str">
        <f t="shared" si="27"/>
        <v>GROWTH</v>
      </c>
      <c r="Z119" s="41">
        <v>0</v>
      </c>
      <c r="AA119" s="36"/>
      <c r="AB119" s="36" t="s">
        <v>24</v>
      </c>
      <c r="AC119" s="36" t="s">
        <v>24</v>
      </c>
      <c r="AD119" s="34"/>
      <c r="AE119" s="35">
        <f>IFERROR(INDEX([1]Last6M_AvgSales_Ref!$B$2:$B$12659,MATCH(D119,[1]Last6M_AvgSales_Ref!$A$2:$A$12659,0)),"")</f>
        <v>6347.0749999999998</v>
      </c>
    </row>
    <row r="120" spans="1:31" ht="14.25" customHeight="1" x14ac:dyDescent="0.3">
      <c r="A120" s="36" t="s">
        <v>24</v>
      </c>
      <c r="B120" s="37" t="s">
        <v>264</v>
      </c>
      <c r="C120" s="38" t="s">
        <v>267</v>
      </c>
      <c r="D120" s="38">
        <v>1000000468</v>
      </c>
      <c r="E120" s="39" t="s">
        <v>268</v>
      </c>
      <c r="F120" s="40">
        <v>38904</v>
      </c>
      <c r="G120" s="22" t="str">
        <f t="shared" si="14"/>
        <v>Targeted Dealer</v>
      </c>
      <c r="H120" s="22"/>
      <c r="I120" s="23">
        <v>30</v>
      </c>
      <c r="J120" s="23">
        <f t="shared" si="15"/>
        <v>30</v>
      </c>
      <c r="K120" s="24">
        <v>0</v>
      </c>
      <c r="L120" s="24">
        <f t="shared" si="16"/>
        <v>30</v>
      </c>
      <c r="M120" s="24">
        <f t="shared" si="17"/>
        <v>0</v>
      </c>
      <c r="N120" s="25">
        <v>17.649999999999999</v>
      </c>
      <c r="O120" s="26" t="str">
        <f t="shared" si="18"/>
        <v>June</v>
      </c>
      <c r="P120" s="25">
        <f t="shared" si="19"/>
        <v>17.649999999999999</v>
      </c>
      <c r="Q120" s="27">
        <f t="shared" si="20"/>
        <v>-17.649999999999999</v>
      </c>
      <c r="R120" s="26" t="b">
        <f t="shared" si="21"/>
        <v>0</v>
      </c>
      <c r="S120" s="28" t="str">
        <f t="shared" si="22"/>
        <v>GROWTH</v>
      </c>
      <c r="T120" s="24">
        <v>30</v>
      </c>
      <c r="U120" s="29" t="str">
        <f t="shared" si="23"/>
        <v>May</v>
      </c>
      <c r="V120" s="24">
        <f t="shared" si="24"/>
        <v>30</v>
      </c>
      <c r="W120" s="30">
        <f t="shared" si="25"/>
        <v>-30</v>
      </c>
      <c r="X120" s="31" t="b">
        <f t="shared" si="26"/>
        <v>0</v>
      </c>
      <c r="Y120" s="32" t="str">
        <f t="shared" si="27"/>
        <v>GROWTH</v>
      </c>
      <c r="Z120" s="41">
        <v>0</v>
      </c>
      <c r="AA120" s="36"/>
      <c r="AB120" s="36" t="s">
        <v>24</v>
      </c>
      <c r="AC120" s="36" t="s">
        <v>24</v>
      </c>
      <c r="AD120" s="34"/>
      <c r="AE120" s="35">
        <f>IFERROR(INDEX([1]Last6M_AvgSales_Ref!$B$2:$B$12659,MATCH(D120,[1]Last6M_AvgSales_Ref!$A$2:$A$12659,0)),"")</f>
        <v>33.3333333333333</v>
      </c>
    </row>
    <row r="121" spans="1:31" ht="14.25" customHeight="1" x14ac:dyDescent="0.3">
      <c r="A121" s="36" t="s">
        <v>24</v>
      </c>
      <c r="B121" s="37" t="s">
        <v>269</v>
      </c>
      <c r="C121" s="38" t="s">
        <v>270</v>
      </c>
      <c r="D121" s="38">
        <v>1000000445</v>
      </c>
      <c r="E121" s="39" t="s">
        <v>271</v>
      </c>
      <c r="F121" s="40">
        <v>38923</v>
      </c>
      <c r="G121" s="22" t="str">
        <f t="shared" si="14"/>
        <v>Targeted Dealer</v>
      </c>
      <c r="H121" s="22"/>
      <c r="I121" s="23">
        <v>60</v>
      </c>
      <c r="J121" s="23">
        <f t="shared" si="15"/>
        <v>60</v>
      </c>
      <c r="K121" s="24">
        <v>45</v>
      </c>
      <c r="L121" s="24">
        <f t="shared" si="16"/>
        <v>15</v>
      </c>
      <c r="M121" s="24">
        <f t="shared" si="17"/>
        <v>75</v>
      </c>
      <c r="N121" s="25">
        <v>50</v>
      </c>
      <c r="O121" s="26" t="str">
        <f t="shared" si="18"/>
        <v>June</v>
      </c>
      <c r="P121" s="25">
        <f t="shared" si="19"/>
        <v>50</v>
      </c>
      <c r="Q121" s="27">
        <f t="shared" si="20"/>
        <v>-5</v>
      </c>
      <c r="R121" s="26" t="b">
        <f t="shared" si="21"/>
        <v>0</v>
      </c>
      <c r="S121" s="28" t="str">
        <f t="shared" si="22"/>
        <v>GROWTH</v>
      </c>
      <c r="T121" s="24">
        <v>70</v>
      </c>
      <c r="U121" s="29" t="str">
        <f t="shared" si="23"/>
        <v>May</v>
      </c>
      <c r="V121" s="24">
        <f t="shared" si="24"/>
        <v>70</v>
      </c>
      <c r="W121" s="30">
        <f t="shared" si="25"/>
        <v>-25</v>
      </c>
      <c r="X121" s="31" t="b">
        <f t="shared" si="26"/>
        <v>0</v>
      </c>
      <c r="Y121" s="32" t="str">
        <f t="shared" si="27"/>
        <v>GROWTH</v>
      </c>
      <c r="Z121" s="41">
        <v>0</v>
      </c>
      <c r="AA121" s="36"/>
      <c r="AB121" s="36" t="s">
        <v>24</v>
      </c>
      <c r="AC121" s="36" t="s">
        <v>24</v>
      </c>
      <c r="AD121" s="34"/>
      <c r="AE121" s="35">
        <f>IFERROR(INDEX([1]Last6M_AvgSales_Ref!$B$2:$B$12659,MATCH(D121,[1]Last6M_AvgSales_Ref!$A$2:$A$12659,0)),"")</f>
        <v>59.825000000000003</v>
      </c>
    </row>
    <row r="122" spans="1:31" ht="14.25" customHeight="1" x14ac:dyDescent="0.3">
      <c r="A122" s="36" t="s">
        <v>24</v>
      </c>
      <c r="B122" s="37" t="s">
        <v>269</v>
      </c>
      <c r="C122" s="38" t="s">
        <v>272</v>
      </c>
      <c r="D122" s="38">
        <v>1000000443</v>
      </c>
      <c r="E122" s="39" t="s">
        <v>273</v>
      </c>
      <c r="F122" s="40">
        <v>40054</v>
      </c>
      <c r="G122" s="22" t="str">
        <f t="shared" si="14"/>
        <v>Targeted Dealer</v>
      </c>
      <c r="H122" s="22"/>
      <c r="I122" s="23">
        <v>2670</v>
      </c>
      <c r="J122" s="23">
        <f t="shared" si="15"/>
        <v>2670</v>
      </c>
      <c r="K122" s="24">
        <v>3281.85</v>
      </c>
      <c r="L122" s="24">
        <f t="shared" si="16"/>
        <v>-611.84999999999991</v>
      </c>
      <c r="M122" s="24">
        <f t="shared" si="17"/>
        <v>122.91573033707866</v>
      </c>
      <c r="N122" s="25">
        <v>2727.75</v>
      </c>
      <c r="O122" s="26" t="str">
        <f t="shared" si="18"/>
        <v>June</v>
      </c>
      <c r="P122" s="25">
        <f t="shared" si="19"/>
        <v>2727.75</v>
      </c>
      <c r="Q122" s="27">
        <f t="shared" si="20"/>
        <v>554.09999999999991</v>
      </c>
      <c r="R122" s="26" t="b">
        <f t="shared" si="21"/>
        <v>0</v>
      </c>
      <c r="S122" s="28" t="str">
        <f t="shared" si="22"/>
        <v>GROWTH</v>
      </c>
      <c r="T122" s="24">
        <v>2513.25</v>
      </c>
      <c r="U122" s="29" t="str">
        <f t="shared" si="23"/>
        <v>May</v>
      </c>
      <c r="V122" s="24">
        <f t="shared" si="24"/>
        <v>2513.25</v>
      </c>
      <c r="W122" s="30">
        <f t="shared" si="25"/>
        <v>768.59999999999991</v>
      </c>
      <c r="X122" s="31" t="b">
        <f t="shared" si="26"/>
        <v>0</v>
      </c>
      <c r="Y122" s="32" t="str">
        <f t="shared" si="27"/>
        <v>GROWTH</v>
      </c>
      <c r="Z122" s="41">
        <v>0</v>
      </c>
      <c r="AA122" s="36"/>
      <c r="AB122" s="36" t="s">
        <v>24</v>
      </c>
      <c r="AC122" s="36" t="s">
        <v>24</v>
      </c>
      <c r="AD122" s="34"/>
      <c r="AE122" s="35">
        <f>IFERROR(INDEX([1]Last6M_AvgSales_Ref!$B$2:$B$12659,MATCH(D122,[1]Last6M_AvgSales_Ref!$A$2:$A$12659,0)),"")</f>
        <v>3328.5583333333302</v>
      </c>
    </row>
    <row r="123" spans="1:31" ht="14.25" customHeight="1" x14ac:dyDescent="0.3">
      <c r="A123" s="36" t="s">
        <v>24</v>
      </c>
      <c r="B123" s="37" t="s">
        <v>264</v>
      </c>
      <c r="C123" s="38" t="s">
        <v>274</v>
      </c>
      <c r="D123" s="38">
        <v>1000000462</v>
      </c>
      <c r="E123" s="39" t="s">
        <v>275</v>
      </c>
      <c r="F123" s="40">
        <v>40054</v>
      </c>
      <c r="G123" s="22" t="str">
        <f t="shared" si="14"/>
        <v>Targeted Dealer</v>
      </c>
      <c r="H123" s="22"/>
      <c r="I123" s="23">
        <v>450</v>
      </c>
      <c r="J123" s="23">
        <f t="shared" si="15"/>
        <v>450</v>
      </c>
      <c r="K123" s="24">
        <v>360</v>
      </c>
      <c r="L123" s="24">
        <f t="shared" si="16"/>
        <v>90</v>
      </c>
      <c r="M123" s="24">
        <f t="shared" si="17"/>
        <v>80</v>
      </c>
      <c r="N123" s="25">
        <v>234</v>
      </c>
      <c r="O123" s="26" t="str">
        <f t="shared" si="18"/>
        <v>June</v>
      </c>
      <c r="P123" s="25">
        <f t="shared" si="19"/>
        <v>234</v>
      </c>
      <c r="Q123" s="27">
        <f t="shared" si="20"/>
        <v>126</v>
      </c>
      <c r="R123" s="26" t="b">
        <f t="shared" si="21"/>
        <v>0</v>
      </c>
      <c r="S123" s="28" t="str">
        <f t="shared" si="22"/>
        <v>GROWTH</v>
      </c>
      <c r="T123" s="24">
        <v>445</v>
      </c>
      <c r="U123" s="29" t="str">
        <f t="shared" si="23"/>
        <v>May</v>
      </c>
      <c r="V123" s="24">
        <f t="shared" si="24"/>
        <v>445</v>
      </c>
      <c r="W123" s="30">
        <f t="shared" si="25"/>
        <v>-85</v>
      </c>
      <c r="X123" s="31" t="b">
        <f t="shared" si="26"/>
        <v>0</v>
      </c>
      <c r="Y123" s="32" t="str">
        <f t="shared" si="27"/>
        <v>GROWTH</v>
      </c>
      <c r="Z123" s="41">
        <v>0</v>
      </c>
      <c r="AA123" s="36"/>
      <c r="AB123" s="36" t="s">
        <v>24</v>
      </c>
      <c r="AC123" s="36" t="s">
        <v>24</v>
      </c>
      <c r="AD123" s="34"/>
      <c r="AE123" s="35">
        <f>IFERROR(INDEX([1]Last6M_AvgSales_Ref!$B$2:$B$12659,MATCH(D123,[1]Last6M_AvgSales_Ref!$A$2:$A$12659,0)),"")</f>
        <v>375.83333333333297</v>
      </c>
    </row>
    <row r="124" spans="1:31" ht="14.25" customHeight="1" x14ac:dyDescent="0.3">
      <c r="A124" s="36" t="s">
        <v>24</v>
      </c>
      <c r="B124" s="37" t="s">
        <v>269</v>
      </c>
      <c r="C124" s="38" t="s">
        <v>276</v>
      </c>
      <c r="D124" s="38">
        <v>1000000461</v>
      </c>
      <c r="E124" s="39" t="s">
        <v>277</v>
      </c>
      <c r="F124" s="40">
        <v>40814</v>
      </c>
      <c r="G124" s="22" t="str">
        <f t="shared" si="14"/>
        <v>Targeted Dealer</v>
      </c>
      <c r="H124" s="22"/>
      <c r="I124" s="23">
        <v>115</v>
      </c>
      <c r="J124" s="23">
        <f t="shared" si="15"/>
        <v>115</v>
      </c>
      <c r="K124" s="24">
        <v>80</v>
      </c>
      <c r="L124" s="24">
        <f t="shared" si="16"/>
        <v>35</v>
      </c>
      <c r="M124" s="24">
        <f t="shared" si="17"/>
        <v>69.565217391304358</v>
      </c>
      <c r="N124" s="25">
        <v>40</v>
      </c>
      <c r="O124" s="26" t="str">
        <f t="shared" si="18"/>
        <v>June</v>
      </c>
      <c r="P124" s="25">
        <f t="shared" si="19"/>
        <v>40</v>
      </c>
      <c r="Q124" s="27">
        <f t="shared" si="20"/>
        <v>40</v>
      </c>
      <c r="R124" s="26" t="b">
        <f t="shared" si="21"/>
        <v>0</v>
      </c>
      <c r="S124" s="28" t="str">
        <f t="shared" si="22"/>
        <v>GROWTH</v>
      </c>
      <c r="T124" s="24">
        <v>160</v>
      </c>
      <c r="U124" s="29" t="str">
        <f t="shared" si="23"/>
        <v>May</v>
      </c>
      <c r="V124" s="24">
        <f t="shared" si="24"/>
        <v>160</v>
      </c>
      <c r="W124" s="30">
        <f t="shared" si="25"/>
        <v>-80</v>
      </c>
      <c r="X124" s="31" t="b">
        <f t="shared" si="26"/>
        <v>0</v>
      </c>
      <c r="Y124" s="32" t="str">
        <f t="shared" si="27"/>
        <v>GROWTH</v>
      </c>
      <c r="Z124" s="41">
        <v>0</v>
      </c>
      <c r="AA124" s="36"/>
      <c r="AB124" s="36" t="s">
        <v>24</v>
      </c>
      <c r="AC124" s="36" t="s">
        <v>24</v>
      </c>
      <c r="AD124" s="34"/>
      <c r="AE124" s="35">
        <f>IFERROR(INDEX([1]Last6M_AvgSales_Ref!$B$2:$B$12659,MATCH(D124,[1]Last6M_AvgSales_Ref!$A$2:$A$12659,0)),"")</f>
        <v>130</v>
      </c>
    </row>
    <row r="125" spans="1:31" ht="14.25" customHeight="1" x14ac:dyDescent="0.3">
      <c r="A125" s="36" t="s">
        <v>24</v>
      </c>
      <c r="B125" s="37" t="s">
        <v>264</v>
      </c>
      <c r="C125" s="38" t="s">
        <v>278</v>
      </c>
      <c r="D125" s="38">
        <v>1000000477</v>
      </c>
      <c r="E125" s="39" t="s">
        <v>279</v>
      </c>
      <c r="F125" s="40">
        <v>40906</v>
      </c>
      <c r="G125" s="22" t="str">
        <f t="shared" si="14"/>
        <v>Targeted Dealer</v>
      </c>
      <c r="H125" s="22"/>
      <c r="I125" s="23">
        <v>20</v>
      </c>
      <c r="J125" s="23">
        <f t="shared" si="15"/>
        <v>20</v>
      </c>
      <c r="K125" s="24">
        <v>0</v>
      </c>
      <c r="L125" s="24">
        <f t="shared" si="16"/>
        <v>20</v>
      </c>
      <c r="M125" s="24">
        <f t="shared" si="17"/>
        <v>0</v>
      </c>
      <c r="N125" s="25">
        <v>20</v>
      </c>
      <c r="O125" s="26" t="str">
        <f t="shared" si="18"/>
        <v>June</v>
      </c>
      <c r="P125" s="25">
        <f t="shared" si="19"/>
        <v>20</v>
      </c>
      <c r="Q125" s="27">
        <f t="shared" si="20"/>
        <v>-20</v>
      </c>
      <c r="R125" s="26" t="b">
        <f t="shared" si="21"/>
        <v>0</v>
      </c>
      <c r="S125" s="28" t="str">
        <f t="shared" si="22"/>
        <v>GROWTH</v>
      </c>
      <c r="T125" s="24">
        <v>10</v>
      </c>
      <c r="U125" s="29" t="str">
        <f t="shared" si="23"/>
        <v>May</v>
      </c>
      <c r="V125" s="24">
        <f t="shared" si="24"/>
        <v>10</v>
      </c>
      <c r="W125" s="30">
        <f t="shared" si="25"/>
        <v>-10</v>
      </c>
      <c r="X125" s="31" t="b">
        <f t="shared" si="26"/>
        <v>0</v>
      </c>
      <c r="Y125" s="32" t="str">
        <f t="shared" si="27"/>
        <v>GROWTH</v>
      </c>
      <c r="Z125" s="41">
        <v>0</v>
      </c>
      <c r="AA125" s="36"/>
      <c r="AB125" s="36" t="s">
        <v>24</v>
      </c>
      <c r="AC125" s="36" t="s">
        <v>24</v>
      </c>
      <c r="AD125" s="34"/>
      <c r="AE125" s="35">
        <f>IFERROR(INDEX([1]Last6M_AvgSales_Ref!$B$2:$B$12659,MATCH(D125,[1]Last6M_AvgSales_Ref!$A$2:$A$12659,0)),"")</f>
        <v>15.8333333333333</v>
      </c>
    </row>
    <row r="126" spans="1:31" ht="14.25" customHeight="1" x14ac:dyDescent="0.3">
      <c r="A126" s="36" t="s">
        <v>24</v>
      </c>
      <c r="B126" s="37" t="s">
        <v>264</v>
      </c>
      <c r="C126" s="38" t="s">
        <v>280</v>
      </c>
      <c r="D126" s="38">
        <v>1000000448</v>
      </c>
      <c r="E126" s="39" t="s">
        <v>281</v>
      </c>
      <c r="F126" s="40">
        <v>41212</v>
      </c>
      <c r="G126" s="22" t="str">
        <f t="shared" si="14"/>
        <v>Targeted Dealer</v>
      </c>
      <c r="H126" s="22"/>
      <c r="I126" s="23">
        <v>115</v>
      </c>
      <c r="J126" s="23">
        <f t="shared" si="15"/>
        <v>115</v>
      </c>
      <c r="K126" s="24">
        <v>100</v>
      </c>
      <c r="L126" s="24">
        <f t="shared" si="16"/>
        <v>15</v>
      </c>
      <c r="M126" s="24">
        <f t="shared" si="17"/>
        <v>86.956521739130437</v>
      </c>
      <c r="N126" s="25">
        <v>135</v>
      </c>
      <c r="O126" s="26" t="str">
        <f t="shared" si="18"/>
        <v>June</v>
      </c>
      <c r="P126" s="25">
        <f t="shared" si="19"/>
        <v>135</v>
      </c>
      <c r="Q126" s="27">
        <f t="shared" si="20"/>
        <v>-35</v>
      </c>
      <c r="R126" s="26" t="b">
        <f t="shared" si="21"/>
        <v>0</v>
      </c>
      <c r="S126" s="28" t="str">
        <f t="shared" si="22"/>
        <v>GROWTH</v>
      </c>
      <c r="T126" s="24">
        <v>90</v>
      </c>
      <c r="U126" s="29" t="str">
        <f t="shared" si="23"/>
        <v>May</v>
      </c>
      <c r="V126" s="24">
        <f t="shared" si="24"/>
        <v>90</v>
      </c>
      <c r="W126" s="30">
        <f t="shared" si="25"/>
        <v>10</v>
      </c>
      <c r="X126" s="31" t="b">
        <f t="shared" si="26"/>
        <v>0</v>
      </c>
      <c r="Y126" s="32" t="str">
        <f t="shared" si="27"/>
        <v>GROWTH</v>
      </c>
      <c r="Z126" s="41">
        <v>0</v>
      </c>
      <c r="AA126" s="36"/>
      <c r="AB126" s="36" t="s">
        <v>24</v>
      </c>
      <c r="AC126" s="36" t="s">
        <v>24</v>
      </c>
      <c r="AD126" s="34"/>
      <c r="AE126" s="35">
        <f>IFERROR(INDEX([1]Last6M_AvgSales_Ref!$B$2:$B$12659,MATCH(D126,[1]Last6M_AvgSales_Ref!$A$2:$A$12659,0)),"")</f>
        <v>205.7</v>
      </c>
    </row>
    <row r="127" spans="1:31" ht="14.25" customHeight="1" x14ac:dyDescent="0.3">
      <c r="A127" s="36" t="s">
        <v>24</v>
      </c>
      <c r="B127" s="37" t="s">
        <v>264</v>
      </c>
      <c r="C127" s="38" t="s">
        <v>282</v>
      </c>
      <c r="D127" s="38">
        <v>1000000446</v>
      </c>
      <c r="E127" s="39" t="s">
        <v>283</v>
      </c>
      <c r="F127" s="40">
        <v>41438</v>
      </c>
      <c r="G127" s="22" t="str">
        <f t="shared" si="14"/>
        <v>Targeted Dealer</v>
      </c>
      <c r="H127" s="22"/>
      <c r="I127" s="23">
        <v>440</v>
      </c>
      <c r="J127" s="23">
        <f t="shared" si="15"/>
        <v>440</v>
      </c>
      <c r="K127" s="24">
        <v>500</v>
      </c>
      <c r="L127" s="24">
        <f t="shared" si="16"/>
        <v>-60</v>
      </c>
      <c r="M127" s="24">
        <f t="shared" si="17"/>
        <v>113.63636363636363</v>
      </c>
      <c r="N127" s="25">
        <v>496.4</v>
      </c>
      <c r="O127" s="26" t="str">
        <f t="shared" si="18"/>
        <v>June</v>
      </c>
      <c r="P127" s="25">
        <f t="shared" si="19"/>
        <v>496.4</v>
      </c>
      <c r="Q127" s="27">
        <f t="shared" si="20"/>
        <v>3.6000000000000227</v>
      </c>
      <c r="R127" s="26" t="b">
        <f t="shared" si="21"/>
        <v>0</v>
      </c>
      <c r="S127" s="28" t="str">
        <f t="shared" si="22"/>
        <v>GROWTH</v>
      </c>
      <c r="T127" s="24">
        <v>400</v>
      </c>
      <c r="U127" s="29" t="str">
        <f t="shared" si="23"/>
        <v>May</v>
      </c>
      <c r="V127" s="24">
        <f t="shared" si="24"/>
        <v>400</v>
      </c>
      <c r="W127" s="30">
        <f t="shared" si="25"/>
        <v>100</v>
      </c>
      <c r="X127" s="31" t="b">
        <f t="shared" si="26"/>
        <v>0</v>
      </c>
      <c r="Y127" s="32" t="str">
        <f t="shared" si="27"/>
        <v>GROWTH</v>
      </c>
      <c r="Z127" s="41">
        <v>0</v>
      </c>
      <c r="AA127" s="36"/>
      <c r="AB127" s="36" t="s">
        <v>24</v>
      </c>
      <c r="AC127" s="36" t="s">
        <v>24</v>
      </c>
      <c r="AD127" s="34"/>
      <c r="AE127" s="35">
        <f>IFERROR(INDEX([1]Last6M_AvgSales_Ref!$B$2:$B$12659,MATCH(D127,[1]Last6M_AvgSales_Ref!$A$2:$A$12659,0)),"")</f>
        <v>521.74166666666702</v>
      </c>
    </row>
    <row r="128" spans="1:31" ht="14.25" customHeight="1" x14ac:dyDescent="0.3">
      <c r="A128" s="36" t="s">
        <v>24</v>
      </c>
      <c r="B128" s="37" t="s">
        <v>264</v>
      </c>
      <c r="C128" s="38" t="s">
        <v>284</v>
      </c>
      <c r="D128" s="38">
        <v>1000000465</v>
      </c>
      <c r="E128" s="39" t="s">
        <v>285</v>
      </c>
      <c r="F128" s="40">
        <v>41934</v>
      </c>
      <c r="G128" s="22" t="str">
        <f t="shared" si="14"/>
        <v>Targeted Dealer</v>
      </c>
      <c r="H128" s="22"/>
      <c r="I128" s="23">
        <v>80</v>
      </c>
      <c r="J128" s="23">
        <f t="shared" si="15"/>
        <v>80</v>
      </c>
      <c r="K128" s="24">
        <v>40</v>
      </c>
      <c r="L128" s="24">
        <f t="shared" si="16"/>
        <v>40</v>
      </c>
      <c r="M128" s="24">
        <f t="shared" si="17"/>
        <v>50</v>
      </c>
      <c r="N128" s="25">
        <v>40</v>
      </c>
      <c r="O128" s="26" t="str">
        <f t="shared" si="18"/>
        <v>June</v>
      </c>
      <c r="P128" s="25">
        <f t="shared" si="19"/>
        <v>40</v>
      </c>
      <c r="Q128" s="27">
        <f t="shared" si="20"/>
        <v>0</v>
      </c>
      <c r="R128" s="26" t="b">
        <f t="shared" si="21"/>
        <v>0</v>
      </c>
      <c r="S128" s="28" t="str">
        <f t="shared" si="22"/>
        <v>GROWTH</v>
      </c>
      <c r="T128" s="24">
        <v>80</v>
      </c>
      <c r="U128" s="29" t="str">
        <f t="shared" si="23"/>
        <v>May</v>
      </c>
      <c r="V128" s="24">
        <f t="shared" si="24"/>
        <v>80</v>
      </c>
      <c r="W128" s="30">
        <f t="shared" si="25"/>
        <v>-40</v>
      </c>
      <c r="X128" s="31" t="b">
        <f t="shared" si="26"/>
        <v>0</v>
      </c>
      <c r="Y128" s="32" t="str">
        <f t="shared" si="27"/>
        <v>GROWTH</v>
      </c>
      <c r="Z128" s="41">
        <v>0</v>
      </c>
      <c r="AA128" s="36"/>
      <c r="AB128" s="36" t="s">
        <v>24</v>
      </c>
      <c r="AC128" s="36" t="s">
        <v>24</v>
      </c>
      <c r="AD128" s="34"/>
      <c r="AE128" s="35">
        <f>IFERROR(INDEX([1]Last6M_AvgSales_Ref!$B$2:$B$12659,MATCH(D128,[1]Last6M_AvgSales_Ref!$A$2:$A$12659,0)),"")</f>
        <v>45.8333333333333</v>
      </c>
    </row>
    <row r="129" spans="1:31" ht="14.25" customHeight="1" x14ac:dyDescent="0.3">
      <c r="A129" s="36" t="s">
        <v>24</v>
      </c>
      <c r="B129" s="37" t="s">
        <v>269</v>
      </c>
      <c r="C129" s="38" t="s">
        <v>286</v>
      </c>
      <c r="D129" s="38">
        <v>1000000455</v>
      </c>
      <c r="E129" s="39" t="s">
        <v>287</v>
      </c>
      <c r="F129" s="40">
        <v>42573</v>
      </c>
      <c r="G129" s="22" t="str">
        <f t="shared" si="14"/>
        <v>Targeted Dealer</v>
      </c>
      <c r="H129" s="22"/>
      <c r="I129" s="23">
        <v>120</v>
      </c>
      <c r="J129" s="23">
        <f t="shared" si="15"/>
        <v>120</v>
      </c>
      <c r="K129" s="24">
        <v>50</v>
      </c>
      <c r="L129" s="24">
        <f t="shared" si="16"/>
        <v>70</v>
      </c>
      <c r="M129" s="24">
        <f t="shared" si="17"/>
        <v>41.666666666666671</v>
      </c>
      <c r="N129" s="25">
        <v>15</v>
      </c>
      <c r="O129" s="26" t="str">
        <f t="shared" si="18"/>
        <v>June</v>
      </c>
      <c r="P129" s="25">
        <f t="shared" si="19"/>
        <v>15</v>
      </c>
      <c r="Q129" s="27">
        <f t="shared" si="20"/>
        <v>35</v>
      </c>
      <c r="R129" s="26" t="b">
        <f t="shared" si="21"/>
        <v>0</v>
      </c>
      <c r="S129" s="28" t="str">
        <f t="shared" si="22"/>
        <v>GROWTH</v>
      </c>
      <c r="T129" s="24">
        <v>80</v>
      </c>
      <c r="U129" s="29" t="str">
        <f t="shared" si="23"/>
        <v>May</v>
      </c>
      <c r="V129" s="24">
        <f t="shared" si="24"/>
        <v>80</v>
      </c>
      <c r="W129" s="30">
        <f t="shared" si="25"/>
        <v>-30</v>
      </c>
      <c r="X129" s="31" t="b">
        <f t="shared" si="26"/>
        <v>0</v>
      </c>
      <c r="Y129" s="32" t="str">
        <f t="shared" si="27"/>
        <v>GROWTH</v>
      </c>
      <c r="Z129" s="41">
        <v>0</v>
      </c>
      <c r="AA129" s="36"/>
      <c r="AB129" s="36" t="s">
        <v>24</v>
      </c>
      <c r="AC129" s="36" t="s">
        <v>24</v>
      </c>
      <c r="AD129" s="34"/>
      <c r="AE129" s="35">
        <f>IFERROR(INDEX([1]Last6M_AvgSales_Ref!$B$2:$B$12659,MATCH(D129,[1]Last6M_AvgSales_Ref!$A$2:$A$12659,0)),"")</f>
        <v>82.9166666666667</v>
      </c>
    </row>
    <row r="130" spans="1:31" ht="14.25" customHeight="1" x14ac:dyDescent="0.3">
      <c r="A130" s="36" t="s">
        <v>24</v>
      </c>
      <c r="B130" s="37" t="s">
        <v>264</v>
      </c>
      <c r="C130" s="38" t="s">
        <v>288</v>
      </c>
      <c r="D130" s="38">
        <v>1000000457</v>
      </c>
      <c r="E130" s="39" t="s">
        <v>289</v>
      </c>
      <c r="F130" s="40">
        <v>42814</v>
      </c>
      <c r="G130" s="22" t="str">
        <f t="shared" si="14"/>
        <v>Targeted Dealer</v>
      </c>
      <c r="H130" s="22"/>
      <c r="I130" s="23">
        <v>80</v>
      </c>
      <c r="J130" s="23">
        <f t="shared" si="15"/>
        <v>80</v>
      </c>
      <c r="K130" s="24">
        <v>80</v>
      </c>
      <c r="L130" s="24">
        <f t="shared" si="16"/>
        <v>0</v>
      </c>
      <c r="M130" s="24">
        <f t="shared" si="17"/>
        <v>100</v>
      </c>
      <c r="N130" s="25">
        <v>40</v>
      </c>
      <c r="O130" s="26" t="str">
        <f t="shared" si="18"/>
        <v>June</v>
      </c>
      <c r="P130" s="25">
        <f t="shared" si="19"/>
        <v>40</v>
      </c>
      <c r="Q130" s="27">
        <f t="shared" si="20"/>
        <v>40</v>
      </c>
      <c r="R130" s="26" t="b">
        <f t="shared" si="21"/>
        <v>0</v>
      </c>
      <c r="S130" s="28" t="str">
        <f t="shared" si="22"/>
        <v>GROWTH</v>
      </c>
      <c r="T130" s="24">
        <v>80</v>
      </c>
      <c r="U130" s="29" t="str">
        <f t="shared" si="23"/>
        <v>May</v>
      </c>
      <c r="V130" s="24">
        <f t="shared" si="24"/>
        <v>80</v>
      </c>
      <c r="W130" s="30">
        <f t="shared" si="25"/>
        <v>0</v>
      </c>
      <c r="X130" s="31" t="b">
        <f t="shared" si="26"/>
        <v>0</v>
      </c>
      <c r="Y130" s="32" t="str">
        <f t="shared" si="27"/>
        <v>GROWTH</v>
      </c>
      <c r="Z130" s="41">
        <v>0</v>
      </c>
      <c r="AA130" s="36"/>
      <c r="AB130" s="36" t="s">
        <v>24</v>
      </c>
      <c r="AC130" s="36" t="s">
        <v>24</v>
      </c>
      <c r="AD130" s="34"/>
      <c r="AE130" s="35">
        <f>IFERROR(INDEX([1]Last6M_AvgSales_Ref!$B$2:$B$12659,MATCH(D130,[1]Last6M_AvgSales_Ref!$A$2:$A$12659,0)),"")</f>
        <v>100.833333333333</v>
      </c>
    </row>
    <row r="131" spans="1:31" ht="14.25" customHeight="1" x14ac:dyDescent="0.3">
      <c r="A131" s="36" t="s">
        <v>24</v>
      </c>
      <c r="B131" s="37" t="s">
        <v>264</v>
      </c>
      <c r="C131" s="38" t="s">
        <v>290</v>
      </c>
      <c r="D131" s="38">
        <v>1000000473</v>
      </c>
      <c r="E131" s="39" t="s">
        <v>291</v>
      </c>
      <c r="F131" s="40">
        <v>42844</v>
      </c>
      <c r="G131" s="22" t="str">
        <f t="shared" ref="G131:G194" si="28">IF(I131&gt;0,"Targeted Dealer","-")</f>
        <v>Targeted Dealer</v>
      </c>
      <c r="H131" s="22"/>
      <c r="I131" s="23">
        <v>120</v>
      </c>
      <c r="J131" s="23">
        <f t="shared" ref="J131:J194" si="29">I131/$J$1*($J$1-$E$1)</f>
        <v>120</v>
      </c>
      <c r="K131" s="24">
        <v>105</v>
      </c>
      <c r="L131" s="24">
        <f t="shared" ref="L131:L194" si="30">I131-K131</f>
        <v>15</v>
      </c>
      <c r="M131" s="24">
        <f t="shared" ref="M131:M194" si="31">IFERROR((K131/J131%),"-")</f>
        <v>87.5</v>
      </c>
      <c r="N131" s="25">
        <v>145</v>
      </c>
      <c r="O131" s="26" t="str">
        <f t="shared" ref="O131:O194" si="32">IF(F131&lt;=$P$2,"June","")</f>
        <v>June</v>
      </c>
      <c r="P131" s="25">
        <f t="shared" ref="P131:P194" si="33">N131</f>
        <v>145</v>
      </c>
      <c r="Q131" s="27">
        <f t="shared" ref="Q131:Q194" si="34">K131-P131</f>
        <v>-40</v>
      </c>
      <c r="R131" s="26" t="b">
        <f t="shared" ref="R131:R194" si="35">IFERROR(IF(O131="May",(K131/P131-1))," ")</f>
        <v>0</v>
      </c>
      <c r="S131" s="28" t="str">
        <f t="shared" ref="S131:S194" si="36">IF(N131&gt;0,IF(O131="","-",IF(R131&lt;0%,"DEGROWTH","GROWTH")))</f>
        <v>GROWTH</v>
      </c>
      <c r="T131" s="24">
        <v>180</v>
      </c>
      <c r="U131" s="29" t="str">
        <f t="shared" ref="U131:U194" si="37">IF(F131&lt;=$V$2,"May","")</f>
        <v>May</v>
      </c>
      <c r="V131" s="24">
        <f t="shared" ref="V131:V194" si="38">T131</f>
        <v>180</v>
      </c>
      <c r="W131" s="30">
        <f t="shared" ref="W131:W194" si="39">K131-V131</f>
        <v>-75</v>
      </c>
      <c r="X131" s="31" t="b">
        <f t="shared" ref="X131:X194" si="40">IFERROR(IF(U131="June",(K131/V131-1)),0)</f>
        <v>0</v>
      </c>
      <c r="Y131" s="32" t="str">
        <f t="shared" ref="Y131:Y194" si="41">IF(T131&gt;0,IF(U131="","-",IF(X131&lt;0%,"DEGROWTH","GROWTH")))</f>
        <v>GROWTH</v>
      </c>
      <c r="Z131" s="41">
        <v>0</v>
      </c>
      <c r="AA131" s="36"/>
      <c r="AB131" s="36" t="s">
        <v>24</v>
      </c>
      <c r="AC131" s="36" t="s">
        <v>24</v>
      </c>
      <c r="AD131" s="34"/>
      <c r="AE131" s="35">
        <f>IFERROR(INDEX([1]Last6M_AvgSales_Ref!$B$2:$B$12659,MATCH(D131,[1]Last6M_AvgSales_Ref!$A$2:$A$12659,0)),"")</f>
        <v>145</v>
      </c>
    </row>
    <row r="132" spans="1:31" ht="14.25" customHeight="1" x14ac:dyDescent="0.3">
      <c r="A132" s="36" t="s">
        <v>24</v>
      </c>
      <c r="B132" s="37" t="s">
        <v>269</v>
      </c>
      <c r="C132" s="38" t="s">
        <v>292</v>
      </c>
      <c r="D132" s="38">
        <v>1000000470</v>
      </c>
      <c r="E132" s="39" t="s">
        <v>293</v>
      </c>
      <c r="F132" s="40">
        <v>42845</v>
      </c>
      <c r="G132" s="22" t="str">
        <f t="shared" si="28"/>
        <v>Targeted Dealer</v>
      </c>
      <c r="H132" s="22"/>
      <c r="I132" s="23">
        <v>1070</v>
      </c>
      <c r="J132" s="23">
        <f t="shared" si="29"/>
        <v>1070</v>
      </c>
      <c r="K132" s="24">
        <v>1282.6500000000001</v>
      </c>
      <c r="L132" s="24">
        <f t="shared" si="30"/>
        <v>-212.65000000000009</v>
      </c>
      <c r="M132" s="24">
        <f t="shared" si="31"/>
        <v>119.87383177570095</v>
      </c>
      <c r="N132" s="25">
        <v>988.3</v>
      </c>
      <c r="O132" s="26" t="str">
        <f t="shared" si="32"/>
        <v>June</v>
      </c>
      <c r="P132" s="25">
        <f t="shared" si="33"/>
        <v>988.3</v>
      </c>
      <c r="Q132" s="27">
        <f t="shared" si="34"/>
        <v>294.35000000000014</v>
      </c>
      <c r="R132" s="26" t="b">
        <f t="shared" si="35"/>
        <v>0</v>
      </c>
      <c r="S132" s="28" t="str">
        <f t="shared" si="36"/>
        <v>GROWTH</v>
      </c>
      <c r="T132" s="24">
        <v>994</v>
      </c>
      <c r="U132" s="29" t="str">
        <f t="shared" si="37"/>
        <v>May</v>
      </c>
      <c r="V132" s="24">
        <f t="shared" si="38"/>
        <v>994</v>
      </c>
      <c r="W132" s="30">
        <f t="shared" si="39"/>
        <v>288.65000000000009</v>
      </c>
      <c r="X132" s="31" t="b">
        <f t="shared" si="40"/>
        <v>0</v>
      </c>
      <c r="Y132" s="32" t="str">
        <f t="shared" si="41"/>
        <v>GROWTH</v>
      </c>
      <c r="Z132" s="41">
        <v>0</v>
      </c>
      <c r="AA132" s="36"/>
      <c r="AB132" s="36" t="s">
        <v>24</v>
      </c>
      <c r="AC132" s="36" t="s">
        <v>24</v>
      </c>
      <c r="AD132" s="34"/>
      <c r="AE132" s="35">
        <f>IFERROR(INDEX([1]Last6M_AvgSales_Ref!$B$2:$B$12659,MATCH(D132,[1]Last6M_AvgSales_Ref!$A$2:$A$12659,0)),"")</f>
        <v>1223.7166666666701</v>
      </c>
    </row>
    <row r="133" spans="1:31" ht="14.25" customHeight="1" x14ac:dyDescent="0.3">
      <c r="A133" s="36" t="s">
        <v>24</v>
      </c>
      <c r="B133" s="37" t="s">
        <v>269</v>
      </c>
      <c r="C133" s="38" t="s">
        <v>294</v>
      </c>
      <c r="D133" s="38">
        <v>1000000478</v>
      </c>
      <c r="E133" s="39" t="s">
        <v>295</v>
      </c>
      <c r="F133" s="40">
        <v>42970</v>
      </c>
      <c r="G133" s="22" t="str">
        <f t="shared" si="28"/>
        <v>Targeted Dealer</v>
      </c>
      <c r="H133" s="22"/>
      <c r="I133" s="23">
        <v>120</v>
      </c>
      <c r="J133" s="23">
        <f t="shared" si="29"/>
        <v>120</v>
      </c>
      <c r="K133" s="24">
        <v>108.7</v>
      </c>
      <c r="L133" s="24">
        <f t="shared" si="30"/>
        <v>11.299999999999997</v>
      </c>
      <c r="M133" s="24">
        <f t="shared" si="31"/>
        <v>90.583333333333343</v>
      </c>
      <c r="N133" s="25">
        <v>50</v>
      </c>
      <c r="O133" s="26" t="str">
        <f t="shared" si="32"/>
        <v>June</v>
      </c>
      <c r="P133" s="25">
        <f t="shared" si="33"/>
        <v>50</v>
      </c>
      <c r="Q133" s="27">
        <f t="shared" si="34"/>
        <v>58.7</v>
      </c>
      <c r="R133" s="26" t="b">
        <f t="shared" si="35"/>
        <v>0</v>
      </c>
      <c r="S133" s="28" t="str">
        <f t="shared" si="36"/>
        <v>GROWTH</v>
      </c>
      <c r="T133" s="24">
        <v>122.6</v>
      </c>
      <c r="U133" s="29" t="str">
        <f t="shared" si="37"/>
        <v>May</v>
      </c>
      <c r="V133" s="24">
        <f t="shared" si="38"/>
        <v>122.6</v>
      </c>
      <c r="W133" s="30">
        <f t="shared" si="39"/>
        <v>-13.899999999999991</v>
      </c>
      <c r="X133" s="31" t="b">
        <f t="shared" si="40"/>
        <v>0</v>
      </c>
      <c r="Y133" s="32" t="str">
        <f t="shared" si="41"/>
        <v>GROWTH</v>
      </c>
      <c r="Z133" s="41">
        <v>0</v>
      </c>
      <c r="AA133" s="36"/>
      <c r="AB133" s="36" t="s">
        <v>24</v>
      </c>
      <c r="AC133" s="36" t="s">
        <v>24</v>
      </c>
      <c r="AD133" s="34"/>
      <c r="AE133" s="35">
        <f>IFERROR(INDEX([1]Last6M_AvgSales_Ref!$B$2:$B$12659,MATCH(D133,[1]Last6M_AvgSales_Ref!$A$2:$A$12659,0)),"")</f>
        <v>104.166666666667</v>
      </c>
    </row>
    <row r="134" spans="1:31" ht="14.25" customHeight="1" x14ac:dyDescent="0.3">
      <c r="A134" s="36" t="s">
        <v>24</v>
      </c>
      <c r="B134" s="37" t="s">
        <v>269</v>
      </c>
      <c r="C134" s="38" t="s">
        <v>296</v>
      </c>
      <c r="D134" s="38">
        <v>1000000444</v>
      </c>
      <c r="E134" s="39" t="s">
        <v>297</v>
      </c>
      <c r="F134" s="40">
        <v>43061</v>
      </c>
      <c r="G134" s="22" t="str">
        <f t="shared" si="28"/>
        <v>Targeted Dealer</v>
      </c>
      <c r="H134" s="22"/>
      <c r="I134" s="23">
        <v>320</v>
      </c>
      <c r="J134" s="23">
        <f t="shared" si="29"/>
        <v>320</v>
      </c>
      <c r="K134" s="24">
        <v>55</v>
      </c>
      <c r="L134" s="24">
        <f t="shared" si="30"/>
        <v>265</v>
      </c>
      <c r="M134" s="24">
        <f t="shared" si="31"/>
        <v>17.1875</v>
      </c>
      <c r="N134" s="25">
        <v>297.45</v>
      </c>
      <c r="O134" s="26" t="str">
        <f t="shared" si="32"/>
        <v>June</v>
      </c>
      <c r="P134" s="25">
        <f t="shared" si="33"/>
        <v>297.45</v>
      </c>
      <c r="Q134" s="27">
        <f t="shared" si="34"/>
        <v>-242.45</v>
      </c>
      <c r="R134" s="26" t="b">
        <f t="shared" si="35"/>
        <v>0</v>
      </c>
      <c r="S134" s="28" t="str">
        <f t="shared" si="36"/>
        <v>GROWTH</v>
      </c>
      <c r="T134" s="24">
        <v>420</v>
      </c>
      <c r="U134" s="29" t="str">
        <f t="shared" si="37"/>
        <v>May</v>
      </c>
      <c r="V134" s="24">
        <f t="shared" si="38"/>
        <v>420</v>
      </c>
      <c r="W134" s="30">
        <f t="shared" si="39"/>
        <v>-365</v>
      </c>
      <c r="X134" s="31" t="b">
        <f t="shared" si="40"/>
        <v>0</v>
      </c>
      <c r="Y134" s="32" t="str">
        <f t="shared" si="41"/>
        <v>GROWTH</v>
      </c>
      <c r="Z134" s="41">
        <v>0</v>
      </c>
      <c r="AA134" s="36"/>
      <c r="AB134" s="36" t="s">
        <v>24</v>
      </c>
      <c r="AC134" s="36" t="s">
        <v>24</v>
      </c>
      <c r="AD134" s="34"/>
      <c r="AE134" s="35">
        <f>IFERROR(INDEX([1]Last6M_AvgSales_Ref!$B$2:$B$12659,MATCH(D134,[1]Last6M_AvgSales_Ref!$A$2:$A$12659,0)),"")</f>
        <v>408.85</v>
      </c>
    </row>
    <row r="135" spans="1:31" ht="14.25" customHeight="1" x14ac:dyDescent="0.3">
      <c r="A135" s="36" t="s">
        <v>24</v>
      </c>
      <c r="B135" s="37" t="s">
        <v>269</v>
      </c>
      <c r="C135" s="38" t="s">
        <v>298</v>
      </c>
      <c r="D135" s="38">
        <v>1000000458</v>
      </c>
      <c r="E135" s="39" t="s">
        <v>299</v>
      </c>
      <c r="F135" s="40">
        <v>43061</v>
      </c>
      <c r="G135" s="22" t="str">
        <f t="shared" si="28"/>
        <v>Targeted Dealer</v>
      </c>
      <c r="H135" s="22"/>
      <c r="I135" s="23">
        <v>130</v>
      </c>
      <c r="J135" s="23">
        <f t="shared" si="29"/>
        <v>130</v>
      </c>
      <c r="K135" s="24">
        <v>160</v>
      </c>
      <c r="L135" s="24">
        <f t="shared" si="30"/>
        <v>-30</v>
      </c>
      <c r="M135" s="24">
        <f t="shared" si="31"/>
        <v>123.07692307692307</v>
      </c>
      <c r="N135" s="25">
        <v>100</v>
      </c>
      <c r="O135" s="26" t="str">
        <f t="shared" si="32"/>
        <v>June</v>
      </c>
      <c r="P135" s="25">
        <f t="shared" si="33"/>
        <v>100</v>
      </c>
      <c r="Q135" s="27">
        <f t="shared" si="34"/>
        <v>60</v>
      </c>
      <c r="R135" s="26" t="b">
        <f t="shared" si="35"/>
        <v>0</v>
      </c>
      <c r="S135" s="28" t="str">
        <f t="shared" si="36"/>
        <v>GROWTH</v>
      </c>
      <c r="T135" s="24">
        <v>50</v>
      </c>
      <c r="U135" s="29" t="str">
        <f t="shared" si="37"/>
        <v>May</v>
      </c>
      <c r="V135" s="24">
        <f t="shared" si="38"/>
        <v>50</v>
      </c>
      <c r="W135" s="30">
        <f t="shared" si="39"/>
        <v>110</v>
      </c>
      <c r="X135" s="31" t="b">
        <f t="shared" si="40"/>
        <v>0</v>
      </c>
      <c r="Y135" s="32" t="str">
        <f t="shared" si="41"/>
        <v>GROWTH</v>
      </c>
      <c r="Z135" s="41">
        <v>0</v>
      </c>
      <c r="AA135" s="36"/>
      <c r="AB135" s="36" t="s">
        <v>24</v>
      </c>
      <c r="AC135" s="36" t="s">
        <v>24</v>
      </c>
      <c r="AD135" s="34"/>
      <c r="AE135" s="35">
        <f>IFERROR(INDEX([1]Last6M_AvgSales_Ref!$B$2:$B$12659,MATCH(D135,[1]Last6M_AvgSales_Ref!$A$2:$A$12659,0)),"")</f>
        <v>144.34166666666701</v>
      </c>
    </row>
    <row r="136" spans="1:31" ht="14.25" customHeight="1" x14ac:dyDescent="0.3">
      <c r="A136" s="36" t="s">
        <v>24</v>
      </c>
      <c r="B136" s="37" t="s">
        <v>269</v>
      </c>
      <c r="C136" s="38" t="s">
        <v>300</v>
      </c>
      <c r="D136" s="38">
        <v>1000000471</v>
      </c>
      <c r="E136" s="39" t="s">
        <v>301</v>
      </c>
      <c r="F136" s="40">
        <v>43061</v>
      </c>
      <c r="G136" s="22" t="str">
        <f t="shared" si="28"/>
        <v>Targeted Dealer</v>
      </c>
      <c r="H136" s="22"/>
      <c r="I136" s="23">
        <v>100</v>
      </c>
      <c r="J136" s="23">
        <f t="shared" si="29"/>
        <v>100</v>
      </c>
      <c r="K136" s="24">
        <v>100</v>
      </c>
      <c r="L136" s="24">
        <f t="shared" si="30"/>
        <v>0</v>
      </c>
      <c r="M136" s="24">
        <f t="shared" si="31"/>
        <v>100</v>
      </c>
      <c r="N136" s="25">
        <v>40</v>
      </c>
      <c r="O136" s="26" t="str">
        <f t="shared" si="32"/>
        <v>June</v>
      </c>
      <c r="P136" s="25">
        <f t="shared" si="33"/>
        <v>40</v>
      </c>
      <c r="Q136" s="27">
        <f t="shared" si="34"/>
        <v>60</v>
      </c>
      <c r="R136" s="26" t="b">
        <f t="shared" si="35"/>
        <v>0</v>
      </c>
      <c r="S136" s="28" t="str">
        <f t="shared" si="36"/>
        <v>GROWTH</v>
      </c>
      <c r="T136" s="24">
        <v>80</v>
      </c>
      <c r="U136" s="29" t="str">
        <f t="shared" si="37"/>
        <v>May</v>
      </c>
      <c r="V136" s="24">
        <f t="shared" si="38"/>
        <v>80</v>
      </c>
      <c r="W136" s="30">
        <f t="shared" si="39"/>
        <v>20</v>
      </c>
      <c r="X136" s="31" t="b">
        <f t="shared" si="40"/>
        <v>0</v>
      </c>
      <c r="Y136" s="32" t="str">
        <f t="shared" si="41"/>
        <v>GROWTH</v>
      </c>
      <c r="Z136" s="41">
        <v>0</v>
      </c>
      <c r="AA136" s="36"/>
      <c r="AB136" s="36" t="s">
        <v>24</v>
      </c>
      <c r="AC136" s="36" t="s">
        <v>24</v>
      </c>
      <c r="AD136" s="34"/>
      <c r="AE136" s="35">
        <f>IFERROR(INDEX([1]Last6M_AvgSales_Ref!$B$2:$B$12659,MATCH(D136,[1]Last6M_AvgSales_Ref!$A$2:$A$12659,0)),"")</f>
        <v>105</v>
      </c>
    </row>
    <row r="137" spans="1:31" ht="14.25" customHeight="1" x14ac:dyDescent="0.3">
      <c r="A137" s="36" t="s">
        <v>24</v>
      </c>
      <c r="B137" s="37" t="s">
        <v>269</v>
      </c>
      <c r="C137" s="38" t="s">
        <v>302</v>
      </c>
      <c r="D137" s="38">
        <v>1000000474</v>
      </c>
      <c r="E137" s="39" t="s">
        <v>303</v>
      </c>
      <c r="F137" s="40">
        <v>43241</v>
      </c>
      <c r="G137" s="22" t="str">
        <f t="shared" si="28"/>
        <v>Targeted Dealer</v>
      </c>
      <c r="H137" s="22"/>
      <c r="I137" s="23">
        <v>40</v>
      </c>
      <c r="J137" s="23">
        <f t="shared" si="29"/>
        <v>40</v>
      </c>
      <c r="K137" s="24">
        <v>50</v>
      </c>
      <c r="L137" s="24">
        <f t="shared" si="30"/>
        <v>-10</v>
      </c>
      <c r="M137" s="24">
        <f t="shared" si="31"/>
        <v>125</v>
      </c>
      <c r="N137" s="25">
        <v>40</v>
      </c>
      <c r="O137" s="26" t="str">
        <f t="shared" si="32"/>
        <v>June</v>
      </c>
      <c r="P137" s="25">
        <f t="shared" si="33"/>
        <v>40</v>
      </c>
      <c r="Q137" s="27">
        <f t="shared" si="34"/>
        <v>10</v>
      </c>
      <c r="R137" s="26" t="b">
        <f t="shared" si="35"/>
        <v>0</v>
      </c>
      <c r="S137" s="28" t="str">
        <f t="shared" si="36"/>
        <v>GROWTH</v>
      </c>
      <c r="T137" s="24">
        <v>0</v>
      </c>
      <c r="U137" s="29" t="str">
        <f t="shared" si="37"/>
        <v>May</v>
      </c>
      <c r="V137" s="24">
        <f t="shared" si="38"/>
        <v>0</v>
      </c>
      <c r="W137" s="30">
        <f t="shared" si="39"/>
        <v>50</v>
      </c>
      <c r="X137" s="31" t="b">
        <f t="shared" si="40"/>
        <v>0</v>
      </c>
      <c r="Y137" s="32" t="b">
        <f t="shared" si="41"/>
        <v>0</v>
      </c>
      <c r="Z137" s="41">
        <v>0</v>
      </c>
      <c r="AA137" s="36"/>
      <c r="AB137" s="36" t="s">
        <v>24</v>
      </c>
      <c r="AC137" s="36" t="s">
        <v>24</v>
      </c>
      <c r="AD137" s="34"/>
      <c r="AE137" s="35">
        <f>IFERROR(INDEX([1]Last6M_AvgSales_Ref!$B$2:$B$12659,MATCH(D137,[1]Last6M_AvgSales_Ref!$A$2:$A$12659,0)),"")</f>
        <v>56.6666666666667</v>
      </c>
    </row>
    <row r="138" spans="1:31" ht="14.25" customHeight="1" x14ac:dyDescent="0.3">
      <c r="A138" s="36" t="s">
        <v>24</v>
      </c>
      <c r="B138" s="37" t="s">
        <v>264</v>
      </c>
      <c r="C138" s="38" t="s">
        <v>304</v>
      </c>
      <c r="D138" s="38">
        <v>1000000464</v>
      </c>
      <c r="E138" s="39" t="s">
        <v>305</v>
      </c>
      <c r="F138" s="40">
        <v>43333</v>
      </c>
      <c r="G138" s="22" t="str">
        <f t="shared" si="28"/>
        <v>Targeted Dealer</v>
      </c>
      <c r="H138" s="22"/>
      <c r="I138" s="23">
        <v>40</v>
      </c>
      <c r="J138" s="23">
        <f t="shared" si="29"/>
        <v>40</v>
      </c>
      <c r="K138" s="24">
        <v>40</v>
      </c>
      <c r="L138" s="24">
        <f t="shared" si="30"/>
        <v>0</v>
      </c>
      <c r="M138" s="24">
        <f t="shared" si="31"/>
        <v>100</v>
      </c>
      <c r="N138" s="25">
        <v>0</v>
      </c>
      <c r="O138" s="26" t="str">
        <f t="shared" si="32"/>
        <v>June</v>
      </c>
      <c r="P138" s="25">
        <f t="shared" si="33"/>
        <v>0</v>
      </c>
      <c r="Q138" s="27">
        <f t="shared" si="34"/>
        <v>40</v>
      </c>
      <c r="R138" s="26" t="b">
        <f t="shared" si="35"/>
        <v>0</v>
      </c>
      <c r="S138" s="28" t="b">
        <f t="shared" si="36"/>
        <v>0</v>
      </c>
      <c r="T138" s="24">
        <v>35</v>
      </c>
      <c r="U138" s="29" t="str">
        <f t="shared" si="37"/>
        <v>May</v>
      </c>
      <c r="V138" s="24">
        <f t="shared" si="38"/>
        <v>35</v>
      </c>
      <c r="W138" s="30">
        <f t="shared" si="39"/>
        <v>5</v>
      </c>
      <c r="X138" s="31" t="b">
        <f t="shared" si="40"/>
        <v>0</v>
      </c>
      <c r="Y138" s="32" t="str">
        <f t="shared" si="41"/>
        <v>GROWTH</v>
      </c>
      <c r="Z138" s="41">
        <v>0</v>
      </c>
      <c r="AA138" s="36"/>
      <c r="AB138" s="36" t="s">
        <v>24</v>
      </c>
      <c r="AC138" s="36" t="s">
        <v>24</v>
      </c>
      <c r="AD138" s="34"/>
      <c r="AE138" s="35">
        <f>IFERROR(INDEX([1]Last6M_AvgSales_Ref!$B$2:$B$12659,MATCH(D138,[1]Last6M_AvgSales_Ref!$A$2:$A$12659,0)),"")</f>
        <v>20</v>
      </c>
    </row>
    <row r="139" spans="1:31" ht="14.25" customHeight="1" x14ac:dyDescent="0.3">
      <c r="A139" s="36" t="s">
        <v>24</v>
      </c>
      <c r="B139" s="37" t="s">
        <v>264</v>
      </c>
      <c r="C139" s="38" t="s">
        <v>306</v>
      </c>
      <c r="D139" s="38">
        <v>1000000467</v>
      </c>
      <c r="E139" s="39" t="s">
        <v>307</v>
      </c>
      <c r="F139" s="40">
        <v>43360</v>
      </c>
      <c r="G139" s="22" t="str">
        <f t="shared" si="28"/>
        <v>Targeted Dealer</v>
      </c>
      <c r="H139" s="22"/>
      <c r="I139" s="23">
        <v>40</v>
      </c>
      <c r="J139" s="23">
        <f t="shared" si="29"/>
        <v>40</v>
      </c>
      <c r="K139" s="24">
        <v>40</v>
      </c>
      <c r="L139" s="24">
        <f t="shared" si="30"/>
        <v>0</v>
      </c>
      <c r="M139" s="24">
        <f t="shared" si="31"/>
        <v>100</v>
      </c>
      <c r="N139" s="25">
        <v>40</v>
      </c>
      <c r="O139" s="26" t="str">
        <f t="shared" si="32"/>
        <v>June</v>
      </c>
      <c r="P139" s="25">
        <f t="shared" si="33"/>
        <v>40</v>
      </c>
      <c r="Q139" s="27">
        <f t="shared" si="34"/>
        <v>0</v>
      </c>
      <c r="R139" s="26" t="b">
        <f t="shared" si="35"/>
        <v>0</v>
      </c>
      <c r="S139" s="28" t="str">
        <f t="shared" si="36"/>
        <v>GROWTH</v>
      </c>
      <c r="T139" s="24">
        <v>0</v>
      </c>
      <c r="U139" s="29" t="str">
        <f t="shared" si="37"/>
        <v>May</v>
      </c>
      <c r="V139" s="24">
        <f t="shared" si="38"/>
        <v>0</v>
      </c>
      <c r="W139" s="30">
        <f t="shared" si="39"/>
        <v>40</v>
      </c>
      <c r="X139" s="31" t="b">
        <f t="shared" si="40"/>
        <v>0</v>
      </c>
      <c r="Y139" s="32" t="b">
        <f t="shared" si="41"/>
        <v>0</v>
      </c>
      <c r="Z139" s="41">
        <v>0</v>
      </c>
      <c r="AA139" s="36"/>
      <c r="AB139" s="36" t="s">
        <v>24</v>
      </c>
      <c r="AC139" s="36" t="s">
        <v>24</v>
      </c>
      <c r="AD139" s="34"/>
      <c r="AE139" s="35">
        <f>IFERROR(INDEX([1]Last6M_AvgSales_Ref!$B$2:$B$12659,MATCH(D139,[1]Last6M_AvgSales_Ref!$A$2:$A$12659,0)),"")</f>
        <v>34.1666666666667</v>
      </c>
    </row>
    <row r="140" spans="1:31" ht="14.25" customHeight="1" x14ac:dyDescent="0.3">
      <c r="A140" s="36" t="s">
        <v>24</v>
      </c>
      <c r="B140" s="37" t="s">
        <v>269</v>
      </c>
      <c r="C140" s="38" t="s">
        <v>308</v>
      </c>
      <c r="D140" s="38">
        <v>1000000472</v>
      </c>
      <c r="E140" s="39" t="s">
        <v>309</v>
      </c>
      <c r="F140" s="40">
        <v>43514</v>
      </c>
      <c r="G140" s="22" t="str">
        <f t="shared" si="28"/>
        <v>Targeted Dealer</v>
      </c>
      <c r="H140" s="22"/>
      <c r="I140" s="23">
        <v>100</v>
      </c>
      <c r="J140" s="23">
        <f t="shared" si="29"/>
        <v>100</v>
      </c>
      <c r="K140" s="24">
        <v>80</v>
      </c>
      <c r="L140" s="24">
        <f t="shared" si="30"/>
        <v>20</v>
      </c>
      <c r="M140" s="24">
        <f t="shared" si="31"/>
        <v>80</v>
      </c>
      <c r="N140" s="25">
        <v>50</v>
      </c>
      <c r="O140" s="26" t="str">
        <f t="shared" si="32"/>
        <v>June</v>
      </c>
      <c r="P140" s="25">
        <f t="shared" si="33"/>
        <v>50</v>
      </c>
      <c r="Q140" s="27">
        <f t="shared" si="34"/>
        <v>30</v>
      </c>
      <c r="R140" s="26" t="b">
        <f t="shared" si="35"/>
        <v>0</v>
      </c>
      <c r="S140" s="28" t="str">
        <f t="shared" si="36"/>
        <v>GROWTH</v>
      </c>
      <c r="T140" s="24">
        <v>80</v>
      </c>
      <c r="U140" s="29" t="str">
        <f t="shared" si="37"/>
        <v>May</v>
      </c>
      <c r="V140" s="24">
        <f t="shared" si="38"/>
        <v>80</v>
      </c>
      <c r="W140" s="30">
        <f t="shared" si="39"/>
        <v>0</v>
      </c>
      <c r="X140" s="31" t="b">
        <f t="shared" si="40"/>
        <v>0</v>
      </c>
      <c r="Y140" s="32" t="str">
        <f t="shared" si="41"/>
        <v>GROWTH</v>
      </c>
      <c r="Z140" s="41">
        <v>0</v>
      </c>
      <c r="AA140" s="36"/>
      <c r="AB140" s="36" t="s">
        <v>24</v>
      </c>
      <c r="AC140" s="36" t="s">
        <v>24</v>
      </c>
      <c r="AD140" s="34"/>
      <c r="AE140" s="35">
        <f>IFERROR(INDEX([1]Last6M_AvgSales_Ref!$B$2:$B$12659,MATCH(D140,[1]Last6M_AvgSales_Ref!$A$2:$A$12659,0)),"")</f>
        <v>106.666666666667</v>
      </c>
    </row>
    <row r="141" spans="1:31" ht="14.25" customHeight="1" x14ac:dyDescent="0.3">
      <c r="A141" s="36" t="s">
        <v>24</v>
      </c>
      <c r="B141" s="37" t="s">
        <v>269</v>
      </c>
      <c r="C141" s="38" t="s">
        <v>310</v>
      </c>
      <c r="D141" s="38">
        <v>1000000915</v>
      </c>
      <c r="E141" s="39" t="s">
        <v>311</v>
      </c>
      <c r="F141" s="40">
        <v>43561</v>
      </c>
      <c r="G141" s="22" t="str">
        <f t="shared" si="28"/>
        <v>Targeted Dealer</v>
      </c>
      <c r="H141" s="22"/>
      <c r="I141" s="23">
        <v>70</v>
      </c>
      <c r="J141" s="23">
        <f t="shared" si="29"/>
        <v>70</v>
      </c>
      <c r="K141" s="24">
        <v>90</v>
      </c>
      <c r="L141" s="24">
        <f t="shared" si="30"/>
        <v>-20</v>
      </c>
      <c r="M141" s="24">
        <f t="shared" si="31"/>
        <v>128.57142857142858</v>
      </c>
      <c r="N141" s="25">
        <v>75</v>
      </c>
      <c r="O141" s="26" t="str">
        <f t="shared" si="32"/>
        <v>June</v>
      </c>
      <c r="P141" s="25">
        <f t="shared" si="33"/>
        <v>75</v>
      </c>
      <c r="Q141" s="27">
        <f t="shared" si="34"/>
        <v>15</v>
      </c>
      <c r="R141" s="26" t="b">
        <f t="shared" si="35"/>
        <v>0</v>
      </c>
      <c r="S141" s="28" t="str">
        <f t="shared" si="36"/>
        <v>GROWTH</v>
      </c>
      <c r="T141" s="24">
        <v>85</v>
      </c>
      <c r="U141" s="29" t="str">
        <f t="shared" si="37"/>
        <v>May</v>
      </c>
      <c r="V141" s="24">
        <f t="shared" si="38"/>
        <v>85</v>
      </c>
      <c r="W141" s="30">
        <f t="shared" si="39"/>
        <v>5</v>
      </c>
      <c r="X141" s="31" t="b">
        <f t="shared" si="40"/>
        <v>0</v>
      </c>
      <c r="Y141" s="32" t="str">
        <f t="shared" si="41"/>
        <v>GROWTH</v>
      </c>
      <c r="Z141" s="41">
        <v>0</v>
      </c>
      <c r="AA141" s="36"/>
      <c r="AB141" s="36" t="s">
        <v>24</v>
      </c>
      <c r="AC141" s="36" t="s">
        <v>24</v>
      </c>
      <c r="AD141" s="34"/>
      <c r="AE141" s="35">
        <f>IFERROR(INDEX([1]Last6M_AvgSales_Ref!$B$2:$B$12659,MATCH(D141,[1]Last6M_AvgSales_Ref!$A$2:$A$12659,0)),"")</f>
        <v>81.6666666666667</v>
      </c>
    </row>
    <row r="142" spans="1:31" ht="14.25" customHeight="1" x14ac:dyDescent="0.3">
      <c r="A142" s="36" t="s">
        <v>24</v>
      </c>
      <c r="B142" s="37" t="s">
        <v>264</v>
      </c>
      <c r="C142" s="38" t="s">
        <v>312</v>
      </c>
      <c r="D142" s="38">
        <v>1000000931</v>
      </c>
      <c r="E142" s="39" t="s">
        <v>313</v>
      </c>
      <c r="F142" s="40">
        <v>43612</v>
      </c>
      <c r="G142" s="22" t="str">
        <f t="shared" si="28"/>
        <v>Targeted Dealer</v>
      </c>
      <c r="H142" s="22"/>
      <c r="I142" s="23">
        <v>20</v>
      </c>
      <c r="J142" s="23">
        <f t="shared" si="29"/>
        <v>20</v>
      </c>
      <c r="K142" s="24">
        <v>0</v>
      </c>
      <c r="L142" s="24">
        <f t="shared" si="30"/>
        <v>20</v>
      </c>
      <c r="M142" s="24">
        <f t="shared" si="31"/>
        <v>0</v>
      </c>
      <c r="N142" s="25">
        <v>0</v>
      </c>
      <c r="O142" s="26" t="str">
        <f t="shared" si="32"/>
        <v>June</v>
      </c>
      <c r="P142" s="25">
        <f t="shared" si="33"/>
        <v>0</v>
      </c>
      <c r="Q142" s="27">
        <f t="shared" si="34"/>
        <v>0</v>
      </c>
      <c r="R142" s="26" t="b">
        <f t="shared" si="35"/>
        <v>0</v>
      </c>
      <c r="S142" s="28" t="b">
        <f t="shared" si="36"/>
        <v>0</v>
      </c>
      <c r="T142" s="24">
        <v>0</v>
      </c>
      <c r="U142" s="29" t="str">
        <f t="shared" si="37"/>
        <v>May</v>
      </c>
      <c r="V142" s="24">
        <f t="shared" si="38"/>
        <v>0</v>
      </c>
      <c r="W142" s="30">
        <f t="shared" si="39"/>
        <v>0</v>
      </c>
      <c r="X142" s="31" t="b">
        <f t="shared" si="40"/>
        <v>0</v>
      </c>
      <c r="Y142" s="32" t="b">
        <f t="shared" si="41"/>
        <v>0</v>
      </c>
      <c r="Z142" s="41">
        <v>0</v>
      </c>
      <c r="AA142" s="36"/>
      <c r="AB142" s="36" t="s">
        <v>24</v>
      </c>
      <c r="AC142" s="36" t="s">
        <v>24</v>
      </c>
      <c r="AD142" s="34"/>
      <c r="AE142" s="35">
        <f>IFERROR(INDEX([1]Last6M_AvgSales_Ref!$B$2:$B$12659,MATCH(D142,[1]Last6M_AvgSales_Ref!$A$2:$A$12659,0)),"")</f>
        <v>20</v>
      </c>
    </row>
    <row r="143" spans="1:31" ht="14.25" customHeight="1" x14ac:dyDescent="0.3">
      <c r="A143" s="36" t="s">
        <v>24</v>
      </c>
      <c r="B143" s="37" t="s">
        <v>264</v>
      </c>
      <c r="C143" s="38" t="s">
        <v>314</v>
      </c>
      <c r="D143" s="38">
        <v>1000000934</v>
      </c>
      <c r="E143" s="39" t="s">
        <v>315</v>
      </c>
      <c r="F143" s="40">
        <v>43638</v>
      </c>
      <c r="G143" s="22" t="str">
        <f t="shared" si="28"/>
        <v>Targeted Dealer</v>
      </c>
      <c r="H143" s="22"/>
      <c r="I143" s="23">
        <v>20</v>
      </c>
      <c r="J143" s="23">
        <f t="shared" si="29"/>
        <v>20</v>
      </c>
      <c r="K143" s="24">
        <v>0</v>
      </c>
      <c r="L143" s="24">
        <f t="shared" si="30"/>
        <v>20</v>
      </c>
      <c r="M143" s="24">
        <f t="shared" si="31"/>
        <v>0</v>
      </c>
      <c r="N143" s="25">
        <v>0</v>
      </c>
      <c r="O143" s="26" t="str">
        <f t="shared" si="32"/>
        <v>June</v>
      </c>
      <c r="P143" s="25">
        <f t="shared" si="33"/>
        <v>0</v>
      </c>
      <c r="Q143" s="27">
        <f t="shared" si="34"/>
        <v>0</v>
      </c>
      <c r="R143" s="26" t="b">
        <f t="shared" si="35"/>
        <v>0</v>
      </c>
      <c r="S143" s="28" t="b">
        <f t="shared" si="36"/>
        <v>0</v>
      </c>
      <c r="T143" s="24">
        <v>0</v>
      </c>
      <c r="U143" s="29" t="str">
        <f t="shared" si="37"/>
        <v>May</v>
      </c>
      <c r="V143" s="24">
        <f t="shared" si="38"/>
        <v>0</v>
      </c>
      <c r="W143" s="30">
        <f t="shared" si="39"/>
        <v>0</v>
      </c>
      <c r="X143" s="31" t="b">
        <f t="shared" si="40"/>
        <v>0</v>
      </c>
      <c r="Y143" s="32" t="b">
        <f t="shared" si="41"/>
        <v>0</v>
      </c>
      <c r="Z143" s="41">
        <v>0</v>
      </c>
      <c r="AA143" s="36"/>
      <c r="AB143" s="36" t="s">
        <v>24</v>
      </c>
      <c r="AC143" s="36" t="s">
        <v>24</v>
      </c>
      <c r="AD143" s="34"/>
      <c r="AE143" s="35">
        <f>IFERROR(INDEX([1]Last6M_AvgSales_Ref!$B$2:$B$12659,MATCH(D143,[1]Last6M_AvgSales_Ref!$A$2:$A$12659,0)),"")</f>
        <v>22.5</v>
      </c>
    </row>
    <row r="144" spans="1:31" ht="14.25" customHeight="1" x14ac:dyDescent="0.3">
      <c r="A144" s="36" t="s">
        <v>24</v>
      </c>
      <c r="B144" s="37" t="s">
        <v>264</v>
      </c>
      <c r="C144" s="38" t="s">
        <v>316</v>
      </c>
      <c r="D144" s="38">
        <v>1000000914</v>
      </c>
      <c r="E144" s="39" t="s">
        <v>317</v>
      </c>
      <c r="F144" s="40">
        <v>44060</v>
      </c>
      <c r="G144" s="22" t="str">
        <f t="shared" si="28"/>
        <v>Targeted Dealer</v>
      </c>
      <c r="H144" s="22"/>
      <c r="I144" s="23">
        <v>200</v>
      </c>
      <c r="J144" s="23">
        <f t="shared" si="29"/>
        <v>200</v>
      </c>
      <c r="K144" s="24">
        <v>160</v>
      </c>
      <c r="L144" s="24">
        <f t="shared" si="30"/>
        <v>40</v>
      </c>
      <c r="M144" s="24">
        <f t="shared" si="31"/>
        <v>80</v>
      </c>
      <c r="N144" s="25">
        <v>207.25</v>
      </c>
      <c r="O144" s="26" t="str">
        <f t="shared" si="32"/>
        <v>June</v>
      </c>
      <c r="P144" s="25">
        <f t="shared" si="33"/>
        <v>207.25</v>
      </c>
      <c r="Q144" s="27">
        <f t="shared" si="34"/>
        <v>-47.25</v>
      </c>
      <c r="R144" s="26" t="b">
        <f t="shared" si="35"/>
        <v>0</v>
      </c>
      <c r="S144" s="28" t="str">
        <f t="shared" si="36"/>
        <v>GROWTH</v>
      </c>
      <c r="T144" s="24">
        <v>200</v>
      </c>
      <c r="U144" s="29" t="str">
        <f t="shared" si="37"/>
        <v>May</v>
      </c>
      <c r="V144" s="24">
        <f t="shared" si="38"/>
        <v>200</v>
      </c>
      <c r="W144" s="30">
        <f t="shared" si="39"/>
        <v>-40</v>
      </c>
      <c r="X144" s="31" t="b">
        <f t="shared" si="40"/>
        <v>0</v>
      </c>
      <c r="Y144" s="32" t="str">
        <f t="shared" si="41"/>
        <v>GROWTH</v>
      </c>
      <c r="Z144" s="41">
        <v>0</v>
      </c>
      <c r="AA144" s="36"/>
      <c r="AB144" s="36" t="s">
        <v>24</v>
      </c>
      <c r="AC144" s="36" t="s">
        <v>24</v>
      </c>
      <c r="AD144" s="34"/>
      <c r="AE144" s="35">
        <f>IFERROR(INDEX([1]Last6M_AvgSales_Ref!$B$2:$B$12659,MATCH(D144,[1]Last6M_AvgSales_Ref!$A$2:$A$12659,0)),"")</f>
        <v>167.5</v>
      </c>
    </row>
    <row r="145" spans="1:31" ht="14.25" customHeight="1" x14ac:dyDescent="0.3">
      <c r="A145" s="36" t="s">
        <v>24</v>
      </c>
      <c r="B145" s="37" t="s">
        <v>264</v>
      </c>
      <c r="C145" s="38" t="s">
        <v>318</v>
      </c>
      <c r="D145" s="38">
        <v>1000000930</v>
      </c>
      <c r="E145" s="39" t="s">
        <v>319</v>
      </c>
      <c r="F145" s="40">
        <v>44067</v>
      </c>
      <c r="G145" s="22" t="str">
        <f t="shared" si="28"/>
        <v>Targeted Dealer</v>
      </c>
      <c r="H145" s="22"/>
      <c r="I145" s="23">
        <v>100</v>
      </c>
      <c r="J145" s="23">
        <f t="shared" si="29"/>
        <v>100</v>
      </c>
      <c r="K145" s="24">
        <v>105</v>
      </c>
      <c r="L145" s="24">
        <f t="shared" si="30"/>
        <v>-5</v>
      </c>
      <c r="M145" s="24">
        <f t="shared" si="31"/>
        <v>105</v>
      </c>
      <c r="N145" s="25">
        <v>0</v>
      </c>
      <c r="O145" s="26" t="str">
        <f t="shared" si="32"/>
        <v>June</v>
      </c>
      <c r="P145" s="25">
        <f t="shared" si="33"/>
        <v>0</v>
      </c>
      <c r="Q145" s="27">
        <f t="shared" si="34"/>
        <v>105</v>
      </c>
      <c r="R145" s="26" t="b">
        <f t="shared" si="35"/>
        <v>0</v>
      </c>
      <c r="S145" s="28" t="b">
        <f t="shared" si="36"/>
        <v>0</v>
      </c>
      <c r="T145" s="24">
        <v>40</v>
      </c>
      <c r="U145" s="29" t="str">
        <f t="shared" si="37"/>
        <v>May</v>
      </c>
      <c r="V145" s="24">
        <f t="shared" si="38"/>
        <v>40</v>
      </c>
      <c r="W145" s="30">
        <f t="shared" si="39"/>
        <v>65</v>
      </c>
      <c r="X145" s="31" t="b">
        <f t="shared" si="40"/>
        <v>0</v>
      </c>
      <c r="Y145" s="32" t="str">
        <f t="shared" si="41"/>
        <v>GROWTH</v>
      </c>
      <c r="Z145" s="41">
        <v>0</v>
      </c>
      <c r="AA145" s="36"/>
      <c r="AB145" s="36" t="s">
        <v>24</v>
      </c>
      <c r="AC145" s="36" t="s">
        <v>24</v>
      </c>
      <c r="AD145" s="34"/>
      <c r="AE145" s="35">
        <f>IFERROR(INDEX([1]Last6M_AvgSales_Ref!$B$2:$B$12659,MATCH(D145,[1]Last6M_AvgSales_Ref!$A$2:$A$12659,0)),"")</f>
        <v>93.3333333333333</v>
      </c>
    </row>
    <row r="146" spans="1:31" ht="14.25" customHeight="1" x14ac:dyDescent="0.3">
      <c r="A146" s="36" t="s">
        <v>24</v>
      </c>
      <c r="B146" s="37" t="s">
        <v>264</v>
      </c>
      <c r="C146" s="38" t="s">
        <v>320</v>
      </c>
      <c r="D146" s="38">
        <v>1000000922</v>
      </c>
      <c r="E146" s="39" t="s">
        <v>321</v>
      </c>
      <c r="F146" s="40">
        <v>44107</v>
      </c>
      <c r="G146" s="22" t="str">
        <f t="shared" si="28"/>
        <v>Targeted Dealer</v>
      </c>
      <c r="H146" s="22"/>
      <c r="I146" s="23">
        <v>80</v>
      </c>
      <c r="J146" s="23">
        <f t="shared" si="29"/>
        <v>80</v>
      </c>
      <c r="K146" s="24">
        <v>90</v>
      </c>
      <c r="L146" s="24">
        <f t="shared" si="30"/>
        <v>-10</v>
      </c>
      <c r="M146" s="24">
        <f t="shared" si="31"/>
        <v>112.5</v>
      </c>
      <c r="N146" s="25">
        <v>78</v>
      </c>
      <c r="O146" s="26" t="str">
        <f t="shared" si="32"/>
        <v>June</v>
      </c>
      <c r="P146" s="25">
        <f t="shared" si="33"/>
        <v>78</v>
      </c>
      <c r="Q146" s="27">
        <f t="shared" si="34"/>
        <v>12</v>
      </c>
      <c r="R146" s="26" t="b">
        <f t="shared" si="35"/>
        <v>0</v>
      </c>
      <c r="S146" s="28" t="str">
        <f t="shared" si="36"/>
        <v>GROWTH</v>
      </c>
      <c r="T146" s="24">
        <v>20</v>
      </c>
      <c r="U146" s="29" t="str">
        <f t="shared" si="37"/>
        <v>May</v>
      </c>
      <c r="V146" s="24">
        <f t="shared" si="38"/>
        <v>20</v>
      </c>
      <c r="W146" s="30">
        <f t="shared" si="39"/>
        <v>70</v>
      </c>
      <c r="X146" s="31" t="b">
        <f t="shared" si="40"/>
        <v>0</v>
      </c>
      <c r="Y146" s="32" t="str">
        <f t="shared" si="41"/>
        <v>GROWTH</v>
      </c>
      <c r="Z146" s="41">
        <v>0</v>
      </c>
      <c r="AA146" s="36"/>
      <c r="AB146" s="36" t="s">
        <v>24</v>
      </c>
      <c r="AC146" s="36" t="s">
        <v>24</v>
      </c>
      <c r="AD146" s="34"/>
      <c r="AE146" s="35">
        <f>IFERROR(INDEX([1]Last6M_AvgSales_Ref!$B$2:$B$12659,MATCH(D146,[1]Last6M_AvgSales_Ref!$A$2:$A$12659,0)),"")</f>
        <v>118.02500000000001</v>
      </c>
    </row>
    <row r="147" spans="1:31" ht="14.25" customHeight="1" x14ac:dyDescent="0.3">
      <c r="A147" s="36" t="s">
        <v>24</v>
      </c>
      <c r="B147" s="37" t="s">
        <v>269</v>
      </c>
      <c r="C147" s="38" t="s">
        <v>322</v>
      </c>
      <c r="D147" s="38">
        <v>1000000918</v>
      </c>
      <c r="E147" s="39" t="s">
        <v>323</v>
      </c>
      <c r="F147" s="40">
        <v>44144</v>
      </c>
      <c r="G147" s="22" t="str">
        <f t="shared" si="28"/>
        <v>Targeted Dealer</v>
      </c>
      <c r="H147" s="22"/>
      <c r="I147" s="23">
        <v>200</v>
      </c>
      <c r="J147" s="23">
        <f t="shared" si="29"/>
        <v>200</v>
      </c>
      <c r="K147" s="24">
        <v>100</v>
      </c>
      <c r="L147" s="24">
        <f t="shared" si="30"/>
        <v>100</v>
      </c>
      <c r="M147" s="24">
        <f t="shared" si="31"/>
        <v>50</v>
      </c>
      <c r="N147" s="25">
        <v>200</v>
      </c>
      <c r="O147" s="26" t="str">
        <f t="shared" si="32"/>
        <v>June</v>
      </c>
      <c r="P147" s="25">
        <f t="shared" si="33"/>
        <v>200</v>
      </c>
      <c r="Q147" s="27">
        <f t="shared" si="34"/>
        <v>-100</v>
      </c>
      <c r="R147" s="26" t="b">
        <f t="shared" si="35"/>
        <v>0</v>
      </c>
      <c r="S147" s="28" t="str">
        <f t="shared" si="36"/>
        <v>GROWTH</v>
      </c>
      <c r="T147" s="24">
        <v>200</v>
      </c>
      <c r="U147" s="29" t="str">
        <f t="shared" si="37"/>
        <v>May</v>
      </c>
      <c r="V147" s="24">
        <f t="shared" si="38"/>
        <v>200</v>
      </c>
      <c r="W147" s="30">
        <f t="shared" si="39"/>
        <v>-100</v>
      </c>
      <c r="X147" s="31" t="b">
        <f t="shared" si="40"/>
        <v>0</v>
      </c>
      <c r="Y147" s="32" t="str">
        <f t="shared" si="41"/>
        <v>GROWTH</v>
      </c>
      <c r="Z147" s="41">
        <v>0</v>
      </c>
      <c r="AA147" s="36"/>
      <c r="AB147" s="36" t="s">
        <v>24</v>
      </c>
      <c r="AC147" s="36" t="s">
        <v>24</v>
      </c>
      <c r="AD147" s="34"/>
      <c r="AE147" s="35">
        <f>IFERROR(INDEX([1]Last6M_AvgSales_Ref!$B$2:$B$12659,MATCH(D147,[1]Last6M_AvgSales_Ref!$A$2:$A$12659,0)),"")</f>
        <v>262.48333333333301</v>
      </c>
    </row>
    <row r="148" spans="1:31" ht="14.25" customHeight="1" x14ac:dyDescent="0.3">
      <c r="A148" s="36" t="s">
        <v>24</v>
      </c>
      <c r="B148" s="37" t="s">
        <v>264</v>
      </c>
      <c r="C148" s="38" t="s">
        <v>324</v>
      </c>
      <c r="D148" s="38">
        <v>1000000916</v>
      </c>
      <c r="E148" s="39" t="s">
        <v>325</v>
      </c>
      <c r="F148" s="40">
        <v>44270</v>
      </c>
      <c r="G148" s="22" t="str">
        <f t="shared" si="28"/>
        <v>Targeted Dealer</v>
      </c>
      <c r="H148" s="22"/>
      <c r="I148" s="23">
        <v>105</v>
      </c>
      <c r="J148" s="23">
        <f t="shared" si="29"/>
        <v>105</v>
      </c>
      <c r="K148" s="24">
        <v>140</v>
      </c>
      <c r="L148" s="24">
        <f t="shared" si="30"/>
        <v>-35</v>
      </c>
      <c r="M148" s="24">
        <f t="shared" si="31"/>
        <v>133.33333333333331</v>
      </c>
      <c r="N148" s="25">
        <v>114</v>
      </c>
      <c r="O148" s="26" t="str">
        <f t="shared" si="32"/>
        <v>June</v>
      </c>
      <c r="P148" s="25">
        <f t="shared" si="33"/>
        <v>114</v>
      </c>
      <c r="Q148" s="27">
        <f t="shared" si="34"/>
        <v>26</v>
      </c>
      <c r="R148" s="26" t="b">
        <f t="shared" si="35"/>
        <v>0</v>
      </c>
      <c r="S148" s="28" t="str">
        <f t="shared" si="36"/>
        <v>GROWTH</v>
      </c>
      <c r="T148" s="24">
        <v>70</v>
      </c>
      <c r="U148" s="29" t="str">
        <f t="shared" si="37"/>
        <v>May</v>
      </c>
      <c r="V148" s="24">
        <f t="shared" si="38"/>
        <v>70</v>
      </c>
      <c r="W148" s="30">
        <f t="shared" si="39"/>
        <v>70</v>
      </c>
      <c r="X148" s="31" t="b">
        <f t="shared" si="40"/>
        <v>0</v>
      </c>
      <c r="Y148" s="32" t="str">
        <f t="shared" si="41"/>
        <v>GROWTH</v>
      </c>
      <c r="Z148" s="41">
        <v>0</v>
      </c>
      <c r="AA148" s="36"/>
      <c r="AB148" s="36" t="s">
        <v>24</v>
      </c>
      <c r="AC148" s="36" t="s">
        <v>24</v>
      </c>
      <c r="AD148" s="34"/>
      <c r="AE148" s="35">
        <f>IFERROR(INDEX([1]Last6M_AvgSales_Ref!$B$2:$B$12659,MATCH(D148,[1]Last6M_AvgSales_Ref!$A$2:$A$12659,0)),"")</f>
        <v>170</v>
      </c>
    </row>
    <row r="149" spans="1:31" ht="14.25" customHeight="1" x14ac:dyDescent="0.3">
      <c r="A149" s="36" t="s">
        <v>24</v>
      </c>
      <c r="B149" s="37" t="s">
        <v>269</v>
      </c>
      <c r="C149" s="38" t="s">
        <v>326</v>
      </c>
      <c r="D149" s="38">
        <v>1000000929</v>
      </c>
      <c r="E149" s="39" t="s">
        <v>327</v>
      </c>
      <c r="F149" s="40">
        <v>44387</v>
      </c>
      <c r="G149" s="22" t="str">
        <f t="shared" si="28"/>
        <v>Targeted Dealer</v>
      </c>
      <c r="H149" s="22"/>
      <c r="I149" s="23">
        <v>60</v>
      </c>
      <c r="J149" s="23">
        <f t="shared" si="29"/>
        <v>60</v>
      </c>
      <c r="K149" s="24">
        <v>167.7</v>
      </c>
      <c r="L149" s="24">
        <f t="shared" si="30"/>
        <v>-107.69999999999999</v>
      </c>
      <c r="M149" s="24">
        <f t="shared" si="31"/>
        <v>279.5</v>
      </c>
      <c r="N149" s="25">
        <v>40</v>
      </c>
      <c r="O149" s="26" t="str">
        <f t="shared" si="32"/>
        <v>June</v>
      </c>
      <c r="P149" s="25">
        <f t="shared" si="33"/>
        <v>40</v>
      </c>
      <c r="Q149" s="27">
        <f t="shared" si="34"/>
        <v>127.69999999999999</v>
      </c>
      <c r="R149" s="26" t="b">
        <f t="shared" si="35"/>
        <v>0</v>
      </c>
      <c r="S149" s="28" t="str">
        <f t="shared" si="36"/>
        <v>GROWTH</v>
      </c>
      <c r="T149" s="24">
        <v>40</v>
      </c>
      <c r="U149" s="29" t="str">
        <f t="shared" si="37"/>
        <v>May</v>
      </c>
      <c r="V149" s="24">
        <f t="shared" si="38"/>
        <v>40</v>
      </c>
      <c r="W149" s="30">
        <f t="shared" si="39"/>
        <v>127.69999999999999</v>
      </c>
      <c r="X149" s="31" t="b">
        <f t="shared" si="40"/>
        <v>0</v>
      </c>
      <c r="Y149" s="32" t="str">
        <f t="shared" si="41"/>
        <v>GROWTH</v>
      </c>
      <c r="Z149" s="41">
        <v>0</v>
      </c>
      <c r="AA149" s="36"/>
      <c r="AB149" s="36" t="s">
        <v>24</v>
      </c>
      <c r="AC149" s="36" t="s">
        <v>24</v>
      </c>
      <c r="AD149" s="34"/>
      <c r="AE149" s="35">
        <f>IFERROR(INDEX([1]Last6M_AvgSales_Ref!$B$2:$B$12659,MATCH(D149,[1]Last6M_AvgSales_Ref!$A$2:$A$12659,0)),"")</f>
        <v>160.666666666667</v>
      </c>
    </row>
    <row r="150" spans="1:31" ht="14.25" customHeight="1" x14ac:dyDescent="0.3">
      <c r="A150" s="36" t="s">
        <v>24</v>
      </c>
      <c r="B150" s="37" t="s">
        <v>264</v>
      </c>
      <c r="C150" s="38" t="s">
        <v>328</v>
      </c>
      <c r="D150" s="38">
        <v>1000000919</v>
      </c>
      <c r="E150" s="39" t="s">
        <v>329</v>
      </c>
      <c r="F150" s="40">
        <v>44459</v>
      </c>
      <c r="G150" s="22" t="str">
        <f t="shared" si="28"/>
        <v>Targeted Dealer</v>
      </c>
      <c r="H150" s="22"/>
      <c r="I150" s="23">
        <v>50</v>
      </c>
      <c r="J150" s="23">
        <f t="shared" si="29"/>
        <v>50</v>
      </c>
      <c r="K150" s="24">
        <v>50</v>
      </c>
      <c r="L150" s="24">
        <f t="shared" si="30"/>
        <v>0</v>
      </c>
      <c r="M150" s="24">
        <f t="shared" si="31"/>
        <v>100</v>
      </c>
      <c r="N150" s="25">
        <v>50</v>
      </c>
      <c r="O150" s="26" t="str">
        <f t="shared" si="32"/>
        <v>June</v>
      </c>
      <c r="P150" s="25">
        <f t="shared" si="33"/>
        <v>50</v>
      </c>
      <c r="Q150" s="27">
        <f t="shared" si="34"/>
        <v>0</v>
      </c>
      <c r="R150" s="26" t="b">
        <f t="shared" si="35"/>
        <v>0</v>
      </c>
      <c r="S150" s="28" t="str">
        <f t="shared" si="36"/>
        <v>GROWTH</v>
      </c>
      <c r="T150" s="24">
        <v>35</v>
      </c>
      <c r="U150" s="29" t="str">
        <f t="shared" si="37"/>
        <v>May</v>
      </c>
      <c r="V150" s="24">
        <f t="shared" si="38"/>
        <v>35</v>
      </c>
      <c r="W150" s="30">
        <f t="shared" si="39"/>
        <v>15</v>
      </c>
      <c r="X150" s="31" t="b">
        <f t="shared" si="40"/>
        <v>0</v>
      </c>
      <c r="Y150" s="32" t="str">
        <f t="shared" si="41"/>
        <v>GROWTH</v>
      </c>
      <c r="Z150" s="41">
        <v>0</v>
      </c>
      <c r="AA150" s="36"/>
      <c r="AB150" s="36" t="s">
        <v>24</v>
      </c>
      <c r="AC150" s="36" t="s">
        <v>24</v>
      </c>
      <c r="AD150" s="34"/>
      <c r="AE150" s="35">
        <f>IFERROR(INDEX([1]Last6M_AvgSales_Ref!$B$2:$B$12659,MATCH(D150,[1]Last6M_AvgSales_Ref!$A$2:$A$12659,0)),"")</f>
        <v>33.3333333333333</v>
      </c>
    </row>
    <row r="151" spans="1:31" ht="14.25" customHeight="1" x14ac:dyDescent="0.3">
      <c r="A151" s="36" t="s">
        <v>24</v>
      </c>
      <c r="B151" s="37" t="s">
        <v>269</v>
      </c>
      <c r="C151" s="38" t="s">
        <v>330</v>
      </c>
      <c r="D151" s="38">
        <v>1000000925</v>
      </c>
      <c r="E151" s="39" t="s">
        <v>331</v>
      </c>
      <c r="F151" s="40">
        <v>44533</v>
      </c>
      <c r="G151" s="22" t="str">
        <f t="shared" si="28"/>
        <v>Targeted Dealer</v>
      </c>
      <c r="H151" s="22"/>
      <c r="I151" s="23">
        <v>160</v>
      </c>
      <c r="J151" s="23">
        <f t="shared" si="29"/>
        <v>160</v>
      </c>
      <c r="K151" s="24">
        <v>175.8</v>
      </c>
      <c r="L151" s="24">
        <f t="shared" si="30"/>
        <v>-15.800000000000011</v>
      </c>
      <c r="M151" s="24">
        <f t="shared" si="31"/>
        <v>109.875</v>
      </c>
      <c r="N151" s="25">
        <v>84.75</v>
      </c>
      <c r="O151" s="26" t="str">
        <f t="shared" si="32"/>
        <v>June</v>
      </c>
      <c r="P151" s="25">
        <f t="shared" si="33"/>
        <v>84.75</v>
      </c>
      <c r="Q151" s="27">
        <f t="shared" si="34"/>
        <v>91.050000000000011</v>
      </c>
      <c r="R151" s="26" t="b">
        <f t="shared" si="35"/>
        <v>0</v>
      </c>
      <c r="S151" s="28" t="str">
        <f t="shared" si="36"/>
        <v>GROWTH</v>
      </c>
      <c r="T151" s="24">
        <v>140</v>
      </c>
      <c r="U151" s="29" t="str">
        <f t="shared" si="37"/>
        <v>May</v>
      </c>
      <c r="V151" s="24">
        <f t="shared" si="38"/>
        <v>140</v>
      </c>
      <c r="W151" s="30">
        <f t="shared" si="39"/>
        <v>35.800000000000011</v>
      </c>
      <c r="X151" s="31" t="b">
        <f t="shared" si="40"/>
        <v>0</v>
      </c>
      <c r="Y151" s="32" t="str">
        <f t="shared" si="41"/>
        <v>GROWTH</v>
      </c>
      <c r="Z151" s="41">
        <v>0</v>
      </c>
      <c r="AA151" s="36"/>
      <c r="AB151" s="36" t="s">
        <v>24</v>
      </c>
      <c r="AC151" s="36" t="s">
        <v>24</v>
      </c>
      <c r="AD151" s="34"/>
      <c r="AE151" s="35">
        <f>IFERROR(INDEX([1]Last6M_AvgSales_Ref!$B$2:$B$12659,MATCH(D151,[1]Last6M_AvgSales_Ref!$A$2:$A$12659,0)),"")</f>
        <v>123.333333333333</v>
      </c>
    </row>
    <row r="152" spans="1:31" ht="14.25" customHeight="1" x14ac:dyDescent="0.3">
      <c r="A152" s="36" t="s">
        <v>24</v>
      </c>
      <c r="B152" s="37" t="s">
        <v>269</v>
      </c>
      <c r="C152" s="38" t="s">
        <v>332</v>
      </c>
      <c r="D152" s="38">
        <v>1000000927</v>
      </c>
      <c r="E152" s="39" t="s">
        <v>333</v>
      </c>
      <c r="F152" s="40">
        <v>44537</v>
      </c>
      <c r="G152" s="22" t="str">
        <f t="shared" si="28"/>
        <v>Targeted Dealer</v>
      </c>
      <c r="H152" s="22"/>
      <c r="I152" s="23">
        <v>40</v>
      </c>
      <c r="J152" s="23">
        <f t="shared" si="29"/>
        <v>40</v>
      </c>
      <c r="K152" s="24">
        <v>20</v>
      </c>
      <c r="L152" s="24">
        <f t="shared" si="30"/>
        <v>20</v>
      </c>
      <c r="M152" s="24">
        <f t="shared" si="31"/>
        <v>50</v>
      </c>
      <c r="N152" s="25">
        <v>40</v>
      </c>
      <c r="O152" s="26" t="str">
        <f t="shared" si="32"/>
        <v>June</v>
      </c>
      <c r="P152" s="25">
        <f t="shared" si="33"/>
        <v>40</v>
      </c>
      <c r="Q152" s="27">
        <f t="shared" si="34"/>
        <v>-20</v>
      </c>
      <c r="R152" s="26" t="b">
        <f t="shared" si="35"/>
        <v>0</v>
      </c>
      <c r="S152" s="28" t="str">
        <f t="shared" si="36"/>
        <v>GROWTH</v>
      </c>
      <c r="T152" s="24">
        <v>20</v>
      </c>
      <c r="U152" s="29" t="str">
        <f t="shared" si="37"/>
        <v>May</v>
      </c>
      <c r="V152" s="24">
        <f t="shared" si="38"/>
        <v>20</v>
      </c>
      <c r="W152" s="30">
        <f t="shared" si="39"/>
        <v>0</v>
      </c>
      <c r="X152" s="31" t="b">
        <f t="shared" si="40"/>
        <v>0</v>
      </c>
      <c r="Y152" s="32" t="str">
        <f t="shared" si="41"/>
        <v>GROWTH</v>
      </c>
      <c r="Z152" s="41">
        <v>0</v>
      </c>
      <c r="AA152" s="36"/>
      <c r="AB152" s="36" t="s">
        <v>24</v>
      </c>
      <c r="AC152" s="36" t="s">
        <v>24</v>
      </c>
      <c r="AD152" s="34"/>
      <c r="AE152" s="35">
        <f>IFERROR(INDEX([1]Last6M_AvgSales_Ref!$B$2:$B$12659,MATCH(D152,[1]Last6M_AvgSales_Ref!$A$2:$A$12659,0)),"")</f>
        <v>34.1666666666667</v>
      </c>
    </row>
    <row r="153" spans="1:31" ht="14.25" customHeight="1" x14ac:dyDescent="0.3">
      <c r="A153" s="36" t="s">
        <v>24</v>
      </c>
      <c r="B153" s="37" t="s">
        <v>264</v>
      </c>
      <c r="C153" s="38" t="s">
        <v>334</v>
      </c>
      <c r="D153" s="38">
        <v>1000002404</v>
      </c>
      <c r="E153" s="39" t="s">
        <v>335</v>
      </c>
      <c r="F153" s="40">
        <v>44565</v>
      </c>
      <c r="G153" s="22" t="str">
        <f t="shared" si="28"/>
        <v>Targeted Dealer</v>
      </c>
      <c r="H153" s="22"/>
      <c r="I153" s="23">
        <v>10</v>
      </c>
      <c r="J153" s="23">
        <f t="shared" si="29"/>
        <v>10</v>
      </c>
      <c r="K153" s="24">
        <v>0</v>
      </c>
      <c r="L153" s="24">
        <f t="shared" si="30"/>
        <v>10</v>
      </c>
      <c r="M153" s="24">
        <f t="shared" si="31"/>
        <v>0</v>
      </c>
      <c r="N153" s="25">
        <v>20</v>
      </c>
      <c r="O153" s="26" t="str">
        <f t="shared" si="32"/>
        <v>June</v>
      </c>
      <c r="P153" s="25">
        <f t="shared" si="33"/>
        <v>20</v>
      </c>
      <c r="Q153" s="27">
        <f t="shared" si="34"/>
        <v>-20</v>
      </c>
      <c r="R153" s="26" t="b">
        <f t="shared" si="35"/>
        <v>0</v>
      </c>
      <c r="S153" s="28" t="str">
        <f t="shared" si="36"/>
        <v>GROWTH</v>
      </c>
      <c r="T153" s="24">
        <v>0</v>
      </c>
      <c r="U153" s="29" t="str">
        <f t="shared" si="37"/>
        <v>May</v>
      </c>
      <c r="V153" s="24">
        <f t="shared" si="38"/>
        <v>0</v>
      </c>
      <c r="W153" s="30">
        <f t="shared" si="39"/>
        <v>0</v>
      </c>
      <c r="X153" s="31" t="b">
        <f t="shared" si="40"/>
        <v>0</v>
      </c>
      <c r="Y153" s="32" t="b">
        <f t="shared" si="41"/>
        <v>0</v>
      </c>
      <c r="Z153" s="41">
        <v>0</v>
      </c>
      <c r="AA153" s="36"/>
      <c r="AB153" s="36" t="s">
        <v>24</v>
      </c>
      <c r="AC153" s="36" t="s">
        <v>24</v>
      </c>
      <c r="AD153" s="34"/>
      <c r="AE153" s="35">
        <f>IFERROR(INDEX([1]Last6M_AvgSales_Ref!$B$2:$B$12659,MATCH(D153,[1]Last6M_AvgSales_Ref!$A$2:$A$12659,0)),"")</f>
        <v>6.6666666666666696</v>
      </c>
    </row>
    <row r="154" spans="1:31" ht="14.25" customHeight="1" x14ac:dyDescent="0.3">
      <c r="A154" s="36" t="s">
        <v>24</v>
      </c>
      <c r="B154" s="37" t="s">
        <v>264</v>
      </c>
      <c r="C154" s="38" t="s">
        <v>336</v>
      </c>
      <c r="D154" s="38">
        <v>1000002409</v>
      </c>
      <c r="E154" s="39" t="s">
        <v>337</v>
      </c>
      <c r="F154" s="40">
        <v>44579</v>
      </c>
      <c r="G154" s="22" t="str">
        <f t="shared" si="28"/>
        <v>Targeted Dealer</v>
      </c>
      <c r="H154" s="22"/>
      <c r="I154" s="23">
        <v>80</v>
      </c>
      <c r="J154" s="23">
        <f t="shared" si="29"/>
        <v>80</v>
      </c>
      <c r="K154" s="24">
        <v>100</v>
      </c>
      <c r="L154" s="24">
        <f t="shared" si="30"/>
        <v>-20</v>
      </c>
      <c r="M154" s="24">
        <f t="shared" si="31"/>
        <v>125</v>
      </c>
      <c r="N154" s="25">
        <v>50</v>
      </c>
      <c r="O154" s="26" t="str">
        <f t="shared" si="32"/>
        <v>June</v>
      </c>
      <c r="P154" s="25">
        <f t="shared" si="33"/>
        <v>50</v>
      </c>
      <c r="Q154" s="27">
        <f t="shared" si="34"/>
        <v>50</v>
      </c>
      <c r="R154" s="26" t="b">
        <f t="shared" si="35"/>
        <v>0</v>
      </c>
      <c r="S154" s="28" t="str">
        <f t="shared" si="36"/>
        <v>GROWTH</v>
      </c>
      <c r="T154" s="24">
        <v>70</v>
      </c>
      <c r="U154" s="29" t="str">
        <f t="shared" si="37"/>
        <v>May</v>
      </c>
      <c r="V154" s="24">
        <f t="shared" si="38"/>
        <v>70</v>
      </c>
      <c r="W154" s="30">
        <f t="shared" si="39"/>
        <v>30</v>
      </c>
      <c r="X154" s="31" t="b">
        <f t="shared" si="40"/>
        <v>0</v>
      </c>
      <c r="Y154" s="32" t="str">
        <f t="shared" si="41"/>
        <v>GROWTH</v>
      </c>
      <c r="Z154" s="41">
        <v>0</v>
      </c>
      <c r="AA154" s="36"/>
      <c r="AB154" s="36" t="s">
        <v>24</v>
      </c>
      <c r="AC154" s="36" t="s">
        <v>24</v>
      </c>
      <c r="AD154" s="34"/>
      <c r="AE154" s="35">
        <f>IFERROR(INDEX([1]Last6M_AvgSales_Ref!$B$2:$B$12659,MATCH(D154,[1]Last6M_AvgSales_Ref!$A$2:$A$12659,0)),"")</f>
        <v>91.6666666666667</v>
      </c>
    </row>
    <row r="155" spans="1:31" ht="14.25" customHeight="1" x14ac:dyDescent="0.3">
      <c r="A155" s="36" t="s">
        <v>24</v>
      </c>
      <c r="B155" s="37" t="s">
        <v>269</v>
      </c>
      <c r="C155" s="38" t="s">
        <v>338</v>
      </c>
      <c r="D155" s="38">
        <v>1000002727</v>
      </c>
      <c r="E155" s="38" t="s">
        <v>339</v>
      </c>
      <c r="F155" s="40">
        <v>44671</v>
      </c>
      <c r="G155" s="22" t="str">
        <f t="shared" si="28"/>
        <v>Targeted Dealer</v>
      </c>
      <c r="H155" s="22"/>
      <c r="I155" s="23">
        <v>40</v>
      </c>
      <c r="J155" s="23">
        <f t="shared" si="29"/>
        <v>40</v>
      </c>
      <c r="K155" s="24">
        <v>80</v>
      </c>
      <c r="L155" s="24">
        <f t="shared" si="30"/>
        <v>-40</v>
      </c>
      <c r="M155" s="24">
        <f t="shared" si="31"/>
        <v>200</v>
      </c>
      <c r="N155" s="25">
        <v>80</v>
      </c>
      <c r="O155" s="26" t="str">
        <f t="shared" si="32"/>
        <v>June</v>
      </c>
      <c r="P155" s="25">
        <f t="shared" si="33"/>
        <v>80</v>
      </c>
      <c r="Q155" s="27">
        <f t="shared" si="34"/>
        <v>0</v>
      </c>
      <c r="R155" s="26" t="b">
        <f t="shared" si="35"/>
        <v>0</v>
      </c>
      <c r="S155" s="28" t="str">
        <f t="shared" si="36"/>
        <v>GROWTH</v>
      </c>
      <c r="T155" s="24">
        <v>55</v>
      </c>
      <c r="U155" s="29" t="str">
        <f t="shared" si="37"/>
        <v>May</v>
      </c>
      <c r="V155" s="24">
        <f t="shared" si="38"/>
        <v>55</v>
      </c>
      <c r="W155" s="30">
        <f t="shared" si="39"/>
        <v>25</v>
      </c>
      <c r="X155" s="31" t="b">
        <f t="shared" si="40"/>
        <v>0</v>
      </c>
      <c r="Y155" s="32" t="str">
        <f t="shared" si="41"/>
        <v>GROWTH</v>
      </c>
      <c r="Z155" s="41">
        <v>0</v>
      </c>
      <c r="AA155" s="36"/>
      <c r="AB155" s="36" t="s">
        <v>24</v>
      </c>
      <c r="AC155" s="36" t="s">
        <v>24</v>
      </c>
      <c r="AD155" s="34"/>
      <c r="AE155" s="35">
        <f>IFERROR(INDEX([1]Last6M_AvgSales_Ref!$B$2:$B$12659,MATCH(D155,[1]Last6M_AvgSales_Ref!$A$2:$A$12659,0)),"")</f>
        <v>66.6666666666667</v>
      </c>
    </row>
    <row r="156" spans="1:31" ht="14.25" customHeight="1" x14ac:dyDescent="0.3">
      <c r="A156" s="36" t="s">
        <v>24</v>
      </c>
      <c r="B156" s="37" t="s">
        <v>269</v>
      </c>
      <c r="C156" s="38" t="s">
        <v>340</v>
      </c>
      <c r="D156" s="38">
        <v>1000003010</v>
      </c>
      <c r="E156" s="38" t="s">
        <v>341</v>
      </c>
      <c r="F156" s="40">
        <v>44834</v>
      </c>
      <c r="G156" s="22" t="str">
        <f t="shared" si="28"/>
        <v>Targeted Dealer</v>
      </c>
      <c r="H156" s="22"/>
      <c r="I156" s="23">
        <v>685</v>
      </c>
      <c r="J156" s="23">
        <f t="shared" si="29"/>
        <v>685</v>
      </c>
      <c r="K156" s="24">
        <v>805</v>
      </c>
      <c r="L156" s="24">
        <f t="shared" si="30"/>
        <v>-120</v>
      </c>
      <c r="M156" s="24">
        <f t="shared" si="31"/>
        <v>117.51824817518249</v>
      </c>
      <c r="N156" s="25">
        <v>820</v>
      </c>
      <c r="O156" s="26" t="str">
        <f t="shared" si="32"/>
        <v>June</v>
      </c>
      <c r="P156" s="25">
        <f t="shared" si="33"/>
        <v>820</v>
      </c>
      <c r="Q156" s="27">
        <f t="shared" si="34"/>
        <v>-15</v>
      </c>
      <c r="R156" s="26" t="b">
        <f t="shared" si="35"/>
        <v>0</v>
      </c>
      <c r="S156" s="28" t="str">
        <f t="shared" si="36"/>
        <v>GROWTH</v>
      </c>
      <c r="T156" s="24">
        <v>640</v>
      </c>
      <c r="U156" s="29" t="str">
        <f t="shared" si="37"/>
        <v>May</v>
      </c>
      <c r="V156" s="24">
        <f t="shared" si="38"/>
        <v>640</v>
      </c>
      <c r="W156" s="30">
        <f t="shared" si="39"/>
        <v>165</v>
      </c>
      <c r="X156" s="31" t="b">
        <f t="shared" si="40"/>
        <v>0</v>
      </c>
      <c r="Y156" s="32" t="str">
        <f t="shared" si="41"/>
        <v>GROWTH</v>
      </c>
      <c r="Z156" s="41">
        <v>0</v>
      </c>
      <c r="AA156" s="36"/>
      <c r="AB156" s="36" t="s">
        <v>24</v>
      </c>
      <c r="AC156" s="36" t="s">
        <v>24</v>
      </c>
      <c r="AD156" s="34"/>
      <c r="AE156" s="35">
        <f>IFERROR(INDEX([1]Last6M_AvgSales_Ref!$B$2:$B$12659,MATCH(D156,[1]Last6M_AvgSales_Ref!$A$2:$A$12659,0)),"")</f>
        <v>741.30833333333305</v>
      </c>
    </row>
    <row r="157" spans="1:31" ht="14.25" customHeight="1" x14ac:dyDescent="0.3">
      <c r="A157" s="36" t="s">
        <v>24</v>
      </c>
      <c r="B157" s="37" t="s">
        <v>264</v>
      </c>
      <c r="C157" s="38" t="s">
        <v>342</v>
      </c>
      <c r="D157" s="38">
        <v>1000003122</v>
      </c>
      <c r="E157" s="38" t="s">
        <v>343</v>
      </c>
      <c r="F157" s="40">
        <v>44903</v>
      </c>
      <c r="G157" s="22" t="str">
        <f t="shared" si="28"/>
        <v>Targeted Dealer</v>
      </c>
      <c r="H157" s="22"/>
      <c r="I157" s="23">
        <v>600</v>
      </c>
      <c r="J157" s="23">
        <f t="shared" si="29"/>
        <v>600</v>
      </c>
      <c r="K157" s="24">
        <v>600.85</v>
      </c>
      <c r="L157" s="24">
        <f t="shared" si="30"/>
        <v>-0.85000000000002274</v>
      </c>
      <c r="M157" s="24">
        <f t="shared" si="31"/>
        <v>100.14166666666667</v>
      </c>
      <c r="N157" s="25">
        <v>609.9</v>
      </c>
      <c r="O157" s="26" t="str">
        <f t="shared" si="32"/>
        <v>June</v>
      </c>
      <c r="P157" s="25">
        <f t="shared" si="33"/>
        <v>609.9</v>
      </c>
      <c r="Q157" s="27">
        <f t="shared" si="34"/>
        <v>-9.0499999999999545</v>
      </c>
      <c r="R157" s="26" t="b">
        <f t="shared" si="35"/>
        <v>0</v>
      </c>
      <c r="S157" s="28" t="str">
        <f t="shared" si="36"/>
        <v>GROWTH</v>
      </c>
      <c r="T157" s="24">
        <v>592.5</v>
      </c>
      <c r="U157" s="29" t="str">
        <f t="shared" si="37"/>
        <v>May</v>
      </c>
      <c r="V157" s="24">
        <f t="shared" si="38"/>
        <v>592.5</v>
      </c>
      <c r="W157" s="30">
        <f t="shared" si="39"/>
        <v>8.3500000000000227</v>
      </c>
      <c r="X157" s="31" t="b">
        <f t="shared" si="40"/>
        <v>0</v>
      </c>
      <c r="Y157" s="32" t="str">
        <f t="shared" si="41"/>
        <v>GROWTH</v>
      </c>
      <c r="Z157" s="41">
        <v>0</v>
      </c>
      <c r="AA157" s="36"/>
      <c r="AB157" s="36" t="s">
        <v>24</v>
      </c>
      <c r="AC157" s="36" t="s">
        <v>24</v>
      </c>
      <c r="AD157" s="34"/>
      <c r="AE157" s="35">
        <f>IFERROR(INDEX([1]Last6M_AvgSales_Ref!$B$2:$B$12659,MATCH(D157,[1]Last6M_AvgSales_Ref!$A$2:$A$12659,0)),"")</f>
        <v>555.99166666666702</v>
      </c>
    </row>
    <row r="158" spans="1:31" ht="14.25" customHeight="1" x14ac:dyDescent="0.3">
      <c r="A158" s="36" t="s">
        <v>24</v>
      </c>
      <c r="B158" s="37" t="s">
        <v>264</v>
      </c>
      <c r="C158" s="38" t="s">
        <v>344</v>
      </c>
      <c r="D158" s="38">
        <v>1000003332</v>
      </c>
      <c r="E158" s="38" t="s">
        <v>345</v>
      </c>
      <c r="F158" s="40">
        <v>44961</v>
      </c>
      <c r="G158" s="22" t="str">
        <f t="shared" si="28"/>
        <v>Targeted Dealer</v>
      </c>
      <c r="H158" s="22"/>
      <c r="I158" s="23">
        <v>125</v>
      </c>
      <c r="J158" s="23">
        <f t="shared" si="29"/>
        <v>125.00000000000001</v>
      </c>
      <c r="K158" s="24">
        <v>165</v>
      </c>
      <c r="L158" s="24">
        <f t="shared" si="30"/>
        <v>-40</v>
      </c>
      <c r="M158" s="24">
        <f t="shared" si="31"/>
        <v>131.99999999999997</v>
      </c>
      <c r="N158" s="25">
        <v>119</v>
      </c>
      <c r="O158" s="26" t="str">
        <f t="shared" si="32"/>
        <v>June</v>
      </c>
      <c r="P158" s="25">
        <f t="shared" si="33"/>
        <v>119</v>
      </c>
      <c r="Q158" s="27">
        <f t="shared" si="34"/>
        <v>46</v>
      </c>
      <c r="R158" s="26" t="b">
        <f t="shared" si="35"/>
        <v>0</v>
      </c>
      <c r="S158" s="28" t="str">
        <f t="shared" si="36"/>
        <v>GROWTH</v>
      </c>
      <c r="T158" s="24">
        <v>150</v>
      </c>
      <c r="U158" s="29" t="str">
        <f t="shared" si="37"/>
        <v>May</v>
      </c>
      <c r="V158" s="24">
        <f t="shared" si="38"/>
        <v>150</v>
      </c>
      <c r="W158" s="30">
        <f t="shared" si="39"/>
        <v>15</v>
      </c>
      <c r="X158" s="31" t="b">
        <f t="shared" si="40"/>
        <v>0</v>
      </c>
      <c r="Y158" s="32" t="str">
        <f t="shared" si="41"/>
        <v>GROWTH</v>
      </c>
      <c r="Z158" s="41">
        <v>0</v>
      </c>
      <c r="AA158" s="36"/>
      <c r="AB158" s="36" t="s">
        <v>24</v>
      </c>
      <c r="AC158" s="36" t="s">
        <v>24</v>
      </c>
      <c r="AD158" s="34"/>
      <c r="AE158" s="35">
        <f>IFERROR(INDEX([1]Last6M_AvgSales_Ref!$B$2:$B$12659,MATCH(D158,[1]Last6M_AvgSales_Ref!$A$2:$A$12659,0)),"")</f>
        <v>97.5</v>
      </c>
    </row>
    <row r="159" spans="1:31" ht="14.25" customHeight="1" x14ac:dyDescent="0.3">
      <c r="A159" s="36" t="s">
        <v>24</v>
      </c>
      <c r="B159" s="37" t="s">
        <v>264</v>
      </c>
      <c r="C159" s="38" t="s">
        <v>346</v>
      </c>
      <c r="D159" s="38">
        <v>1000003479</v>
      </c>
      <c r="E159" s="38" t="s">
        <v>347</v>
      </c>
      <c r="F159" s="40">
        <v>45036</v>
      </c>
      <c r="G159" s="22" t="str">
        <f t="shared" si="28"/>
        <v>-</v>
      </c>
      <c r="H159" s="22"/>
      <c r="I159" s="23">
        <v>0</v>
      </c>
      <c r="J159" s="23">
        <f t="shared" si="29"/>
        <v>0</v>
      </c>
      <c r="K159" s="24">
        <v>0</v>
      </c>
      <c r="L159" s="24">
        <f t="shared" si="30"/>
        <v>0</v>
      </c>
      <c r="M159" s="24" t="str">
        <f t="shared" si="31"/>
        <v>-</v>
      </c>
      <c r="N159" s="25">
        <v>0</v>
      </c>
      <c r="O159" s="26" t="str">
        <f t="shared" si="32"/>
        <v>June</v>
      </c>
      <c r="P159" s="25">
        <f t="shared" si="33"/>
        <v>0</v>
      </c>
      <c r="Q159" s="27">
        <f t="shared" si="34"/>
        <v>0</v>
      </c>
      <c r="R159" s="26" t="b">
        <f t="shared" si="35"/>
        <v>0</v>
      </c>
      <c r="S159" s="28" t="b">
        <f t="shared" si="36"/>
        <v>0</v>
      </c>
      <c r="T159" s="24">
        <v>80</v>
      </c>
      <c r="U159" s="29" t="str">
        <f t="shared" si="37"/>
        <v>May</v>
      </c>
      <c r="V159" s="24">
        <f t="shared" si="38"/>
        <v>80</v>
      </c>
      <c r="W159" s="30">
        <f t="shared" si="39"/>
        <v>-80</v>
      </c>
      <c r="X159" s="31" t="b">
        <f t="shared" si="40"/>
        <v>0</v>
      </c>
      <c r="Y159" s="32" t="str">
        <f t="shared" si="41"/>
        <v>GROWTH</v>
      </c>
      <c r="Z159" s="41">
        <v>0</v>
      </c>
      <c r="AA159" s="36"/>
      <c r="AB159" s="36" t="s">
        <v>24</v>
      </c>
      <c r="AC159" s="36" t="s">
        <v>24</v>
      </c>
      <c r="AD159" s="34"/>
      <c r="AE159" s="35">
        <f>IFERROR(INDEX([1]Last6M_AvgSales_Ref!$B$2:$B$12659,MATCH(D159,[1]Last6M_AvgSales_Ref!$A$2:$A$12659,0)),"")</f>
        <v>45.8333333333333</v>
      </c>
    </row>
    <row r="160" spans="1:31" ht="14.25" customHeight="1" x14ac:dyDescent="0.3">
      <c r="A160" s="36" t="s">
        <v>24</v>
      </c>
      <c r="B160" s="37" t="s">
        <v>264</v>
      </c>
      <c r="C160" s="38" t="s">
        <v>348</v>
      </c>
      <c r="D160" s="38">
        <v>1000003553</v>
      </c>
      <c r="E160" s="38" t="s">
        <v>349</v>
      </c>
      <c r="F160" s="40">
        <v>45072</v>
      </c>
      <c r="G160" s="22" t="str">
        <f t="shared" si="28"/>
        <v>Targeted Dealer</v>
      </c>
      <c r="H160" s="22"/>
      <c r="I160" s="23">
        <v>125</v>
      </c>
      <c r="J160" s="23">
        <f t="shared" si="29"/>
        <v>125.00000000000001</v>
      </c>
      <c r="K160" s="24">
        <v>190</v>
      </c>
      <c r="L160" s="24">
        <f t="shared" si="30"/>
        <v>-65</v>
      </c>
      <c r="M160" s="24">
        <f t="shared" si="31"/>
        <v>151.99999999999997</v>
      </c>
      <c r="N160" s="25">
        <v>150</v>
      </c>
      <c r="O160" s="26" t="str">
        <f t="shared" si="32"/>
        <v>June</v>
      </c>
      <c r="P160" s="25">
        <f t="shared" si="33"/>
        <v>150</v>
      </c>
      <c r="Q160" s="27">
        <f t="shared" si="34"/>
        <v>40</v>
      </c>
      <c r="R160" s="26" t="b">
        <f t="shared" si="35"/>
        <v>0</v>
      </c>
      <c r="S160" s="28" t="str">
        <f t="shared" si="36"/>
        <v>GROWTH</v>
      </c>
      <c r="T160" s="24">
        <v>105</v>
      </c>
      <c r="U160" s="29" t="str">
        <f t="shared" si="37"/>
        <v>May</v>
      </c>
      <c r="V160" s="24">
        <f t="shared" si="38"/>
        <v>105</v>
      </c>
      <c r="W160" s="30">
        <f t="shared" si="39"/>
        <v>85</v>
      </c>
      <c r="X160" s="31" t="b">
        <f t="shared" si="40"/>
        <v>0</v>
      </c>
      <c r="Y160" s="32" t="str">
        <f t="shared" si="41"/>
        <v>GROWTH</v>
      </c>
      <c r="Z160" s="41">
        <v>0</v>
      </c>
      <c r="AA160" s="36"/>
      <c r="AB160" s="36" t="s">
        <v>24</v>
      </c>
      <c r="AC160" s="36" t="s">
        <v>24</v>
      </c>
      <c r="AD160" s="34"/>
      <c r="AE160" s="35">
        <f>IFERROR(INDEX([1]Last6M_AvgSales_Ref!$B$2:$B$12659,MATCH(D160,[1]Last6M_AvgSales_Ref!$A$2:$A$12659,0)),"")</f>
        <v>182.433333333333</v>
      </c>
    </row>
    <row r="161" spans="1:31" ht="14.25" customHeight="1" x14ac:dyDescent="0.3">
      <c r="A161" s="36" t="s">
        <v>24</v>
      </c>
      <c r="B161" s="37" t="s">
        <v>269</v>
      </c>
      <c r="C161" s="38" t="s">
        <v>350</v>
      </c>
      <c r="D161" s="38">
        <v>1000003763</v>
      </c>
      <c r="E161" s="38" t="s">
        <v>351</v>
      </c>
      <c r="F161" s="40">
        <v>45252</v>
      </c>
      <c r="G161" s="22" t="str">
        <f t="shared" si="28"/>
        <v>Targeted Dealer</v>
      </c>
      <c r="H161" s="22"/>
      <c r="I161" s="23">
        <v>120</v>
      </c>
      <c r="J161" s="23">
        <f t="shared" si="29"/>
        <v>120</v>
      </c>
      <c r="K161" s="24">
        <v>169.25</v>
      </c>
      <c r="L161" s="24">
        <f t="shared" si="30"/>
        <v>-49.25</v>
      </c>
      <c r="M161" s="24">
        <f t="shared" si="31"/>
        <v>141.04166666666669</v>
      </c>
      <c r="N161" s="25">
        <v>39.85</v>
      </c>
      <c r="O161" s="26" t="str">
        <f t="shared" si="32"/>
        <v>June</v>
      </c>
      <c r="P161" s="25">
        <f t="shared" si="33"/>
        <v>39.85</v>
      </c>
      <c r="Q161" s="27">
        <f t="shared" si="34"/>
        <v>129.4</v>
      </c>
      <c r="R161" s="26" t="b">
        <f t="shared" si="35"/>
        <v>0</v>
      </c>
      <c r="S161" s="28" t="str">
        <f t="shared" si="36"/>
        <v>GROWTH</v>
      </c>
      <c r="T161" s="24">
        <v>120</v>
      </c>
      <c r="U161" s="29" t="str">
        <f t="shared" si="37"/>
        <v>May</v>
      </c>
      <c r="V161" s="24">
        <f t="shared" si="38"/>
        <v>120</v>
      </c>
      <c r="W161" s="30">
        <f t="shared" si="39"/>
        <v>49.25</v>
      </c>
      <c r="X161" s="31" t="b">
        <f t="shared" si="40"/>
        <v>0</v>
      </c>
      <c r="Y161" s="32" t="str">
        <f t="shared" si="41"/>
        <v>GROWTH</v>
      </c>
      <c r="Z161" s="41">
        <v>0</v>
      </c>
      <c r="AA161" s="36"/>
      <c r="AB161" s="36" t="s">
        <v>24</v>
      </c>
      <c r="AC161" s="36" t="s">
        <v>24</v>
      </c>
      <c r="AD161" s="34"/>
      <c r="AE161" s="35">
        <f>IFERROR(INDEX([1]Last6M_AvgSales_Ref!$B$2:$B$12659,MATCH(D161,[1]Last6M_AvgSales_Ref!$A$2:$A$12659,0)),"")</f>
        <v>131.13333333333301</v>
      </c>
    </row>
    <row r="162" spans="1:31" ht="14.25" customHeight="1" x14ac:dyDescent="0.3">
      <c r="A162" s="41" t="s">
        <v>24</v>
      </c>
      <c r="B162" s="37" t="s">
        <v>269</v>
      </c>
      <c r="C162" s="44" t="s">
        <v>352</v>
      </c>
      <c r="D162" s="44">
        <v>1000003844</v>
      </c>
      <c r="E162" s="44" t="s">
        <v>353</v>
      </c>
      <c r="F162" s="45">
        <v>45322</v>
      </c>
      <c r="G162" s="22" t="str">
        <f t="shared" si="28"/>
        <v>Targeted Dealer</v>
      </c>
      <c r="H162" s="22"/>
      <c r="I162" s="23">
        <v>300</v>
      </c>
      <c r="J162" s="23">
        <f t="shared" si="29"/>
        <v>300</v>
      </c>
      <c r="K162" s="24">
        <v>590</v>
      </c>
      <c r="L162" s="24">
        <f t="shared" si="30"/>
        <v>-290</v>
      </c>
      <c r="M162" s="24">
        <f t="shared" si="31"/>
        <v>196.66666666666666</v>
      </c>
      <c r="N162" s="25">
        <v>450</v>
      </c>
      <c r="O162" s="26" t="str">
        <f t="shared" si="32"/>
        <v>June</v>
      </c>
      <c r="P162" s="25">
        <f t="shared" si="33"/>
        <v>450</v>
      </c>
      <c r="Q162" s="27">
        <f t="shared" si="34"/>
        <v>140</v>
      </c>
      <c r="R162" s="26" t="b">
        <f t="shared" si="35"/>
        <v>0</v>
      </c>
      <c r="S162" s="28" t="str">
        <f t="shared" si="36"/>
        <v>GROWTH</v>
      </c>
      <c r="T162" s="24">
        <v>260</v>
      </c>
      <c r="U162" s="29" t="str">
        <f t="shared" si="37"/>
        <v>May</v>
      </c>
      <c r="V162" s="24">
        <f t="shared" si="38"/>
        <v>260</v>
      </c>
      <c r="W162" s="30">
        <f t="shared" si="39"/>
        <v>330</v>
      </c>
      <c r="X162" s="31" t="b">
        <f t="shared" si="40"/>
        <v>0</v>
      </c>
      <c r="Y162" s="32" t="str">
        <f t="shared" si="41"/>
        <v>GROWTH</v>
      </c>
      <c r="Z162" s="41">
        <v>0</v>
      </c>
      <c r="AA162" s="36"/>
      <c r="AB162" s="36" t="s">
        <v>24</v>
      </c>
      <c r="AC162" s="41" t="s">
        <v>24</v>
      </c>
      <c r="AD162" s="34"/>
      <c r="AE162" s="35">
        <f>IFERROR(INDEX([1]Last6M_AvgSales_Ref!$B$2:$B$12659,MATCH(D162,[1]Last6M_AvgSales_Ref!$A$2:$A$12659,0)),"")</f>
        <v>699.07500000000005</v>
      </c>
    </row>
    <row r="163" spans="1:31" ht="14.25" customHeight="1" x14ac:dyDescent="0.3">
      <c r="A163" s="41" t="s">
        <v>24</v>
      </c>
      <c r="B163" s="37" t="s">
        <v>269</v>
      </c>
      <c r="C163" s="44" t="s">
        <v>354</v>
      </c>
      <c r="D163" s="44">
        <v>1000004014</v>
      </c>
      <c r="E163" s="44" t="s">
        <v>355</v>
      </c>
      <c r="F163" s="40">
        <v>45464</v>
      </c>
      <c r="G163" s="22" t="str">
        <f t="shared" si="28"/>
        <v>-</v>
      </c>
      <c r="H163" s="22"/>
      <c r="I163" s="23">
        <v>0</v>
      </c>
      <c r="J163" s="23">
        <f t="shared" si="29"/>
        <v>0</v>
      </c>
      <c r="K163" s="24">
        <v>0</v>
      </c>
      <c r="L163" s="24">
        <f t="shared" si="30"/>
        <v>0</v>
      </c>
      <c r="M163" s="24" t="str">
        <f t="shared" si="31"/>
        <v>-</v>
      </c>
      <c r="N163" s="25">
        <v>10</v>
      </c>
      <c r="O163" s="26" t="str">
        <f t="shared" si="32"/>
        <v>June</v>
      </c>
      <c r="P163" s="25">
        <f t="shared" si="33"/>
        <v>10</v>
      </c>
      <c r="Q163" s="27">
        <f t="shared" si="34"/>
        <v>-10</v>
      </c>
      <c r="R163" s="26" t="b">
        <f t="shared" si="35"/>
        <v>0</v>
      </c>
      <c r="S163" s="28" t="str">
        <f t="shared" si="36"/>
        <v>GROWTH</v>
      </c>
      <c r="T163" s="24">
        <v>50</v>
      </c>
      <c r="U163" s="29" t="str">
        <f t="shared" si="37"/>
        <v>May</v>
      </c>
      <c r="V163" s="24">
        <f t="shared" si="38"/>
        <v>50</v>
      </c>
      <c r="W163" s="30">
        <f t="shared" si="39"/>
        <v>-50</v>
      </c>
      <c r="X163" s="31" t="b">
        <f t="shared" si="40"/>
        <v>0</v>
      </c>
      <c r="Y163" s="32" t="str">
        <f t="shared" si="41"/>
        <v>GROWTH</v>
      </c>
      <c r="Z163" s="41">
        <v>0</v>
      </c>
      <c r="AA163" s="36"/>
      <c r="AB163" s="36" t="s">
        <v>24</v>
      </c>
      <c r="AC163" s="41" t="s">
        <v>24</v>
      </c>
      <c r="AD163" s="34"/>
      <c r="AE163" s="35">
        <f>IFERROR(INDEX([1]Last6M_AvgSales_Ref!$B$2:$B$12659,MATCH(D163,[1]Last6M_AvgSales_Ref!$A$2:$A$12659,0)),"")</f>
        <v>1.6666666666666701</v>
      </c>
    </row>
    <row r="164" spans="1:31" ht="14.25" customHeight="1" x14ac:dyDescent="0.3">
      <c r="A164" s="41" t="s">
        <v>24</v>
      </c>
      <c r="B164" s="37" t="s">
        <v>269</v>
      </c>
      <c r="C164" s="44" t="s">
        <v>356</v>
      </c>
      <c r="D164" s="44">
        <v>1000004083</v>
      </c>
      <c r="E164" s="44" t="s">
        <v>357</v>
      </c>
      <c r="F164" s="40">
        <v>45516</v>
      </c>
      <c r="G164" s="22" t="str">
        <f t="shared" si="28"/>
        <v>Targeted Dealer</v>
      </c>
      <c r="H164" s="22"/>
      <c r="I164" s="23">
        <v>140</v>
      </c>
      <c r="J164" s="23">
        <f t="shared" si="29"/>
        <v>140</v>
      </c>
      <c r="K164" s="24">
        <v>126.35</v>
      </c>
      <c r="L164" s="24">
        <f t="shared" si="30"/>
        <v>13.650000000000006</v>
      </c>
      <c r="M164" s="24">
        <f t="shared" si="31"/>
        <v>90.25</v>
      </c>
      <c r="N164" s="25">
        <v>80</v>
      </c>
      <c r="O164" s="26" t="str">
        <f t="shared" si="32"/>
        <v>June</v>
      </c>
      <c r="P164" s="25">
        <f t="shared" si="33"/>
        <v>80</v>
      </c>
      <c r="Q164" s="27">
        <f t="shared" si="34"/>
        <v>46.349999999999994</v>
      </c>
      <c r="R164" s="26" t="b">
        <f t="shared" si="35"/>
        <v>0</v>
      </c>
      <c r="S164" s="28" t="str">
        <f t="shared" si="36"/>
        <v>GROWTH</v>
      </c>
      <c r="T164" s="24">
        <v>130</v>
      </c>
      <c r="U164" s="29" t="str">
        <f t="shared" si="37"/>
        <v>May</v>
      </c>
      <c r="V164" s="24">
        <f t="shared" si="38"/>
        <v>130</v>
      </c>
      <c r="W164" s="30">
        <f t="shared" si="39"/>
        <v>-3.6500000000000057</v>
      </c>
      <c r="X164" s="31" t="b">
        <f t="shared" si="40"/>
        <v>0</v>
      </c>
      <c r="Y164" s="32" t="str">
        <f t="shared" si="41"/>
        <v>GROWTH</v>
      </c>
      <c r="Z164" s="41">
        <v>0</v>
      </c>
      <c r="AA164" s="36"/>
      <c r="AB164" s="36" t="s">
        <v>24</v>
      </c>
      <c r="AC164" s="41" t="s">
        <v>24</v>
      </c>
      <c r="AD164" s="34"/>
      <c r="AE164" s="35">
        <f>IFERROR(INDEX([1]Last6M_AvgSales_Ref!$B$2:$B$12659,MATCH(D164,[1]Last6M_AvgSales_Ref!$A$2:$A$12659,0)),"")</f>
        <v>219.46666666666701</v>
      </c>
    </row>
    <row r="165" spans="1:31" ht="14.25" customHeight="1" x14ac:dyDescent="0.3">
      <c r="A165" s="36" t="s">
        <v>24</v>
      </c>
      <c r="B165" s="38" t="s">
        <v>358</v>
      </c>
      <c r="C165" s="38" t="s">
        <v>359</v>
      </c>
      <c r="D165" s="38">
        <v>1000000086</v>
      </c>
      <c r="E165" s="39" t="s">
        <v>360</v>
      </c>
      <c r="F165" s="40">
        <v>42431</v>
      </c>
      <c r="G165" s="22" t="str">
        <f t="shared" si="28"/>
        <v>Targeted Dealer</v>
      </c>
      <c r="H165" s="22"/>
      <c r="I165" s="23">
        <v>20</v>
      </c>
      <c r="J165" s="23">
        <f t="shared" si="29"/>
        <v>20</v>
      </c>
      <c r="K165" s="24">
        <v>47.5</v>
      </c>
      <c r="L165" s="24">
        <f t="shared" si="30"/>
        <v>-27.5</v>
      </c>
      <c r="M165" s="24">
        <f t="shared" si="31"/>
        <v>237.5</v>
      </c>
      <c r="N165" s="25">
        <v>0</v>
      </c>
      <c r="O165" s="26" t="str">
        <f t="shared" si="32"/>
        <v>June</v>
      </c>
      <c r="P165" s="25">
        <f t="shared" si="33"/>
        <v>0</v>
      </c>
      <c r="Q165" s="27">
        <f t="shared" si="34"/>
        <v>47.5</v>
      </c>
      <c r="R165" s="26" t="b">
        <f t="shared" si="35"/>
        <v>0</v>
      </c>
      <c r="S165" s="28" t="b">
        <f t="shared" si="36"/>
        <v>0</v>
      </c>
      <c r="T165" s="24">
        <v>13</v>
      </c>
      <c r="U165" s="29" t="str">
        <f t="shared" si="37"/>
        <v>May</v>
      </c>
      <c r="V165" s="24">
        <f t="shared" si="38"/>
        <v>13</v>
      </c>
      <c r="W165" s="30">
        <f t="shared" si="39"/>
        <v>34.5</v>
      </c>
      <c r="X165" s="31" t="b">
        <f t="shared" si="40"/>
        <v>0</v>
      </c>
      <c r="Y165" s="32" t="str">
        <f t="shared" si="41"/>
        <v>GROWTH</v>
      </c>
      <c r="Z165" s="41">
        <v>0</v>
      </c>
      <c r="AA165" s="36"/>
      <c r="AB165" s="36" t="s">
        <v>24</v>
      </c>
      <c r="AC165" s="36" t="s">
        <v>24</v>
      </c>
      <c r="AD165" s="34"/>
      <c r="AE165" s="35">
        <f>IFERROR(INDEX([1]Last6M_AvgSales_Ref!$B$2:$B$12659,MATCH(D165,[1]Last6M_AvgSales_Ref!$A$2:$A$12659,0)),"")</f>
        <v>43.3333333333333</v>
      </c>
    </row>
    <row r="166" spans="1:31" ht="14.25" customHeight="1" x14ac:dyDescent="0.3">
      <c r="A166" s="36" t="s">
        <v>24</v>
      </c>
      <c r="B166" s="38" t="s">
        <v>358</v>
      </c>
      <c r="C166" s="38" t="s">
        <v>361</v>
      </c>
      <c r="D166" s="38">
        <v>1000000067</v>
      </c>
      <c r="E166" s="39" t="s">
        <v>362</v>
      </c>
      <c r="F166" s="40">
        <v>42739</v>
      </c>
      <c r="G166" s="22" t="str">
        <f t="shared" si="28"/>
        <v>Targeted Dealer</v>
      </c>
      <c r="H166" s="22"/>
      <c r="I166" s="23">
        <v>120</v>
      </c>
      <c r="J166" s="23">
        <f t="shared" si="29"/>
        <v>120</v>
      </c>
      <c r="K166" s="24">
        <v>40</v>
      </c>
      <c r="L166" s="24">
        <f t="shared" si="30"/>
        <v>80</v>
      </c>
      <c r="M166" s="24">
        <f t="shared" si="31"/>
        <v>33.333333333333336</v>
      </c>
      <c r="N166" s="25">
        <v>80</v>
      </c>
      <c r="O166" s="26" t="str">
        <f t="shared" si="32"/>
        <v>June</v>
      </c>
      <c r="P166" s="25">
        <f t="shared" si="33"/>
        <v>80</v>
      </c>
      <c r="Q166" s="27">
        <f t="shared" si="34"/>
        <v>-40</v>
      </c>
      <c r="R166" s="26" t="b">
        <f t="shared" si="35"/>
        <v>0</v>
      </c>
      <c r="S166" s="28" t="str">
        <f t="shared" si="36"/>
        <v>GROWTH</v>
      </c>
      <c r="T166" s="24">
        <v>137.5</v>
      </c>
      <c r="U166" s="29" t="str">
        <f t="shared" si="37"/>
        <v>May</v>
      </c>
      <c r="V166" s="24">
        <f t="shared" si="38"/>
        <v>137.5</v>
      </c>
      <c r="W166" s="30">
        <f t="shared" si="39"/>
        <v>-97.5</v>
      </c>
      <c r="X166" s="31" t="b">
        <f t="shared" si="40"/>
        <v>0</v>
      </c>
      <c r="Y166" s="32" t="str">
        <f t="shared" si="41"/>
        <v>GROWTH</v>
      </c>
      <c r="Z166" s="41">
        <v>0</v>
      </c>
      <c r="AA166" s="36"/>
      <c r="AB166" s="36" t="s">
        <v>24</v>
      </c>
      <c r="AC166" s="36" t="s">
        <v>24</v>
      </c>
      <c r="AD166" s="34"/>
      <c r="AE166" s="35">
        <f>IFERROR(INDEX([1]Last6M_AvgSales_Ref!$B$2:$B$12659,MATCH(D166,[1]Last6M_AvgSales_Ref!$A$2:$A$12659,0)),"")</f>
        <v>82.8333333333333</v>
      </c>
    </row>
    <row r="167" spans="1:31" ht="14.25" customHeight="1" x14ac:dyDescent="0.3">
      <c r="A167" s="36" t="s">
        <v>24</v>
      </c>
      <c r="B167" s="38" t="s">
        <v>358</v>
      </c>
      <c r="C167" s="38" t="s">
        <v>363</v>
      </c>
      <c r="D167" s="38">
        <v>1000000074</v>
      </c>
      <c r="E167" s="39" t="s">
        <v>364</v>
      </c>
      <c r="F167" s="40">
        <v>43171</v>
      </c>
      <c r="G167" s="22" t="str">
        <f t="shared" si="28"/>
        <v>Targeted Dealer</v>
      </c>
      <c r="H167" s="22"/>
      <c r="I167" s="23">
        <v>40</v>
      </c>
      <c r="J167" s="23">
        <f t="shared" si="29"/>
        <v>40</v>
      </c>
      <c r="K167" s="24">
        <v>0</v>
      </c>
      <c r="L167" s="24">
        <f t="shared" si="30"/>
        <v>40</v>
      </c>
      <c r="M167" s="24">
        <f t="shared" si="31"/>
        <v>0</v>
      </c>
      <c r="N167" s="25">
        <v>0</v>
      </c>
      <c r="O167" s="26" t="str">
        <f t="shared" si="32"/>
        <v>June</v>
      </c>
      <c r="P167" s="25">
        <f t="shared" si="33"/>
        <v>0</v>
      </c>
      <c r="Q167" s="27">
        <f t="shared" si="34"/>
        <v>0</v>
      </c>
      <c r="R167" s="26" t="b">
        <f t="shared" si="35"/>
        <v>0</v>
      </c>
      <c r="S167" s="28" t="b">
        <f t="shared" si="36"/>
        <v>0</v>
      </c>
      <c r="T167" s="24">
        <v>40</v>
      </c>
      <c r="U167" s="29" t="str">
        <f t="shared" si="37"/>
        <v>May</v>
      </c>
      <c r="V167" s="24">
        <f t="shared" si="38"/>
        <v>40</v>
      </c>
      <c r="W167" s="30">
        <f t="shared" si="39"/>
        <v>-40</v>
      </c>
      <c r="X167" s="31" t="b">
        <f t="shared" si="40"/>
        <v>0</v>
      </c>
      <c r="Y167" s="32" t="str">
        <f t="shared" si="41"/>
        <v>GROWTH</v>
      </c>
      <c r="Z167" s="41">
        <v>0</v>
      </c>
      <c r="AA167" s="36"/>
      <c r="AB167" s="36" t="s">
        <v>24</v>
      </c>
      <c r="AC167" s="36" t="s">
        <v>24</v>
      </c>
      <c r="AD167" s="34"/>
      <c r="AE167" s="35">
        <f>IFERROR(INDEX([1]Last6M_AvgSales_Ref!$B$2:$B$12659,MATCH(D167,[1]Last6M_AvgSales_Ref!$A$2:$A$12659,0)),"")</f>
        <v>20</v>
      </c>
    </row>
    <row r="168" spans="1:31" ht="14.25" customHeight="1" x14ac:dyDescent="0.3">
      <c r="A168" s="36" t="s">
        <v>24</v>
      </c>
      <c r="B168" s="38" t="s">
        <v>358</v>
      </c>
      <c r="C168" s="38" t="s">
        <v>365</v>
      </c>
      <c r="D168" s="38">
        <v>1000000070</v>
      </c>
      <c r="E168" s="39" t="s">
        <v>366</v>
      </c>
      <c r="F168" s="40">
        <v>43703</v>
      </c>
      <c r="G168" s="22" t="str">
        <f t="shared" si="28"/>
        <v>Targeted Dealer</v>
      </c>
      <c r="H168" s="22"/>
      <c r="I168" s="23">
        <v>120</v>
      </c>
      <c r="J168" s="23">
        <f t="shared" si="29"/>
        <v>120</v>
      </c>
      <c r="K168" s="24">
        <v>75</v>
      </c>
      <c r="L168" s="24">
        <f t="shared" si="30"/>
        <v>45</v>
      </c>
      <c r="M168" s="24">
        <f t="shared" si="31"/>
        <v>62.5</v>
      </c>
      <c r="N168" s="25">
        <v>30</v>
      </c>
      <c r="O168" s="26" t="str">
        <f t="shared" si="32"/>
        <v>June</v>
      </c>
      <c r="P168" s="25">
        <f t="shared" si="33"/>
        <v>30</v>
      </c>
      <c r="Q168" s="27">
        <f t="shared" si="34"/>
        <v>45</v>
      </c>
      <c r="R168" s="26" t="b">
        <f t="shared" si="35"/>
        <v>0</v>
      </c>
      <c r="S168" s="28" t="str">
        <f t="shared" si="36"/>
        <v>GROWTH</v>
      </c>
      <c r="T168" s="24">
        <v>165</v>
      </c>
      <c r="U168" s="29" t="str">
        <f t="shared" si="37"/>
        <v>May</v>
      </c>
      <c r="V168" s="24">
        <f t="shared" si="38"/>
        <v>165</v>
      </c>
      <c r="W168" s="30">
        <f t="shared" si="39"/>
        <v>-90</v>
      </c>
      <c r="X168" s="31" t="b">
        <f t="shared" si="40"/>
        <v>0</v>
      </c>
      <c r="Y168" s="32" t="str">
        <f t="shared" si="41"/>
        <v>GROWTH</v>
      </c>
      <c r="Z168" s="41">
        <v>0</v>
      </c>
      <c r="AA168" s="36"/>
      <c r="AB168" s="36" t="s">
        <v>24</v>
      </c>
      <c r="AC168" s="36" t="s">
        <v>24</v>
      </c>
      <c r="AD168" s="34"/>
      <c r="AE168" s="35">
        <f>IFERROR(INDEX([1]Last6M_AvgSales_Ref!$B$2:$B$12659,MATCH(D168,[1]Last6M_AvgSales_Ref!$A$2:$A$12659,0)),"")</f>
        <v>87.0833333333333</v>
      </c>
    </row>
    <row r="169" spans="1:31" ht="14.25" customHeight="1" x14ac:dyDescent="0.3">
      <c r="A169" s="36" t="s">
        <v>24</v>
      </c>
      <c r="B169" s="38" t="s">
        <v>358</v>
      </c>
      <c r="C169" s="38" t="s">
        <v>367</v>
      </c>
      <c r="D169" s="38">
        <v>1000000087</v>
      </c>
      <c r="E169" s="39" t="s">
        <v>368</v>
      </c>
      <c r="F169" s="40">
        <v>43960</v>
      </c>
      <c r="G169" s="22" t="str">
        <f t="shared" si="28"/>
        <v>Targeted Dealer</v>
      </c>
      <c r="H169" s="22"/>
      <c r="I169" s="23">
        <v>120</v>
      </c>
      <c r="J169" s="23">
        <f t="shared" si="29"/>
        <v>120</v>
      </c>
      <c r="K169" s="24">
        <v>115</v>
      </c>
      <c r="L169" s="24">
        <f t="shared" si="30"/>
        <v>5</v>
      </c>
      <c r="M169" s="24">
        <f t="shared" si="31"/>
        <v>95.833333333333343</v>
      </c>
      <c r="N169" s="25">
        <v>120</v>
      </c>
      <c r="O169" s="26" t="str">
        <f t="shared" si="32"/>
        <v>June</v>
      </c>
      <c r="P169" s="25">
        <f t="shared" si="33"/>
        <v>120</v>
      </c>
      <c r="Q169" s="27">
        <f t="shared" si="34"/>
        <v>-5</v>
      </c>
      <c r="R169" s="26" t="b">
        <f t="shared" si="35"/>
        <v>0</v>
      </c>
      <c r="S169" s="28" t="str">
        <f t="shared" si="36"/>
        <v>GROWTH</v>
      </c>
      <c r="T169" s="24">
        <v>107</v>
      </c>
      <c r="U169" s="29" t="str">
        <f t="shared" si="37"/>
        <v>May</v>
      </c>
      <c r="V169" s="24">
        <f t="shared" si="38"/>
        <v>107</v>
      </c>
      <c r="W169" s="30">
        <f t="shared" si="39"/>
        <v>8</v>
      </c>
      <c r="X169" s="31" t="b">
        <f t="shared" si="40"/>
        <v>0</v>
      </c>
      <c r="Y169" s="32" t="str">
        <f t="shared" si="41"/>
        <v>GROWTH</v>
      </c>
      <c r="Z169" s="41">
        <v>0</v>
      </c>
      <c r="AA169" s="36"/>
      <c r="AB169" s="36" t="s">
        <v>24</v>
      </c>
      <c r="AC169" s="36" t="s">
        <v>24</v>
      </c>
      <c r="AD169" s="34"/>
      <c r="AE169" s="35">
        <f>IFERROR(INDEX([1]Last6M_AvgSales_Ref!$B$2:$B$12659,MATCH(D169,[1]Last6M_AvgSales_Ref!$A$2:$A$12659,0)),"")</f>
        <v>87.5</v>
      </c>
    </row>
    <row r="170" spans="1:31" ht="14.25" customHeight="1" x14ac:dyDescent="0.3">
      <c r="A170" s="36" t="s">
        <v>24</v>
      </c>
      <c r="B170" s="38" t="s">
        <v>358</v>
      </c>
      <c r="C170" s="38" t="s">
        <v>369</v>
      </c>
      <c r="D170" s="38">
        <v>1000000076</v>
      </c>
      <c r="E170" s="39" t="s">
        <v>370</v>
      </c>
      <c r="F170" s="40">
        <v>44308</v>
      </c>
      <c r="G170" s="22" t="str">
        <f t="shared" si="28"/>
        <v>Targeted Dealer</v>
      </c>
      <c r="H170" s="22"/>
      <c r="I170" s="23">
        <v>80</v>
      </c>
      <c r="J170" s="23">
        <f t="shared" si="29"/>
        <v>80</v>
      </c>
      <c r="K170" s="24">
        <v>-32.549999999999997</v>
      </c>
      <c r="L170" s="24">
        <f t="shared" si="30"/>
        <v>112.55</v>
      </c>
      <c r="M170" s="24">
        <f t="shared" si="31"/>
        <v>-40.687499999999993</v>
      </c>
      <c r="N170" s="25">
        <v>40</v>
      </c>
      <c r="O170" s="26" t="str">
        <f t="shared" si="32"/>
        <v>June</v>
      </c>
      <c r="P170" s="25">
        <f t="shared" si="33"/>
        <v>40</v>
      </c>
      <c r="Q170" s="27">
        <f t="shared" si="34"/>
        <v>-72.55</v>
      </c>
      <c r="R170" s="26" t="b">
        <f t="shared" si="35"/>
        <v>0</v>
      </c>
      <c r="S170" s="28" t="str">
        <f t="shared" si="36"/>
        <v>GROWTH</v>
      </c>
      <c r="T170" s="24">
        <v>40</v>
      </c>
      <c r="U170" s="29" t="str">
        <f t="shared" si="37"/>
        <v>May</v>
      </c>
      <c r="V170" s="24">
        <f t="shared" si="38"/>
        <v>40</v>
      </c>
      <c r="W170" s="30">
        <f t="shared" si="39"/>
        <v>-72.55</v>
      </c>
      <c r="X170" s="31" t="b">
        <f t="shared" si="40"/>
        <v>0</v>
      </c>
      <c r="Y170" s="32" t="str">
        <f t="shared" si="41"/>
        <v>GROWTH</v>
      </c>
      <c r="Z170" s="41">
        <v>0</v>
      </c>
      <c r="AA170" s="36"/>
      <c r="AB170" s="36" t="s">
        <v>24</v>
      </c>
      <c r="AC170" s="36" t="s">
        <v>24</v>
      </c>
      <c r="AD170" s="34"/>
      <c r="AE170" s="35">
        <f>IFERROR(INDEX([1]Last6M_AvgSales_Ref!$B$2:$B$12659,MATCH(D170,[1]Last6M_AvgSales_Ref!$A$2:$A$12659,0)),"")</f>
        <v>112.5</v>
      </c>
    </row>
    <row r="171" spans="1:31" ht="14.25" customHeight="1" x14ac:dyDescent="0.3">
      <c r="A171" s="36" t="s">
        <v>24</v>
      </c>
      <c r="B171" s="38" t="s">
        <v>358</v>
      </c>
      <c r="C171" s="38" t="s">
        <v>371</v>
      </c>
      <c r="D171" s="38">
        <v>1000000075</v>
      </c>
      <c r="E171" s="39" t="s">
        <v>372</v>
      </c>
      <c r="F171" s="40">
        <v>44376</v>
      </c>
      <c r="G171" s="22" t="str">
        <f t="shared" si="28"/>
        <v>Targeted Dealer</v>
      </c>
      <c r="H171" s="22"/>
      <c r="I171" s="23">
        <v>200</v>
      </c>
      <c r="J171" s="23">
        <f t="shared" si="29"/>
        <v>200</v>
      </c>
      <c r="K171" s="24">
        <v>155</v>
      </c>
      <c r="L171" s="24">
        <f t="shared" si="30"/>
        <v>45</v>
      </c>
      <c r="M171" s="24">
        <f t="shared" si="31"/>
        <v>77.5</v>
      </c>
      <c r="N171" s="25">
        <v>195</v>
      </c>
      <c r="O171" s="26" t="str">
        <f t="shared" si="32"/>
        <v>June</v>
      </c>
      <c r="P171" s="25">
        <f t="shared" si="33"/>
        <v>195</v>
      </c>
      <c r="Q171" s="27">
        <f t="shared" si="34"/>
        <v>-40</v>
      </c>
      <c r="R171" s="26" t="b">
        <f t="shared" si="35"/>
        <v>0</v>
      </c>
      <c r="S171" s="28" t="str">
        <f t="shared" si="36"/>
        <v>GROWTH</v>
      </c>
      <c r="T171" s="24">
        <v>160</v>
      </c>
      <c r="U171" s="29" t="str">
        <f t="shared" si="37"/>
        <v>May</v>
      </c>
      <c r="V171" s="24">
        <f t="shared" si="38"/>
        <v>160</v>
      </c>
      <c r="W171" s="30">
        <f t="shared" si="39"/>
        <v>-5</v>
      </c>
      <c r="X171" s="31" t="b">
        <f t="shared" si="40"/>
        <v>0</v>
      </c>
      <c r="Y171" s="32" t="str">
        <f t="shared" si="41"/>
        <v>GROWTH</v>
      </c>
      <c r="Z171" s="41">
        <v>0</v>
      </c>
      <c r="AA171" s="36"/>
      <c r="AB171" s="36" t="s">
        <v>24</v>
      </c>
      <c r="AC171" s="36" t="s">
        <v>24</v>
      </c>
      <c r="AD171" s="34"/>
      <c r="AE171" s="35">
        <f>IFERROR(INDEX([1]Last6M_AvgSales_Ref!$B$2:$B$12659,MATCH(D171,[1]Last6M_AvgSales_Ref!$A$2:$A$12659,0)),"")</f>
        <v>233.333333333333</v>
      </c>
    </row>
    <row r="172" spans="1:31" ht="14.25" customHeight="1" x14ac:dyDescent="0.3">
      <c r="A172" s="36" t="s">
        <v>24</v>
      </c>
      <c r="B172" s="38" t="s">
        <v>358</v>
      </c>
      <c r="C172" s="38" t="s">
        <v>373</v>
      </c>
      <c r="D172" s="38">
        <v>1000000088</v>
      </c>
      <c r="E172" s="39" t="s">
        <v>374</v>
      </c>
      <c r="F172" s="40">
        <v>44452</v>
      </c>
      <c r="G172" s="22" t="str">
        <f t="shared" si="28"/>
        <v>Targeted Dealer</v>
      </c>
      <c r="H172" s="22"/>
      <c r="I172" s="23">
        <v>200</v>
      </c>
      <c r="J172" s="23">
        <f t="shared" si="29"/>
        <v>200</v>
      </c>
      <c r="K172" s="24">
        <v>200</v>
      </c>
      <c r="L172" s="24">
        <f t="shared" si="30"/>
        <v>0</v>
      </c>
      <c r="M172" s="24">
        <f t="shared" si="31"/>
        <v>100</v>
      </c>
      <c r="N172" s="25">
        <v>205</v>
      </c>
      <c r="O172" s="26" t="str">
        <f t="shared" si="32"/>
        <v>June</v>
      </c>
      <c r="P172" s="25">
        <f t="shared" si="33"/>
        <v>205</v>
      </c>
      <c r="Q172" s="27">
        <f t="shared" si="34"/>
        <v>-5</v>
      </c>
      <c r="R172" s="26" t="b">
        <f t="shared" si="35"/>
        <v>0</v>
      </c>
      <c r="S172" s="28" t="str">
        <f t="shared" si="36"/>
        <v>GROWTH</v>
      </c>
      <c r="T172" s="24">
        <v>160</v>
      </c>
      <c r="U172" s="29" t="str">
        <f t="shared" si="37"/>
        <v>May</v>
      </c>
      <c r="V172" s="24">
        <f t="shared" si="38"/>
        <v>160</v>
      </c>
      <c r="W172" s="30">
        <f t="shared" si="39"/>
        <v>40</v>
      </c>
      <c r="X172" s="31" t="b">
        <f t="shared" si="40"/>
        <v>0</v>
      </c>
      <c r="Y172" s="32" t="str">
        <f t="shared" si="41"/>
        <v>GROWTH</v>
      </c>
      <c r="Z172" s="41">
        <v>0</v>
      </c>
      <c r="AA172" s="36"/>
      <c r="AB172" s="36" t="s">
        <v>24</v>
      </c>
      <c r="AC172" s="36" t="s">
        <v>24</v>
      </c>
      <c r="AD172" s="34"/>
      <c r="AE172" s="35">
        <f>IFERROR(INDEX([1]Last6M_AvgSales_Ref!$B$2:$B$12659,MATCH(D172,[1]Last6M_AvgSales_Ref!$A$2:$A$12659,0)),"")</f>
        <v>304.16666666666703</v>
      </c>
    </row>
    <row r="173" spans="1:31" ht="14.25" customHeight="1" x14ac:dyDescent="0.3">
      <c r="A173" s="36" t="s">
        <v>24</v>
      </c>
      <c r="B173" s="38" t="s">
        <v>358</v>
      </c>
      <c r="C173" s="38" t="s">
        <v>375</v>
      </c>
      <c r="D173" s="38">
        <v>1000002392</v>
      </c>
      <c r="E173" s="39" t="s">
        <v>376</v>
      </c>
      <c r="F173" s="40">
        <v>44539</v>
      </c>
      <c r="G173" s="22" t="str">
        <f t="shared" si="28"/>
        <v>Targeted Dealer</v>
      </c>
      <c r="H173" s="22"/>
      <c r="I173" s="23">
        <v>160</v>
      </c>
      <c r="J173" s="23">
        <f t="shared" si="29"/>
        <v>160</v>
      </c>
      <c r="K173" s="24">
        <v>262.85000000000002</v>
      </c>
      <c r="L173" s="24">
        <f t="shared" si="30"/>
        <v>-102.85000000000002</v>
      </c>
      <c r="M173" s="24">
        <f t="shared" si="31"/>
        <v>164.28125</v>
      </c>
      <c r="N173" s="25">
        <v>268</v>
      </c>
      <c r="O173" s="26" t="str">
        <f t="shared" si="32"/>
        <v>June</v>
      </c>
      <c r="P173" s="25">
        <f t="shared" si="33"/>
        <v>268</v>
      </c>
      <c r="Q173" s="27">
        <f t="shared" si="34"/>
        <v>-5.1499999999999773</v>
      </c>
      <c r="R173" s="26" t="b">
        <f t="shared" si="35"/>
        <v>0</v>
      </c>
      <c r="S173" s="28" t="str">
        <f t="shared" si="36"/>
        <v>GROWTH</v>
      </c>
      <c r="T173" s="24">
        <v>80</v>
      </c>
      <c r="U173" s="29" t="str">
        <f t="shared" si="37"/>
        <v>May</v>
      </c>
      <c r="V173" s="24">
        <f t="shared" si="38"/>
        <v>80</v>
      </c>
      <c r="W173" s="30">
        <f t="shared" si="39"/>
        <v>182.85000000000002</v>
      </c>
      <c r="X173" s="31" t="b">
        <f t="shared" si="40"/>
        <v>0</v>
      </c>
      <c r="Y173" s="32" t="str">
        <f t="shared" si="41"/>
        <v>GROWTH</v>
      </c>
      <c r="Z173" s="41">
        <v>0</v>
      </c>
      <c r="AA173" s="36"/>
      <c r="AB173" s="36" t="s">
        <v>24</v>
      </c>
      <c r="AC173" s="36" t="s">
        <v>24</v>
      </c>
      <c r="AD173" s="34"/>
      <c r="AE173" s="35">
        <f>IFERROR(INDEX([1]Last6M_AvgSales_Ref!$B$2:$B$12659,MATCH(D173,[1]Last6M_AvgSales_Ref!$A$2:$A$12659,0)),"")</f>
        <v>126.666666666667</v>
      </c>
    </row>
    <row r="174" spans="1:31" ht="14.25" customHeight="1" x14ac:dyDescent="0.3">
      <c r="A174" s="36" t="s">
        <v>24</v>
      </c>
      <c r="B174" s="38" t="s">
        <v>358</v>
      </c>
      <c r="C174" s="38" t="s">
        <v>377</v>
      </c>
      <c r="D174" s="38">
        <v>1000003166</v>
      </c>
      <c r="E174" s="39" t="s">
        <v>378</v>
      </c>
      <c r="F174" s="40">
        <v>44916</v>
      </c>
      <c r="G174" s="22" t="str">
        <f t="shared" si="28"/>
        <v>Targeted Dealer</v>
      </c>
      <c r="H174" s="22"/>
      <c r="I174" s="23">
        <v>120</v>
      </c>
      <c r="J174" s="23">
        <f t="shared" si="29"/>
        <v>120</v>
      </c>
      <c r="K174" s="24">
        <v>120</v>
      </c>
      <c r="L174" s="24">
        <f t="shared" si="30"/>
        <v>0</v>
      </c>
      <c r="M174" s="24">
        <f t="shared" si="31"/>
        <v>100</v>
      </c>
      <c r="N174" s="25">
        <v>80</v>
      </c>
      <c r="O174" s="26" t="str">
        <f t="shared" si="32"/>
        <v>June</v>
      </c>
      <c r="P174" s="25">
        <f t="shared" si="33"/>
        <v>80</v>
      </c>
      <c r="Q174" s="27">
        <f t="shared" si="34"/>
        <v>40</v>
      </c>
      <c r="R174" s="26" t="b">
        <f t="shared" si="35"/>
        <v>0</v>
      </c>
      <c r="S174" s="28" t="str">
        <f t="shared" si="36"/>
        <v>GROWTH</v>
      </c>
      <c r="T174" s="24">
        <v>200</v>
      </c>
      <c r="U174" s="29" t="str">
        <f t="shared" si="37"/>
        <v>May</v>
      </c>
      <c r="V174" s="24">
        <f t="shared" si="38"/>
        <v>200</v>
      </c>
      <c r="W174" s="30">
        <f t="shared" si="39"/>
        <v>-80</v>
      </c>
      <c r="X174" s="31" t="b">
        <f t="shared" si="40"/>
        <v>0</v>
      </c>
      <c r="Y174" s="32" t="str">
        <f t="shared" si="41"/>
        <v>GROWTH</v>
      </c>
      <c r="Z174" s="41">
        <v>0</v>
      </c>
      <c r="AA174" s="36"/>
      <c r="AB174" s="36" t="s">
        <v>24</v>
      </c>
      <c r="AC174" s="36" t="s">
        <v>24</v>
      </c>
      <c r="AD174" s="34"/>
      <c r="AE174" s="35">
        <f>IFERROR(INDEX([1]Last6M_AvgSales_Ref!$B$2:$B$12659,MATCH(D174,[1]Last6M_AvgSales_Ref!$A$2:$A$12659,0)),"")</f>
        <v>106.666666666667</v>
      </c>
    </row>
    <row r="175" spans="1:31" ht="14.25" customHeight="1" x14ac:dyDescent="0.3">
      <c r="A175" s="36" t="s">
        <v>24</v>
      </c>
      <c r="B175" s="38" t="s">
        <v>358</v>
      </c>
      <c r="C175" s="38" t="s">
        <v>379</v>
      </c>
      <c r="D175" s="38">
        <v>1000003273</v>
      </c>
      <c r="E175" s="38" t="s">
        <v>380</v>
      </c>
      <c r="F175" s="40">
        <v>44949</v>
      </c>
      <c r="G175" s="22" t="str">
        <f t="shared" si="28"/>
        <v>Targeted Dealer</v>
      </c>
      <c r="H175" s="22"/>
      <c r="I175" s="23">
        <v>120</v>
      </c>
      <c r="J175" s="23">
        <f t="shared" si="29"/>
        <v>120</v>
      </c>
      <c r="K175" s="24">
        <v>100</v>
      </c>
      <c r="L175" s="24">
        <f t="shared" si="30"/>
        <v>20</v>
      </c>
      <c r="M175" s="24">
        <f t="shared" si="31"/>
        <v>83.333333333333343</v>
      </c>
      <c r="N175" s="25">
        <v>129</v>
      </c>
      <c r="O175" s="26" t="str">
        <f t="shared" si="32"/>
        <v>June</v>
      </c>
      <c r="P175" s="25">
        <f t="shared" si="33"/>
        <v>129</v>
      </c>
      <c r="Q175" s="27">
        <f t="shared" si="34"/>
        <v>-29</v>
      </c>
      <c r="R175" s="26" t="b">
        <f t="shared" si="35"/>
        <v>0</v>
      </c>
      <c r="S175" s="28" t="str">
        <f t="shared" si="36"/>
        <v>GROWTH</v>
      </c>
      <c r="T175" s="24">
        <v>120</v>
      </c>
      <c r="U175" s="29" t="str">
        <f t="shared" si="37"/>
        <v>May</v>
      </c>
      <c r="V175" s="24">
        <f t="shared" si="38"/>
        <v>120</v>
      </c>
      <c r="W175" s="30">
        <f t="shared" si="39"/>
        <v>-20</v>
      </c>
      <c r="X175" s="31" t="b">
        <f t="shared" si="40"/>
        <v>0</v>
      </c>
      <c r="Y175" s="32" t="str">
        <f t="shared" si="41"/>
        <v>GROWTH</v>
      </c>
      <c r="Z175" s="41">
        <v>0</v>
      </c>
      <c r="AA175" s="36"/>
      <c r="AB175" s="36" t="s">
        <v>24</v>
      </c>
      <c r="AC175" s="36" t="s">
        <v>24</v>
      </c>
      <c r="AD175" s="34"/>
      <c r="AE175" s="35">
        <f>IFERROR(INDEX([1]Last6M_AvgSales_Ref!$B$2:$B$12659,MATCH(D175,[1]Last6M_AvgSales_Ref!$A$2:$A$12659,0)),"")</f>
        <v>93.3333333333333</v>
      </c>
    </row>
    <row r="176" spans="1:31" ht="14.25" customHeight="1" x14ac:dyDescent="0.3">
      <c r="A176" s="36" t="s">
        <v>24</v>
      </c>
      <c r="B176" s="38" t="s">
        <v>358</v>
      </c>
      <c r="C176" s="38" t="s">
        <v>381</v>
      </c>
      <c r="D176" s="38">
        <v>1000003424</v>
      </c>
      <c r="E176" s="38" t="s">
        <v>382</v>
      </c>
      <c r="F176" s="40">
        <v>44999</v>
      </c>
      <c r="G176" s="22" t="str">
        <f t="shared" si="28"/>
        <v>Targeted Dealer</v>
      </c>
      <c r="H176" s="22"/>
      <c r="I176" s="23">
        <v>240</v>
      </c>
      <c r="J176" s="23">
        <f t="shared" si="29"/>
        <v>240</v>
      </c>
      <c r="K176" s="24">
        <v>490</v>
      </c>
      <c r="L176" s="24">
        <f t="shared" si="30"/>
        <v>-250</v>
      </c>
      <c r="M176" s="24">
        <f t="shared" si="31"/>
        <v>204.16666666666669</v>
      </c>
      <c r="N176" s="25">
        <v>240</v>
      </c>
      <c r="O176" s="26" t="str">
        <f t="shared" si="32"/>
        <v>June</v>
      </c>
      <c r="P176" s="25">
        <f t="shared" si="33"/>
        <v>240</v>
      </c>
      <c r="Q176" s="27">
        <f t="shared" si="34"/>
        <v>250</v>
      </c>
      <c r="R176" s="26" t="b">
        <f t="shared" si="35"/>
        <v>0</v>
      </c>
      <c r="S176" s="28" t="str">
        <f t="shared" si="36"/>
        <v>GROWTH</v>
      </c>
      <c r="T176" s="24">
        <v>80</v>
      </c>
      <c r="U176" s="29" t="str">
        <f t="shared" si="37"/>
        <v>May</v>
      </c>
      <c r="V176" s="24">
        <f t="shared" si="38"/>
        <v>80</v>
      </c>
      <c r="W176" s="30">
        <f t="shared" si="39"/>
        <v>410</v>
      </c>
      <c r="X176" s="31" t="b">
        <f t="shared" si="40"/>
        <v>0</v>
      </c>
      <c r="Y176" s="32" t="str">
        <f t="shared" si="41"/>
        <v>GROWTH</v>
      </c>
      <c r="Z176" s="41">
        <v>0</v>
      </c>
      <c r="AA176" s="36"/>
      <c r="AB176" s="36" t="s">
        <v>24</v>
      </c>
      <c r="AC176" s="36" t="s">
        <v>24</v>
      </c>
      <c r="AD176" s="34"/>
      <c r="AE176" s="35">
        <f>IFERROR(INDEX([1]Last6M_AvgSales_Ref!$B$2:$B$12659,MATCH(D176,[1]Last6M_AvgSales_Ref!$A$2:$A$12659,0)),"")</f>
        <v>273.33333333333297</v>
      </c>
    </row>
    <row r="177" spans="1:31" ht="14.25" customHeight="1" x14ac:dyDescent="0.3">
      <c r="A177" s="36" t="s">
        <v>24</v>
      </c>
      <c r="B177" s="38" t="s">
        <v>358</v>
      </c>
      <c r="C177" s="38" t="s">
        <v>383</v>
      </c>
      <c r="D177" s="38">
        <v>1000003452</v>
      </c>
      <c r="E177" s="38" t="s">
        <v>384</v>
      </c>
      <c r="F177" s="40">
        <v>45012</v>
      </c>
      <c r="G177" s="22" t="str">
        <f t="shared" si="28"/>
        <v>Targeted Dealer</v>
      </c>
      <c r="H177" s="22"/>
      <c r="I177" s="23">
        <v>320</v>
      </c>
      <c r="J177" s="23">
        <f t="shared" si="29"/>
        <v>320</v>
      </c>
      <c r="K177" s="24">
        <v>522.04999999999995</v>
      </c>
      <c r="L177" s="24">
        <f t="shared" si="30"/>
        <v>-202.04999999999995</v>
      </c>
      <c r="M177" s="24">
        <f t="shared" si="31"/>
        <v>163.14062499999997</v>
      </c>
      <c r="N177" s="25">
        <v>353.75</v>
      </c>
      <c r="O177" s="26" t="str">
        <f t="shared" si="32"/>
        <v>June</v>
      </c>
      <c r="P177" s="25">
        <f t="shared" si="33"/>
        <v>353.75</v>
      </c>
      <c r="Q177" s="27">
        <f t="shared" si="34"/>
        <v>168.29999999999995</v>
      </c>
      <c r="R177" s="26" t="b">
        <f t="shared" si="35"/>
        <v>0</v>
      </c>
      <c r="S177" s="28" t="str">
        <f t="shared" si="36"/>
        <v>GROWTH</v>
      </c>
      <c r="T177" s="24">
        <v>506.5</v>
      </c>
      <c r="U177" s="29" t="str">
        <f t="shared" si="37"/>
        <v>May</v>
      </c>
      <c r="V177" s="24">
        <f t="shared" si="38"/>
        <v>506.5</v>
      </c>
      <c r="W177" s="30">
        <f t="shared" si="39"/>
        <v>15.549999999999955</v>
      </c>
      <c r="X177" s="31" t="b">
        <f t="shared" si="40"/>
        <v>0</v>
      </c>
      <c r="Y177" s="32" t="str">
        <f t="shared" si="41"/>
        <v>GROWTH</v>
      </c>
      <c r="Z177" s="41">
        <v>0</v>
      </c>
      <c r="AA177" s="36"/>
      <c r="AB177" s="36" t="s">
        <v>24</v>
      </c>
      <c r="AC177" s="36" t="s">
        <v>24</v>
      </c>
      <c r="AD177" s="34"/>
      <c r="AE177" s="35">
        <f>IFERROR(INDEX([1]Last6M_AvgSales_Ref!$B$2:$B$12659,MATCH(D177,[1]Last6M_AvgSales_Ref!$A$2:$A$12659,0)),"")</f>
        <v>360.83333333333297</v>
      </c>
    </row>
    <row r="178" spans="1:31" ht="14.25" customHeight="1" x14ac:dyDescent="0.3">
      <c r="A178" s="36" t="s">
        <v>24</v>
      </c>
      <c r="B178" s="38" t="s">
        <v>358</v>
      </c>
      <c r="C178" s="38" t="s">
        <v>385</v>
      </c>
      <c r="D178" s="38">
        <v>1000003533</v>
      </c>
      <c r="E178" s="38" t="s">
        <v>386</v>
      </c>
      <c r="F178" s="40">
        <v>45064</v>
      </c>
      <c r="G178" s="22" t="str">
        <f t="shared" si="28"/>
        <v>Targeted Dealer</v>
      </c>
      <c r="H178" s="22"/>
      <c r="I178" s="23">
        <v>80</v>
      </c>
      <c r="J178" s="23">
        <f t="shared" si="29"/>
        <v>80</v>
      </c>
      <c r="K178" s="24">
        <v>40</v>
      </c>
      <c r="L178" s="24">
        <f t="shared" si="30"/>
        <v>40</v>
      </c>
      <c r="M178" s="24">
        <f t="shared" si="31"/>
        <v>50</v>
      </c>
      <c r="N178" s="25">
        <v>0</v>
      </c>
      <c r="O178" s="26" t="str">
        <f t="shared" si="32"/>
        <v>June</v>
      </c>
      <c r="P178" s="25">
        <f t="shared" si="33"/>
        <v>0</v>
      </c>
      <c r="Q178" s="27">
        <f t="shared" si="34"/>
        <v>40</v>
      </c>
      <c r="R178" s="26" t="b">
        <f t="shared" si="35"/>
        <v>0</v>
      </c>
      <c r="S178" s="28" t="b">
        <f t="shared" si="36"/>
        <v>0</v>
      </c>
      <c r="T178" s="24">
        <v>40</v>
      </c>
      <c r="U178" s="29" t="str">
        <f t="shared" si="37"/>
        <v>May</v>
      </c>
      <c r="V178" s="24">
        <f t="shared" si="38"/>
        <v>40</v>
      </c>
      <c r="W178" s="30">
        <f t="shared" si="39"/>
        <v>0</v>
      </c>
      <c r="X178" s="31" t="b">
        <f t="shared" si="40"/>
        <v>0</v>
      </c>
      <c r="Y178" s="32" t="str">
        <f t="shared" si="41"/>
        <v>GROWTH</v>
      </c>
      <c r="Z178" s="41">
        <v>0</v>
      </c>
      <c r="AA178" s="36"/>
      <c r="AB178" s="36" t="s">
        <v>24</v>
      </c>
      <c r="AC178" s="36" t="s">
        <v>24</v>
      </c>
      <c r="AD178" s="34"/>
      <c r="AE178" s="35">
        <f>IFERROR(INDEX([1]Last6M_AvgSales_Ref!$B$2:$B$12659,MATCH(D178,[1]Last6M_AvgSales_Ref!$A$2:$A$12659,0)),"")</f>
        <v>46.6666666666667</v>
      </c>
    </row>
    <row r="179" spans="1:31" ht="14.25" customHeight="1" x14ac:dyDescent="0.3">
      <c r="A179" s="36" t="s">
        <v>24</v>
      </c>
      <c r="B179" s="38" t="s">
        <v>358</v>
      </c>
      <c r="C179" s="38" t="s">
        <v>387</v>
      </c>
      <c r="D179" s="38">
        <v>1000003653</v>
      </c>
      <c r="E179" s="38" t="s">
        <v>388</v>
      </c>
      <c r="F179" s="40">
        <v>45134</v>
      </c>
      <c r="G179" s="22" t="str">
        <f t="shared" si="28"/>
        <v>Targeted Dealer</v>
      </c>
      <c r="H179" s="22"/>
      <c r="I179" s="23">
        <v>20</v>
      </c>
      <c r="J179" s="23">
        <f t="shared" si="29"/>
        <v>20</v>
      </c>
      <c r="K179" s="24">
        <v>17.5</v>
      </c>
      <c r="L179" s="24">
        <f t="shared" si="30"/>
        <v>2.5</v>
      </c>
      <c r="M179" s="24">
        <f t="shared" si="31"/>
        <v>87.5</v>
      </c>
      <c r="N179" s="25">
        <v>12</v>
      </c>
      <c r="O179" s="26" t="str">
        <f t="shared" si="32"/>
        <v>June</v>
      </c>
      <c r="P179" s="25">
        <f t="shared" si="33"/>
        <v>12</v>
      </c>
      <c r="Q179" s="27">
        <f t="shared" si="34"/>
        <v>5.5</v>
      </c>
      <c r="R179" s="26" t="b">
        <f t="shared" si="35"/>
        <v>0</v>
      </c>
      <c r="S179" s="28" t="str">
        <f t="shared" si="36"/>
        <v>GROWTH</v>
      </c>
      <c r="T179" s="24">
        <v>25</v>
      </c>
      <c r="U179" s="29" t="str">
        <f t="shared" si="37"/>
        <v>May</v>
      </c>
      <c r="V179" s="24">
        <f t="shared" si="38"/>
        <v>25</v>
      </c>
      <c r="W179" s="30">
        <f t="shared" si="39"/>
        <v>-7.5</v>
      </c>
      <c r="X179" s="31" t="b">
        <f t="shared" si="40"/>
        <v>0</v>
      </c>
      <c r="Y179" s="32" t="str">
        <f t="shared" si="41"/>
        <v>GROWTH</v>
      </c>
      <c r="Z179" s="41">
        <v>0</v>
      </c>
      <c r="AA179" s="36"/>
      <c r="AB179" s="36" t="s">
        <v>24</v>
      </c>
      <c r="AC179" s="36" t="s">
        <v>24</v>
      </c>
      <c r="AD179" s="34"/>
      <c r="AE179" s="35">
        <f>IFERROR(INDEX([1]Last6M_AvgSales_Ref!$B$2:$B$12659,MATCH(D179,[1]Last6M_AvgSales_Ref!$A$2:$A$12659,0)),"")</f>
        <v>48</v>
      </c>
    </row>
    <row r="180" spans="1:31" ht="14.25" customHeight="1" x14ac:dyDescent="0.3">
      <c r="A180" s="36" t="s">
        <v>24</v>
      </c>
      <c r="B180" s="38" t="s">
        <v>358</v>
      </c>
      <c r="C180" s="38" t="s">
        <v>389</v>
      </c>
      <c r="D180" s="38">
        <v>1000003727</v>
      </c>
      <c r="E180" s="38" t="s">
        <v>390</v>
      </c>
      <c r="F180" s="40">
        <v>45215</v>
      </c>
      <c r="G180" s="22" t="str">
        <f t="shared" si="28"/>
        <v>Targeted Dealer</v>
      </c>
      <c r="H180" s="22"/>
      <c r="I180" s="23">
        <v>120</v>
      </c>
      <c r="J180" s="23">
        <f t="shared" si="29"/>
        <v>120</v>
      </c>
      <c r="K180" s="24">
        <v>117.5</v>
      </c>
      <c r="L180" s="24">
        <f t="shared" si="30"/>
        <v>2.5</v>
      </c>
      <c r="M180" s="24">
        <f t="shared" si="31"/>
        <v>97.916666666666671</v>
      </c>
      <c r="N180" s="25">
        <v>120</v>
      </c>
      <c r="O180" s="26" t="str">
        <f t="shared" si="32"/>
        <v>June</v>
      </c>
      <c r="P180" s="25">
        <f t="shared" si="33"/>
        <v>120</v>
      </c>
      <c r="Q180" s="27">
        <f t="shared" si="34"/>
        <v>-2.5</v>
      </c>
      <c r="R180" s="26" t="b">
        <f t="shared" si="35"/>
        <v>0</v>
      </c>
      <c r="S180" s="28" t="str">
        <f t="shared" si="36"/>
        <v>GROWTH</v>
      </c>
      <c r="T180" s="24">
        <v>120</v>
      </c>
      <c r="U180" s="29" t="str">
        <f t="shared" si="37"/>
        <v>May</v>
      </c>
      <c r="V180" s="24">
        <f t="shared" si="38"/>
        <v>120</v>
      </c>
      <c r="W180" s="30">
        <f t="shared" si="39"/>
        <v>-2.5</v>
      </c>
      <c r="X180" s="31" t="b">
        <f t="shared" si="40"/>
        <v>0</v>
      </c>
      <c r="Y180" s="32" t="str">
        <f t="shared" si="41"/>
        <v>GROWTH</v>
      </c>
      <c r="Z180" s="41">
        <v>0</v>
      </c>
      <c r="AA180" s="36"/>
      <c r="AB180" s="36" t="s">
        <v>24</v>
      </c>
      <c r="AC180" s="36" t="s">
        <v>24</v>
      </c>
      <c r="AD180" s="34"/>
      <c r="AE180" s="35">
        <f>IFERROR(INDEX([1]Last6M_AvgSales_Ref!$B$2:$B$12659,MATCH(D180,[1]Last6M_AvgSales_Ref!$A$2:$A$12659,0)),"")</f>
        <v>126.666666666667</v>
      </c>
    </row>
    <row r="181" spans="1:31" ht="14.25" customHeight="1" x14ac:dyDescent="0.3">
      <c r="A181" s="36" t="s">
        <v>24</v>
      </c>
      <c r="B181" s="38" t="s">
        <v>358</v>
      </c>
      <c r="C181" s="38" t="s">
        <v>391</v>
      </c>
      <c r="D181" s="38">
        <v>1000003782</v>
      </c>
      <c r="E181" s="38" t="s">
        <v>392</v>
      </c>
      <c r="F181" s="40">
        <v>45271</v>
      </c>
      <c r="G181" s="22" t="str">
        <f t="shared" si="28"/>
        <v>Targeted Dealer</v>
      </c>
      <c r="H181" s="22"/>
      <c r="I181" s="23">
        <v>30</v>
      </c>
      <c r="J181" s="23">
        <f t="shared" si="29"/>
        <v>30</v>
      </c>
      <c r="K181" s="24">
        <v>13</v>
      </c>
      <c r="L181" s="24">
        <f t="shared" si="30"/>
        <v>17</v>
      </c>
      <c r="M181" s="24">
        <f t="shared" si="31"/>
        <v>43.333333333333336</v>
      </c>
      <c r="N181" s="25">
        <v>13</v>
      </c>
      <c r="O181" s="26" t="str">
        <f t="shared" si="32"/>
        <v>June</v>
      </c>
      <c r="P181" s="25">
        <f t="shared" si="33"/>
        <v>13</v>
      </c>
      <c r="Q181" s="27">
        <f t="shared" si="34"/>
        <v>0</v>
      </c>
      <c r="R181" s="26" t="b">
        <f t="shared" si="35"/>
        <v>0</v>
      </c>
      <c r="S181" s="28" t="str">
        <f t="shared" si="36"/>
        <v>GROWTH</v>
      </c>
      <c r="T181" s="24">
        <v>7.5</v>
      </c>
      <c r="U181" s="29" t="str">
        <f t="shared" si="37"/>
        <v>May</v>
      </c>
      <c r="V181" s="24">
        <f t="shared" si="38"/>
        <v>7.5</v>
      </c>
      <c r="W181" s="30">
        <f t="shared" si="39"/>
        <v>5.5</v>
      </c>
      <c r="X181" s="31" t="b">
        <f t="shared" si="40"/>
        <v>0</v>
      </c>
      <c r="Y181" s="32" t="str">
        <f t="shared" si="41"/>
        <v>GROWTH</v>
      </c>
      <c r="Z181" s="41">
        <v>0</v>
      </c>
      <c r="AA181" s="36"/>
      <c r="AB181" s="36" t="s">
        <v>24</v>
      </c>
      <c r="AC181" s="36" t="s">
        <v>24</v>
      </c>
      <c r="AD181" s="34"/>
      <c r="AE181" s="35">
        <f>IFERROR(INDEX([1]Last6M_AvgSales_Ref!$B$2:$B$12659,MATCH(D181,[1]Last6M_AvgSales_Ref!$A$2:$A$12659,0)),"")</f>
        <v>25.4166666666667</v>
      </c>
    </row>
    <row r="182" spans="1:31" ht="14.25" customHeight="1" x14ac:dyDescent="0.3">
      <c r="A182" s="36" t="s">
        <v>24</v>
      </c>
      <c r="B182" s="38" t="s">
        <v>358</v>
      </c>
      <c r="C182" s="38" t="s">
        <v>393</v>
      </c>
      <c r="D182" s="38">
        <v>1000003816</v>
      </c>
      <c r="E182" s="38" t="s">
        <v>394</v>
      </c>
      <c r="F182" s="43">
        <v>45301</v>
      </c>
      <c r="G182" s="22" t="str">
        <f t="shared" si="28"/>
        <v>Targeted Dealer</v>
      </c>
      <c r="H182" s="22"/>
      <c r="I182" s="23">
        <v>20</v>
      </c>
      <c r="J182" s="23">
        <f t="shared" si="29"/>
        <v>20</v>
      </c>
      <c r="K182" s="24">
        <v>15</v>
      </c>
      <c r="L182" s="24">
        <f t="shared" si="30"/>
        <v>5</v>
      </c>
      <c r="M182" s="24">
        <f t="shared" si="31"/>
        <v>75</v>
      </c>
      <c r="N182" s="25">
        <v>15</v>
      </c>
      <c r="O182" s="26" t="str">
        <f t="shared" si="32"/>
        <v>June</v>
      </c>
      <c r="P182" s="25">
        <f t="shared" si="33"/>
        <v>15</v>
      </c>
      <c r="Q182" s="27">
        <f t="shared" si="34"/>
        <v>0</v>
      </c>
      <c r="R182" s="26" t="b">
        <f t="shared" si="35"/>
        <v>0</v>
      </c>
      <c r="S182" s="28" t="str">
        <f t="shared" si="36"/>
        <v>GROWTH</v>
      </c>
      <c r="T182" s="24">
        <v>20</v>
      </c>
      <c r="U182" s="29" t="str">
        <f t="shared" si="37"/>
        <v>May</v>
      </c>
      <c r="V182" s="24">
        <f t="shared" si="38"/>
        <v>20</v>
      </c>
      <c r="W182" s="30">
        <f t="shared" si="39"/>
        <v>-5</v>
      </c>
      <c r="X182" s="31" t="b">
        <f t="shared" si="40"/>
        <v>0</v>
      </c>
      <c r="Y182" s="32" t="str">
        <f t="shared" si="41"/>
        <v>GROWTH</v>
      </c>
      <c r="Z182" s="41">
        <v>0</v>
      </c>
      <c r="AA182" s="36"/>
      <c r="AB182" s="36" t="s">
        <v>24</v>
      </c>
      <c r="AC182" s="36" t="s">
        <v>24</v>
      </c>
      <c r="AD182" s="34"/>
      <c r="AE182" s="35">
        <f>IFERROR(INDEX([1]Last6M_AvgSales_Ref!$B$2:$B$12659,MATCH(D182,[1]Last6M_AvgSales_Ref!$A$2:$A$12659,0)),"")</f>
        <v>12.5</v>
      </c>
    </row>
    <row r="183" spans="1:31" ht="14.25" customHeight="1" x14ac:dyDescent="0.3">
      <c r="A183" s="41" t="s">
        <v>24</v>
      </c>
      <c r="B183" s="44" t="s">
        <v>358</v>
      </c>
      <c r="C183" s="44" t="s">
        <v>395</v>
      </c>
      <c r="D183" s="44">
        <v>1000004010</v>
      </c>
      <c r="E183" s="44" t="s">
        <v>396</v>
      </c>
      <c r="F183" s="40">
        <v>45458</v>
      </c>
      <c r="G183" s="22" t="str">
        <f t="shared" si="28"/>
        <v>Targeted Dealer</v>
      </c>
      <c r="H183" s="22"/>
      <c r="I183" s="23">
        <v>120</v>
      </c>
      <c r="J183" s="23">
        <f t="shared" si="29"/>
        <v>120</v>
      </c>
      <c r="K183" s="24">
        <v>120</v>
      </c>
      <c r="L183" s="24">
        <f t="shared" si="30"/>
        <v>0</v>
      </c>
      <c r="M183" s="24">
        <f t="shared" si="31"/>
        <v>100</v>
      </c>
      <c r="N183" s="25">
        <v>0</v>
      </c>
      <c r="O183" s="26" t="str">
        <f t="shared" si="32"/>
        <v>June</v>
      </c>
      <c r="P183" s="25">
        <f t="shared" si="33"/>
        <v>0</v>
      </c>
      <c r="Q183" s="27">
        <f t="shared" si="34"/>
        <v>120</v>
      </c>
      <c r="R183" s="26" t="b">
        <f t="shared" si="35"/>
        <v>0</v>
      </c>
      <c r="S183" s="28" t="b">
        <f t="shared" si="36"/>
        <v>0</v>
      </c>
      <c r="T183" s="24">
        <v>200</v>
      </c>
      <c r="U183" s="29" t="str">
        <f t="shared" si="37"/>
        <v>May</v>
      </c>
      <c r="V183" s="24">
        <f t="shared" si="38"/>
        <v>200</v>
      </c>
      <c r="W183" s="30">
        <f t="shared" si="39"/>
        <v>-80</v>
      </c>
      <c r="X183" s="31" t="b">
        <f t="shared" si="40"/>
        <v>0</v>
      </c>
      <c r="Y183" s="32" t="str">
        <f t="shared" si="41"/>
        <v>GROWTH</v>
      </c>
      <c r="Z183" s="41">
        <v>0</v>
      </c>
      <c r="AA183" s="36"/>
      <c r="AB183" s="36" t="s">
        <v>24</v>
      </c>
      <c r="AC183" s="41" t="s">
        <v>24</v>
      </c>
      <c r="AD183" s="34"/>
      <c r="AE183" s="35">
        <f>IFERROR(INDEX([1]Last6M_AvgSales_Ref!$B$2:$B$12659,MATCH(D183,[1]Last6M_AvgSales_Ref!$A$2:$A$12659,0)),"")</f>
        <v>80</v>
      </c>
    </row>
    <row r="184" spans="1:31" ht="14.25" customHeight="1" x14ac:dyDescent="0.3">
      <c r="A184" s="41" t="s">
        <v>24</v>
      </c>
      <c r="B184" s="44" t="s">
        <v>358</v>
      </c>
      <c r="C184" s="44" t="s">
        <v>397</v>
      </c>
      <c r="D184" s="44">
        <v>1000004084</v>
      </c>
      <c r="E184" s="44" t="s">
        <v>398</v>
      </c>
      <c r="F184" s="40">
        <v>45518</v>
      </c>
      <c r="G184" s="22" t="str">
        <f t="shared" si="28"/>
        <v>Targeted Dealer</v>
      </c>
      <c r="H184" s="22"/>
      <c r="I184" s="23">
        <v>260</v>
      </c>
      <c r="J184" s="23">
        <f t="shared" si="29"/>
        <v>260</v>
      </c>
      <c r="K184" s="24">
        <v>320</v>
      </c>
      <c r="L184" s="24">
        <f t="shared" si="30"/>
        <v>-60</v>
      </c>
      <c r="M184" s="24">
        <f t="shared" si="31"/>
        <v>123.07692307692307</v>
      </c>
      <c r="N184" s="25">
        <v>213</v>
      </c>
      <c r="O184" s="26" t="str">
        <f t="shared" si="32"/>
        <v>June</v>
      </c>
      <c r="P184" s="25">
        <f t="shared" si="33"/>
        <v>213</v>
      </c>
      <c r="Q184" s="27">
        <f t="shared" si="34"/>
        <v>107</v>
      </c>
      <c r="R184" s="26" t="b">
        <f t="shared" si="35"/>
        <v>0</v>
      </c>
      <c r="S184" s="28" t="str">
        <f t="shared" si="36"/>
        <v>GROWTH</v>
      </c>
      <c r="T184" s="24">
        <v>240</v>
      </c>
      <c r="U184" s="29" t="str">
        <f t="shared" si="37"/>
        <v>May</v>
      </c>
      <c r="V184" s="24">
        <f t="shared" si="38"/>
        <v>240</v>
      </c>
      <c r="W184" s="30">
        <f t="shared" si="39"/>
        <v>80</v>
      </c>
      <c r="X184" s="31" t="b">
        <f t="shared" si="40"/>
        <v>0</v>
      </c>
      <c r="Y184" s="32" t="str">
        <f t="shared" si="41"/>
        <v>GROWTH</v>
      </c>
      <c r="Z184" s="41">
        <v>0</v>
      </c>
      <c r="AA184" s="36"/>
      <c r="AB184" s="36" t="s">
        <v>24</v>
      </c>
      <c r="AC184" s="41" t="s">
        <v>24</v>
      </c>
      <c r="AD184" s="34"/>
      <c r="AE184" s="35">
        <f>IFERROR(INDEX([1]Last6M_AvgSales_Ref!$B$2:$B$12659,MATCH(D184,[1]Last6M_AvgSales_Ref!$A$2:$A$12659,0)),"")</f>
        <v>351.83333333333297</v>
      </c>
    </row>
    <row r="185" spans="1:31" ht="14.25" customHeight="1" x14ac:dyDescent="0.3">
      <c r="A185" s="36" t="s">
        <v>24</v>
      </c>
      <c r="B185" s="38" t="s">
        <v>399</v>
      </c>
      <c r="C185" s="38" t="s">
        <v>400</v>
      </c>
      <c r="D185" s="38">
        <v>1000000103</v>
      </c>
      <c r="E185" s="39" t="s">
        <v>401</v>
      </c>
      <c r="F185" s="40">
        <v>41870</v>
      </c>
      <c r="G185" s="22" t="str">
        <f t="shared" si="28"/>
        <v>Targeted Dealer</v>
      </c>
      <c r="H185" s="22"/>
      <c r="I185" s="23">
        <v>180</v>
      </c>
      <c r="J185" s="23">
        <f t="shared" si="29"/>
        <v>180</v>
      </c>
      <c r="K185" s="24">
        <v>217.5</v>
      </c>
      <c r="L185" s="24">
        <f t="shared" si="30"/>
        <v>-37.5</v>
      </c>
      <c r="M185" s="24">
        <f t="shared" si="31"/>
        <v>120.83333333333333</v>
      </c>
      <c r="N185" s="25">
        <v>274.5</v>
      </c>
      <c r="O185" s="26" t="str">
        <f t="shared" si="32"/>
        <v>June</v>
      </c>
      <c r="P185" s="25">
        <f t="shared" si="33"/>
        <v>274.5</v>
      </c>
      <c r="Q185" s="27">
        <f t="shared" si="34"/>
        <v>-57</v>
      </c>
      <c r="R185" s="26" t="b">
        <f t="shared" si="35"/>
        <v>0</v>
      </c>
      <c r="S185" s="28" t="str">
        <f t="shared" si="36"/>
        <v>GROWTH</v>
      </c>
      <c r="T185" s="24">
        <v>167</v>
      </c>
      <c r="U185" s="29" t="str">
        <f t="shared" si="37"/>
        <v>May</v>
      </c>
      <c r="V185" s="24">
        <f t="shared" si="38"/>
        <v>167</v>
      </c>
      <c r="W185" s="30">
        <f t="shared" si="39"/>
        <v>50.5</v>
      </c>
      <c r="X185" s="31" t="b">
        <f t="shared" si="40"/>
        <v>0</v>
      </c>
      <c r="Y185" s="32" t="str">
        <f t="shared" si="41"/>
        <v>GROWTH</v>
      </c>
      <c r="Z185" s="41">
        <v>0</v>
      </c>
      <c r="AA185" s="36"/>
      <c r="AB185" s="36" t="s">
        <v>24</v>
      </c>
      <c r="AC185" s="36" t="s">
        <v>24</v>
      </c>
      <c r="AD185" s="34"/>
      <c r="AE185" s="35">
        <f>IFERROR(INDEX([1]Last6M_AvgSales_Ref!$B$2:$B$12659,MATCH(D185,[1]Last6M_AvgSales_Ref!$A$2:$A$12659,0)),"")</f>
        <v>268.691666666667</v>
      </c>
    </row>
    <row r="186" spans="1:31" ht="14.25" customHeight="1" x14ac:dyDescent="0.3">
      <c r="A186" s="36" t="s">
        <v>24</v>
      </c>
      <c r="B186" s="38" t="s">
        <v>399</v>
      </c>
      <c r="C186" s="38" t="s">
        <v>402</v>
      </c>
      <c r="D186" s="38">
        <v>1000000094</v>
      </c>
      <c r="E186" s="39" t="s">
        <v>388</v>
      </c>
      <c r="F186" s="40">
        <v>41880</v>
      </c>
      <c r="G186" s="22" t="str">
        <f t="shared" si="28"/>
        <v>Targeted Dealer</v>
      </c>
      <c r="H186" s="22"/>
      <c r="I186" s="23">
        <v>50</v>
      </c>
      <c r="J186" s="23">
        <f t="shared" si="29"/>
        <v>50</v>
      </c>
      <c r="K186" s="24">
        <v>60.5</v>
      </c>
      <c r="L186" s="24">
        <f t="shared" si="30"/>
        <v>-10.5</v>
      </c>
      <c r="M186" s="24">
        <f t="shared" si="31"/>
        <v>121</v>
      </c>
      <c r="N186" s="25">
        <v>65</v>
      </c>
      <c r="O186" s="26" t="str">
        <f t="shared" si="32"/>
        <v>June</v>
      </c>
      <c r="P186" s="25">
        <f t="shared" si="33"/>
        <v>65</v>
      </c>
      <c r="Q186" s="27">
        <f t="shared" si="34"/>
        <v>-4.5</v>
      </c>
      <c r="R186" s="26" t="b">
        <f t="shared" si="35"/>
        <v>0</v>
      </c>
      <c r="S186" s="28" t="str">
        <f t="shared" si="36"/>
        <v>GROWTH</v>
      </c>
      <c r="T186" s="24">
        <v>55.5</v>
      </c>
      <c r="U186" s="29" t="str">
        <f t="shared" si="37"/>
        <v>May</v>
      </c>
      <c r="V186" s="24">
        <f t="shared" si="38"/>
        <v>55.5</v>
      </c>
      <c r="W186" s="30">
        <f t="shared" si="39"/>
        <v>5</v>
      </c>
      <c r="X186" s="31" t="b">
        <f t="shared" si="40"/>
        <v>0</v>
      </c>
      <c r="Y186" s="32" t="str">
        <f t="shared" si="41"/>
        <v>GROWTH</v>
      </c>
      <c r="Z186" s="41">
        <v>0</v>
      </c>
      <c r="AA186" s="36"/>
      <c r="AB186" s="36" t="s">
        <v>24</v>
      </c>
      <c r="AC186" s="36" t="s">
        <v>24</v>
      </c>
      <c r="AD186" s="34"/>
      <c r="AE186" s="35">
        <f>IFERROR(INDEX([1]Last6M_AvgSales_Ref!$B$2:$B$12659,MATCH(D186,[1]Last6M_AvgSales_Ref!$A$2:$A$12659,0)),"")</f>
        <v>45.9166666666667</v>
      </c>
    </row>
    <row r="187" spans="1:31" ht="14.25" customHeight="1" x14ac:dyDescent="0.3">
      <c r="A187" s="36" t="s">
        <v>24</v>
      </c>
      <c r="B187" s="38" t="s">
        <v>399</v>
      </c>
      <c r="C187" s="38" t="s">
        <v>403</v>
      </c>
      <c r="D187" s="38">
        <v>1000000096</v>
      </c>
      <c r="E187" s="39" t="s">
        <v>404</v>
      </c>
      <c r="F187" s="40">
        <v>43052</v>
      </c>
      <c r="G187" s="22" t="str">
        <f t="shared" si="28"/>
        <v>Targeted Dealer</v>
      </c>
      <c r="H187" s="22"/>
      <c r="I187" s="23">
        <v>60</v>
      </c>
      <c r="J187" s="23">
        <f t="shared" si="29"/>
        <v>60</v>
      </c>
      <c r="K187" s="24">
        <v>105</v>
      </c>
      <c r="L187" s="24">
        <f t="shared" si="30"/>
        <v>-45</v>
      </c>
      <c r="M187" s="24">
        <f t="shared" si="31"/>
        <v>175</v>
      </c>
      <c r="N187" s="25">
        <v>60</v>
      </c>
      <c r="O187" s="26" t="str">
        <f t="shared" si="32"/>
        <v>June</v>
      </c>
      <c r="P187" s="25">
        <f t="shared" si="33"/>
        <v>60</v>
      </c>
      <c r="Q187" s="27">
        <f t="shared" si="34"/>
        <v>45</v>
      </c>
      <c r="R187" s="26" t="b">
        <f t="shared" si="35"/>
        <v>0</v>
      </c>
      <c r="S187" s="28" t="str">
        <f t="shared" si="36"/>
        <v>GROWTH</v>
      </c>
      <c r="T187" s="24">
        <v>39</v>
      </c>
      <c r="U187" s="29" t="str">
        <f t="shared" si="37"/>
        <v>May</v>
      </c>
      <c r="V187" s="24">
        <f t="shared" si="38"/>
        <v>39</v>
      </c>
      <c r="W187" s="30">
        <f t="shared" si="39"/>
        <v>66</v>
      </c>
      <c r="X187" s="31" t="b">
        <f t="shared" si="40"/>
        <v>0</v>
      </c>
      <c r="Y187" s="32" t="str">
        <f t="shared" si="41"/>
        <v>GROWTH</v>
      </c>
      <c r="Z187" s="41">
        <v>0</v>
      </c>
      <c r="AA187" s="36"/>
      <c r="AB187" s="36" t="s">
        <v>24</v>
      </c>
      <c r="AC187" s="36" t="s">
        <v>24</v>
      </c>
      <c r="AD187" s="34"/>
      <c r="AE187" s="35">
        <f>IFERROR(INDEX([1]Last6M_AvgSales_Ref!$B$2:$B$12659,MATCH(D187,[1]Last6M_AvgSales_Ref!$A$2:$A$12659,0)),"")</f>
        <v>103.583333333333</v>
      </c>
    </row>
    <row r="188" spans="1:31" ht="14.25" customHeight="1" x14ac:dyDescent="0.3">
      <c r="A188" s="36" t="s">
        <v>24</v>
      </c>
      <c r="B188" s="38" t="s">
        <v>399</v>
      </c>
      <c r="C188" s="38" t="s">
        <v>405</v>
      </c>
      <c r="D188" s="38">
        <v>1000000110</v>
      </c>
      <c r="E188" s="39" t="s">
        <v>406</v>
      </c>
      <c r="F188" s="40">
        <v>43068</v>
      </c>
      <c r="G188" s="22" t="str">
        <f t="shared" si="28"/>
        <v>Targeted Dealer</v>
      </c>
      <c r="H188" s="22"/>
      <c r="I188" s="23">
        <v>40</v>
      </c>
      <c r="J188" s="23">
        <f t="shared" si="29"/>
        <v>40</v>
      </c>
      <c r="K188" s="24">
        <v>0</v>
      </c>
      <c r="L188" s="24">
        <f t="shared" si="30"/>
        <v>40</v>
      </c>
      <c r="M188" s="24">
        <f t="shared" si="31"/>
        <v>0</v>
      </c>
      <c r="N188" s="25">
        <v>0</v>
      </c>
      <c r="O188" s="26" t="str">
        <f t="shared" si="32"/>
        <v>June</v>
      </c>
      <c r="P188" s="25">
        <f t="shared" si="33"/>
        <v>0</v>
      </c>
      <c r="Q188" s="27">
        <f t="shared" si="34"/>
        <v>0</v>
      </c>
      <c r="R188" s="26" t="b">
        <f t="shared" si="35"/>
        <v>0</v>
      </c>
      <c r="S188" s="28" t="b">
        <f t="shared" si="36"/>
        <v>0</v>
      </c>
      <c r="T188" s="24">
        <v>40</v>
      </c>
      <c r="U188" s="29" t="str">
        <f t="shared" si="37"/>
        <v>May</v>
      </c>
      <c r="V188" s="24">
        <f t="shared" si="38"/>
        <v>40</v>
      </c>
      <c r="W188" s="30">
        <f t="shared" si="39"/>
        <v>-40</v>
      </c>
      <c r="X188" s="31" t="b">
        <f t="shared" si="40"/>
        <v>0</v>
      </c>
      <c r="Y188" s="32" t="str">
        <f t="shared" si="41"/>
        <v>GROWTH</v>
      </c>
      <c r="Z188" s="41">
        <v>0</v>
      </c>
      <c r="AA188" s="36"/>
      <c r="AB188" s="36" t="s">
        <v>24</v>
      </c>
      <c r="AC188" s="36" t="s">
        <v>24</v>
      </c>
      <c r="AD188" s="34"/>
      <c r="AE188" s="35">
        <f>IFERROR(INDEX([1]Last6M_AvgSales_Ref!$B$2:$B$12659,MATCH(D188,[1]Last6M_AvgSales_Ref!$A$2:$A$12659,0)),"")</f>
        <v>24.1666666666667</v>
      </c>
    </row>
    <row r="189" spans="1:31" ht="14.25" customHeight="1" x14ac:dyDescent="0.3">
      <c r="A189" s="36" t="s">
        <v>24</v>
      </c>
      <c r="B189" s="38" t="s">
        <v>399</v>
      </c>
      <c r="C189" s="38" t="s">
        <v>407</v>
      </c>
      <c r="D189" s="38">
        <v>1000000104</v>
      </c>
      <c r="E189" s="39" t="s">
        <v>408</v>
      </c>
      <c r="F189" s="40">
        <v>43235</v>
      </c>
      <c r="G189" s="22" t="str">
        <f t="shared" si="28"/>
        <v>Targeted Dealer</v>
      </c>
      <c r="H189" s="22"/>
      <c r="I189" s="23">
        <v>40</v>
      </c>
      <c r="J189" s="23">
        <f t="shared" si="29"/>
        <v>40</v>
      </c>
      <c r="K189" s="24">
        <v>47.5</v>
      </c>
      <c r="L189" s="24">
        <f t="shared" si="30"/>
        <v>-7.5</v>
      </c>
      <c r="M189" s="24">
        <f t="shared" si="31"/>
        <v>118.75</v>
      </c>
      <c r="N189" s="25">
        <v>36.5</v>
      </c>
      <c r="O189" s="26" t="str">
        <f t="shared" si="32"/>
        <v>June</v>
      </c>
      <c r="P189" s="25">
        <f t="shared" si="33"/>
        <v>36.5</v>
      </c>
      <c r="Q189" s="27">
        <f t="shared" si="34"/>
        <v>11</v>
      </c>
      <c r="R189" s="26" t="b">
        <f t="shared" si="35"/>
        <v>0</v>
      </c>
      <c r="S189" s="28" t="str">
        <f t="shared" si="36"/>
        <v>GROWTH</v>
      </c>
      <c r="T189" s="24">
        <v>28.5</v>
      </c>
      <c r="U189" s="29" t="str">
        <f t="shared" si="37"/>
        <v>May</v>
      </c>
      <c r="V189" s="24">
        <f t="shared" si="38"/>
        <v>28.5</v>
      </c>
      <c r="W189" s="30">
        <f t="shared" si="39"/>
        <v>19</v>
      </c>
      <c r="X189" s="31" t="b">
        <f t="shared" si="40"/>
        <v>0</v>
      </c>
      <c r="Y189" s="32" t="str">
        <f t="shared" si="41"/>
        <v>GROWTH</v>
      </c>
      <c r="Z189" s="41">
        <v>0</v>
      </c>
      <c r="AA189" s="36"/>
      <c r="AB189" s="36" t="s">
        <v>24</v>
      </c>
      <c r="AC189" s="36" t="s">
        <v>24</v>
      </c>
      <c r="AD189" s="34"/>
      <c r="AE189" s="35">
        <f>IFERROR(INDEX([1]Last6M_AvgSales_Ref!$B$2:$B$12659,MATCH(D189,[1]Last6M_AvgSales_Ref!$A$2:$A$12659,0)),"")</f>
        <v>52.3333333333333</v>
      </c>
    </row>
    <row r="190" spans="1:31" ht="14.25" customHeight="1" x14ac:dyDescent="0.3">
      <c r="A190" s="36" t="s">
        <v>24</v>
      </c>
      <c r="B190" s="38" t="s">
        <v>399</v>
      </c>
      <c r="C190" s="38" t="s">
        <v>409</v>
      </c>
      <c r="D190" s="38">
        <v>1000000113</v>
      </c>
      <c r="E190" s="39" t="s">
        <v>410</v>
      </c>
      <c r="F190" s="40">
        <v>43397</v>
      </c>
      <c r="G190" s="22" t="str">
        <f t="shared" si="28"/>
        <v>Targeted Dealer</v>
      </c>
      <c r="H190" s="22"/>
      <c r="I190" s="23">
        <v>110</v>
      </c>
      <c r="J190" s="23">
        <f t="shared" si="29"/>
        <v>110</v>
      </c>
      <c r="K190" s="24">
        <v>112.5</v>
      </c>
      <c r="L190" s="24">
        <f t="shared" si="30"/>
        <v>-2.5</v>
      </c>
      <c r="M190" s="24">
        <f t="shared" si="31"/>
        <v>102.27272727272727</v>
      </c>
      <c r="N190" s="25">
        <v>141.1</v>
      </c>
      <c r="O190" s="26" t="str">
        <f t="shared" si="32"/>
        <v>June</v>
      </c>
      <c r="P190" s="25">
        <f t="shared" si="33"/>
        <v>141.1</v>
      </c>
      <c r="Q190" s="27">
        <f t="shared" si="34"/>
        <v>-28.599999999999994</v>
      </c>
      <c r="R190" s="26" t="b">
        <f t="shared" si="35"/>
        <v>0</v>
      </c>
      <c r="S190" s="28" t="str">
        <f t="shared" si="36"/>
        <v>GROWTH</v>
      </c>
      <c r="T190" s="24">
        <v>119</v>
      </c>
      <c r="U190" s="29" t="str">
        <f t="shared" si="37"/>
        <v>May</v>
      </c>
      <c r="V190" s="24">
        <f t="shared" si="38"/>
        <v>119</v>
      </c>
      <c r="W190" s="30">
        <f t="shared" si="39"/>
        <v>-6.5</v>
      </c>
      <c r="X190" s="31" t="b">
        <f t="shared" si="40"/>
        <v>0</v>
      </c>
      <c r="Y190" s="32" t="str">
        <f t="shared" si="41"/>
        <v>GROWTH</v>
      </c>
      <c r="Z190" s="41">
        <v>0</v>
      </c>
      <c r="AA190" s="36"/>
      <c r="AB190" s="36" t="s">
        <v>24</v>
      </c>
      <c r="AC190" s="36" t="s">
        <v>24</v>
      </c>
      <c r="AD190" s="34"/>
      <c r="AE190" s="35">
        <f>IFERROR(INDEX([1]Last6M_AvgSales_Ref!$B$2:$B$12659,MATCH(D190,[1]Last6M_AvgSales_Ref!$A$2:$A$12659,0)),"")</f>
        <v>161.125</v>
      </c>
    </row>
    <row r="191" spans="1:31" ht="14.25" customHeight="1" x14ac:dyDescent="0.3">
      <c r="A191" s="36" t="s">
        <v>24</v>
      </c>
      <c r="B191" s="38" t="s">
        <v>399</v>
      </c>
      <c r="C191" s="38" t="s">
        <v>411</v>
      </c>
      <c r="D191" s="38">
        <v>1000000834</v>
      </c>
      <c r="E191" s="39" t="s">
        <v>412</v>
      </c>
      <c r="F191" s="40">
        <v>43687</v>
      </c>
      <c r="G191" s="22" t="str">
        <f t="shared" si="28"/>
        <v>Targeted Dealer</v>
      </c>
      <c r="H191" s="22"/>
      <c r="I191" s="23">
        <v>180</v>
      </c>
      <c r="J191" s="23">
        <f t="shared" si="29"/>
        <v>180</v>
      </c>
      <c r="K191" s="24">
        <v>264</v>
      </c>
      <c r="L191" s="24">
        <f t="shared" si="30"/>
        <v>-84</v>
      </c>
      <c r="M191" s="24">
        <f t="shared" si="31"/>
        <v>146.66666666666666</v>
      </c>
      <c r="N191" s="25">
        <v>178</v>
      </c>
      <c r="O191" s="26" t="str">
        <f t="shared" si="32"/>
        <v>June</v>
      </c>
      <c r="P191" s="25">
        <f t="shared" si="33"/>
        <v>178</v>
      </c>
      <c r="Q191" s="27">
        <f t="shared" si="34"/>
        <v>86</v>
      </c>
      <c r="R191" s="26" t="b">
        <f t="shared" si="35"/>
        <v>0</v>
      </c>
      <c r="S191" s="28" t="str">
        <f t="shared" si="36"/>
        <v>GROWTH</v>
      </c>
      <c r="T191" s="24">
        <v>161</v>
      </c>
      <c r="U191" s="29" t="str">
        <f t="shared" si="37"/>
        <v>May</v>
      </c>
      <c r="V191" s="24">
        <f t="shared" si="38"/>
        <v>161</v>
      </c>
      <c r="W191" s="30">
        <f t="shared" si="39"/>
        <v>103</v>
      </c>
      <c r="X191" s="31" t="b">
        <f t="shared" si="40"/>
        <v>0</v>
      </c>
      <c r="Y191" s="32" t="str">
        <f t="shared" si="41"/>
        <v>GROWTH</v>
      </c>
      <c r="Z191" s="41">
        <v>0</v>
      </c>
      <c r="AA191" s="36"/>
      <c r="AB191" s="36" t="s">
        <v>24</v>
      </c>
      <c r="AC191" s="36" t="s">
        <v>24</v>
      </c>
      <c r="AD191" s="34"/>
      <c r="AE191" s="35">
        <f>IFERROR(INDEX([1]Last6M_AvgSales_Ref!$B$2:$B$12659,MATCH(D191,[1]Last6M_AvgSales_Ref!$A$2:$A$12659,0)),"")</f>
        <v>204.71666666666701</v>
      </c>
    </row>
    <row r="192" spans="1:31" ht="14.25" customHeight="1" x14ac:dyDescent="0.3">
      <c r="A192" s="36" t="s">
        <v>24</v>
      </c>
      <c r="B192" s="38" t="s">
        <v>399</v>
      </c>
      <c r="C192" s="38" t="s">
        <v>413</v>
      </c>
      <c r="D192" s="38">
        <v>1000000100</v>
      </c>
      <c r="E192" s="39" t="s">
        <v>414</v>
      </c>
      <c r="F192" s="40">
        <v>43886</v>
      </c>
      <c r="G192" s="22" t="str">
        <f t="shared" si="28"/>
        <v>Targeted Dealer</v>
      </c>
      <c r="H192" s="22"/>
      <c r="I192" s="23">
        <v>30</v>
      </c>
      <c r="J192" s="23">
        <f t="shared" si="29"/>
        <v>30</v>
      </c>
      <c r="K192" s="24">
        <v>59</v>
      </c>
      <c r="L192" s="24">
        <f t="shared" si="30"/>
        <v>-29</v>
      </c>
      <c r="M192" s="24">
        <f t="shared" si="31"/>
        <v>196.66666666666669</v>
      </c>
      <c r="N192" s="25">
        <v>43.5</v>
      </c>
      <c r="O192" s="26" t="str">
        <f t="shared" si="32"/>
        <v>June</v>
      </c>
      <c r="P192" s="25">
        <f t="shared" si="33"/>
        <v>43.5</v>
      </c>
      <c r="Q192" s="27">
        <f t="shared" si="34"/>
        <v>15.5</v>
      </c>
      <c r="R192" s="26" t="b">
        <f t="shared" si="35"/>
        <v>0</v>
      </c>
      <c r="S192" s="28" t="str">
        <f t="shared" si="36"/>
        <v>GROWTH</v>
      </c>
      <c r="T192" s="24">
        <v>20</v>
      </c>
      <c r="U192" s="29" t="str">
        <f t="shared" si="37"/>
        <v>May</v>
      </c>
      <c r="V192" s="24">
        <f t="shared" si="38"/>
        <v>20</v>
      </c>
      <c r="W192" s="30">
        <f t="shared" si="39"/>
        <v>39</v>
      </c>
      <c r="X192" s="31" t="b">
        <f t="shared" si="40"/>
        <v>0</v>
      </c>
      <c r="Y192" s="32" t="str">
        <f t="shared" si="41"/>
        <v>GROWTH</v>
      </c>
      <c r="Z192" s="41">
        <v>0</v>
      </c>
      <c r="AA192" s="36"/>
      <c r="AB192" s="36" t="s">
        <v>24</v>
      </c>
      <c r="AC192" s="36" t="s">
        <v>24</v>
      </c>
      <c r="AD192" s="34"/>
      <c r="AE192" s="35">
        <f>IFERROR(INDEX([1]Last6M_AvgSales_Ref!$B$2:$B$12659,MATCH(D192,[1]Last6M_AvgSales_Ref!$A$2:$A$12659,0)),"")</f>
        <v>51.266666666666701</v>
      </c>
    </row>
    <row r="193" spans="1:31" ht="14.25" customHeight="1" x14ac:dyDescent="0.3">
      <c r="A193" s="36" t="s">
        <v>24</v>
      </c>
      <c r="B193" s="38" t="s">
        <v>399</v>
      </c>
      <c r="C193" s="38" t="s">
        <v>415</v>
      </c>
      <c r="D193" s="38">
        <v>1000002610</v>
      </c>
      <c r="E193" s="39" t="s">
        <v>416</v>
      </c>
      <c r="F193" s="40">
        <v>44616</v>
      </c>
      <c r="G193" s="22" t="str">
        <f t="shared" si="28"/>
        <v>Targeted Dealer</v>
      </c>
      <c r="H193" s="22"/>
      <c r="I193" s="23">
        <v>50</v>
      </c>
      <c r="J193" s="23">
        <f t="shared" si="29"/>
        <v>50</v>
      </c>
      <c r="K193" s="24">
        <v>14</v>
      </c>
      <c r="L193" s="24">
        <f t="shared" si="30"/>
        <v>36</v>
      </c>
      <c r="M193" s="24">
        <f t="shared" si="31"/>
        <v>28</v>
      </c>
      <c r="N193" s="25">
        <v>0</v>
      </c>
      <c r="O193" s="26" t="str">
        <f t="shared" si="32"/>
        <v>June</v>
      </c>
      <c r="P193" s="25">
        <f t="shared" si="33"/>
        <v>0</v>
      </c>
      <c r="Q193" s="27">
        <f t="shared" si="34"/>
        <v>14</v>
      </c>
      <c r="R193" s="26" t="b">
        <f t="shared" si="35"/>
        <v>0</v>
      </c>
      <c r="S193" s="28" t="b">
        <f t="shared" si="36"/>
        <v>0</v>
      </c>
      <c r="T193" s="24">
        <v>10</v>
      </c>
      <c r="U193" s="29" t="str">
        <f t="shared" si="37"/>
        <v>May</v>
      </c>
      <c r="V193" s="24">
        <f t="shared" si="38"/>
        <v>10</v>
      </c>
      <c r="W193" s="30">
        <f t="shared" si="39"/>
        <v>4</v>
      </c>
      <c r="X193" s="31" t="b">
        <f t="shared" si="40"/>
        <v>0</v>
      </c>
      <c r="Y193" s="32" t="str">
        <f t="shared" si="41"/>
        <v>GROWTH</v>
      </c>
      <c r="Z193" s="41">
        <v>0</v>
      </c>
      <c r="AA193" s="36"/>
      <c r="AB193" s="36" t="s">
        <v>24</v>
      </c>
      <c r="AC193" s="36" t="s">
        <v>24</v>
      </c>
      <c r="AD193" s="34"/>
      <c r="AE193" s="35">
        <f>IFERROR(INDEX([1]Last6M_AvgSales_Ref!$B$2:$B$12659,MATCH(D193,[1]Last6M_AvgSales_Ref!$A$2:$A$12659,0)),"")</f>
        <v>10.8333333333333</v>
      </c>
    </row>
    <row r="194" spans="1:31" ht="14.25" customHeight="1" x14ac:dyDescent="0.3">
      <c r="A194" s="36" t="s">
        <v>24</v>
      </c>
      <c r="B194" s="38" t="s">
        <v>399</v>
      </c>
      <c r="C194" s="38" t="s">
        <v>417</v>
      </c>
      <c r="D194" s="38">
        <v>1000002747</v>
      </c>
      <c r="E194" s="39" t="s">
        <v>418</v>
      </c>
      <c r="F194" s="40">
        <v>44692</v>
      </c>
      <c r="G194" s="22" t="str">
        <f t="shared" si="28"/>
        <v>Targeted Dealer</v>
      </c>
      <c r="H194" s="22"/>
      <c r="I194" s="23">
        <v>60</v>
      </c>
      <c r="J194" s="23">
        <f t="shared" si="29"/>
        <v>60</v>
      </c>
      <c r="K194" s="24">
        <v>60</v>
      </c>
      <c r="L194" s="24">
        <f t="shared" si="30"/>
        <v>0</v>
      </c>
      <c r="M194" s="24">
        <f t="shared" si="31"/>
        <v>100</v>
      </c>
      <c r="N194" s="25">
        <v>40</v>
      </c>
      <c r="O194" s="26" t="str">
        <f t="shared" si="32"/>
        <v>June</v>
      </c>
      <c r="P194" s="25">
        <f t="shared" si="33"/>
        <v>40</v>
      </c>
      <c r="Q194" s="27">
        <f t="shared" si="34"/>
        <v>20</v>
      </c>
      <c r="R194" s="26" t="b">
        <f t="shared" si="35"/>
        <v>0</v>
      </c>
      <c r="S194" s="28" t="str">
        <f t="shared" si="36"/>
        <v>GROWTH</v>
      </c>
      <c r="T194" s="24">
        <v>80</v>
      </c>
      <c r="U194" s="29" t="str">
        <f t="shared" si="37"/>
        <v>May</v>
      </c>
      <c r="V194" s="24">
        <f t="shared" si="38"/>
        <v>80</v>
      </c>
      <c r="W194" s="30">
        <f t="shared" si="39"/>
        <v>-20</v>
      </c>
      <c r="X194" s="31" t="b">
        <f t="shared" si="40"/>
        <v>0</v>
      </c>
      <c r="Y194" s="32" t="str">
        <f t="shared" si="41"/>
        <v>GROWTH</v>
      </c>
      <c r="Z194" s="41">
        <v>0</v>
      </c>
      <c r="AA194" s="36"/>
      <c r="AB194" s="36" t="s">
        <v>24</v>
      </c>
      <c r="AC194" s="36" t="s">
        <v>24</v>
      </c>
      <c r="AD194" s="34"/>
      <c r="AE194" s="35">
        <f>IFERROR(INDEX([1]Last6M_AvgSales_Ref!$B$2:$B$12659,MATCH(D194,[1]Last6M_AvgSales_Ref!$A$2:$A$12659,0)),"")</f>
        <v>64.941666666666706</v>
      </c>
    </row>
    <row r="195" spans="1:31" ht="14.25" customHeight="1" x14ac:dyDescent="0.3">
      <c r="A195" s="36" t="s">
        <v>24</v>
      </c>
      <c r="B195" s="38" t="s">
        <v>399</v>
      </c>
      <c r="C195" s="38" t="s">
        <v>419</v>
      </c>
      <c r="D195" s="38">
        <v>1000002757</v>
      </c>
      <c r="E195" s="39" t="s">
        <v>420</v>
      </c>
      <c r="F195" s="40">
        <v>44704</v>
      </c>
      <c r="G195" s="22" t="str">
        <f t="shared" ref="G195:G258" si="42">IF(I195&gt;0,"Targeted Dealer","-")</f>
        <v>Targeted Dealer</v>
      </c>
      <c r="H195" s="22"/>
      <c r="I195" s="23">
        <v>100</v>
      </c>
      <c r="J195" s="23">
        <f t="shared" ref="J195:J258" si="43">I195/$J$1*($J$1-$E$1)</f>
        <v>100</v>
      </c>
      <c r="K195" s="24">
        <v>66.5</v>
      </c>
      <c r="L195" s="24">
        <f t="shared" ref="L195:L258" si="44">I195-K195</f>
        <v>33.5</v>
      </c>
      <c r="M195" s="24">
        <f t="shared" ref="M195:M258" si="45">IFERROR((K195/J195%),"-")</f>
        <v>66.5</v>
      </c>
      <c r="N195" s="25">
        <v>43.5</v>
      </c>
      <c r="O195" s="26" t="str">
        <f t="shared" ref="O195:O258" si="46">IF(F195&lt;=$P$2,"June","")</f>
        <v>June</v>
      </c>
      <c r="P195" s="25">
        <f t="shared" ref="P195:P258" si="47">N195</f>
        <v>43.5</v>
      </c>
      <c r="Q195" s="27">
        <f t="shared" ref="Q195:Q258" si="48">K195-P195</f>
        <v>23</v>
      </c>
      <c r="R195" s="26" t="b">
        <f t="shared" ref="R195:R258" si="49">IFERROR(IF(O195="May",(K195/P195-1))," ")</f>
        <v>0</v>
      </c>
      <c r="S195" s="28" t="str">
        <f t="shared" ref="S195:S258" si="50">IF(N195&gt;0,IF(O195="","-",IF(R195&lt;0%,"DEGROWTH","GROWTH")))</f>
        <v>GROWTH</v>
      </c>
      <c r="T195" s="24">
        <v>218.5</v>
      </c>
      <c r="U195" s="29" t="str">
        <f t="shared" ref="U195:U258" si="51">IF(F195&lt;=$V$2,"May","")</f>
        <v>May</v>
      </c>
      <c r="V195" s="24">
        <f t="shared" ref="V195:V258" si="52">T195</f>
        <v>218.5</v>
      </c>
      <c r="W195" s="30">
        <f t="shared" ref="W195:W258" si="53">K195-V195</f>
        <v>-152</v>
      </c>
      <c r="X195" s="31" t="b">
        <f t="shared" ref="X195:X258" si="54">IFERROR(IF(U195="June",(K195/V195-1)),0)</f>
        <v>0</v>
      </c>
      <c r="Y195" s="32" t="str">
        <f t="shared" ref="Y195:Y258" si="55">IF(T195&gt;0,IF(U195="","-",IF(X195&lt;0%,"DEGROWTH","GROWTH")))</f>
        <v>GROWTH</v>
      </c>
      <c r="Z195" s="41">
        <v>0</v>
      </c>
      <c r="AA195" s="36"/>
      <c r="AB195" s="36" t="s">
        <v>24</v>
      </c>
      <c r="AC195" s="36" t="s">
        <v>24</v>
      </c>
      <c r="AD195" s="34"/>
      <c r="AE195" s="35">
        <f>IFERROR(INDEX([1]Last6M_AvgSales_Ref!$B$2:$B$12659,MATCH(D195,[1]Last6M_AvgSales_Ref!$A$2:$A$12659,0)),"")</f>
        <v>115.333333333333</v>
      </c>
    </row>
    <row r="196" spans="1:31" ht="14.25" customHeight="1" x14ac:dyDescent="0.3">
      <c r="A196" s="36" t="s">
        <v>24</v>
      </c>
      <c r="B196" s="38" t="s">
        <v>399</v>
      </c>
      <c r="C196" s="38" t="s">
        <v>421</v>
      </c>
      <c r="D196" s="38">
        <v>1000002835</v>
      </c>
      <c r="E196" s="39" t="s">
        <v>422</v>
      </c>
      <c r="F196" s="40">
        <v>44758</v>
      </c>
      <c r="G196" s="22" t="str">
        <f t="shared" si="42"/>
        <v>Targeted Dealer</v>
      </c>
      <c r="H196" s="22"/>
      <c r="I196" s="23">
        <v>200</v>
      </c>
      <c r="J196" s="23">
        <f t="shared" si="43"/>
        <v>200</v>
      </c>
      <c r="K196" s="24">
        <v>200.3</v>
      </c>
      <c r="L196" s="24">
        <f t="shared" si="44"/>
        <v>-0.30000000000001137</v>
      </c>
      <c r="M196" s="24">
        <f t="shared" si="45"/>
        <v>100.15</v>
      </c>
      <c r="N196" s="25">
        <v>142.85</v>
      </c>
      <c r="O196" s="26" t="str">
        <f t="shared" si="46"/>
        <v>June</v>
      </c>
      <c r="P196" s="25">
        <f t="shared" si="47"/>
        <v>142.85</v>
      </c>
      <c r="Q196" s="27">
        <f t="shared" si="48"/>
        <v>57.450000000000017</v>
      </c>
      <c r="R196" s="26" t="b">
        <f t="shared" si="49"/>
        <v>0</v>
      </c>
      <c r="S196" s="28" t="str">
        <f t="shared" si="50"/>
        <v>GROWTH</v>
      </c>
      <c r="T196" s="24">
        <v>110.5</v>
      </c>
      <c r="U196" s="29" t="str">
        <f t="shared" si="51"/>
        <v>May</v>
      </c>
      <c r="V196" s="24">
        <f t="shared" si="52"/>
        <v>110.5</v>
      </c>
      <c r="W196" s="30">
        <f t="shared" si="53"/>
        <v>89.800000000000011</v>
      </c>
      <c r="X196" s="31" t="b">
        <f t="shared" si="54"/>
        <v>0</v>
      </c>
      <c r="Y196" s="32" t="str">
        <f t="shared" si="55"/>
        <v>GROWTH</v>
      </c>
      <c r="Z196" s="41">
        <v>0</v>
      </c>
      <c r="AA196" s="36"/>
      <c r="AB196" s="36" t="s">
        <v>24</v>
      </c>
      <c r="AC196" s="36" t="s">
        <v>24</v>
      </c>
      <c r="AD196" s="34"/>
      <c r="AE196" s="35">
        <f>IFERROR(INDEX([1]Last6M_AvgSales_Ref!$B$2:$B$12659,MATCH(D196,[1]Last6M_AvgSales_Ref!$A$2:$A$12659,0)),"")</f>
        <v>243.22499999999999</v>
      </c>
    </row>
    <row r="197" spans="1:31" ht="14.25" customHeight="1" x14ac:dyDescent="0.3">
      <c r="A197" s="36" t="s">
        <v>24</v>
      </c>
      <c r="B197" s="38" t="s">
        <v>399</v>
      </c>
      <c r="C197" s="38" t="s">
        <v>423</v>
      </c>
      <c r="D197" s="38">
        <v>1000003161</v>
      </c>
      <c r="E197" s="39" t="s">
        <v>424</v>
      </c>
      <c r="F197" s="40">
        <v>44915</v>
      </c>
      <c r="G197" s="22" t="str">
        <f t="shared" si="42"/>
        <v>Targeted Dealer</v>
      </c>
      <c r="H197" s="22"/>
      <c r="I197" s="23">
        <v>40</v>
      </c>
      <c r="J197" s="23">
        <f t="shared" si="43"/>
        <v>40</v>
      </c>
      <c r="K197" s="24">
        <v>40</v>
      </c>
      <c r="L197" s="24">
        <f t="shared" si="44"/>
        <v>0</v>
      </c>
      <c r="M197" s="24">
        <f t="shared" si="45"/>
        <v>100</v>
      </c>
      <c r="N197" s="25">
        <v>0</v>
      </c>
      <c r="O197" s="26" t="str">
        <f t="shared" si="46"/>
        <v>June</v>
      </c>
      <c r="P197" s="25">
        <f t="shared" si="47"/>
        <v>0</v>
      </c>
      <c r="Q197" s="27">
        <f t="shared" si="48"/>
        <v>40</v>
      </c>
      <c r="R197" s="26" t="b">
        <f t="shared" si="49"/>
        <v>0</v>
      </c>
      <c r="S197" s="28" t="b">
        <f t="shared" si="50"/>
        <v>0</v>
      </c>
      <c r="T197" s="24">
        <v>64</v>
      </c>
      <c r="U197" s="29" t="str">
        <f t="shared" si="51"/>
        <v>May</v>
      </c>
      <c r="V197" s="24">
        <f t="shared" si="52"/>
        <v>64</v>
      </c>
      <c r="W197" s="30">
        <f t="shared" si="53"/>
        <v>-24</v>
      </c>
      <c r="X197" s="31" t="b">
        <f t="shared" si="54"/>
        <v>0</v>
      </c>
      <c r="Y197" s="32" t="str">
        <f t="shared" si="55"/>
        <v>GROWTH</v>
      </c>
      <c r="Z197" s="41">
        <v>0</v>
      </c>
      <c r="AA197" s="36"/>
      <c r="AB197" s="36" t="s">
        <v>24</v>
      </c>
      <c r="AC197" s="36" t="s">
        <v>24</v>
      </c>
      <c r="AD197" s="34"/>
      <c r="AE197" s="35">
        <f>IFERROR(INDEX([1]Last6M_AvgSales_Ref!$B$2:$B$12659,MATCH(D197,[1]Last6M_AvgSales_Ref!$A$2:$A$12659,0)),"")</f>
        <v>25</v>
      </c>
    </row>
    <row r="198" spans="1:31" ht="14.25" customHeight="1" x14ac:dyDescent="0.3">
      <c r="A198" s="36" t="s">
        <v>24</v>
      </c>
      <c r="B198" s="38" t="s">
        <v>399</v>
      </c>
      <c r="C198" s="38" t="s">
        <v>425</v>
      </c>
      <c r="D198" s="38">
        <v>1000003500</v>
      </c>
      <c r="E198" s="38" t="s">
        <v>426</v>
      </c>
      <c r="F198" s="40">
        <v>45045</v>
      </c>
      <c r="G198" s="22" t="str">
        <f t="shared" si="42"/>
        <v>Targeted Dealer</v>
      </c>
      <c r="H198" s="22"/>
      <c r="I198" s="23">
        <v>15</v>
      </c>
      <c r="J198" s="23">
        <f t="shared" si="43"/>
        <v>15</v>
      </c>
      <c r="K198" s="24">
        <v>0</v>
      </c>
      <c r="L198" s="24">
        <f t="shared" si="44"/>
        <v>15</v>
      </c>
      <c r="M198" s="24">
        <f t="shared" si="45"/>
        <v>0</v>
      </c>
      <c r="N198" s="25">
        <v>0</v>
      </c>
      <c r="O198" s="26" t="str">
        <f t="shared" si="46"/>
        <v>June</v>
      </c>
      <c r="P198" s="25">
        <f t="shared" si="47"/>
        <v>0</v>
      </c>
      <c r="Q198" s="27">
        <f t="shared" si="48"/>
        <v>0</v>
      </c>
      <c r="R198" s="26" t="b">
        <f t="shared" si="49"/>
        <v>0</v>
      </c>
      <c r="S198" s="28" t="b">
        <f t="shared" si="50"/>
        <v>0</v>
      </c>
      <c r="T198" s="24">
        <v>14</v>
      </c>
      <c r="U198" s="29" t="str">
        <f t="shared" si="51"/>
        <v>May</v>
      </c>
      <c r="V198" s="24">
        <f t="shared" si="52"/>
        <v>14</v>
      </c>
      <c r="W198" s="30">
        <f t="shared" si="53"/>
        <v>-14</v>
      </c>
      <c r="X198" s="31" t="b">
        <f t="shared" si="54"/>
        <v>0</v>
      </c>
      <c r="Y198" s="32" t="str">
        <f t="shared" si="55"/>
        <v>GROWTH</v>
      </c>
      <c r="Z198" s="41">
        <v>0</v>
      </c>
      <c r="AA198" s="36"/>
      <c r="AB198" s="36" t="s">
        <v>24</v>
      </c>
      <c r="AC198" s="36" t="s">
        <v>24</v>
      </c>
      <c r="AD198" s="34"/>
      <c r="AE198" s="35">
        <f>IFERROR(INDEX([1]Last6M_AvgSales_Ref!$B$2:$B$12659,MATCH(D198,[1]Last6M_AvgSales_Ref!$A$2:$A$12659,0)),"")</f>
        <v>13.1666666666667</v>
      </c>
    </row>
    <row r="199" spans="1:31" ht="14.25" customHeight="1" x14ac:dyDescent="0.3">
      <c r="A199" s="36" t="s">
        <v>24</v>
      </c>
      <c r="B199" s="38" t="s">
        <v>399</v>
      </c>
      <c r="C199" s="38" t="s">
        <v>427</v>
      </c>
      <c r="D199" s="38">
        <v>1000003513</v>
      </c>
      <c r="E199" s="38" t="s">
        <v>428</v>
      </c>
      <c r="F199" s="40">
        <v>45054</v>
      </c>
      <c r="G199" s="22" t="str">
        <f t="shared" si="42"/>
        <v>Targeted Dealer</v>
      </c>
      <c r="H199" s="22"/>
      <c r="I199" s="23">
        <v>280</v>
      </c>
      <c r="J199" s="23">
        <f t="shared" si="43"/>
        <v>280</v>
      </c>
      <c r="K199" s="24">
        <v>425.6</v>
      </c>
      <c r="L199" s="24">
        <f t="shared" si="44"/>
        <v>-145.60000000000002</v>
      </c>
      <c r="M199" s="24">
        <f t="shared" si="45"/>
        <v>152.00000000000003</v>
      </c>
      <c r="N199" s="25">
        <v>311.25</v>
      </c>
      <c r="O199" s="26" t="str">
        <f t="shared" si="46"/>
        <v>June</v>
      </c>
      <c r="P199" s="25">
        <f t="shared" si="47"/>
        <v>311.25</v>
      </c>
      <c r="Q199" s="27">
        <f t="shared" si="48"/>
        <v>114.35000000000002</v>
      </c>
      <c r="R199" s="26" t="b">
        <f t="shared" si="49"/>
        <v>0</v>
      </c>
      <c r="S199" s="28" t="str">
        <f t="shared" si="50"/>
        <v>GROWTH</v>
      </c>
      <c r="T199" s="24">
        <v>236.25</v>
      </c>
      <c r="U199" s="29" t="str">
        <f t="shared" si="51"/>
        <v>May</v>
      </c>
      <c r="V199" s="24">
        <f t="shared" si="52"/>
        <v>236.25</v>
      </c>
      <c r="W199" s="30">
        <f t="shared" si="53"/>
        <v>189.35000000000002</v>
      </c>
      <c r="X199" s="31" t="b">
        <f t="shared" si="54"/>
        <v>0</v>
      </c>
      <c r="Y199" s="32" t="str">
        <f t="shared" si="55"/>
        <v>GROWTH</v>
      </c>
      <c r="Z199" s="41">
        <v>0</v>
      </c>
      <c r="AA199" s="36"/>
      <c r="AB199" s="36" t="s">
        <v>24</v>
      </c>
      <c r="AC199" s="36" t="s">
        <v>24</v>
      </c>
      <c r="AD199" s="34"/>
      <c r="AE199" s="35">
        <f>IFERROR(INDEX([1]Last6M_AvgSales_Ref!$B$2:$B$12659,MATCH(D199,[1]Last6M_AvgSales_Ref!$A$2:$A$12659,0)),"")</f>
        <v>377.41666666666703</v>
      </c>
    </row>
    <row r="200" spans="1:31" ht="14.25" customHeight="1" x14ac:dyDescent="0.3">
      <c r="A200" s="36" t="s">
        <v>24</v>
      </c>
      <c r="B200" s="38" t="s">
        <v>399</v>
      </c>
      <c r="C200" s="38" t="s">
        <v>429</v>
      </c>
      <c r="D200" s="38">
        <v>1000003544</v>
      </c>
      <c r="E200" s="38" t="s">
        <v>430</v>
      </c>
      <c r="F200" s="40">
        <v>45069</v>
      </c>
      <c r="G200" s="22" t="str">
        <f t="shared" si="42"/>
        <v>Targeted Dealer</v>
      </c>
      <c r="H200" s="22"/>
      <c r="I200" s="23">
        <v>40</v>
      </c>
      <c r="J200" s="23">
        <f t="shared" si="43"/>
        <v>40</v>
      </c>
      <c r="K200" s="24">
        <v>20</v>
      </c>
      <c r="L200" s="24">
        <f t="shared" si="44"/>
        <v>20</v>
      </c>
      <c r="M200" s="24">
        <f t="shared" si="45"/>
        <v>50</v>
      </c>
      <c r="N200" s="25">
        <v>40</v>
      </c>
      <c r="O200" s="26" t="str">
        <f t="shared" si="46"/>
        <v>June</v>
      </c>
      <c r="P200" s="25">
        <f t="shared" si="47"/>
        <v>40</v>
      </c>
      <c r="Q200" s="27">
        <f t="shared" si="48"/>
        <v>-20</v>
      </c>
      <c r="R200" s="26" t="b">
        <f t="shared" si="49"/>
        <v>0</v>
      </c>
      <c r="S200" s="28" t="str">
        <f t="shared" si="50"/>
        <v>GROWTH</v>
      </c>
      <c r="T200" s="24">
        <v>100</v>
      </c>
      <c r="U200" s="29" t="str">
        <f t="shared" si="51"/>
        <v>May</v>
      </c>
      <c r="V200" s="24">
        <f t="shared" si="52"/>
        <v>100</v>
      </c>
      <c r="W200" s="30">
        <f t="shared" si="53"/>
        <v>-80</v>
      </c>
      <c r="X200" s="31" t="b">
        <f t="shared" si="54"/>
        <v>0</v>
      </c>
      <c r="Y200" s="32" t="str">
        <f t="shared" si="55"/>
        <v>GROWTH</v>
      </c>
      <c r="Z200" s="41">
        <v>0</v>
      </c>
      <c r="AA200" s="36"/>
      <c r="AB200" s="36" t="s">
        <v>24</v>
      </c>
      <c r="AC200" s="36" t="s">
        <v>24</v>
      </c>
      <c r="AD200" s="34"/>
      <c r="AE200" s="35">
        <f>IFERROR(INDEX([1]Last6M_AvgSales_Ref!$B$2:$B$12659,MATCH(D200,[1]Last6M_AvgSales_Ref!$A$2:$A$12659,0)),"")</f>
        <v>45</v>
      </c>
    </row>
    <row r="201" spans="1:31" ht="14.25" customHeight="1" x14ac:dyDescent="0.3">
      <c r="A201" s="36" t="s">
        <v>24</v>
      </c>
      <c r="B201" s="38" t="s">
        <v>399</v>
      </c>
      <c r="C201" s="38" t="s">
        <v>431</v>
      </c>
      <c r="D201" s="38">
        <v>1000003616</v>
      </c>
      <c r="E201" s="38" t="s">
        <v>432</v>
      </c>
      <c r="F201" s="40">
        <v>45110</v>
      </c>
      <c r="G201" s="22" t="str">
        <f t="shared" si="42"/>
        <v>Targeted Dealer</v>
      </c>
      <c r="H201" s="22"/>
      <c r="I201" s="23">
        <v>20</v>
      </c>
      <c r="J201" s="23">
        <f t="shared" si="43"/>
        <v>20</v>
      </c>
      <c r="K201" s="24">
        <v>60</v>
      </c>
      <c r="L201" s="24">
        <f t="shared" si="44"/>
        <v>-40</v>
      </c>
      <c r="M201" s="24">
        <f t="shared" si="45"/>
        <v>300</v>
      </c>
      <c r="N201" s="25">
        <v>20</v>
      </c>
      <c r="O201" s="26" t="str">
        <f t="shared" si="46"/>
        <v>June</v>
      </c>
      <c r="P201" s="25">
        <f t="shared" si="47"/>
        <v>20</v>
      </c>
      <c r="Q201" s="27">
        <f t="shared" si="48"/>
        <v>40</v>
      </c>
      <c r="R201" s="26" t="b">
        <f t="shared" si="49"/>
        <v>0</v>
      </c>
      <c r="S201" s="28" t="str">
        <f t="shared" si="50"/>
        <v>GROWTH</v>
      </c>
      <c r="T201" s="24">
        <v>16</v>
      </c>
      <c r="U201" s="29" t="str">
        <f t="shared" si="51"/>
        <v>May</v>
      </c>
      <c r="V201" s="24">
        <f t="shared" si="52"/>
        <v>16</v>
      </c>
      <c r="W201" s="30">
        <f t="shared" si="53"/>
        <v>44</v>
      </c>
      <c r="X201" s="31" t="b">
        <f t="shared" si="54"/>
        <v>0</v>
      </c>
      <c r="Y201" s="32" t="str">
        <f t="shared" si="55"/>
        <v>GROWTH</v>
      </c>
      <c r="Z201" s="41">
        <v>0</v>
      </c>
      <c r="AA201" s="36"/>
      <c r="AB201" s="36" t="s">
        <v>24</v>
      </c>
      <c r="AC201" s="36" t="s">
        <v>24</v>
      </c>
      <c r="AD201" s="34"/>
      <c r="AE201" s="35">
        <f>IFERROR(INDEX([1]Last6M_AvgSales_Ref!$B$2:$B$12659,MATCH(D201,[1]Last6M_AvgSales_Ref!$A$2:$A$12659,0)),"")</f>
        <v>39.933333333333302</v>
      </c>
    </row>
    <row r="202" spans="1:31" ht="14.25" customHeight="1" x14ac:dyDescent="0.3">
      <c r="A202" s="36" t="s">
        <v>24</v>
      </c>
      <c r="B202" s="38" t="s">
        <v>399</v>
      </c>
      <c r="C202" s="38" t="s">
        <v>433</v>
      </c>
      <c r="D202" s="38">
        <v>1000003655</v>
      </c>
      <c r="E202" s="38" t="s">
        <v>434</v>
      </c>
      <c r="F202" s="40">
        <v>45136</v>
      </c>
      <c r="G202" s="22" t="str">
        <f t="shared" si="42"/>
        <v>Targeted Dealer</v>
      </c>
      <c r="H202" s="22"/>
      <c r="I202" s="23">
        <v>50</v>
      </c>
      <c r="J202" s="23">
        <f t="shared" si="43"/>
        <v>50</v>
      </c>
      <c r="K202" s="24">
        <v>66</v>
      </c>
      <c r="L202" s="24">
        <f t="shared" si="44"/>
        <v>-16</v>
      </c>
      <c r="M202" s="24">
        <f t="shared" si="45"/>
        <v>132</v>
      </c>
      <c r="N202" s="25">
        <v>51</v>
      </c>
      <c r="O202" s="26" t="str">
        <f t="shared" si="46"/>
        <v>June</v>
      </c>
      <c r="P202" s="25">
        <f t="shared" si="47"/>
        <v>51</v>
      </c>
      <c r="Q202" s="27">
        <f t="shared" si="48"/>
        <v>15</v>
      </c>
      <c r="R202" s="26" t="b">
        <f t="shared" si="49"/>
        <v>0</v>
      </c>
      <c r="S202" s="28" t="str">
        <f t="shared" si="50"/>
        <v>GROWTH</v>
      </c>
      <c r="T202" s="24">
        <v>15</v>
      </c>
      <c r="U202" s="29" t="str">
        <f t="shared" si="51"/>
        <v>May</v>
      </c>
      <c r="V202" s="24">
        <f t="shared" si="52"/>
        <v>15</v>
      </c>
      <c r="W202" s="30">
        <f t="shared" si="53"/>
        <v>51</v>
      </c>
      <c r="X202" s="31" t="b">
        <f t="shared" si="54"/>
        <v>0</v>
      </c>
      <c r="Y202" s="32" t="str">
        <f t="shared" si="55"/>
        <v>GROWTH</v>
      </c>
      <c r="Z202" s="41">
        <v>0</v>
      </c>
      <c r="AA202" s="36"/>
      <c r="AB202" s="36" t="s">
        <v>24</v>
      </c>
      <c r="AC202" s="36" t="s">
        <v>24</v>
      </c>
      <c r="AD202" s="34"/>
      <c r="AE202" s="35">
        <f>IFERROR(INDEX([1]Last6M_AvgSales_Ref!$B$2:$B$12659,MATCH(D202,[1]Last6M_AvgSales_Ref!$A$2:$A$12659,0)),"")</f>
        <v>53.5833333333333</v>
      </c>
    </row>
    <row r="203" spans="1:31" ht="14.25" customHeight="1" x14ac:dyDescent="0.3">
      <c r="A203" s="36" t="s">
        <v>24</v>
      </c>
      <c r="B203" s="38" t="s">
        <v>399</v>
      </c>
      <c r="C203" s="38" t="s">
        <v>435</v>
      </c>
      <c r="D203" s="38">
        <v>1000003676</v>
      </c>
      <c r="E203" s="38" t="s">
        <v>436</v>
      </c>
      <c r="F203" s="40">
        <v>45142</v>
      </c>
      <c r="G203" s="22" t="str">
        <f t="shared" si="42"/>
        <v>Targeted Dealer</v>
      </c>
      <c r="H203" s="22"/>
      <c r="I203" s="23">
        <v>40</v>
      </c>
      <c r="J203" s="23">
        <f t="shared" si="43"/>
        <v>40</v>
      </c>
      <c r="K203" s="24">
        <v>60</v>
      </c>
      <c r="L203" s="24">
        <f t="shared" si="44"/>
        <v>-20</v>
      </c>
      <c r="M203" s="24">
        <f t="shared" si="45"/>
        <v>150</v>
      </c>
      <c r="N203" s="25">
        <v>50</v>
      </c>
      <c r="O203" s="26" t="str">
        <f t="shared" si="46"/>
        <v>June</v>
      </c>
      <c r="P203" s="25">
        <f t="shared" si="47"/>
        <v>50</v>
      </c>
      <c r="Q203" s="27">
        <f t="shared" si="48"/>
        <v>10</v>
      </c>
      <c r="R203" s="26" t="b">
        <f t="shared" si="49"/>
        <v>0</v>
      </c>
      <c r="S203" s="28" t="str">
        <f t="shared" si="50"/>
        <v>GROWTH</v>
      </c>
      <c r="T203" s="24">
        <v>50</v>
      </c>
      <c r="U203" s="29" t="str">
        <f t="shared" si="51"/>
        <v>May</v>
      </c>
      <c r="V203" s="24">
        <f t="shared" si="52"/>
        <v>50</v>
      </c>
      <c r="W203" s="30">
        <f t="shared" si="53"/>
        <v>10</v>
      </c>
      <c r="X203" s="31" t="b">
        <f t="shared" si="54"/>
        <v>0</v>
      </c>
      <c r="Y203" s="32" t="str">
        <f t="shared" si="55"/>
        <v>GROWTH</v>
      </c>
      <c r="Z203" s="41">
        <v>0</v>
      </c>
      <c r="AA203" s="36"/>
      <c r="AB203" s="36" t="s">
        <v>24</v>
      </c>
      <c r="AC203" s="36" t="s">
        <v>24</v>
      </c>
      <c r="AD203" s="34"/>
      <c r="AE203" s="35">
        <f>IFERROR(INDEX([1]Last6M_AvgSales_Ref!$B$2:$B$12659,MATCH(D203,[1]Last6M_AvgSales_Ref!$A$2:$A$12659,0)),"")</f>
        <v>45</v>
      </c>
    </row>
    <row r="204" spans="1:31" ht="14.25" customHeight="1" x14ac:dyDescent="0.3">
      <c r="A204" s="36" t="s">
        <v>24</v>
      </c>
      <c r="B204" s="38" t="s">
        <v>399</v>
      </c>
      <c r="C204" s="38" t="s">
        <v>437</v>
      </c>
      <c r="D204" s="38">
        <v>1000003726</v>
      </c>
      <c r="E204" s="38" t="s">
        <v>438</v>
      </c>
      <c r="F204" s="40">
        <v>45210</v>
      </c>
      <c r="G204" s="22" t="str">
        <f t="shared" si="42"/>
        <v>Targeted Dealer</v>
      </c>
      <c r="H204" s="22"/>
      <c r="I204" s="23">
        <v>100</v>
      </c>
      <c r="J204" s="23">
        <f t="shared" si="43"/>
        <v>100</v>
      </c>
      <c r="K204" s="24">
        <v>30</v>
      </c>
      <c r="L204" s="24">
        <f t="shared" si="44"/>
        <v>70</v>
      </c>
      <c r="M204" s="24">
        <f t="shared" si="45"/>
        <v>30</v>
      </c>
      <c r="N204" s="25">
        <v>36</v>
      </c>
      <c r="O204" s="26" t="str">
        <f t="shared" si="46"/>
        <v>June</v>
      </c>
      <c r="P204" s="25">
        <f t="shared" si="47"/>
        <v>36</v>
      </c>
      <c r="Q204" s="27">
        <f t="shared" si="48"/>
        <v>-6</v>
      </c>
      <c r="R204" s="26" t="b">
        <f t="shared" si="49"/>
        <v>0</v>
      </c>
      <c r="S204" s="28" t="str">
        <f t="shared" si="50"/>
        <v>GROWTH</v>
      </c>
      <c r="T204" s="24">
        <v>40</v>
      </c>
      <c r="U204" s="29" t="str">
        <f t="shared" si="51"/>
        <v>May</v>
      </c>
      <c r="V204" s="24">
        <f t="shared" si="52"/>
        <v>40</v>
      </c>
      <c r="W204" s="30">
        <f t="shared" si="53"/>
        <v>-10</v>
      </c>
      <c r="X204" s="31" t="b">
        <f t="shared" si="54"/>
        <v>0</v>
      </c>
      <c r="Y204" s="32" t="str">
        <f t="shared" si="55"/>
        <v>GROWTH</v>
      </c>
      <c r="Z204" s="41">
        <v>0</v>
      </c>
      <c r="AA204" s="36"/>
      <c r="AB204" s="36" t="s">
        <v>24</v>
      </c>
      <c r="AC204" s="36" t="s">
        <v>24</v>
      </c>
      <c r="AD204" s="34"/>
      <c r="AE204" s="35">
        <f>IFERROR(INDEX([1]Last6M_AvgSales_Ref!$B$2:$B$12659,MATCH(D204,[1]Last6M_AvgSales_Ref!$A$2:$A$12659,0)),"")</f>
        <v>91.741666666666703</v>
      </c>
    </row>
    <row r="205" spans="1:31" ht="14.25" customHeight="1" x14ac:dyDescent="0.3">
      <c r="A205" s="36" t="s">
        <v>24</v>
      </c>
      <c r="B205" s="38" t="s">
        <v>399</v>
      </c>
      <c r="C205" s="38" t="s">
        <v>439</v>
      </c>
      <c r="D205" s="38">
        <v>1000003728</v>
      </c>
      <c r="E205" s="38" t="s">
        <v>440</v>
      </c>
      <c r="F205" s="40">
        <v>45215</v>
      </c>
      <c r="G205" s="22" t="str">
        <f t="shared" si="42"/>
        <v>Targeted Dealer</v>
      </c>
      <c r="H205" s="22"/>
      <c r="I205" s="23">
        <v>250</v>
      </c>
      <c r="J205" s="23">
        <f t="shared" si="43"/>
        <v>250.00000000000003</v>
      </c>
      <c r="K205" s="24">
        <v>354.5</v>
      </c>
      <c r="L205" s="24">
        <f t="shared" si="44"/>
        <v>-104.5</v>
      </c>
      <c r="M205" s="24">
        <f t="shared" si="45"/>
        <v>141.79999999999998</v>
      </c>
      <c r="N205" s="25">
        <v>100</v>
      </c>
      <c r="O205" s="26" t="str">
        <f t="shared" si="46"/>
        <v>June</v>
      </c>
      <c r="P205" s="25">
        <f t="shared" si="47"/>
        <v>100</v>
      </c>
      <c r="Q205" s="27">
        <f t="shared" si="48"/>
        <v>254.5</v>
      </c>
      <c r="R205" s="26" t="b">
        <f t="shared" si="49"/>
        <v>0</v>
      </c>
      <c r="S205" s="28" t="str">
        <f t="shared" si="50"/>
        <v>GROWTH</v>
      </c>
      <c r="T205" s="24">
        <v>354.25</v>
      </c>
      <c r="U205" s="29" t="str">
        <f t="shared" si="51"/>
        <v>May</v>
      </c>
      <c r="V205" s="24">
        <f t="shared" si="52"/>
        <v>354.25</v>
      </c>
      <c r="W205" s="30">
        <f t="shared" si="53"/>
        <v>0.25</v>
      </c>
      <c r="X205" s="31" t="b">
        <f t="shared" si="54"/>
        <v>0</v>
      </c>
      <c r="Y205" s="32" t="str">
        <f t="shared" si="55"/>
        <v>GROWTH</v>
      </c>
      <c r="Z205" s="41">
        <v>0</v>
      </c>
      <c r="AA205" s="36"/>
      <c r="AB205" s="36" t="s">
        <v>24</v>
      </c>
      <c r="AC205" s="36" t="s">
        <v>24</v>
      </c>
      <c r="AD205" s="34"/>
      <c r="AE205" s="35">
        <f>IFERROR(INDEX([1]Last6M_AvgSales_Ref!$B$2:$B$12659,MATCH(D205,[1]Last6M_AvgSales_Ref!$A$2:$A$12659,0)),"")</f>
        <v>358.38333333333298</v>
      </c>
    </row>
    <row r="206" spans="1:31" ht="14.25" customHeight="1" x14ac:dyDescent="0.3">
      <c r="A206" s="41" t="s">
        <v>24</v>
      </c>
      <c r="B206" s="44" t="s">
        <v>399</v>
      </c>
      <c r="C206" s="44" t="s">
        <v>441</v>
      </c>
      <c r="D206" s="44">
        <v>1000003873</v>
      </c>
      <c r="E206" s="44" t="s">
        <v>442</v>
      </c>
      <c r="F206" s="40">
        <v>45350</v>
      </c>
      <c r="G206" s="22" t="str">
        <f t="shared" si="42"/>
        <v>Targeted Dealer</v>
      </c>
      <c r="H206" s="22"/>
      <c r="I206" s="23">
        <v>40</v>
      </c>
      <c r="J206" s="23">
        <f t="shared" si="43"/>
        <v>40</v>
      </c>
      <c r="K206" s="24">
        <v>70</v>
      </c>
      <c r="L206" s="24">
        <f t="shared" si="44"/>
        <v>-30</v>
      </c>
      <c r="M206" s="24">
        <f t="shared" si="45"/>
        <v>175</v>
      </c>
      <c r="N206" s="25">
        <v>70</v>
      </c>
      <c r="O206" s="26" t="str">
        <f t="shared" si="46"/>
        <v>June</v>
      </c>
      <c r="P206" s="25">
        <f t="shared" si="47"/>
        <v>70</v>
      </c>
      <c r="Q206" s="27">
        <f t="shared" si="48"/>
        <v>0</v>
      </c>
      <c r="R206" s="26" t="b">
        <f t="shared" si="49"/>
        <v>0</v>
      </c>
      <c r="S206" s="28" t="str">
        <f t="shared" si="50"/>
        <v>GROWTH</v>
      </c>
      <c r="T206" s="24">
        <v>20</v>
      </c>
      <c r="U206" s="29" t="str">
        <f t="shared" si="51"/>
        <v>May</v>
      </c>
      <c r="V206" s="24">
        <f t="shared" si="52"/>
        <v>20</v>
      </c>
      <c r="W206" s="30">
        <f t="shared" si="53"/>
        <v>50</v>
      </c>
      <c r="X206" s="31" t="b">
        <f t="shared" si="54"/>
        <v>0</v>
      </c>
      <c r="Y206" s="32" t="str">
        <f t="shared" si="55"/>
        <v>GROWTH</v>
      </c>
      <c r="Z206" s="41">
        <v>0</v>
      </c>
      <c r="AA206" s="36"/>
      <c r="AB206" s="36" t="s">
        <v>24</v>
      </c>
      <c r="AC206" s="41" t="s">
        <v>24</v>
      </c>
      <c r="AD206" s="34"/>
      <c r="AE206" s="35">
        <f>IFERROR(INDEX([1]Last6M_AvgSales_Ref!$B$2:$B$12659,MATCH(D206,[1]Last6M_AvgSales_Ref!$A$2:$A$12659,0)),"")</f>
        <v>16.75</v>
      </c>
    </row>
    <row r="207" spans="1:31" ht="14.25" customHeight="1" x14ac:dyDescent="0.3">
      <c r="A207" s="41" t="s">
        <v>24</v>
      </c>
      <c r="B207" s="44" t="s">
        <v>399</v>
      </c>
      <c r="C207" s="44" t="s">
        <v>443</v>
      </c>
      <c r="D207" s="44">
        <v>1000003926</v>
      </c>
      <c r="E207" s="44" t="s">
        <v>444</v>
      </c>
      <c r="F207" s="40">
        <v>45412</v>
      </c>
      <c r="G207" s="22" t="str">
        <f t="shared" si="42"/>
        <v>Targeted Dealer</v>
      </c>
      <c r="H207" s="22"/>
      <c r="I207" s="23">
        <v>100</v>
      </c>
      <c r="J207" s="23">
        <f t="shared" si="43"/>
        <v>100</v>
      </c>
      <c r="K207" s="24">
        <v>197</v>
      </c>
      <c r="L207" s="24">
        <f t="shared" si="44"/>
        <v>-97</v>
      </c>
      <c r="M207" s="24">
        <f t="shared" si="45"/>
        <v>197</v>
      </c>
      <c r="N207" s="25">
        <v>143.5</v>
      </c>
      <c r="O207" s="26" t="str">
        <f t="shared" si="46"/>
        <v>June</v>
      </c>
      <c r="P207" s="25">
        <f t="shared" si="47"/>
        <v>143.5</v>
      </c>
      <c r="Q207" s="27">
        <f t="shared" si="48"/>
        <v>53.5</v>
      </c>
      <c r="R207" s="26" t="b">
        <f t="shared" si="49"/>
        <v>0</v>
      </c>
      <c r="S207" s="28" t="str">
        <f t="shared" si="50"/>
        <v>GROWTH</v>
      </c>
      <c r="T207" s="24">
        <v>134</v>
      </c>
      <c r="U207" s="29" t="str">
        <f t="shared" si="51"/>
        <v>May</v>
      </c>
      <c r="V207" s="24">
        <f t="shared" si="52"/>
        <v>134</v>
      </c>
      <c r="W207" s="30">
        <f t="shared" si="53"/>
        <v>63</v>
      </c>
      <c r="X207" s="31" t="b">
        <f t="shared" si="54"/>
        <v>0</v>
      </c>
      <c r="Y207" s="32" t="str">
        <f t="shared" si="55"/>
        <v>GROWTH</v>
      </c>
      <c r="Z207" s="41">
        <v>0</v>
      </c>
      <c r="AA207" s="36"/>
      <c r="AB207" s="36" t="s">
        <v>24</v>
      </c>
      <c r="AC207" s="41" t="s">
        <v>24</v>
      </c>
      <c r="AD207" s="34"/>
      <c r="AE207" s="35">
        <f>IFERROR(INDEX([1]Last6M_AvgSales_Ref!$B$2:$B$12659,MATCH(D207,[1]Last6M_AvgSales_Ref!$A$2:$A$12659,0)),"")</f>
        <v>177.5</v>
      </c>
    </row>
    <row r="208" spans="1:31" ht="14.25" customHeight="1" x14ac:dyDescent="0.3">
      <c r="A208" s="41" t="s">
        <v>24</v>
      </c>
      <c r="B208" s="44" t="s">
        <v>399</v>
      </c>
      <c r="C208" s="44" t="s">
        <v>445</v>
      </c>
      <c r="D208" s="44">
        <v>1000004063</v>
      </c>
      <c r="E208" s="44" t="s">
        <v>446</v>
      </c>
      <c r="F208" s="40">
        <v>45498</v>
      </c>
      <c r="G208" s="22" t="str">
        <f t="shared" si="42"/>
        <v>Targeted Dealer</v>
      </c>
      <c r="H208" s="22"/>
      <c r="I208" s="23">
        <v>280</v>
      </c>
      <c r="J208" s="23">
        <f t="shared" si="43"/>
        <v>280</v>
      </c>
      <c r="K208" s="24">
        <v>394.95</v>
      </c>
      <c r="L208" s="24">
        <f t="shared" si="44"/>
        <v>-114.94999999999999</v>
      </c>
      <c r="M208" s="24">
        <f t="shared" si="45"/>
        <v>141.05357142857144</v>
      </c>
      <c r="N208" s="25">
        <v>326</v>
      </c>
      <c r="O208" s="26" t="str">
        <f t="shared" si="46"/>
        <v>June</v>
      </c>
      <c r="P208" s="25">
        <f t="shared" si="47"/>
        <v>326</v>
      </c>
      <c r="Q208" s="27">
        <f t="shared" si="48"/>
        <v>68.949999999999989</v>
      </c>
      <c r="R208" s="26" t="b">
        <f t="shared" si="49"/>
        <v>0</v>
      </c>
      <c r="S208" s="28" t="str">
        <f t="shared" si="50"/>
        <v>GROWTH</v>
      </c>
      <c r="T208" s="24">
        <v>228.05</v>
      </c>
      <c r="U208" s="29" t="str">
        <f t="shared" si="51"/>
        <v>May</v>
      </c>
      <c r="V208" s="24">
        <f t="shared" si="52"/>
        <v>228.05</v>
      </c>
      <c r="W208" s="30">
        <f t="shared" si="53"/>
        <v>166.89999999999998</v>
      </c>
      <c r="X208" s="31" t="b">
        <f t="shared" si="54"/>
        <v>0</v>
      </c>
      <c r="Y208" s="32" t="str">
        <f t="shared" si="55"/>
        <v>GROWTH</v>
      </c>
      <c r="Z208" s="41">
        <v>0</v>
      </c>
      <c r="AA208" s="36"/>
      <c r="AB208" s="36" t="s">
        <v>24</v>
      </c>
      <c r="AC208" s="41" t="s">
        <v>24</v>
      </c>
      <c r="AD208" s="34"/>
      <c r="AE208" s="35">
        <f>IFERROR(INDEX([1]Last6M_AvgSales_Ref!$B$2:$B$12659,MATCH(D208,[1]Last6M_AvgSales_Ref!$A$2:$A$12659,0)),"")</f>
        <v>442.04166666666703</v>
      </c>
    </row>
    <row r="209" spans="1:31" ht="14.25" customHeight="1" x14ac:dyDescent="0.3">
      <c r="A209" s="41" t="s">
        <v>24</v>
      </c>
      <c r="B209" s="44" t="s">
        <v>399</v>
      </c>
      <c r="C209" s="44" t="s">
        <v>447</v>
      </c>
      <c r="D209" s="44">
        <v>1000004075</v>
      </c>
      <c r="E209" s="44" t="s">
        <v>448</v>
      </c>
      <c r="F209" s="40">
        <v>45506</v>
      </c>
      <c r="G209" s="22" t="str">
        <f t="shared" si="42"/>
        <v>Targeted Dealer</v>
      </c>
      <c r="H209" s="22"/>
      <c r="I209" s="23">
        <v>20</v>
      </c>
      <c r="J209" s="23">
        <f t="shared" si="43"/>
        <v>20</v>
      </c>
      <c r="K209" s="24">
        <v>30</v>
      </c>
      <c r="L209" s="24">
        <f t="shared" si="44"/>
        <v>-10</v>
      </c>
      <c r="M209" s="24">
        <f t="shared" si="45"/>
        <v>150</v>
      </c>
      <c r="N209" s="25">
        <v>40</v>
      </c>
      <c r="O209" s="26" t="str">
        <f t="shared" si="46"/>
        <v>June</v>
      </c>
      <c r="P209" s="25">
        <f t="shared" si="47"/>
        <v>40</v>
      </c>
      <c r="Q209" s="27">
        <f t="shared" si="48"/>
        <v>-10</v>
      </c>
      <c r="R209" s="26" t="b">
        <f t="shared" si="49"/>
        <v>0</v>
      </c>
      <c r="S209" s="28" t="str">
        <f t="shared" si="50"/>
        <v>GROWTH</v>
      </c>
      <c r="T209" s="24">
        <v>30</v>
      </c>
      <c r="U209" s="29" t="str">
        <f t="shared" si="51"/>
        <v>May</v>
      </c>
      <c r="V209" s="24">
        <f t="shared" si="52"/>
        <v>30</v>
      </c>
      <c r="W209" s="30">
        <f t="shared" si="53"/>
        <v>0</v>
      </c>
      <c r="X209" s="31" t="b">
        <f t="shared" si="54"/>
        <v>0</v>
      </c>
      <c r="Y209" s="32" t="str">
        <f t="shared" si="55"/>
        <v>GROWTH</v>
      </c>
      <c r="Z209" s="41">
        <v>0</v>
      </c>
      <c r="AA209" s="36"/>
      <c r="AB209" s="36" t="s">
        <v>24</v>
      </c>
      <c r="AC209" s="41" t="s">
        <v>24</v>
      </c>
      <c r="AD209" s="34"/>
      <c r="AE209" s="35">
        <f>IFERROR(INDEX([1]Last6M_AvgSales_Ref!$B$2:$B$12659,MATCH(D209,[1]Last6M_AvgSales_Ref!$A$2:$A$12659,0)),"")</f>
        <v>26.6666666666667</v>
      </c>
    </row>
    <row r="210" spans="1:31" ht="14.25" customHeight="1" x14ac:dyDescent="0.3">
      <c r="A210" s="36" t="s">
        <v>24</v>
      </c>
      <c r="B210" s="38" t="s">
        <v>449</v>
      </c>
      <c r="C210" s="38" t="s">
        <v>450</v>
      </c>
      <c r="D210" s="38">
        <v>1000000418</v>
      </c>
      <c r="E210" s="39" t="s">
        <v>451</v>
      </c>
      <c r="F210" s="40">
        <v>39958</v>
      </c>
      <c r="G210" s="22" t="str">
        <f t="shared" si="42"/>
        <v>Targeted Dealer</v>
      </c>
      <c r="H210" s="22"/>
      <c r="I210" s="23">
        <v>200</v>
      </c>
      <c r="J210" s="23">
        <f t="shared" si="43"/>
        <v>200</v>
      </c>
      <c r="K210" s="24">
        <v>274</v>
      </c>
      <c r="L210" s="24">
        <f t="shared" si="44"/>
        <v>-74</v>
      </c>
      <c r="M210" s="24">
        <f t="shared" si="45"/>
        <v>137</v>
      </c>
      <c r="N210" s="25">
        <v>218.25</v>
      </c>
      <c r="O210" s="26" t="str">
        <f t="shared" si="46"/>
        <v>June</v>
      </c>
      <c r="P210" s="25">
        <f t="shared" si="47"/>
        <v>218.25</v>
      </c>
      <c r="Q210" s="27">
        <f t="shared" si="48"/>
        <v>55.75</v>
      </c>
      <c r="R210" s="26" t="b">
        <f t="shared" si="49"/>
        <v>0</v>
      </c>
      <c r="S210" s="28" t="str">
        <f t="shared" si="50"/>
        <v>GROWTH</v>
      </c>
      <c r="T210" s="24">
        <v>145</v>
      </c>
      <c r="U210" s="29" t="str">
        <f t="shared" si="51"/>
        <v>May</v>
      </c>
      <c r="V210" s="24">
        <f t="shared" si="52"/>
        <v>145</v>
      </c>
      <c r="W210" s="30">
        <f t="shared" si="53"/>
        <v>129</v>
      </c>
      <c r="X210" s="31" t="b">
        <f t="shared" si="54"/>
        <v>0</v>
      </c>
      <c r="Y210" s="32" t="str">
        <f t="shared" si="55"/>
        <v>GROWTH</v>
      </c>
      <c r="Z210" s="41">
        <v>0</v>
      </c>
      <c r="AA210" s="36"/>
      <c r="AB210" s="36" t="s">
        <v>24</v>
      </c>
      <c r="AC210" s="36" t="s">
        <v>24</v>
      </c>
      <c r="AD210" s="34"/>
      <c r="AE210" s="35">
        <f>IFERROR(INDEX([1]Last6M_AvgSales_Ref!$B$2:$B$12659,MATCH(D210,[1]Last6M_AvgSales_Ref!$A$2:$A$12659,0)),"")</f>
        <v>236.333333333333</v>
      </c>
    </row>
    <row r="211" spans="1:31" ht="14.25" customHeight="1" x14ac:dyDescent="0.3">
      <c r="A211" s="36" t="s">
        <v>24</v>
      </c>
      <c r="B211" s="38" t="s">
        <v>449</v>
      </c>
      <c r="C211" s="38" t="s">
        <v>452</v>
      </c>
      <c r="D211" s="38">
        <v>1000000404</v>
      </c>
      <c r="E211" s="39" t="s">
        <v>453</v>
      </c>
      <c r="F211" s="40">
        <v>39963</v>
      </c>
      <c r="G211" s="22" t="str">
        <f t="shared" si="42"/>
        <v>Targeted Dealer</v>
      </c>
      <c r="H211" s="22"/>
      <c r="I211" s="23">
        <v>30</v>
      </c>
      <c r="J211" s="23">
        <f t="shared" si="43"/>
        <v>30</v>
      </c>
      <c r="K211" s="24">
        <v>22.5</v>
      </c>
      <c r="L211" s="24">
        <f t="shared" si="44"/>
        <v>7.5</v>
      </c>
      <c r="M211" s="24">
        <f t="shared" si="45"/>
        <v>75</v>
      </c>
      <c r="N211" s="25">
        <v>0</v>
      </c>
      <c r="O211" s="26" t="str">
        <f t="shared" si="46"/>
        <v>June</v>
      </c>
      <c r="P211" s="25">
        <f t="shared" si="47"/>
        <v>0</v>
      </c>
      <c r="Q211" s="27">
        <f t="shared" si="48"/>
        <v>22.5</v>
      </c>
      <c r="R211" s="26" t="b">
        <f t="shared" si="49"/>
        <v>0</v>
      </c>
      <c r="S211" s="28" t="b">
        <f t="shared" si="50"/>
        <v>0</v>
      </c>
      <c r="T211" s="24">
        <v>20</v>
      </c>
      <c r="U211" s="29" t="str">
        <f t="shared" si="51"/>
        <v>May</v>
      </c>
      <c r="V211" s="24">
        <f t="shared" si="52"/>
        <v>20</v>
      </c>
      <c r="W211" s="30">
        <f t="shared" si="53"/>
        <v>2.5</v>
      </c>
      <c r="X211" s="31" t="b">
        <f t="shared" si="54"/>
        <v>0</v>
      </c>
      <c r="Y211" s="32" t="str">
        <f t="shared" si="55"/>
        <v>GROWTH</v>
      </c>
      <c r="Z211" s="41">
        <v>0</v>
      </c>
      <c r="AA211" s="36"/>
      <c r="AB211" s="36" t="s">
        <v>24</v>
      </c>
      <c r="AC211" s="36" t="s">
        <v>24</v>
      </c>
      <c r="AD211" s="34"/>
      <c r="AE211" s="35">
        <f>IFERROR(INDEX([1]Last6M_AvgSales_Ref!$B$2:$B$12659,MATCH(D211,[1]Last6M_AvgSales_Ref!$A$2:$A$12659,0)),"")</f>
        <v>91.75</v>
      </c>
    </row>
    <row r="212" spans="1:31" ht="14.25" customHeight="1" x14ac:dyDescent="0.3">
      <c r="A212" s="36" t="s">
        <v>24</v>
      </c>
      <c r="B212" s="38" t="s">
        <v>449</v>
      </c>
      <c r="C212" s="38" t="s">
        <v>454</v>
      </c>
      <c r="D212" s="38">
        <v>1000000401</v>
      </c>
      <c r="E212" s="39" t="s">
        <v>455</v>
      </c>
      <c r="F212" s="40">
        <v>40011</v>
      </c>
      <c r="G212" s="22" t="str">
        <f t="shared" si="42"/>
        <v>Targeted Dealer</v>
      </c>
      <c r="H212" s="22"/>
      <c r="I212" s="23">
        <v>330</v>
      </c>
      <c r="J212" s="23">
        <f t="shared" si="43"/>
        <v>330</v>
      </c>
      <c r="K212" s="24">
        <v>330</v>
      </c>
      <c r="L212" s="24">
        <f t="shared" si="44"/>
        <v>0</v>
      </c>
      <c r="M212" s="24">
        <f t="shared" si="45"/>
        <v>100</v>
      </c>
      <c r="N212" s="25">
        <v>223</v>
      </c>
      <c r="O212" s="26" t="str">
        <f t="shared" si="46"/>
        <v>June</v>
      </c>
      <c r="P212" s="25">
        <f t="shared" si="47"/>
        <v>223</v>
      </c>
      <c r="Q212" s="27">
        <f t="shared" si="48"/>
        <v>107</v>
      </c>
      <c r="R212" s="26" t="b">
        <f t="shared" si="49"/>
        <v>0</v>
      </c>
      <c r="S212" s="28" t="str">
        <f t="shared" si="50"/>
        <v>GROWTH</v>
      </c>
      <c r="T212" s="24">
        <v>307.25</v>
      </c>
      <c r="U212" s="29" t="str">
        <f t="shared" si="51"/>
        <v>May</v>
      </c>
      <c r="V212" s="24">
        <f t="shared" si="52"/>
        <v>307.25</v>
      </c>
      <c r="W212" s="30">
        <f t="shared" si="53"/>
        <v>22.75</v>
      </c>
      <c r="X212" s="31" t="b">
        <f t="shared" si="54"/>
        <v>0</v>
      </c>
      <c r="Y212" s="32" t="str">
        <f t="shared" si="55"/>
        <v>GROWTH</v>
      </c>
      <c r="Z212" s="41">
        <v>0</v>
      </c>
      <c r="AA212" s="36"/>
      <c r="AB212" s="36" t="s">
        <v>24</v>
      </c>
      <c r="AC212" s="36" t="s">
        <v>24</v>
      </c>
      <c r="AD212" s="34"/>
      <c r="AE212" s="35">
        <f>IFERROR(INDEX([1]Last6M_AvgSales_Ref!$B$2:$B$12659,MATCH(D212,[1]Last6M_AvgSales_Ref!$A$2:$A$12659,0)),"")</f>
        <v>293.16666666666703</v>
      </c>
    </row>
    <row r="213" spans="1:31" ht="14.25" customHeight="1" x14ac:dyDescent="0.3">
      <c r="A213" s="36" t="s">
        <v>24</v>
      </c>
      <c r="B213" s="38" t="s">
        <v>449</v>
      </c>
      <c r="C213" s="38" t="s">
        <v>456</v>
      </c>
      <c r="D213" s="38">
        <v>1000000407</v>
      </c>
      <c r="E213" s="39" t="s">
        <v>457</v>
      </c>
      <c r="F213" s="40">
        <v>40176</v>
      </c>
      <c r="G213" s="22" t="str">
        <f t="shared" si="42"/>
        <v>Targeted Dealer</v>
      </c>
      <c r="H213" s="22"/>
      <c r="I213" s="23">
        <v>200</v>
      </c>
      <c r="J213" s="23">
        <f t="shared" si="43"/>
        <v>200</v>
      </c>
      <c r="K213" s="24">
        <v>232</v>
      </c>
      <c r="L213" s="24">
        <f t="shared" si="44"/>
        <v>-32</v>
      </c>
      <c r="M213" s="24">
        <f t="shared" si="45"/>
        <v>116</v>
      </c>
      <c r="N213" s="25">
        <v>167.5</v>
      </c>
      <c r="O213" s="26" t="str">
        <f t="shared" si="46"/>
        <v>June</v>
      </c>
      <c r="P213" s="25">
        <f t="shared" si="47"/>
        <v>167.5</v>
      </c>
      <c r="Q213" s="27">
        <f t="shared" si="48"/>
        <v>64.5</v>
      </c>
      <c r="R213" s="26" t="b">
        <f t="shared" si="49"/>
        <v>0</v>
      </c>
      <c r="S213" s="28" t="str">
        <f t="shared" si="50"/>
        <v>GROWTH</v>
      </c>
      <c r="T213" s="24">
        <v>60.5</v>
      </c>
      <c r="U213" s="29" t="str">
        <f t="shared" si="51"/>
        <v>May</v>
      </c>
      <c r="V213" s="24">
        <f t="shared" si="52"/>
        <v>60.5</v>
      </c>
      <c r="W213" s="30">
        <f t="shared" si="53"/>
        <v>171.5</v>
      </c>
      <c r="X213" s="31" t="b">
        <f t="shared" si="54"/>
        <v>0</v>
      </c>
      <c r="Y213" s="32" t="str">
        <f t="shared" si="55"/>
        <v>GROWTH</v>
      </c>
      <c r="Z213" s="41">
        <v>0</v>
      </c>
      <c r="AA213" s="36"/>
      <c r="AB213" s="36" t="s">
        <v>24</v>
      </c>
      <c r="AC213" s="36" t="s">
        <v>24</v>
      </c>
      <c r="AD213" s="34"/>
      <c r="AE213" s="35">
        <f>IFERROR(INDEX([1]Last6M_AvgSales_Ref!$B$2:$B$12659,MATCH(D213,[1]Last6M_AvgSales_Ref!$A$2:$A$12659,0)),"")</f>
        <v>149.166666666667</v>
      </c>
    </row>
    <row r="214" spans="1:31" ht="14.25" customHeight="1" x14ac:dyDescent="0.3">
      <c r="A214" s="36" t="s">
        <v>24</v>
      </c>
      <c r="B214" s="38" t="s">
        <v>449</v>
      </c>
      <c r="C214" s="38" t="s">
        <v>458</v>
      </c>
      <c r="D214" s="38">
        <v>1000000423</v>
      </c>
      <c r="E214" s="39" t="s">
        <v>459</v>
      </c>
      <c r="F214" s="40">
        <v>40411</v>
      </c>
      <c r="G214" s="22" t="str">
        <f t="shared" si="42"/>
        <v>Targeted Dealer</v>
      </c>
      <c r="H214" s="22"/>
      <c r="I214" s="23">
        <v>150</v>
      </c>
      <c r="J214" s="23">
        <f t="shared" si="43"/>
        <v>150</v>
      </c>
      <c r="K214" s="24">
        <v>120</v>
      </c>
      <c r="L214" s="24">
        <f t="shared" si="44"/>
        <v>30</v>
      </c>
      <c r="M214" s="24">
        <f t="shared" si="45"/>
        <v>80</v>
      </c>
      <c r="N214" s="25">
        <v>130</v>
      </c>
      <c r="O214" s="26" t="str">
        <f t="shared" si="46"/>
        <v>June</v>
      </c>
      <c r="P214" s="25">
        <f t="shared" si="47"/>
        <v>130</v>
      </c>
      <c r="Q214" s="27">
        <f t="shared" si="48"/>
        <v>-10</v>
      </c>
      <c r="R214" s="26" t="b">
        <f t="shared" si="49"/>
        <v>0</v>
      </c>
      <c r="S214" s="28" t="str">
        <f t="shared" si="50"/>
        <v>GROWTH</v>
      </c>
      <c r="T214" s="24">
        <v>90</v>
      </c>
      <c r="U214" s="29" t="str">
        <f t="shared" si="51"/>
        <v>May</v>
      </c>
      <c r="V214" s="24">
        <f t="shared" si="52"/>
        <v>90</v>
      </c>
      <c r="W214" s="30">
        <f t="shared" si="53"/>
        <v>30</v>
      </c>
      <c r="X214" s="31" t="b">
        <f t="shared" si="54"/>
        <v>0</v>
      </c>
      <c r="Y214" s="32" t="str">
        <f t="shared" si="55"/>
        <v>GROWTH</v>
      </c>
      <c r="Z214" s="41">
        <v>0</v>
      </c>
      <c r="AA214" s="36"/>
      <c r="AB214" s="36" t="s">
        <v>24</v>
      </c>
      <c r="AC214" s="36" t="s">
        <v>24</v>
      </c>
      <c r="AD214" s="34"/>
      <c r="AE214" s="35">
        <f>IFERROR(INDEX([1]Last6M_AvgSales_Ref!$B$2:$B$12659,MATCH(D214,[1]Last6M_AvgSales_Ref!$A$2:$A$12659,0)),"")</f>
        <v>92.6666666666667</v>
      </c>
    </row>
    <row r="215" spans="1:31" ht="14.25" customHeight="1" x14ac:dyDescent="0.3">
      <c r="A215" s="36" t="s">
        <v>24</v>
      </c>
      <c r="B215" s="38" t="s">
        <v>449</v>
      </c>
      <c r="C215" s="38" t="s">
        <v>460</v>
      </c>
      <c r="D215" s="38">
        <v>1000000417</v>
      </c>
      <c r="E215" s="39" t="s">
        <v>461</v>
      </c>
      <c r="F215" s="40">
        <v>41687</v>
      </c>
      <c r="G215" s="22" t="str">
        <f t="shared" si="42"/>
        <v>Targeted Dealer</v>
      </c>
      <c r="H215" s="22"/>
      <c r="I215" s="23">
        <v>680</v>
      </c>
      <c r="J215" s="23">
        <f t="shared" si="43"/>
        <v>680</v>
      </c>
      <c r="K215" s="24">
        <v>745.5</v>
      </c>
      <c r="L215" s="24">
        <f t="shared" si="44"/>
        <v>-65.5</v>
      </c>
      <c r="M215" s="24">
        <f t="shared" si="45"/>
        <v>109.63235294117648</v>
      </c>
      <c r="N215" s="25">
        <v>735.5</v>
      </c>
      <c r="O215" s="26" t="str">
        <f t="shared" si="46"/>
        <v>June</v>
      </c>
      <c r="P215" s="25">
        <f t="shared" si="47"/>
        <v>735.5</v>
      </c>
      <c r="Q215" s="27">
        <f t="shared" si="48"/>
        <v>10</v>
      </c>
      <c r="R215" s="26" t="b">
        <f t="shared" si="49"/>
        <v>0</v>
      </c>
      <c r="S215" s="28" t="str">
        <f t="shared" si="50"/>
        <v>GROWTH</v>
      </c>
      <c r="T215" s="24">
        <v>580</v>
      </c>
      <c r="U215" s="29" t="str">
        <f t="shared" si="51"/>
        <v>May</v>
      </c>
      <c r="V215" s="24">
        <f t="shared" si="52"/>
        <v>580</v>
      </c>
      <c r="W215" s="30">
        <f t="shared" si="53"/>
        <v>165.5</v>
      </c>
      <c r="X215" s="31" t="b">
        <f t="shared" si="54"/>
        <v>0</v>
      </c>
      <c r="Y215" s="32" t="str">
        <f t="shared" si="55"/>
        <v>GROWTH</v>
      </c>
      <c r="Z215" s="41">
        <v>0</v>
      </c>
      <c r="AA215" s="36"/>
      <c r="AB215" s="36" t="s">
        <v>24</v>
      </c>
      <c r="AC215" s="36" t="s">
        <v>24</v>
      </c>
      <c r="AD215" s="34"/>
      <c r="AE215" s="35">
        <f>IFERROR(INDEX([1]Last6M_AvgSales_Ref!$B$2:$B$12659,MATCH(D215,[1]Last6M_AvgSales_Ref!$A$2:$A$12659,0)),"")</f>
        <v>748.83333333333303</v>
      </c>
    </row>
    <row r="216" spans="1:31" ht="14.25" customHeight="1" x14ac:dyDescent="0.3">
      <c r="A216" s="36" t="s">
        <v>24</v>
      </c>
      <c r="B216" s="38" t="s">
        <v>449</v>
      </c>
      <c r="C216" s="38" t="s">
        <v>462</v>
      </c>
      <c r="D216" s="38">
        <v>1000000397</v>
      </c>
      <c r="E216" s="39" t="s">
        <v>463</v>
      </c>
      <c r="F216" s="40">
        <v>42081</v>
      </c>
      <c r="G216" s="22" t="str">
        <f t="shared" si="42"/>
        <v>Targeted Dealer</v>
      </c>
      <c r="H216" s="22"/>
      <c r="I216" s="23">
        <v>80</v>
      </c>
      <c r="J216" s="23">
        <f t="shared" si="43"/>
        <v>80</v>
      </c>
      <c r="K216" s="24">
        <v>85</v>
      </c>
      <c r="L216" s="24">
        <f t="shared" si="44"/>
        <v>-5</v>
      </c>
      <c r="M216" s="24">
        <f t="shared" si="45"/>
        <v>106.25</v>
      </c>
      <c r="N216" s="25">
        <v>50</v>
      </c>
      <c r="O216" s="26" t="str">
        <f t="shared" si="46"/>
        <v>June</v>
      </c>
      <c r="P216" s="25">
        <f t="shared" si="47"/>
        <v>50</v>
      </c>
      <c r="Q216" s="27">
        <f t="shared" si="48"/>
        <v>35</v>
      </c>
      <c r="R216" s="26" t="b">
        <f t="shared" si="49"/>
        <v>0</v>
      </c>
      <c r="S216" s="28" t="str">
        <f t="shared" si="50"/>
        <v>GROWTH</v>
      </c>
      <c r="T216" s="24">
        <v>50</v>
      </c>
      <c r="U216" s="29" t="str">
        <f t="shared" si="51"/>
        <v>May</v>
      </c>
      <c r="V216" s="24">
        <f t="shared" si="52"/>
        <v>50</v>
      </c>
      <c r="W216" s="30">
        <f t="shared" si="53"/>
        <v>35</v>
      </c>
      <c r="X216" s="31" t="b">
        <f t="shared" si="54"/>
        <v>0</v>
      </c>
      <c r="Y216" s="32" t="str">
        <f t="shared" si="55"/>
        <v>GROWTH</v>
      </c>
      <c r="Z216" s="41">
        <v>0</v>
      </c>
      <c r="AA216" s="36"/>
      <c r="AB216" s="36" t="s">
        <v>24</v>
      </c>
      <c r="AC216" s="36" t="s">
        <v>24</v>
      </c>
      <c r="AD216" s="34"/>
      <c r="AE216" s="35">
        <f>IFERROR(INDEX([1]Last6M_AvgSales_Ref!$B$2:$B$12659,MATCH(D216,[1]Last6M_AvgSales_Ref!$A$2:$A$12659,0)),"")</f>
        <v>62.625</v>
      </c>
    </row>
    <row r="217" spans="1:31" ht="14.25" customHeight="1" x14ac:dyDescent="0.3">
      <c r="A217" s="36" t="s">
        <v>24</v>
      </c>
      <c r="B217" s="38" t="s">
        <v>449</v>
      </c>
      <c r="C217" s="38" t="s">
        <v>464</v>
      </c>
      <c r="D217" s="38">
        <v>1000000395</v>
      </c>
      <c r="E217" s="39" t="s">
        <v>465</v>
      </c>
      <c r="F217" s="40">
        <v>42405</v>
      </c>
      <c r="G217" s="22" t="str">
        <f t="shared" si="42"/>
        <v>Targeted Dealer</v>
      </c>
      <c r="H217" s="22"/>
      <c r="I217" s="23">
        <v>380</v>
      </c>
      <c r="J217" s="23">
        <f t="shared" si="43"/>
        <v>380</v>
      </c>
      <c r="K217" s="24">
        <v>380</v>
      </c>
      <c r="L217" s="24">
        <f t="shared" si="44"/>
        <v>0</v>
      </c>
      <c r="M217" s="24">
        <f t="shared" si="45"/>
        <v>100</v>
      </c>
      <c r="N217" s="25">
        <v>386</v>
      </c>
      <c r="O217" s="26" t="str">
        <f t="shared" si="46"/>
        <v>June</v>
      </c>
      <c r="P217" s="25">
        <f t="shared" si="47"/>
        <v>386</v>
      </c>
      <c r="Q217" s="27">
        <f t="shared" si="48"/>
        <v>-6</v>
      </c>
      <c r="R217" s="26" t="b">
        <f t="shared" si="49"/>
        <v>0</v>
      </c>
      <c r="S217" s="28" t="str">
        <f t="shared" si="50"/>
        <v>GROWTH</v>
      </c>
      <c r="T217" s="24">
        <v>281.75</v>
      </c>
      <c r="U217" s="29" t="str">
        <f t="shared" si="51"/>
        <v>May</v>
      </c>
      <c r="V217" s="24">
        <f t="shared" si="52"/>
        <v>281.75</v>
      </c>
      <c r="W217" s="30">
        <f t="shared" si="53"/>
        <v>98.25</v>
      </c>
      <c r="X217" s="31" t="b">
        <f t="shared" si="54"/>
        <v>0</v>
      </c>
      <c r="Y217" s="32" t="str">
        <f t="shared" si="55"/>
        <v>GROWTH</v>
      </c>
      <c r="Z217" s="41">
        <v>0</v>
      </c>
      <c r="AA217" s="36"/>
      <c r="AB217" s="36" t="s">
        <v>24</v>
      </c>
      <c r="AC217" s="36" t="s">
        <v>24</v>
      </c>
      <c r="AD217" s="34"/>
      <c r="AE217" s="35">
        <f>IFERROR(INDEX([1]Last6M_AvgSales_Ref!$B$2:$B$12659,MATCH(D217,[1]Last6M_AvgSales_Ref!$A$2:$A$12659,0)),"")</f>
        <v>362.83333333333297</v>
      </c>
    </row>
    <row r="218" spans="1:31" ht="14.25" customHeight="1" x14ac:dyDescent="0.3">
      <c r="A218" s="36" t="s">
        <v>24</v>
      </c>
      <c r="B218" s="38" t="s">
        <v>449</v>
      </c>
      <c r="C218" s="38" t="s">
        <v>466</v>
      </c>
      <c r="D218" s="38">
        <v>1000000416</v>
      </c>
      <c r="E218" s="39" t="s">
        <v>467</v>
      </c>
      <c r="F218" s="40">
        <v>42445</v>
      </c>
      <c r="G218" s="22" t="str">
        <f t="shared" si="42"/>
        <v>Targeted Dealer</v>
      </c>
      <c r="H218" s="22"/>
      <c r="I218" s="23">
        <v>120</v>
      </c>
      <c r="J218" s="23">
        <f t="shared" si="43"/>
        <v>120</v>
      </c>
      <c r="K218" s="24">
        <v>231.2</v>
      </c>
      <c r="L218" s="24">
        <f t="shared" si="44"/>
        <v>-111.19999999999999</v>
      </c>
      <c r="M218" s="24">
        <f t="shared" si="45"/>
        <v>192.66666666666666</v>
      </c>
      <c r="N218" s="25">
        <v>169</v>
      </c>
      <c r="O218" s="26" t="str">
        <f t="shared" si="46"/>
        <v>June</v>
      </c>
      <c r="P218" s="25">
        <f t="shared" si="47"/>
        <v>169</v>
      </c>
      <c r="Q218" s="27">
        <f t="shared" si="48"/>
        <v>62.199999999999989</v>
      </c>
      <c r="R218" s="26" t="b">
        <f t="shared" si="49"/>
        <v>0</v>
      </c>
      <c r="S218" s="28" t="str">
        <f t="shared" si="50"/>
        <v>GROWTH</v>
      </c>
      <c r="T218" s="24">
        <v>99</v>
      </c>
      <c r="U218" s="29" t="str">
        <f t="shared" si="51"/>
        <v>May</v>
      </c>
      <c r="V218" s="24">
        <f t="shared" si="52"/>
        <v>99</v>
      </c>
      <c r="W218" s="30">
        <f t="shared" si="53"/>
        <v>132.19999999999999</v>
      </c>
      <c r="X218" s="31" t="b">
        <f t="shared" si="54"/>
        <v>0</v>
      </c>
      <c r="Y218" s="32" t="str">
        <f t="shared" si="55"/>
        <v>GROWTH</v>
      </c>
      <c r="Z218" s="41">
        <v>0</v>
      </c>
      <c r="AA218" s="36"/>
      <c r="AB218" s="36" t="s">
        <v>24</v>
      </c>
      <c r="AC218" s="36" t="s">
        <v>24</v>
      </c>
      <c r="AD218" s="34"/>
      <c r="AE218" s="35">
        <f>IFERROR(INDEX([1]Last6M_AvgSales_Ref!$B$2:$B$12659,MATCH(D218,[1]Last6M_AvgSales_Ref!$A$2:$A$12659,0)),"")</f>
        <v>145.25</v>
      </c>
    </row>
    <row r="219" spans="1:31" ht="14.25" customHeight="1" x14ac:dyDescent="0.3">
      <c r="A219" s="36" t="s">
        <v>24</v>
      </c>
      <c r="B219" s="38" t="s">
        <v>449</v>
      </c>
      <c r="C219" s="38" t="s">
        <v>468</v>
      </c>
      <c r="D219" s="38">
        <v>1000000415</v>
      </c>
      <c r="E219" s="39" t="s">
        <v>469</v>
      </c>
      <c r="F219" s="40">
        <v>42465</v>
      </c>
      <c r="G219" s="22" t="str">
        <f t="shared" si="42"/>
        <v>Targeted Dealer</v>
      </c>
      <c r="H219" s="22"/>
      <c r="I219" s="23">
        <v>500</v>
      </c>
      <c r="J219" s="23">
        <f t="shared" si="43"/>
        <v>500.00000000000006</v>
      </c>
      <c r="K219" s="24">
        <v>515.5</v>
      </c>
      <c r="L219" s="24">
        <f t="shared" si="44"/>
        <v>-15.5</v>
      </c>
      <c r="M219" s="24">
        <f t="shared" si="45"/>
        <v>103.09999999999998</v>
      </c>
      <c r="N219" s="25">
        <v>465.5</v>
      </c>
      <c r="O219" s="26" t="str">
        <f t="shared" si="46"/>
        <v>June</v>
      </c>
      <c r="P219" s="25">
        <f t="shared" si="47"/>
        <v>465.5</v>
      </c>
      <c r="Q219" s="27">
        <f t="shared" si="48"/>
        <v>50</v>
      </c>
      <c r="R219" s="26" t="b">
        <f t="shared" si="49"/>
        <v>0</v>
      </c>
      <c r="S219" s="28" t="str">
        <f t="shared" si="50"/>
        <v>GROWTH</v>
      </c>
      <c r="T219" s="24">
        <v>450</v>
      </c>
      <c r="U219" s="29" t="str">
        <f t="shared" si="51"/>
        <v>May</v>
      </c>
      <c r="V219" s="24">
        <f t="shared" si="52"/>
        <v>450</v>
      </c>
      <c r="W219" s="30">
        <f t="shared" si="53"/>
        <v>65.5</v>
      </c>
      <c r="X219" s="31" t="b">
        <f t="shared" si="54"/>
        <v>0</v>
      </c>
      <c r="Y219" s="32" t="str">
        <f t="shared" si="55"/>
        <v>GROWTH</v>
      </c>
      <c r="Z219" s="41">
        <v>0</v>
      </c>
      <c r="AA219" s="36"/>
      <c r="AB219" s="36" t="s">
        <v>24</v>
      </c>
      <c r="AC219" s="36" t="s">
        <v>24</v>
      </c>
      <c r="AD219" s="34"/>
      <c r="AE219" s="35">
        <f>IFERROR(INDEX([1]Last6M_AvgSales_Ref!$B$2:$B$12659,MATCH(D219,[1]Last6M_AvgSales_Ref!$A$2:$A$12659,0)),"")</f>
        <v>587.625</v>
      </c>
    </row>
    <row r="220" spans="1:31" ht="14.25" customHeight="1" x14ac:dyDescent="0.3">
      <c r="A220" s="36" t="s">
        <v>24</v>
      </c>
      <c r="B220" s="38" t="s">
        <v>449</v>
      </c>
      <c r="C220" s="38" t="s">
        <v>470</v>
      </c>
      <c r="D220" s="38">
        <v>1000000393</v>
      </c>
      <c r="E220" s="39" t="s">
        <v>471</v>
      </c>
      <c r="F220" s="40">
        <v>42528</v>
      </c>
      <c r="G220" s="22" t="str">
        <f t="shared" si="42"/>
        <v>Targeted Dealer</v>
      </c>
      <c r="H220" s="22"/>
      <c r="I220" s="23">
        <v>150</v>
      </c>
      <c r="J220" s="23">
        <f t="shared" si="43"/>
        <v>150</v>
      </c>
      <c r="K220" s="24">
        <v>80</v>
      </c>
      <c r="L220" s="24">
        <f t="shared" si="44"/>
        <v>70</v>
      </c>
      <c r="M220" s="24">
        <f t="shared" si="45"/>
        <v>53.333333333333336</v>
      </c>
      <c r="N220" s="25">
        <v>40</v>
      </c>
      <c r="O220" s="26" t="str">
        <f t="shared" si="46"/>
        <v>June</v>
      </c>
      <c r="P220" s="25">
        <f t="shared" si="47"/>
        <v>40</v>
      </c>
      <c r="Q220" s="27">
        <f t="shared" si="48"/>
        <v>40</v>
      </c>
      <c r="R220" s="26" t="b">
        <f t="shared" si="49"/>
        <v>0</v>
      </c>
      <c r="S220" s="28" t="str">
        <f t="shared" si="50"/>
        <v>GROWTH</v>
      </c>
      <c r="T220" s="24">
        <v>115</v>
      </c>
      <c r="U220" s="29" t="str">
        <f t="shared" si="51"/>
        <v>May</v>
      </c>
      <c r="V220" s="24">
        <f t="shared" si="52"/>
        <v>115</v>
      </c>
      <c r="W220" s="30">
        <f t="shared" si="53"/>
        <v>-35</v>
      </c>
      <c r="X220" s="31" t="b">
        <f t="shared" si="54"/>
        <v>0</v>
      </c>
      <c r="Y220" s="32" t="str">
        <f t="shared" si="55"/>
        <v>GROWTH</v>
      </c>
      <c r="Z220" s="41">
        <v>0</v>
      </c>
      <c r="AA220" s="36"/>
      <c r="AB220" s="36" t="s">
        <v>24</v>
      </c>
      <c r="AC220" s="36" t="s">
        <v>24</v>
      </c>
      <c r="AD220" s="34"/>
      <c r="AE220" s="35">
        <f>IFERROR(INDEX([1]Last6M_AvgSales_Ref!$B$2:$B$12659,MATCH(D220,[1]Last6M_AvgSales_Ref!$A$2:$A$12659,0)),"")</f>
        <v>103.333333333333</v>
      </c>
    </row>
    <row r="221" spans="1:31" ht="14.25" customHeight="1" x14ac:dyDescent="0.3">
      <c r="A221" s="36" t="s">
        <v>24</v>
      </c>
      <c r="B221" s="38" t="s">
        <v>449</v>
      </c>
      <c r="C221" s="38" t="s">
        <v>472</v>
      </c>
      <c r="D221" s="38">
        <v>1000000414</v>
      </c>
      <c r="E221" s="39" t="s">
        <v>473</v>
      </c>
      <c r="F221" s="40">
        <v>42606</v>
      </c>
      <c r="G221" s="22" t="str">
        <f t="shared" si="42"/>
        <v>-</v>
      </c>
      <c r="H221" s="22"/>
      <c r="I221" s="23">
        <v>0</v>
      </c>
      <c r="J221" s="23">
        <f t="shared" si="43"/>
        <v>0</v>
      </c>
      <c r="K221" s="24">
        <v>0</v>
      </c>
      <c r="L221" s="24">
        <f t="shared" si="44"/>
        <v>0</v>
      </c>
      <c r="M221" s="24" t="str">
        <f t="shared" si="45"/>
        <v>-</v>
      </c>
      <c r="N221" s="25">
        <v>0</v>
      </c>
      <c r="O221" s="26" t="str">
        <f t="shared" si="46"/>
        <v>June</v>
      </c>
      <c r="P221" s="25">
        <f t="shared" si="47"/>
        <v>0</v>
      </c>
      <c r="Q221" s="27">
        <f t="shared" si="48"/>
        <v>0</v>
      </c>
      <c r="R221" s="26" t="b">
        <f t="shared" si="49"/>
        <v>0</v>
      </c>
      <c r="S221" s="28" t="b">
        <f t="shared" si="50"/>
        <v>0</v>
      </c>
      <c r="T221" s="24">
        <v>25</v>
      </c>
      <c r="U221" s="29" t="str">
        <f t="shared" si="51"/>
        <v>May</v>
      </c>
      <c r="V221" s="24">
        <f t="shared" si="52"/>
        <v>25</v>
      </c>
      <c r="W221" s="30">
        <f t="shared" si="53"/>
        <v>-25</v>
      </c>
      <c r="X221" s="31" t="b">
        <f t="shared" si="54"/>
        <v>0</v>
      </c>
      <c r="Y221" s="32" t="str">
        <f t="shared" si="55"/>
        <v>GROWTH</v>
      </c>
      <c r="Z221" s="41">
        <v>0</v>
      </c>
      <c r="AA221" s="36"/>
      <c r="AB221" s="36" t="s">
        <v>24</v>
      </c>
      <c r="AC221" s="36" t="s">
        <v>24</v>
      </c>
      <c r="AD221" s="34"/>
      <c r="AE221" s="35">
        <f>IFERROR(INDEX([1]Last6M_AvgSales_Ref!$B$2:$B$12659,MATCH(D221,[1]Last6M_AvgSales_Ref!$A$2:$A$12659,0)),"")</f>
        <v>8.3333333333333304</v>
      </c>
    </row>
    <row r="222" spans="1:31" ht="14.25" customHeight="1" x14ac:dyDescent="0.3">
      <c r="A222" s="36" t="s">
        <v>24</v>
      </c>
      <c r="B222" s="38" t="s">
        <v>449</v>
      </c>
      <c r="C222" s="38" t="s">
        <v>474</v>
      </c>
      <c r="D222" s="38">
        <v>1000000422</v>
      </c>
      <c r="E222" s="39" t="s">
        <v>475</v>
      </c>
      <c r="F222" s="40">
        <v>42725</v>
      </c>
      <c r="G222" s="22" t="str">
        <f t="shared" si="42"/>
        <v>Targeted Dealer</v>
      </c>
      <c r="H222" s="22"/>
      <c r="I222" s="23">
        <v>400</v>
      </c>
      <c r="J222" s="23">
        <f t="shared" si="43"/>
        <v>400</v>
      </c>
      <c r="K222" s="24">
        <v>449.5</v>
      </c>
      <c r="L222" s="24">
        <f t="shared" si="44"/>
        <v>-49.5</v>
      </c>
      <c r="M222" s="24">
        <f t="shared" si="45"/>
        <v>112.375</v>
      </c>
      <c r="N222" s="25">
        <v>511.9</v>
      </c>
      <c r="O222" s="26" t="str">
        <f t="shared" si="46"/>
        <v>June</v>
      </c>
      <c r="P222" s="25">
        <f t="shared" si="47"/>
        <v>511.9</v>
      </c>
      <c r="Q222" s="27">
        <f t="shared" si="48"/>
        <v>-62.399999999999977</v>
      </c>
      <c r="R222" s="26" t="b">
        <f t="shared" si="49"/>
        <v>0</v>
      </c>
      <c r="S222" s="28" t="str">
        <f t="shared" si="50"/>
        <v>GROWTH</v>
      </c>
      <c r="T222" s="24">
        <v>213.5</v>
      </c>
      <c r="U222" s="29" t="str">
        <f t="shared" si="51"/>
        <v>May</v>
      </c>
      <c r="V222" s="24">
        <f t="shared" si="52"/>
        <v>213.5</v>
      </c>
      <c r="W222" s="30">
        <f t="shared" si="53"/>
        <v>236</v>
      </c>
      <c r="X222" s="31" t="b">
        <f t="shared" si="54"/>
        <v>0</v>
      </c>
      <c r="Y222" s="32" t="str">
        <f t="shared" si="55"/>
        <v>GROWTH</v>
      </c>
      <c r="Z222" s="41">
        <v>0</v>
      </c>
      <c r="AA222" s="36"/>
      <c r="AB222" s="36" t="s">
        <v>24</v>
      </c>
      <c r="AC222" s="36" t="s">
        <v>24</v>
      </c>
      <c r="AD222" s="34"/>
      <c r="AE222" s="35">
        <f>IFERROR(INDEX([1]Last6M_AvgSales_Ref!$B$2:$B$12659,MATCH(D222,[1]Last6M_AvgSales_Ref!$A$2:$A$12659,0)),"")</f>
        <v>504.79166666666703</v>
      </c>
    </row>
    <row r="223" spans="1:31" ht="14.25" customHeight="1" x14ac:dyDescent="0.3">
      <c r="A223" s="36" t="s">
        <v>24</v>
      </c>
      <c r="B223" s="38" t="s">
        <v>449</v>
      </c>
      <c r="C223" s="38" t="s">
        <v>476</v>
      </c>
      <c r="D223" s="38">
        <v>1000000400</v>
      </c>
      <c r="E223" s="39" t="s">
        <v>477</v>
      </c>
      <c r="F223" s="40">
        <v>43216</v>
      </c>
      <c r="G223" s="22" t="str">
        <f t="shared" si="42"/>
        <v>Targeted Dealer</v>
      </c>
      <c r="H223" s="22"/>
      <c r="I223" s="23">
        <v>40</v>
      </c>
      <c r="J223" s="23">
        <f t="shared" si="43"/>
        <v>40</v>
      </c>
      <c r="K223" s="24">
        <v>10</v>
      </c>
      <c r="L223" s="24">
        <f t="shared" si="44"/>
        <v>30</v>
      </c>
      <c r="M223" s="24">
        <f t="shared" si="45"/>
        <v>25</v>
      </c>
      <c r="N223" s="25">
        <v>30</v>
      </c>
      <c r="O223" s="26" t="str">
        <f t="shared" si="46"/>
        <v>June</v>
      </c>
      <c r="P223" s="25">
        <f t="shared" si="47"/>
        <v>30</v>
      </c>
      <c r="Q223" s="27">
        <f t="shared" si="48"/>
        <v>-20</v>
      </c>
      <c r="R223" s="26" t="b">
        <f t="shared" si="49"/>
        <v>0</v>
      </c>
      <c r="S223" s="28" t="str">
        <f t="shared" si="50"/>
        <v>GROWTH</v>
      </c>
      <c r="T223" s="24">
        <v>40</v>
      </c>
      <c r="U223" s="29" t="str">
        <f t="shared" si="51"/>
        <v>May</v>
      </c>
      <c r="V223" s="24">
        <f t="shared" si="52"/>
        <v>40</v>
      </c>
      <c r="W223" s="30">
        <f t="shared" si="53"/>
        <v>-30</v>
      </c>
      <c r="X223" s="31" t="b">
        <f t="shared" si="54"/>
        <v>0</v>
      </c>
      <c r="Y223" s="32" t="str">
        <f t="shared" si="55"/>
        <v>GROWTH</v>
      </c>
      <c r="Z223" s="41">
        <v>0</v>
      </c>
      <c r="AA223" s="36"/>
      <c r="AB223" s="36" t="s">
        <v>24</v>
      </c>
      <c r="AC223" s="36" t="s">
        <v>24</v>
      </c>
      <c r="AD223" s="34"/>
      <c r="AE223" s="35">
        <f>IFERROR(INDEX([1]Last6M_AvgSales_Ref!$B$2:$B$12659,MATCH(D223,[1]Last6M_AvgSales_Ref!$A$2:$A$12659,0)),"")</f>
        <v>35</v>
      </c>
    </row>
    <row r="224" spans="1:31" ht="14.25" customHeight="1" x14ac:dyDescent="0.3">
      <c r="A224" s="36" t="s">
        <v>24</v>
      </c>
      <c r="B224" s="38" t="s">
        <v>449</v>
      </c>
      <c r="C224" s="38" t="s">
        <v>478</v>
      </c>
      <c r="D224" s="38">
        <v>1000000398</v>
      </c>
      <c r="E224" s="39" t="s">
        <v>479</v>
      </c>
      <c r="F224" s="40">
        <v>43389</v>
      </c>
      <c r="G224" s="22" t="str">
        <f t="shared" si="42"/>
        <v>Targeted Dealer</v>
      </c>
      <c r="H224" s="22"/>
      <c r="I224" s="23">
        <v>580</v>
      </c>
      <c r="J224" s="23">
        <f t="shared" si="43"/>
        <v>580</v>
      </c>
      <c r="K224" s="24">
        <v>595</v>
      </c>
      <c r="L224" s="24">
        <f t="shared" si="44"/>
        <v>-15</v>
      </c>
      <c r="M224" s="24">
        <f t="shared" si="45"/>
        <v>102.58620689655173</v>
      </c>
      <c r="N224" s="25">
        <v>520</v>
      </c>
      <c r="O224" s="26" t="str">
        <f t="shared" si="46"/>
        <v>June</v>
      </c>
      <c r="P224" s="25">
        <f t="shared" si="47"/>
        <v>520</v>
      </c>
      <c r="Q224" s="27">
        <f t="shared" si="48"/>
        <v>75</v>
      </c>
      <c r="R224" s="26" t="b">
        <f t="shared" si="49"/>
        <v>0</v>
      </c>
      <c r="S224" s="28" t="str">
        <f t="shared" si="50"/>
        <v>GROWTH</v>
      </c>
      <c r="T224" s="24">
        <v>477.5</v>
      </c>
      <c r="U224" s="29" t="str">
        <f t="shared" si="51"/>
        <v>May</v>
      </c>
      <c r="V224" s="24">
        <f t="shared" si="52"/>
        <v>477.5</v>
      </c>
      <c r="W224" s="30">
        <f t="shared" si="53"/>
        <v>117.5</v>
      </c>
      <c r="X224" s="31" t="b">
        <f t="shared" si="54"/>
        <v>0</v>
      </c>
      <c r="Y224" s="32" t="str">
        <f t="shared" si="55"/>
        <v>GROWTH</v>
      </c>
      <c r="Z224" s="41">
        <v>0</v>
      </c>
      <c r="AA224" s="36"/>
      <c r="AB224" s="36" t="s">
        <v>24</v>
      </c>
      <c r="AC224" s="36" t="s">
        <v>24</v>
      </c>
      <c r="AD224" s="34"/>
      <c r="AE224" s="35">
        <f>IFERROR(INDEX([1]Last6M_AvgSales_Ref!$B$2:$B$12659,MATCH(D224,[1]Last6M_AvgSales_Ref!$A$2:$A$12659,0)),"")</f>
        <v>472.5</v>
      </c>
    </row>
    <row r="225" spans="1:31" ht="14.25" customHeight="1" x14ac:dyDescent="0.3">
      <c r="A225" s="36" t="s">
        <v>24</v>
      </c>
      <c r="B225" s="38" t="s">
        <v>449</v>
      </c>
      <c r="C225" s="38" t="s">
        <v>480</v>
      </c>
      <c r="D225" s="38">
        <v>1000000901</v>
      </c>
      <c r="E225" s="39" t="s">
        <v>481</v>
      </c>
      <c r="F225" s="40">
        <v>43776</v>
      </c>
      <c r="G225" s="22" t="str">
        <f t="shared" si="42"/>
        <v>Targeted Dealer</v>
      </c>
      <c r="H225" s="22"/>
      <c r="I225" s="23">
        <v>700</v>
      </c>
      <c r="J225" s="23">
        <f t="shared" si="43"/>
        <v>700</v>
      </c>
      <c r="K225" s="24">
        <v>764</v>
      </c>
      <c r="L225" s="24">
        <f t="shared" si="44"/>
        <v>-64</v>
      </c>
      <c r="M225" s="24">
        <f t="shared" si="45"/>
        <v>109.14285714285714</v>
      </c>
      <c r="N225" s="25">
        <v>653.5</v>
      </c>
      <c r="O225" s="26" t="str">
        <f t="shared" si="46"/>
        <v>June</v>
      </c>
      <c r="P225" s="25">
        <f t="shared" si="47"/>
        <v>653.5</v>
      </c>
      <c r="Q225" s="27">
        <f t="shared" si="48"/>
        <v>110.5</v>
      </c>
      <c r="R225" s="26" t="b">
        <f t="shared" si="49"/>
        <v>0</v>
      </c>
      <c r="S225" s="28" t="str">
        <f t="shared" si="50"/>
        <v>GROWTH</v>
      </c>
      <c r="T225" s="24">
        <v>478.5</v>
      </c>
      <c r="U225" s="29" t="str">
        <f t="shared" si="51"/>
        <v>May</v>
      </c>
      <c r="V225" s="24">
        <f t="shared" si="52"/>
        <v>478.5</v>
      </c>
      <c r="W225" s="30">
        <f t="shared" si="53"/>
        <v>285.5</v>
      </c>
      <c r="X225" s="31" t="b">
        <f t="shared" si="54"/>
        <v>0</v>
      </c>
      <c r="Y225" s="32" t="str">
        <f t="shared" si="55"/>
        <v>GROWTH</v>
      </c>
      <c r="Z225" s="41">
        <v>0</v>
      </c>
      <c r="AA225" s="36"/>
      <c r="AB225" s="36" t="s">
        <v>24</v>
      </c>
      <c r="AC225" s="36" t="s">
        <v>24</v>
      </c>
      <c r="AD225" s="34"/>
      <c r="AE225" s="35">
        <f>IFERROR(INDEX([1]Last6M_AvgSales_Ref!$B$2:$B$12659,MATCH(D225,[1]Last6M_AvgSales_Ref!$A$2:$A$12659,0)),"")</f>
        <v>657.45833333333303</v>
      </c>
    </row>
    <row r="226" spans="1:31" ht="14.25" customHeight="1" x14ac:dyDescent="0.3">
      <c r="A226" s="36" t="s">
        <v>24</v>
      </c>
      <c r="B226" s="38" t="s">
        <v>449</v>
      </c>
      <c r="C226" s="38" t="s">
        <v>482</v>
      </c>
      <c r="D226" s="38">
        <v>1000000894</v>
      </c>
      <c r="E226" s="39" t="s">
        <v>483</v>
      </c>
      <c r="F226" s="40">
        <v>43788</v>
      </c>
      <c r="G226" s="22" t="str">
        <f t="shared" si="42"/>
        <v>Targeted Dealer</v>
      </c>
      <c r="H226" s="22"/>
      <c r="I226" s="23">
        <v>50</v>
      </c>
      <c r="J226" s="23">
        <f t="shared" si="43"/>
        <v>50</v>
      </c>
      <c r="K226" s="24">
        <v>55</v>
      </c>
      <c r="L226" s="24">
        <f t="shared" si="44"/>
        <v>-5</v>
      </c>
      <c r="M226" s="24">
        <f t="shared" si="45"/>
        <v>110</v>
      </c>
      <c r="N226" s="25">
        <v>31</v>
      </c>
      <c r="O226" s="26" t="str">
        <f t="shared" si="46"/>
        <v>June</v>
      </c>
      <c r="P226" s="25">
        <f t="shared" si="47"/>
        <v>31</v>
      </c>
      <c r="Q226" s="27">
        <f t="shared" si="48"/>
        <v>24</v>
      </c>
      <c r="R226" s="26" t="b">
        <f t="shared" si="49"/>
        <v>0</v>
      </c>
      <c r="S226" s="28" t="str">
        <f t="shared" si="50"/>
        <v>GROWTH</v>
      </c>
      <c r="T226" s="24">
        <v>35</v>
      </c>
      <c r="U226" s="29" t="str">
        <f t="shared" si="51"/>
        <v>May</v>
      </c>
      <c r="V226" s="24">
        <f t="shared" si="52"/>
        <v>35</v>
      </c>
      <c r="W226" s="30">
        <f t="shared" si="53"/>
        <v>20</v>
      </c>
      <c r="X226" s="31" t="b">
        <f t="shared" si="54"/>
        <v>0</v>
      </c>
      <c r="Y226" s="32" t="str">
        <f t="shared" si="55"/>
        <v>GROWTH</v>
      </c>
      <c r="Z226" s="41">
        <v>0</v>
      </c>
      <c r="AA226" s="36"/>
      <c r="AB226" s="36" t="s">
        <v>24</v>
      </c>
      <c r="AC226" s="36" t="s">
        <v>24</v>
      </c>
      <c r="AD226" s="34"/>
      <c r="AE226" s="35">
        <f>IFERROR(INDEX([1]Last6M_AvgSales_Ref!$B$2:$B$12659,MATCH(D226,[1]Last6M_AvgSales_Ref!$A$2:$A$12659,0)),"")</f>
        <v>28.5</v>
      </c>
    </row>
    <row r="227" spans="1:31" ht="14.25" customHeight="1" x14ac:dyDescent="0.3">
      <c r="A227" s="36" t="s">
        <v>24</v>
      </c>
      <c r="B227" s="38" t="s">
        <v>449</v>
      </c>
      <c r="C227" s="38" t="s">
        <v>484</v>
      </c>
      <c r="D227" s="38">
        <v>1000000893</v>
      </c>
      <c r="E227" s="39" t="s">
        <v>485</v>
      </c>
      <c r="F227" s="40">
        <v>43987</v>
      </c>
      <c r="G227" s="22" t="str">
        <f t="shared" si="42"/>
        <v>Targeted Dealer</v>
      </c>
      <c r="H227" s="22"/>
      <c r="I227" s="23">
        <v>50</v>
      </c>
      <c r="J227" s="23">
        <f t="shared" si="43"/>
        <v>50</v>
      </c>
      <c r="K227" s="24">
        <v>40</v>
      </c>
      <c r="L227" s="24">
        <f t="shared" si="44"/>
        <v>10</v>
      </c>
      <c r="M227" s="24">
        <f t="shared" si="45"/>
        <v>80</v>
      </c>
      <c r="N227" s="25">
        <v>10</v>
      </c>
      <c r="O227" s="26" t="str">
        <f t="shared" si="46"/>
        <v>June</v>
      </c>
      <c r="P227" s="25">
        <f t="shared" si="47"/>
        <v>10</v>
      </c>
      <c r="Q227" s="27">
        <f t="shared" si="48"/>
        <v>30</v>
      </c>
      <c r="R227" s="26" t="b">
        <f t="shared" si="49"/>
        <v>0</v>
      </c>
      <c r="S227" s="28" t="str">
        <f t="shared" si="50"/>
        <v>GROWTH</v>
      </c>
      <c r="T227" s="24">
        <v>30</v>
      </c>
      <c r="U227" s="29" t="str">
        <f t="shared" si="51"/>
        <v>May</v>
      </c>
      <c r="V227" s="24">
        <f t="shared" si="52"/>
        <v>30</v>
      </c>
      <c r="W227" s="30">
        <f t="shared" si="53"/>
        <v>10</v>
      </c>
      <c r="X227" s="31" t="b">
        <f t="shared" si="54"/>
        <v>0</v>
      </c>
      <c r="Y227" s="32" t="str">
        <f t="shared" si="55"/>
        <v>GROWTH</v>
      </c>
      <c r="Z227" s="41">
        <v>0</v>
      </c>
      <c r="AA227" s="36"/>
      <c r="AB227" s="36" t="s">
        <v>24</v>
      </c>
      <c r="AC227" s="36" t="s">
        <v>24</v>
      </c>
      <c r="AD227" s="34"/>
      <c r="AE227" s="35">
        <f>IFERROR(INDEX([1]Last6M_AvgSales_Ref!$B$2:$B$12659,MATCH(D227,[1]Last6M_AvgSales_Ref!$A$2:$A$12659,0)),"")</f>
        <v>36.0833333333333</v>
      </c>
    </row>
    <row r="228" spans="1:31" ht="14.25" customHeight="1" x14ac:dyDescent="0.3">
      <c r="A228" s="36" t="s">
        <v>24</v>
      </c>
      <c r="B228" s="38" t="s">
        <v>449</v>
      </c>
      <c r="C228" s="38" t="s">
        <v>486</v>
      </c>
      <c r="D228" s="38">
        <v>1000000890</v>
      </c>
      <c r="E228" s="39" t="s">
        <v>487</v>
      </c>
      <c r="F228" s="40">
        <v>44068</v>
      </c>
      <c r="G228" s="22" t="str">
        <f t="shared" si="42"/>
        <v>Targeted Dealer</v>
      </c>
      <c r="H228" s="22"/>
      <c r="I228" s="23">
        <v>60</v>
      </c>
      <c r="J228" s="23">
        <f t="shared" si="43"/>
        <v>60</v>
      </c>
      <c r="K228" s="24">
        <v>19</v>
      </c>
      <c r="L228" s="24">
        <f t="shared" si="44"/>
        <v>41</v>
      </c>
      <c r="M228" s="24">
        <f t="shared" si="45"/>
        <v>31.666666666666668</v>
      </c>
      <c r="N228" s="25">
        <v>32</v>
      </c>
      <c r="O228" s="26" t="str">
        <f t="shared" si="46"/>
        <v>June</v>
      </c>
      <c r="P228" s="25">
        <f t="shared" si="47"/>
        <v>32</v>
      </c>
      <c r="Q228" s="27">
        <f t="shared" si="48"/>
        <v>-13</v>
      </c>
      <c r="R228" s="26" t="b">
        <f t="shared" si="49"/>
        <v>0</v>
      </c>
      <c r="S228" s="28" t="str">
        <f t="shared" si="50"/>
        <v>GROWTH</v>
      </c>
      <c r="T228" s="24">
        <v>50</v>
      </c>
      <c r="U228" s="29" t="str">
        <f t="shared" si="51"/>
        <v>May</v>
      </c>
      <c r="V228" s="24">
        <f t="shared" si="52"/>
        <v>50</v>
      </c>
      <c r="W228" s="30">
        <f t="shared" si="53"/>
        <v>-31</v>
      </c>
      <c r="X228" s="31" t="b">
        <f t="shared" si="54"/>
        <v>0</v>
      </c>
      <c r="Y228" s="32" t="str">
        <f t="shared" si="55"/>
        <v>GROWTH</v>
      </c>
      <c r="Z228" s="41">
        <v>0</v>
      </c>
      <c r="AA228" s="36"/>
      <c r="AB228" s="36" t="s">
        <v>24</v>
      </c>
      <c r="AC228" s="36" t="s">
        <v>24</v>
      </c>
      <c r="AD228" s="34"/>
      <c r="AE228" s="35">
        <f>IFERROR(INDEX([1]Last6M_AvgSales_Ref!$B$2:$B$12659,MATCH(D228,[1]Last6M_AvgSales_Ref!$A$2:$A$12659,0)),"")</f>
        <v>31.0833333333333</v>
      </c>
    </row>
    <row r="229" spans="1:31" ht="14.25" customHeight="1" x14ac:dyDescent="0.3">
      <c r="A229" s="36" t="s">
        <v>24</v>
      </c>
      <c r="B229" s="38" t="s">
        <v>449</v>
      </c>
      <c r="C229" s="38" t="s">
        <v>488</v>
      </c>
      <c r="D229" s="38">
        <v>1000000895</v>
      </c>
      <c r="E229" s="39" t="s">
        <v>489</v>
      </c>
      <c r="F229" s="40">
        <v>44110</v>
      </c>
      <c r="G229" s="22" t="str">
        <f t="shared" si="42"/>
        <v>Targeted Dealer</v>
      </c>
      <c r="H229" s="22"/>
      <c r="I229" s="23">
        <v>20</v>
      </c>
      <c r="J229" s="23">
        <f t="shared" si="43"/>
        <v>20</v>
      </c>
      <c r="K229" s="24">
        <v>12.5</v>
      </c>
      <c r="L229" s="24">
        <f t="shared" si="44"/>
        <v>7.5</v>
      </c>
      <c r="M229" s="24">
        <f t="shared" si="45"/>
        <v>62.5</v>
      </c>
      <c r="N229" s="25">
        <v>20</v>
      </c>
      <c r="O229" s="26" t="str">
        <f t="shared" si="46"/>
        <v>June</v>
      </c>
      <c r="P229" s="25">
        <f t="shared" si="47"/>
        <v>20</v>
      </c>
      <c r="Q229" s="27">
        <f t="shared" si="48"/>
        <v>-7.5</v>
      </c>
      <c r="R229" s="26" t="b">
        <f t="shared" si="49"/>
        <v>0</v>
      </c>
      <c r="S229" s="28" t="str">
        <f t="shared" si="50"/>
        <v>GROWTH</v>
      </c>
      <c r="T229" s="24">
        <v>0</v>
      </c>
      <c r="U229" s="29" t="str">
        <f t="shared" si="51"/>
        <v>May</v>
      </c>
      <c r="V229" s="24">
        <f t="shared" si="52"/>
        <v>0</v>
      </c>
      <c r="W229" s="30">
        <f t="shared" si="53"/>
        <v>12.5</v>
      </c>
      <c r="X229" s="31" t="b">
        <f t="shared" si="54"/>
        <v>0</v>
      </c>
      <c r="Y229" s="32" t="b">
        <f t="shared" si="55"/>
        <v>0</v>
      </c>
      <c r="Z229" s="41">
        <v>0</v>
      </c>
      <c r="AA229" s="36"/>
      <c r="AB229" s="36" t="s">
        <v>24</v>
      </c>
      <c r="AC229" s="36" t="s">
        <v>24</v>
      </c>
      <c r="AD229" s="34"/>
      <c r="AE229" s="35">
        <f>IFERROR(INDEX([1]Last6M_AvgSales_Ref!$B$2:$B$12659,MATCH(D229,[1]Last6M_AvgSales_Ref!$A$2:$A$12659,0)),"")</f>
        <v>25.25</v>
      </c>
    </row>
    <row r="230" spans="1:31" ht="14.25" customHeight="1" x14ac:dyDescent="0.3">
      <c r="A230" s="36" t="s">
        <v>24</v>
      </c>
      <c r="B230" s="38" t="s">
        <v>449</v>
      </c>
      <c r="C230" s="38" t="s">
        <v>490</v>
      </c>
      <c r="D230" s="38">
        <v>1000002846</v>
      </c>
      <c r="E230" s="38" t="s">
        <v>491</v>
      </c>
      <c r="F230" s="40">
        <v>44767</v>
      </c>
      <c r="G230" s="22" t="str">
        <f t="shared" si="42"/>
        <v>Targeted Dealer</v>
      </c>
      <c r="H230" s="22"/>
      <c r="I230" s="23">
        <v>50</v>
      </c>
      <c r="J230" s="23">
        <f t="shared" si="43"/>
        <v>50</v>
      </c>
      <c r="K230" s="24">
        <v>25</v>
      </c>
      <c r="L230" s="24">
        <f t="shared" si="44"/>
        <v>25</v>
      </c>
      <c r="M230" s="24">
        <f t="shared" si="45"/>
        <v>50</v>
      </c>
      <c r="N230" s="25">
        <v>33</v>
      </c>
      <c r="O230" s="26" t="str">
        <f t="shared" si="46"/>
        <v>June</v>
      </c>
      <c r="P230" s="25">
        <f t="shared" si="47"/>
        <v>33</v>
      </c>
      <c r="Q230" s="27">
        <f t="shared" si="48"/>
        <v>-8</v>
      </c>
      <c r="R230" s="26" t="b">
        <f t="shared" si="49"/>
        <v>0</v>
      </c>
      <c r="S230" s="28" t="str">
        <f t="shared" si="50"/>
        <v>GROWTH</v>
      </c>
      <c r="T230" s="24">
        <v>30</v>
      </c>
      <c r="U230" s="29" t="str">
        <f t="shared" si="51"/>
        <v>May</v>
      </c>
      <c r="V230" s="24">
        <f t="shared" si="52"/>
        <v>30</v>
      </c>
      <c r="W230" s="30">
        <f t="shared" si="53"/>
        <v>-5</v>
      </c>
      <c r="X230" s="31" t="b">
        <f t="shared" si="54"/>
        <v>0</v>
      </c>
      <c r="Y230" s="32" t="str">
        <f t="shared" si="55"/>
        <v>GROWTH</v>
      </c>
      <c r="Z230" s="41">
        <v>0</v>
      </c>
      <c r="AA230" s="36"/>
      <c r="AB230" s="36" t="s">
        <v>24</v>
      </c>
      <c r="AC230" s="36" t="s">
        <v>24</v>
      </c>
      <c r="AD230" s="34"/>
      <c r="AE230" s="35">
        <f>IFERROR(INDEX([1]Last6M_AvgSales_Ref!$B$2:$B$12659,MATCH(D230,[1]Last6M_AvgSales_Ref!$A$2:$A$12659,0)),"")</f>
        <v>30.5</v>
      </c>
    </row>
    <row r="231" spans="1:31" ht="14.25" customHeight="1" x14ac:dyDescent="0.3">
      <c r="A231" s="36" t="s">
        <v>24</v>
      </c>
      <c r="B231" s="38" t="s">
        <v>449</v>
      </c>
      <c r="C231" s="38" t="s">
        <v>492</v>
      </c>
      <c r="D231" s="38">
        <v>1000002980</v>
      </c>
      <c r="E231" s="38" t="s">
        <v>493</v>
      </c>
      <c r="F231" s="40">
        <v>44830</v>
      </c>
      <c r="G231" s="22" t="str">
        <f t="shared" si="42"/>
        <v>Targeted Dealer</v>
      </c>
      <c r="H231" s="22"/>
      <c r="I231" s="23">
        <v>60</v>
      </c>
      <c r="J231" s="23">
        <f t="shared" si="43"/>
        <v>60</v>
      </c>
      <c r="K231" s="24">
        <v>50</v>
      </c>
      <c r="L231" s="24">
        <f t="shared" si="44"/>
        <v>10</v>
      </c>
      <c r="M231" s="24">
        <f t="shared" si="45"/>
        <v>83.333333333333343</v>
      </c>
      <c r="N231" s="25">
        <v>84</v>
      </c>
      <c r="O231" s="26" t="str">
        <f t="shared" si="46"/>
        <v>June</v>
      </c>
      <c r="P231" s="25">
        <f t="shared" si="47"/>
        <v>84</v>
      </c>
      <c r="Q231" s="27">
        <f t="shared" si="48"/>
        <v>-34</v>
      </c>
      <c r="R231" s="26" t="b">
        <f t="shared" si="49"/>
        <v>0</v>
      </c>
      <c r="S231" s="28" t="str">
        <f t="shared" si="50"/>
        <v>GROWTH</v>
      </c>
      <c r="T231" s="24">
        <v>11.5</v>
      </c>
      <c r="U231" s="29" t="str">
        <f t="shared" si="51"/>
        <v>May</v>
      </c>
      <c r="V231" s="24">
        <f t="shared" si="52"/>
        <v>11.5</v>
      </c>
      <c r="W231" s="30">
        <f t="shared" si="53"/>
        <v>38.5</v>
      </c>
      <c r="X231" s="31" t="b">
        <f t="shared" si="54"/>
        <v>0</v>
      </c>
      <c r="Y231" s="32" t="str">
        <f t="shared" si="55"/>
        <v>GROWTH</v>
      </c>
      <c r="Z231" s="41">
        <v>0</v>
      </c>
      <c r="AA231" s="36"/>
      <c r="AB231" s="36" t="s">
        <v>24</v>
      </c>
      <c r="AC231" s="36" t="s">
        <v>24</v>
      </c>
      <c r="AD231" s="34"/>
      <c r="AE231" s="35">
        <f>IFERROR(INDEX([1]Last6M_AvgSales_Ref!$B$2:$B$12659,MATCH(D231,[1]Last6M_AvgSales_Ref!$A$2:$A$12659,0)),"")</f>
        <v>50.625</v>
      </c>
    </row>
    <row r="232" spans="1:31" ht="14.25" customHeight="1" x14ac:dyDescent="0.3">
      <c r="A232" s="36" t="s">
        <v>24</v>
      </c>
      <c r="B232" s="38" t="s">
        <v>449</v>
      </c>
      <c r="C232" s="38" t="s">
        <v>494</v>
      </c>
      <c r="D232" s="38">
        <v>1000003186</v>
      </c>
      <c r="E232" s="38" t="s">
        <v>495</v>
      </c>
      <c r="F232" s="40">
        <v>44923</v>
      </c>
      <c r="G232" s="22" t="str">
        <f t="shared" si="42"/>
        <v>Targeted Dealer</v>
      </c>
      <c r="H232" s="22"/>
      <c r="I232" s="23">
        <v>140</v>
      </c>
      <c r="J232" s="23">
        <f t="shared" si="43"/>
        <v>140</v>
      </c>
      <c r="K232" s="24">
        <v>75.5</v>
      </c>
      <c r="L232" s="24">
        <f t="shared" si="44"/>
        <v>64.5</v>
      </c>
      <c r="M232" s="24">
        <f t="shared" si="45"/>
        <v>53.928571428571431</v>
      </c>
      <c r="N232" s="25">
        <v>47</v>
      </c>
      <c r="O232" s="26" t="str">
        <f t="shared" si="46"/>
        <v>June</v>
      </c>
      <c r="P232" s="25">
        <f t="shared" si="47"/>
        <v>47</v>
      </c>
      <c r="Q232" s="27">
        <f t="shared" si="48"/>
        <v>28.5</v>
      </c>
      <c r="R232" s="26" t="b">
        <f t="shared" si="49"/>
        <v>0</v>
      </c>
      <c r="S232" s="28" t="str">
        <f t="shared" si="50"/>
        <v>GROWTH</v>
      </c>
      <c r="T232" s="24">
        <v>130</v>
      </c>
      <c r="U232" s="29" t="str">
        <f t="shared" si="51"/>
        <v>May</v>
      </c>
      <c r="V232" s="24">
        <f t="shared" si="52"/>
        <v>130</v>
      </c>
      <c r="W232" s="30">
        <f t="shared" si="53"/>
        <v>-54.5</v>
      </c>
      <c r="X232" s="31" t="b">
        <f t="shared" si="54"/>
        <v>0</v>
      </c>
      <c r="Y232" s="32" t="str">
        <f t="shared" si="55"/>
        <v>GROWTH</v>
      </c>
      <c r="Z232" s="41">
        <v>0</v>
      </c>
      <c r="AA232" s="36"/>
      <c r="AB232" s="36" t="s">
        <v>24</v>
      </c>
      <c r="AC232" s="36" t="s">
        <v>24</v>
      </c>
      <c r="AD232" s="34"/>
      <c r="AE232" s="35">
        <f>IFERROR(INDEX([1]Last6M_AvgSales_Ref!$B$2:$B$12659,MATCH(D232,[1]Last6M_AvgSales_Ref!$A$2:$A$12659,0)),"")</f>
        <v>74.5</v>
      </c>
    </row>
    <row r="233" spans="1:31" ht="14.25" customHeight="1" x14ac:dyDescent="0.3">
      <c r="A233" s="36" t="s">
        <v>24</v>
      </c>
      <c r="B233" s="38" t="s">
        <v>449</v>
      </c>
      <c r="C233" s="38" t="s">
        <v>496</v>
      </c>
      <c r="D233" s="38">
        <v>1000003398</v>
      </c>
      <c r="E233" s="38" t="s">
        <v>497</v>
      </c>
      <c r="F233" s="40">
        <v>44985</v>
      </c>
      <c r="G233" s="22" t="str">
        <f t="shared" si="42"/>
        <v>Targeted Dealer</v>
      </c>
      <c r="H233" s="22"/>
      <c r="I233" s="23">
        <v>25</v>
      </c>
      <c r="J233" s="23">
        <f t="shared" si="43"/>
        <v>25</v>
      </c>
      <c r="K233" s="24">
        <v>0</v>
      </c>
      <c r="L233" s="24">
        <f t="shared" si="44"/>
        <v>25</v>
      </c>
      <c r="M233" s="24">
        <f t="shared" si="45"/>
        <v>0</v>
      </c>
      <c r="N233" s="25">
        <v>0</v>
      </c>
      <c r="O233" s="26" t="str">
        <f t="shared" si="46"/>
        <v>June</v>
      </c>
      <c r="P233" s="25">
        <f t="shared" si="47"/>
        <v>0</v>
      </c>
      <c r="Q233" s="27">
        <f t="shared" si="48"/>
        <v>0</v>
      </c>
      <c r="R233" s="26" t="b">
        <f t="shared" si="49"/>
        <v>0</v>
      </c>
      <c r="S233" s="28" t="b">
        <f t="shared" si="50"/>
        <v>0</v>
      </c>
      <c r="T233" s="24">
        <v>80</v>
      </c>
      <c r="U233" s="29" t="str">
        <f t="shared" si="51"/>
        <v>May</v>
      </c>
      <c r="V233" s="24">
        <f t="shared" si="52"/>
        <v>80</v>
      </c>
      <c r="W233" s="30">
        <f t="shared" si="53"/>
        <v>-80</v>
      </c>
      <c r="X233" s="31" t="b">
        <f t="shared" si="54"/>
        <v>0</v>
      </c>
      <c r="Y233" s="32" t="str">
        <f t="shared" si="55"/>
        <v>GROWTH</v>
      </c>
      <c r="Z233" s="41">
        <v>0</v>
      </c>
      <c r="AA233" s="36"/>
      <c r="AB233" s="36" t="s">
        <v>24</v>
      </c>
      <c r="AC233" s="36" t="s">
        <v>24</v>
      </c>
      <c r="AD233" s="34"/>
      <c r="AE233" s="35">
        <f>IFERROR(INDEX([1]Last6M_AvgSales_Ref!$B$2:$B$12659,MATCH(D233,[1]Last6M_AvgSales_Ref!$A$2:$A$12659,0)),"")</f>
        <v>12.5</v>
      </c>
    </row>
    <row r="234" spans="1:31" ht="14.25" customHeight="1" x14ac:dyDescent="0.3">
      <c r="A234" s="36" t="s">
        <v>24</v>
      </c>
      <c r="B234" s="38" t="s">
        <v>449</v>
      </c>
      <c r="C234" s="38" t="s">
        <v>498</v>
      </c>
      <c r="D234" s="38">
        <v>1000003447</v>
      </c>
      <c r="E234" s="38" t="s">
        <v>499</v>
      </c>
      <c r="F234" s="40">
        <v>45008</v>
      </c>
      <c r="G234" s="22" t="str">
        <f t="shared" si="42"/>
        <v>Targeted Dealer</v>
      </c>
      <c r="H234" s="22"/>
      <c r="I234" s="23">
        <v>25</v>
      </c>
      <c r="J234" s="23">
        <f t="shared" si="43"/>
        <v>25</v>
      </c>
      <c r="K234" s="24">
        <v>0</v>
      </c>
      <c r="L234" s="24">
        <f t="shared" si="44"/>
        <v>25</v>
      </c>
      <c r="M234" s="24">
        <f t="shared" si="45"/>
        <v>0</v>
      </c>
      <c r="N234" s="25">
        <v>25</v>
      </c>
      <c r="O234" s="26" t="str">
        <f t="shared" si="46"/>
        <v>June</v>
      </c>
      <c r="P234" s="25">
        <f t="shared" si="47"/>
        <v>25</v>
      </c>
      <c r="Q234" s="27">
        <f t="shared" si="48"/>
        <v>-25</v>
      </c>
      <c r="R234" s="26" t="b">
        <f t="shared" si="49"/>
        <v>0</v>
      </c>
      <c r="S234" s="28" t="str">
        <f t="shared" si="50"/>
        <v>GROWTH</v>
      </c>
      <c r="T234" s="24">
        <v>40</v>
      </c>
      <c r="U234" s="29" t="str">
        <f t="shared" si="51"/>
        <v>May</v>
      </c>
      <c r="V234" s="24">
        <f t="shared" si="52"/>
        <v>40</v>
      </c>
      <c r="W234" s="30">
        <f t="shared" si="53"/>
        <v>-40</v>
      </c>
      <c r="X234" s="31" t="b">
        <f t="shared" si="54"/>
        <v>0</v>
      </c>
      <c r="Y234" s="32" t="str">
        <f t="shared" si="55"/>
        <v>GROWTH</v>
      </c>
      <c r="Z234" s="41">
        <v>0</v>
      </c>
      <c r="AA234" s="36"/>
      <c r="AB234" s="36" t="s">
        <v>24</v>
      </c>
      <c r="AC234" s="36" t="s">
        <v>24</v>
      </c>
      <c r="AD234" s="34"/>
      <c r="AE234" s="35">
        <f>IFERROR(INDEX([1]Last6M_AvgSales_Ref!$B$2:$B$12659,MATCH(D234,[1]Last6M_AvgSales_Ref!$A$2:$A$12659,0)),"")</f>
        <v>20.8333333333333</v>
      </c>
    </row>
    <row r="235" spans="1:31" ht="14.25" customHeight="1" x14ac:dyDescent="0.3">
      <c r="A235" s="36" t="s">
        <v>24</v>
      </c>
      <c r="B235" s="38" t="s">
        <v>449</v>
      </c>
      <c r="C235" s="38" t="s">
        <v>500</v>
      </c>
      <c r="D235" s="38">
        <v>1000003493</v>
      </c>
      <c r="E235" s="38" t="s">
        <v>501</v>
      </c>
      <c r="F235" s="40">
        <v>45039</v>
      </c>
      <c r="G235" s="22" t="str">
        <f t="shared" si="42"/>
        <v>-</v>
      </c>
      <c r="H235" s="22"/>
      <c r="I235" s="23">
        <v>0</v>
      </c>
      <c r="J235" s="23">
        <f t="shared" si="43"/>
        <v>0</v>
      </c>
      <c r="K235" s="24">
        <v>16.5</v>
      </c>
      <c r="L235" s="24">
        <f t="shared" si="44"/>
        <v>-16.5</v>
      </c>
      <c r="M235" s="24" t="str">
        <f t="shared" si="45"/>
        <v>-</v>
      </c>
      <c r="N235" s="25">
        <v>1</v>
      </c>
      <c r="O235" s="26" t="str">
        <f t="shared" si="46"/>
        <v>June</v>
      </c>
      <c r="P235" s="25">
        <f t="shared" si="47"/>
        <v>1</v>
      </c>
      <c r="Q235" s="27">
        <f t="shared" si="48"/>
        <v>15.5</v>
      </c>
      <c r="R235" s="26" t="b">
        <f t="shared" si="49"/>
        <v>0</v>
      </c>
      <c r="S235" s="28" t="str">
        <f t="shared" si="50"/>
        <v>GROWTH</v>
      </c>
      <c r="T235" s="24">
        <v>0</v>
      </c>
      <c r="U235" s="29" t="str">
        <f t="shared" si="51"/>
        <v>May</v>
      </c>
      <c r="V235" s="24">
        <f t="shared" si="52"/>
        <v>0</v>
      </c>
      <c r="W235" s="30">
        <f t="shared" si="53"/>
        <v>16.5</v>
      </c>
      <c r="X235" s="31" t="b">
        <f t="shared" si="54"/>
        <v>0</v>
      </c>
      <c r="Y235" s="32" t="b">
        <f t="shared" si="55"/>
        <v>0</v>
      </c>
      <c r="Z235" s="41">
        <v>0</v>
      </c>
      <c r="AA235" s="36"/>
      <c r="AB235" s="36" t="s">
        <v>24</v>
      </c>
      <c r="AC235" s="36" t="s">
        <v>24</v>
      </c>
      <c r="AD235" s="34"/>
      <c r="AE235" s="35">
        <f>IFERROR(INDEX([1]Last6M_AvgSales_Ref!$B$2:$B$12659,MATCH(D235,[1]Last6M_AvgSales_Ref!$A$2:$A$12659,0)),"")</f>
        <v>2.0833333333333299</v>
      </c>
    </row>
    <row r="236" spans="1:31" ht="14.25" customHeight="1" x14ac:dyDescent="0.3">
      <c r="A236" s="41" t="s">
        <v>24</v>
      </c>
      <c r="B236" s="44" t="s">
        <v>449</v>
      </c>
      <c r="C236" s="44" t="s">
        <v>502</v>
      </c>
      <c r="D236" s="44">
        <v>1000004034</v>
      </c>
      <c r="E236" s="44" t="s">
        <v>503</v>
      </c>
      <c r="F236" s="40">
        <v>45478</v>
      </c>
      <c r="G236" s="22" t="str">
        <f t="shared" si="42"/>
        <v>Targeted Dealer</v>
      </c>
      <c r="H236" s="22"/>
      <c r="I236" s="23">
        <v>20</v>
      </c>
      <c r="J236" s="23">
        <f t="shared" si="43"/>
        <v>20</v>
      </c>
      <c r="K236" s="24">
        <v>0</v>
      </c>
      <c r="L236" s="24">
        <f t="shared" si="44"/>
        <v>20</v>
      </c>
      <c r="M236" s="24">
        <f t="shared" si="45"/>
        <v>0</v>
      </c>
      <c r="N236" s="25">
        <v>2.5</v>
      </c>
      <c r="O236" s="26" t="str">
        <f t="shared" si="46"/>
        <v>June</v>
      </c>
      <c r="P236" s="25">
        <f t="shared" si="47"/>
        <v>2.5</v>
      </c>
      <c r="Q236" s="27">
        <f t="shared" si="48"/>
        <v>-2.5</v>
      </c>
      <c r="R236" s="26" t="b">
        <f t="shared" si="49"/>
        <v>0</v>
      </c>
      <c r="S236" s="28" t="str">
        <f t="shared" si="50"/>
        <v>GROWTH</v>
      </c>
      <c r="T236" s="24">
        <v>25</v>
      </c>
      <c r="U236" s="29" t="str">
        <f t="shared" si="51"/>
        <v>May</v>
      </c>
      <c r="V236" s="24">
        <f t="shared" si="52"/>
        <v>25</v>
      </c>
      <c r="W236" s="30">
        <f t="shared" si="53"/>
        <v>-25</v>
      </c>
      <c r="X236" s="31" t="b">
        <f t="shared" si="54"/>
        <v>0</v>
      </c>
      <c r="Y236" s="32" t="str">
        <f t="shared" si="55"/>
        <v>GROWTH</v>
      </c>
      <c r="Z236" s="41">
        <v>0</v>
      </c>
      <c r="AA236" s="36"/>
      <c r="AB236" s="36" t="s">
        <v>24</v>
      </c>
      <c r="AC236" s="41" t="s">
        <v>24</v>
      </c>
      <c r="AD236" s="34"/>
      <c r="AE236" s="35">
        <f>IFERROR(INDEX([1]Last6M_AvgSales_Ref!$B$2:$B$12659,MATCH(D236,[1]Last6M_AvgSales_Ref!$A$2:$A$12659,0)),"")</f>
        <v>5.5</v>
      </c>
    </row>
    <row r="237" spans="1:31" ht="14.25" customHeight="1" x14ac:dyDescent="0.3">
      <c r="A237" s="36" t="s">
        <v>24</v>
      </c>
      <c r="B237" s="38" t="s">
        <v>504</v>
      </c>
      <c r="C237" s="38" t="s">
        <v>505</v>
      </c>
      <c r="D237" s="38">
        <v>1000000268</v>
      </c>
      <c r="E237" s="39" t="s">
        <v>506</v>
      </c>
      <c r="F237" s="40">
        <v>38384</v>
      </c>
      <c r="G237" s="22" t="str">
        <f t="shared" si="42"/>
        <v>Targeted Dealer</v>
      </c>
      <c r="H237" s="22"/>
      <c r="I237" s="23">
        <v>20</v>
      </c>
      <c r="J237" s="23">
        <f t="shared" si="43"/>
        <v>20</v>
      </c>
      <c r="K237" s="24">
        <v>0</v>
      </c>
      <c r="L237" s="24">
        <f t="shared" si="44"/>
        <v>20</v>
      </c>
      <c r="M237" s="24">
        <f t="shared" si="45"/>
        <v>0</v>
      </c>
      <c r="N237" s="25">
        <v>15</v>
      </c>
      <c r="O237" s="26" t="str">
        <f t="shared" si="46"/>
        <v>June</v>
      </c>
      <c r="P237" s="25">
        <f t="shared" si="47"/>
        <v>15</v>
      </c>
      <c r="Q237" s="27">
        <f t="shared" si="48"/>
        <v>-15</v>
      </c>
      <c r="R237" s="26" t="b">
        <f t="shared" si="49"/>
        <v>0</v>
      </c>
      <c r="S237" s="28" t="str">
        <f t="shared" si="50"/>
        <v>GROWTH</v>
      </c>
      <c r="T237" s="24">
        <v>0</v>
      </c>
      <c r="U237" s="29" t="str">
        <f t="shared" si="51"/>
        <v>May</v>
      </c>
      <c r="V237" s="24">
        <f t="shared" si="52"/>
        <v>0</v>
      </c>
      <c r="W237" s="30">
        <f t="shared" si="53"/>
        <v>0</v>
      </c>
      <c r="X237" s="31" t="b">
        <f t="shared" si="54"/>
        <v>0</v>
      </c>
      <c r="Y237" s="32" t="b">
        <f t="shared" si="55"/>
        <v>0</v>
      </c>
      <c r="Z237" s="41">
        <v>0</v>
      </c>
      <c r="AA237" s="36"/>
      <c r="AB237" s="36" t="s">
        <v>24</v>
      </c>
      <c r="AC237" s="36" t="s">
        <v>24</v>
      </c>
      <c r="AD237" s="34"/>
      <c r="AE237" s="35">
        <f>IFERROR(INDEX([1]Last6M_AvgSales_Ref!$B$2:$B$12659,MATCH(D237,[1]Last6M_AvgSales_Ref!$A$2:$A$12659,0)),"")</f>
        <v>17.5</v>
      </c>
    </row>
    <row r="238" spans="1:31" ht="14.25" customHeight="1" x14ac:dyDescent="0.3">
      <c r="A238" s="36" t="s">
        <v>24</v>
      </c>
      <c r="B238" s="38" t="s">
        <v>504</v>
      </c>
      <c r="C238" s="38" t="s">
        <v>507</v>
      </c>
      <c r="D238" s="38">
        <v>1000000263</v>
      </c>
      <c r="E238" s="39" t="s">
        <v>508</v>
      </c>
      <c r="F238" s="40">
        <v>39562</v>
      </c>
      <c r="G238" s="22" t="str">
        <f t="shared" si="42"/>
        <v>Targeted Dealer</v>
      </c>
      <c r="H238" s="22"/>
      <c r="I238" s="23">
        <v>20</v>
      </c>
      <c r="J238" s="23">
        <f t="shared" si="43"/>
        <v>20</v>
      </c>
      <c r="K238" s="24">
        <v>0</v>
      </c>
      <c r="L238" s="24">
        <f t="shared" si="44"/>
        <v>20</v>
      </c>
      <c r="M238" s="24">
        <f t="shared" si="45"/>
        <v>0</v>
      </c>
      <c r="N238" s="25">
        <v>20</v>
      </c>
      <c r="O238" s="26" t="str">
        <f t="shared" si="46"/>
        <v>June</v>
      </c>
      <c r="P238" s="25">
        <f t="shared" si="47"/>
        <v>20</v>
      </c>
      <c r="Q238" s="27">
        <f t="shared" si="48"/>
        <v>-20</v>
      </c>
      <c r="R238" s="26" t="b">
        <f t="shared" si="49"/>
        <v>0</v>
      </c>
      <c r="S238" s="28" t="str">
        <f t="shared" si="50"/>
        <v>GROWTH</v>
      </c>
      <c r="T238" s="24">
        <v>20</v>
      </c>
      <c r="U238" s="29" t="str">
        <f t="shared" si="51"/>
        <v>May</v>
      </c>
      <c r="V238" s="24">
        <f t="shared" si="52"/>
        <v>20</v>
      </c>
      <c r="W238" s="30">
        <f t="shared" si="53"/>
        <v>-20</v>
      </c>
      <c r="X238" s="31" t="b">
        <f t="shared" si="54"/>
        <v>0</v>
      </c>
      <c r="Y238" s="32" t="str">
        <f t="shared" si="55"/>
        <v>GROWTH</v>
      </c>
      <c r="Z238" s="41">
        <v>0</v>
      </c>
      <c r="AA238" s="36"/>
      <c r="AB238" s="36" t="s">
        <v>24</v>
      </c>
      <c r="AC238" s="36" t="s">
        <v>24</v>
      </c>
      <c r="AD238" s="34"/>
      <c r="AE238" s="35">
        <f>IFERROR(INDEX([1]Last6M_AvgSales_Ref!$B$2:$B$12659,MATCH(D238,[1]Last6M_AvgSales_Ref!$A$2:$A$12659,0)),"")</f>
        <v>19.1666666666667</v>
      </c>
    </row>
    <row r="239" spans="1:31" ht="14.25" customHeight="1" x14ac:dyDescent="0.3">
      <c r="A239" s="36" t="s">
        <v>24</v>
      </c>
      <c r="B239" s="38" t="s">
        <v>504</v>
      </c>
      <c r="C239" s="38" t="s">
        <v>509</v>
      </c>
      <c r="D239" s="38">
        <v>1000000277</v>
      </c>
      <c r="E239" s="39" t="s">
        <v>510</v>
      </c>
      <c r="F239" s="40">
        <v>40101</v>
      </c>
      <c r="G239" s="22" t="str">
        <f t="shared" si="42"/>
        <v>Targeted Dealer</v>
      </c>
      <c r="H239" s="22"/>
      <c r="I239" s="23">
        <v>920</v>
      </c>
      <c r="J239" s="23">
        <f t="shared" si="43"/>
        <v>920</v>
      </c>
      <c r="K239" s="24">
        <v>1064</v>
      </c>
      <c r="L239" s="24">
        <f t="shared" si="44"/>
        <v>-144</v>
      </c>
      <c r="M239" s="24">
        <f t="shared" si="45"/>
        <v>115.65217391304348</v>
      </c>
      <c r="N239" s="25">
        <v>923</v>
      </c>
      <c r="O239" s="26" t="str">
        <f t="shared" si="46"/>
        <v>June</v>
      </c>
      <c r="P239" s="25">
        <f t="shared" si="47"/>
        <v>923</v>
      </c>
      <c r="Q239" s="27">
        <f t="shared" si="48"/>
        <v>141</v>
      </c>
      <c r="R239" s="26" t="b">
        <f t="shared" si="49"/>
        <v>0</v>
      </c>
      <c r="S239" s="28" t="str">
        <f t="shared" si="50"/>
        <v>GROWTH</v>
      </c>
      <c r="T239" s="24">
        <v>820</v>
      </c>
      <c r="U239" s="29" t="str">
        <f t="shared" si="51"/>
        <v>May</v>
      </c>
      <c r="V239" s="24">
        <f t="shared" si="52"/>
        <v>820</v>
      </c>
      <c r="W239" s="30">
        <f t="shared" si="53"/>
        <v>244</v>
      </c>
      <c r="X239" s="31" t="b">
        <f t="shared" si="54"/>
        <v>0</v>
      </c>
      <c r="Y239" s="32" t="str">
        <f t="shared" si="55"/>
        <v>GROWTH</v>
      </c>
      <c r="Z239" s="41">
        <v>0</v>
      </c>
      <c r="AA239" s="36"/>
      <c r="AB239" s="36" t="s">
        <v>24</v>
      </c>
      <c r="AC239" s="36" t="s">
        <v>24</v>
      </c>
      <c r="AD239" s="34"/>
      <c r="AE239" s="35">
        <f>IFERROR(INDEX([1]Last6M_AvgSales_Ref!$B$2:$B$12659,MATCH(D239,[1]Last6M_AvgSales_Ref!$A$2:$A$12659,0)),"")</f>
        <v>917</v>
      </c>
    </row>
    <row r="240" spans="1:31" ht="14.25" customHeight="1" x14ac:dyDescent="0.3">
      <c r="A240" s="36" t="s">
        <v>24</v>
      </c>
      <c r="B240" s="38" t="s">
        <v>504</v>
      </c>
      <c r="C240" s="38" t="s">
        <v>511</v>
      </c>
      <c r="D240" s="38">
        <v>1000000261</v>
      </c>
      <c r="E240" s="39" t="s">
        <v>512</v>
      </c>
      <c r="F240" s="40">
        <v>41482</v>
      </c>
      <c r="G240" s="22" t="str">
        <f t="shared" si="42"/>
        <v>-</v>
      </c>
      <c r="H240" s="22"/>
      <c r="I240" s="23">
        <v>0</v>
      </c>
      <c r="J240" s="23">
        <f t="shared" si="43"/>
        <v>0</v>
      </c>
      <c r="K240" s="24">
        <v>0</v>
      </c>
      <c r="L240" s="24">
        <f t="shared" si="44"/>
        <v>0</v>
      </c>
      <c r="M240" s="24" t="str">
        <f t="shared" si="45"/>
        <v>-</v>
      </c>
      <c r="N240" s="25">
        <v>0</v>
      </c>
      <c r="O240" s="26" t="str">
        <f t="shared" si="46"/>
        <v>June</v>
      </c>
      <c r="P240" s="25">
        <f t="shared" si="47"/>
        <v>0</v>
      </c>
      <c r="Q240" s="27">
        <f t="shared" si="48"/>
        <v>0</v>
      </c>
      <c r="R240" s="26" t="b">
        <f t="shared" si="49"/>
        <v>0</v>
      </c>
      <c r="S240" s="28" t="b">
        <f t="shared" si="50"/>
        <v>0</v>
      </c>
      <c r="T240" s="24">
        <v>0</v>
      </c>
      <c r="U240" s="29" t="str">
        <f t="shared" si="51"/>
        <v>May</v>
      </c>
      <c r="V240" s="24">
        <f t="shared" si="52"/>
        <v>0</v>
      </c>
      <c r="W240" s="30">
        <f t="shared" si="53"/>
        <v>0</v>
      </c>
      <c r="X240" s="31" t="b">
        <f t="shared" si="54"/>
        <v>0</v>
      </c>
      <c r="Y240" s="32" t="b">
        <f t="shared" si="55"/>
        <v>0</v>
      </c>
      <c r="Z240" s="41">
        <v>0</v>
      </c>
      <c r="AA240" s="36"/>
      <c r="AB240" s="36" t="s">
        <v>24</v>
      </c>
      <c r="AC240" s="36" t="s">
        <v>24</v>
      </c>
      <c r="AD240" s="34"/>
      <c r="AE240" s="35">
        <f>IFERROR(INDEX([1]Last6M_AvgSales_Ref!$B$2:$B$12659,MATCH(D240,[1]Last6M_AvgSales_Ref!$A$2:$A$12659,0)),"")</f>
        <v>1.6666666666666701</v>
      </c>
    </row>
    <row r="241" spans="1:31" ht="14.25" customHeight="1" x14ac:dyDescent="0.3">
      <c r="A241" s="36" t="s">
        <v>24</v>
      </c>
      <c r="B241" s="38" t="s">
        <v>504</v>
      </c>
      <c r="C241" s="38" t="s">
        <v>513</v>
      </c>
      <c r="D241" s="38">
        <v>1000000262</v>
      </c>
      <c r="E241" s="39" t="s">
        <v>514</v>
      </c>
      <c r="F241" s="40">
        <v>41971</v>
      </c>
      <c r="G241" s="22" t="str">
        <f t="shared" si="42"/>
        <v>-</v>
      </c>
      <c r="H241" s="22"/>
      <c r="I241" s="23">
        <v>0</v>
      </c>
      <c r="J241" s="23">
        <f t="shared" si="43"/>
        <v>0</v>
      </c>
      <c r="K241" s="24">
        <v>0</v>
      </c>
      <c r="L241" s="24">
        <f t="shared" si="44"/>
        <v>0</v>
      </c>
      <c r="M241" s="24" t="str">
        <f t="shared" si="45"/>
        <v>-</v>
      </c>
      <c r="N241" s="25">
        <v>0</v>
      </c>
      <c r="O241" s="26" t="str">
        <f t="shared" si="46"/>
        <v>June</v>
      </c>
      <c r="P241" s="25">
        <f t="shared" si="47"/>
        <v>0</v>
      </c>
      <c r="Q241" s="27">
        <f t="shared" si="48"/>
        <v>0</v>
      </c>
      <c r="R241" s="26" t="b">
        <f t="shared" si="49"/>
        <v>0</v>
      </c>
      <c r="S241" s="28" t="b">
        <f t="shared" si="50"/>
        <v>0</v>
      </c>
      <c r="T241" s="24">
        <v>0</v>
      </c>
      <c r="U241" s="29" t="str">
        <f t="shared" si="51"/>
        <v>May</v>
      </c>
      <c r="V241" s="24">
        <f t="shared" si="52"/>
        <v>0</v>
      </c>
      <c r="W241" s="30">
        <f t="shared" si="53"/>
        <v>0</v>
      </c>
      <c r="X241" s="31" t="b">
        <f t="shared" si="54"/>
        <v>0</v>
      </c>
      <c r="Y241" s="32" t="b">
        <f t="shared" si="55"/>
        <v>0</v>
      </c>
      <c r="Z241" s="41">
        <v>0</v>
      </c>
      <c r="AA241" s="36"/>
      <c r="AB241" s="36" t="s">
        <v>24</v>
      </c>
      <c r="AC241" s="36" t="s">
        <v>24</v>
      </c>
      <c r="AD241" s="34"/>
      <c r="AE241" s="35">
        <f>IFERROR(INDEX([1]Last6M_AvgSales_Ref!$B$2:$B$12659,MATCH(D241,[1]Last6M_AvgSales_Ref!$A$2:$A$12659,0)),"")</f>
        <v>6.6666666666666696</v>
      </c>
    </row>
    <row r="242" spans="1:31" ht="14.25" customHeight="1" x14ac:dyDescent="0.3">
      <c r="A242" s="36" t="s">
        <v>24</v>
      </c>
      <c r="B242" s="38" t="s">
        <v>504</v>
      </c>
      <c r="C242" s="38" t="s">
        <v>515</v>
      </c>
      <c r="D242" s="38">
        <v>1000000266</v>
      </c>
      <c r="E242" s="39" t="s">
        <v>516</v>
      </c>
      <c r="F242" s="40">
        <v>42522</v>
      </c>
      <c r="G242" s="22" t="str">
        <f t="shared" si="42"/>
        <v>Targeted Dealer</v>
      </c>
      <c r="H242" s="22"/>
      <c r="I242" s="23">
        <v>370</v>
      </c>
      <c r="J242" s="23">
        <f t="shared" si="43"/>
        <v>370</v>
      </c>
      <c r="K242" s="24">
        <v>462</v>
      </c>
      <c r="L242" s="24">
        <f t="shared" si="44"/>
        <v>-92</v>
      </c>
      <c r="M242" s="24">
        <f t="shared" si="45"/>
        <v>124.86486486486486</v>
      </c>
      <c r="N242" s="25">
        <v>448</v>
      </c>
      <c r="O242" s="26" t="str">
        <f t="shared" si="46"/>
        <v>June</v>
      </c>
      <c r="P242" s="25">
        <f t="shared" si="47"/>
        <v>448</v>
      </c>
      <c r="Q242" s="27">
        <f t="shared" si="48"/>
        <v>14</v>
      </c>
      <c r="R242" s="26" t="b">
        <f t="shared" si="49"/>
        <v>0</v>
      </c>
      <c r="S242" s="28" t="str">
        <f t="shared" si="50"/>
        <v>GROWTH</v>
      </c>
      <c r="T242" s="24">
        <v>225</v>
      </c>
      <c r="U242" s="29" t="str">
        <f t="shared" si="51"/>
        <v>May</v>
      </c>
      <c r="V242" s="24">
        <f t="shared" si="52"/>
        <v>225</v>
      </c>
      <c r="W242" s="30">
        <f t="shared" si="53"/>
        <v>237</v>
      </c>
      <c r="X242" s="31" t="b">
        <f t="shared" si="54"/>
        <v>0</v>
      </c>
      <c r="Y242" s="32" t="str">
        <f t="shared" si="55"/>
        <v>GROWTH</v>
      </c>
      <c r="Z242" s="41">
        <v>0</v>
      </c>
      <c r="AA242" s="36"/>
      <c r="AB242" s="36" t="s">
        <v>24</v>
      </c>
      <c r="AC242" s="36" t="s">
        <v>24</v>
      </c>
      <c r="AD242" s="34"/>
      <c r="AE242" s="35">
        <f>IFERROR(INDEX([1]Last6M_AvgSales_Ref!$B$2:$B$12659,MATCH(D242,[1]Last6M_AvgSales_Ref!$A$2:$A$12659,0)),"")</f>
        <v>463.66666666666703</v>
      </c>
    </row>
    <row r="243" spans="1:31" ht="14.25" customHeight="1" x14ac:dyDescent="0.3">
      <c r="A243" s="36" t="s">
        <v>24</v>
      </c>
      <c r="B243" s="38" t="s">
        <v>504</v>
      </c>
      <c r="C243" s="38" t="s">
        <v>517</v>
      </c>
      <c r="D243" s="38">
        <v>1000000260</v>
      </c>
      <c r="E243" s="39" t="s">
        <v>518</v>
      </c>
      <c r="F243" s="40">
        <v>43021</v>
      </c>
      <c r="G243" s="22" t="str">
        <f t="shared" si="42"/>
        <v>Targeted Dealer</v>
      </c>
      <c r="H243" s="22"/>
      <c r="I243" s="23">
        <v>80</v>
      </c>
      <c r="J243" s="23">
        <f t="shared" si="43"/>
        <v>80</v>
      </c>
      <c r="K243" s="24">
        <v>90</v>
      </c>
      <c r="L243" s="24">
        <f t="shared" si="44"/>
        <v>-10</v>
      </c>
      <c r="M243" s="24">
        <f t="shared" si="45"/>
        <v>112.5</v>
      </c>
      <c r="N243" s="25">
        <v>62</v>
      </c>
      <c r="O243" s="26" t="str">
        <f t="shared" si="46"/>
        <v>June</v>
      </c>
      <c r="P243" s="25">
        <f t="shared" si="47"/>
        <v>62</v>
      </c>
      <c r="Q243" s="27">
        <f t="shared" si="48"/>
        <v>28</v>
      </c>
      <c r="R243" s="26" t="b">
        <f t="shared" si="49"/>
        <v>0</v>
      </c>
      <c r="S243" s="28" t="str">
        <f t="shared" si="50"/>
        <v>GROWTH</v>
      </c>
      <c r="T243" s="24">
        <v>70</v>
      </c>
      <c r="U243" s="29" t="str">
        <f t="shared" si="51"/>
        <v>May</v>
      </c>
      <c r="V243" s="24">
        <f t="shared" si="52"/>
        <v>70</v>
      </c>
      <c r="W243" s="30">
        <f t="shared" si="53"/>
        <v>20</v>
      </c>
      <c r="X243" s="31" t="b">
        <f t="shared" si="54"/>
        <v>0</v>
      </c>
      <c r="Y243" s="32" t="str">
        <f t="shared" si="55"/>
        <v>GROWTH</v>
      </c>
      <c r="Z243" s="41">
        <v>0</v>
      </c>
      <c r="AA243" s="36"/>
      <c r="AB243" s="36" t="s">
        <v>24</v>
      </c>
      <c r="AC243" s="36" t="s">
        <v>24</v>
      </c>
      <c r="AD243" s="34"/>
      <c r="AE243" s="35">
        <f>IFERROR(INDEX([1]Last6M_AvgSales_Ref!$B$2:$B$12659,MATCH(D243,[1]Last6M_AvgSales_Ref!$A$2:$A$12659,0)),"")</f>
        <v>85.5</v>
      </c>
    </row>
    <row r="244" spans="1:31" ht="14.25" customHeight="1" x14ac:dyDescent="0.3">
      <c r="A244" s="36" t="s">
        <v>24</v>
      </c>
      <c r="B244" s="38" t="s">
        <v>504</v>
      </c>
      <c r="C244" s="38" t="s">
        <v>519</v>
      </c>
      <c r="D244" s="38">
        <v>1000000839</v>
      </c>
      <c r="E244" s="39" t="s">
        <v>520</v>
      </c>
      <c r="F244" s="40">
        <v>43623</v>
      </c>
      <c r="G244" s="22" t="str">
        <f t="shared" si="42"/>
        <v>Targeted Dealer</v>
      </c>
      <c r="H244" s="22"/>
      <c r="I244" s="23">
        <v>50</v>
      </c>
      <c r="J244" s="23">
        <f t="shared" si="43"/>
        <v>50</v>
      </c>
      <c r="K244" s="24">
        <v>50</v>
      </c>
      <c r="L244" s="24">
        <f t="shared" si="44"/>
        <v>0</v>
      </c>
      <c r="M244" s="24">
        <f t="shared" si="45"/>
        <v>100</v>
      </c>
      <c r="N244" s="25">
        <v>30</v>
      </c>
      <c r="O244" s="26" t="str">
        <f t="shared" si="46"/>
        <v>June</v>
      </c>
      <c r="P244" s="25">
        <f t="shared" si="47"/>
        <v>30</v>
      </c>
      <c r="Q244" s="27">
        <f t="shared" si="48"/>
        <v>20</v>
      </c>
      <c r="R244" s="26" t="b">
        <f t="shared" si="49"/>
        <v>0</v>
      </c>
      <c r="S244" s="28" t="str">
        <f t="shared" si="50"/>
        <v>GROWTH</v>
      </c>
      <c r="T244" s="24">
        <v>70</v>
      </c>
      <c r="U244" s="29" t="str">
        <f t="shared" si="51"/>
        <v>May</v>
      </c>
      <c r="V244" s="24">
        <f t="shared" si="52"/>
        <v>70</v>
      </c>
      <c r="W244" s="30">
        <f t="shared" si="53"/>
        <v>-20</v>
      </c>
      <c r="X244" s="31" t="b">
        <f t="shared" si="54"/>
        <v>0</v>
      </c>
      <c r="Y244" s="32" t="str">
        <f t="shared" si="55"/>
        <v>GROWTH</v>
      </c>
      <c r="Z244" s="41">
        <v>0</v>
      </c>
      <c r="AA244" s="36"/>
      <c r="AB244" s="36" t="s">
        <v>24</v>
      </c>
      <c r="AC244" s="36" t="s">
        <v>24</v>
      </c>
      <c r="AD244" s="34"/>
      <c r="AE244" s="35">
        <f>IFERROR(INDEX([1]Last6M_AvgSales_Ref!$B$2:$B$12659,MATCH(D244,[1]Last6M_AvgSales_Ref!$A$2:$A$12659,0)),"")</f>
        <v>35.8333333333333</v>
      </c>
    </row>
    <row r="245" spans="1:31" ht="14.25" customHeight="1" x14ac:dyDescent="0.3">
      <c r="A245" s="36" t="s">
        <v>24</v>
      </c>
      <c r="B245" s="38" t="s">
        <v>504</v>
      </c>
      <c r="C245" s="38" t="s">
        <v>521</v>
      </c>
      <c r="D245" s="38">
        <v>1000000256</v>
      </c>
      <c r="E245" s="39" t="s">
        <v>522</v>
      </c>
      <c r="F245" s="40">
        <v>43754</v>
      </c>
      <c r="G245" s="22" t="str">
        <f t="shared" si="42"/>
        <v>Targeted Dealer</v>
      </c>
      <c r="H245" s="22"/>
      <c r="I245" s="23">
        <v>30</v>
      </c>
      <c r="J245" s="23">
        <f t="shared" si="43"/>
        <v>30</v>
      </c>
      <c r="K245" s="24">
        <v>30</v>
      </c>
      <c r="L245" s="24">
        <f t="shared" si="44"/>
        <v>0</v>
      </c>
      <c r="M245" s="24">
        <f t="shared" si="45"/>
        <v>100</v>
      </c>
      <c r="N245" s="25">
        <v>0</v>
      </c>
      <c r="O245" s="26" t="str">
        <f t="shared" si="46"/>
        <v>June</v>
      </c>
      <c r="P245" s="25">
        <f t="shared" si="47"/>
        <v>0</v>
      </c>
      <c r="Q245" s="27">
        <f t="shared" si="48"/>
        <v>30</v>
      </c>
      <c r="R245" s="26" t="b">
        <f t="shared" si="49"/>
        <v>0</v>
      </c>
      <c r="S245" s="28" t="b">
        <f t="shared" si="50"/>
        <v>0</v>
      </c>
      <c r="T245" s="24">
        <v>50</v>
      </c>
      <c r="U245" s="29" t="str">
        <f t="shared" si="51"/>
        <v>May</v>
      </c>
      <c r="V245" s="24">
        <f t="shared" si="52"/>
        <v>50</v>
      </c>
      <c r="W245" s="30">
        <f t="shared" si="53"/>
        <v>-20</v>
      </c>
      <c r="X245" s="31" t="b">
        <f t="shared" si="54"/>
        <v>0</v>
      </c>
      <c r="Y245" s="32" t="str">
        <f t="shared" si="55"/>
        <v>GROWTH</v>
      </c>
      <c r="Z245" s="41">
        <v>0</v>
      </c>
      <c r="AA245" s="36"/>
      <c r="AB245" s="36" t="s">
        <v>24</v>
      </c>
      <c r="AC245" s="36" t="s">
        <v>24</v>
      </c>
      <c r="AD245" s="34"/>
      <c r="AE245" s="35">
        <f>IFERROR(INDEX([1]Last6M_AvgSales_Ref!$B$2:$B$12659,MATCH(D245,[1]Last6M_AvgSales_Ref!$A$2:$A$12659,0)),"")</f>
        <v>27.5</v>
      </c>
    </row>
    <row r="246" spans="1:31" ht="14.25" customHeight="1" x14ac:dyDescent="0.3">
      <c r="A246" s="36" t="s">
        <v>24</v>
      </c>
      <c r="B246" s="38" t="s">
        <v>504</v>
      </c>
      <c r="C246" s="38" t="s">
        <v>523</v>
      </c>
      <c r="D246" s="38">
        <v>1000000265</v>
      </c>
      <c r="E246" s="39" t="s">
        <v>524</v>
      </c>
      <c r="F246" s="40">
        <v>43893</v>
      </c>
      <c r="G246" s="22" t="str">
        <f t="shared" si="42"/>
        <v>Targeted Dealer</v>
      </c>
      <c r="H246" s="22"/>
      <c r="I246" s="23">
        <v>20</v>
      </c>
      <c r="J246" s="23">
        <f t="shared" si="43"/>
        <v>20</v>
      </c>
      <c r="K246" s="24">
        <v>0</v>
      </c>
      <c r="L246" s="24">
        <f t="shared" si="44"/>
        <v>20</v>
      </c>
      <c r="M246" s="24">
        <f t="shared" si="45"/>
        <v>0</v>
      </c>
      <c r="N246" s="25">
        <v>20</v>
      </c>
      <c r="O246" s="26" t="str">
        <f t="shared" si="46"/>
        <v>June</v>
      </c>
      <c r="P246" s="25">
        <f t="shared" si="47"/>
        <v>20</v>
      </c>
      <c r="Q246" s="27">
        <f t="shared" si="48"/>
        <v>-20</v>
      </c>
      <c r="R246" s="26" t="b">
        <f t="shared" si="49"/>
        <v>0</v>
      </c>
      <c r="S246" s="28" t="str">
        <f t="shared" si="50"/>
        <v>GROWTH</v>
      </c>
      <c r="T246" s="24">
        <v>20</v>
      </c>
      <c r="U246" s="29" t="str">
        <f t="shared" si="51"/>
        <v>May</v>
      </c>
      <c r="V246" s="24">
        <f t="shared" si="52"/>
        <v>20</v>
      </c>
      <c r="W246" s="30">
        <f t="shared" si="53"/>
        <v>-20</v>
      </c>
      <c r="X246" s="31" t="b">
        <f t="shared" si="54"/>
        <v>0</v>
      </c>
      <c r="Y246" s="32" t="str">
        <f t="shared" si="55"/>
        <v>GROWTH</v>
      </c>
      <c r="Z246" s="41">
        <v>0</v>
      </c>
      <c r="AA246" s="36"/>
      <c r="AB246" s="36" t="s">
        <v>24</v>
      </c>
      <c r="AC246" s="36" t="s">
        <v>24</v>
      </c>
      <c r="AD246" s="34"/>
      <c r="AE246" s="35">
        <f>IFERROR(INDEX([1]Last6M_AvgSales_Ref!$B$2:$B$12659,MATCH(D246,[1]Last6M_AvgSales_Ref!$A$2:$A$12659,0)),"")</f>
        <v>20</v>
      </c>
    </row>
    <row r="247" spans="1:31" ht="14.25" customHeight="1" x14ac:dyDescent="0.3">
      <c r="A247" s="36" t="s">
        <v>24</v>
      </c>
      <c r="B247" s="38" t="s">
        <v>504</v>
      </c>
      <c r="C247" s="38" t="s">
        <v>525</v>
      </c>
      <c r="D247" s="38">
        <v>1000000258</v>
      </c>
      <c r="E247" s="39" t="s">
        <v>526</v>
      </c>
      <c r="F247" s="40">
        <v>44001</v>
      </c>
      <c r="G247" s="22" t="str">
        <f t="shared" si="42"/>
        <v>Targeted Dealer</v>
      </c>
      <c r="H247" s="22"/>
      <c r="I247" s="23">
        <v>80</v>
      </c>
      <c r="J247" s="23">
        <f t="shared" si="43"/>
        <v>80</v>
      </c>
      <c r="K247" s="24">
        <v>90</v>
      </c>
      <c r="L247" s="24">
        <f t="shared" si="44"/>
        <v>-10</v>
      </c>
      <c r="M247" s="24">
        <f t="shared" si="45"/>
        <v>112.5</v>
      </c>
      <c r="N247" s="25">
        <v>90</v>
      </c>
      <c r="O247" s="26" t="str">
        <f t="shared" si="46"/>
        <v>June</v>
      </c>
      <c r="P247" s="25">
        <f t="shared" si="47"/>
        <v>90</v>
      </c>
      <c r="Q247" s="27">
        <f t="shared" si="48"/>
        <v>0</v>
      </c>
      <c r="R247" s="26" t="b">
        <f t="shared" si="49"/>
        <v>0</v>
      </c>
      <c r="S247" s="28" t="str">
        <f t="shared" si="50"/>
        <v>GROWTH</v>
      </c>
      <c r="T247" s="24">
        <v>74</v>
      </c>
      <c r="U247" s="29" t="str">
        <f t="shared" si="51"/>
        <v>May</v>
      </c>
      <c r="V247" s="24">
        <f t="shared" si="52"/>
        <v>74</v>
      </c>
      <c r="W247" s="30">
        <f t="shared" si="53"/>
        <v>16</v>
      </c>
      <c r="X247" s="31" t="b">
        <f t="shared" si="54"/>
        <v>0</v>
      </c>
      <c r="Y247" s="32" t="str">
        <f t="shared" si="55"/>
        <v>GROWTH</v>
      </c>
      <c r="Z247" s="41">
        <v>0</v>
      </c>
      <c r="AA247" s="36"/>
      <c r="AB247" s="36" t="s">
        <v>24</v>
      </c>
      <c r="AC247" s="36" t="s">
        <v>24</v>
      </c>
      <c r="AD247" s="34"/>
      <c r="AE247" s="35">
        <f>IFERROR(INDEX([1]Last6M_AvgSales_Ref!$B$2:$B$12659,MATCH(D247,[1]Last6M_AvgSales_Ref!$A$2:$A$12659,0)),"")</f>
        <v>83.3333333333333</v>
      </c>
    </row>
    <row r="248" spans="1:31" ht="14.25" customHeight="1" x14ac:dyDescent="0.3">
      <c r="A248" s="36" t="s">
        <v>24</v>
      </c>
      <c r="B248" s="38" t="s">
        <v>504</v>
      </c>
      <c r="C248" s="38" t="s">
        <v>527</v>
      </c>
      <c r="D248" s="38">
        <v>1000000279</v>
      </c>
      <c r="E248" s="39" t="s">
        <v>528</v>
      </c>
      <c r="F248" s="40">
        <v>44144</v>
      </c>
      <c r="G248" s="22" t="str">
        <f t="shared" si="42"/>
        <v>Targeted Dealer</v>
      </c>
      <c r="H248" s="22"/>
      <c r="I248" s="23">
        <v>20</v>
      </c>
      <c r="J248" s="23">
        <f t="shared" si="43"/>
        <v>20</v>
      </c>
      <c r="K248" s="24">
        <v>20</v>
      </c>
      <c r="L248" s="24">
        <f t="shared" si="44"/>
        <v>0</v>
      </c>
      <c r="M248" s="24">
        <f t="shared" si="45"/>
        <v>100</v>
      </c>
      <c r="N248" s="25">
        <v>40</v>
      </c>
      <c r="O248" s="26" t="str">
        <f t="shared" si="46"/>
        <v>June</v>
      </c>
      <c r="P248" s="25">
        <f t="shared" si="47"/>
        <v>40</v>
      </c>
      <c r="Q248" s="27">
        <f t="shared" si="48"/>
        <v>-20</v>
      </c>
      <c r="R248" s="26" t="b">
        <f t="shared" si="49"/>
        <v>0</v>
      </c>
      <c r="S248" s="28" t="str">
        <f t="shared" si="50"/>
        <v>GROWTH</v>
      </c>
      <c r="T248" s="24">
        <v>40</v>
      </c>
      <c r="U248" s="29" t="str">
        <f t="shared" si="51"/>
        <v>May</v>
      </c>
      <c r="V248" s="24">
        <f t="shared" si="52"/>
        <v>40</v>
      </c>
      <c r="W248" s="30">
        <f t="shared" si="53"/>
        <v>-20</v>
      </c>
      <c r="X248" s="31" t="b">
        <f t="shared" si="54"/>
        <v>0</v>
      </c>
      <c r="Y248" s="32" t="str">
        <f t="shared" si="55"/>
        <v>GROWTH</v>
      </c>
      <c r="Z248" s="41">
        <v>0</v>
      </c>
      <c r="AA248" s="36"/>
      <c r="AB248" s="36" t="s">
        <v>24</v>
      </c>
      <c r="AC248" s="36" t="s">
        <v>24</v>
      </c>
      <c r="AD248" s="34"/>
      <c r="AE248" s="35">
        <f>IFERROR(INDEX([1]Last6M_AvgSales_Ref!$B$2:$B$12659,MATCH(D248,[1]Last6M_AvgSales_Ref!$A$2:$A$12659,0)),"")</f>
        <v>33.1666666666667</v>
      </c>
    </row>
    <row r="249" spans="1:31" ht="14.25" customHeight="1" x14ac:dyDescent="0.3">
      <c r="A249" s="36" t="s">
        <v>24</v>
      </c>
      <c r="B249" s="38" t="s">
        <v>504</v>
      </c>
      <c r="C249" s="38" t="s">
        <v>529</v>
      </c>
      <c r="D249" s="38">
        <v>1000000272</v>
      </c>
      <c r="E249" s="39" t="s">
        <v>530</v>
      </c>
      <c r="F249" s="40">
        <v>44321</v>
      </c>
      <c r="G249" s="22" t="str">
        <f t="shared" si="42"/>
        <v>Targeted Dealer</v>
      </c>
      <c r="H249" s="22"/>
      <c r="I249" s="23">
        <v>130</v>
      </c>
      <c r="J249" s="23">
        <f t="shared" si="43"/>
        <v>130</v>
      </c>
      <c r="K249" s="24">
        <v>170</v>
      </c>
      <c r="L249" s="24">
        <f t="shared" si="44"/>
        <v>-40</v>
      </c>
      <c r="M249" s="24">
        <f t="shared" si="45"/>
        <v>130.76923076923077</v>
      </c>
      <c r="N249" s="25">
        <v>75</v>
      </c>
      <c r="O249" s="26" t="str">
        <f t="shared" si="46"/>
        <v>June</v>
      </c>
      <c r="P249" s="25">
        <f t="shared" si="47"/>
        <v>75</v>
      </c>
      <c r="Q249" s="27">
        <f t="shared" si="48"/>
        <v>95</v>
      </c>
      <c r="R249" s="26" t="b">
        <f t="shared" si="49"/>
        <v>0</v>
      </c>
      <c r="S249" s="28" t="str">
        <f t="shared" si="50"/>
        <v>GROWTH</v>
      </c>
      <c r="T249" s="24">
        <v>120</v>
      </c>
      <c r="U249" s="29" t="str">
        <f t="shared" si="51"/>
        <v>May</v>
      </c>
      <c r="V249" s="24">
        <f t="shared" si="52"/>
        <v>120</v>
      </c>
      <c r="W249" s="30">
        <f t="shared" si="53"/>
        <v>50</v>
      </c>
      <c r="X249" s="31" t="b">
        <f t="shared" si="54"/>
        <v>0</v>
      </c>
      <c r="Y249" s="32" t="str">
        <f t="shared" si="55"/>
        <v>GROWTH</v>
      </c>
      <c r="Z249" s="41">
        <v>0</v>
      </c>
      <c r="AA249" s="36"/>
      <c r="AB249" s="36" t="s">
        <v>24</v>
      </c>
      <c r="AC249" s="36" t="s">
        <v>24</v>
      </c>
      <c r="AD249" s="34"/>
      <c r="AE249" s="35">
        <f>IFERROR(INDEX([1]Last6M_AvgSales_Ref!$B$2:$B$12659,MATCH(D249,[1]Last6M_AvgSales_Ref!$A$2:$A$12659,0)),"")</f>
        <v>123.833333333333</v>
      </c>
    </row>
    <row r="250" spans="1:31" ht="14.25" customHeight="1" x14ac:dyDescent="0.3">
      <c r="A250" s="36" t="s">
        <v>24</v>
      </c>
      <c r="B250" s="38" t="s">
        <v>504</v>
      </c>
      <c r="C250" s="38" t="s">
        <v>531</v>
      </c>
      <c r="D250" s="38">
        <v>1000000278</v>
      </c>
      <c r="E250" s="39" t="s">
        <v>532</v>
      </c>
      <c r="F250" s="40">
        <v>44468</v>
      </c>
      <c r="G250" s="22" t="str">
        <f t="shared" si="42"/>
        <v>Targeted Dealer</v>
      </c>
      <c r="H250" s="22"/>
      <c r="I250" s="23">
        <v>20</v>
      </c>
      <c r="J250" s="23">
        <f t="shared" si="43"/>
        <v>20</v>
      </c>
      <c r="K250" s="24">
        <v>15</v>
      </c>
      <c r="L250" s="24">
        <f t="shared" si="44"/>
        <v>5</v>
      </c>
      <c r="M250" s="24">
        <f t="shared" si="45"/>
        <v>75</v>
      </c>
      <c r="N250" s="25">
        <v>0</v>
      </c>
      <c r="O250" s="26" t="str">
        <f t="shared" si="46"/>
        <v>June</v>
      </c>
      <c r="P250" s="25">
        <f t="shared" si="47"/>
        <v>0</v>
      </c>
      <c r="Q250" s="27">
        <f t="shared" si="48"/>
        <v>15</v>
      </c>
      <c r="R250" s="26" t="b">
        <f t="shared" si="49"/>
        <v>0</v>
      </c>
      <c r="S250" s="28" t="b">
        <f t="shared" si="50"/>
        <v>0</v>
      </c>
      <c r="T250" s="24">
        <v>15</v>
      </c>
      <c r="U250" s="29" t="str">
        <f t="shared" si="51"/>
        <v>May</v>
      </c>
      <c r="V250" s="24">
        <f t="shared" si="52"/>
        <v>15</v>
      </c>
      <c r="W250" s="30">
        <f t="shared" si="53"/>
        <v>0</v>
      </c>
      <c r="X250" s="31" t="b">
        <f t="shared" si="54"/>
        <v>0</v>
      </c>
      <c r="Y250" s="32" t="str">
        <f t="shared" si="55"/>
        <v>GROWTH</v>
      </c>
      <c r="Z250" s="41">
        <v>0</v>
      </c>
      <c r="AA250" s="36"/>
      <c r="AB250" s="36" t="s">
        <v>24</v>
      </c>
      <c r="AC250" s="36" t="s">
        <v>24</v>
      </c>
      <c r="AD250" s="34"/>
      <c r="AE250" s="35">
        <f>IFERROR(INDEX([1]Last6M_AvgSales_Ref!$B$2:$B$12659,MATCH(D250,[1]Last6M_AvgSales_Ref!$A$2:$A$12659,0)),"")</f>
        <v>6.6666666666666696</v>
      </c>
    </row>
    <row r="251" spans="1:31" ht="14.25" customHeight="1" x14ac:dyDescent="0.3">
      <c r="A251" s="36" t="s">
        <v>24</v>
      </c>
      <c r="B251" s="38" t="s">
        <v>504</v>
      </c>
      <c r="C251" s="38" t="s">
        <v>533</v>
      </c>
      <c r="D251" s="38">
        <v>1000000270</v>
      </c>
      <c r="E251" s="39" t="s">
        <v>534</v>
      </c>
      <c r="F251" s="40">
        <v>44494</v>
      </c>
      <c r="G251" s="22" t="str">
        <f t="shared" si="42"/>
        <v>Targeted Dealer</v>
      </c>
      <c r="H251" s="22"/>
      <c r="I251" s="23">
        <v>150</v>
      </c>
      <c r="J251" s="23">
        <f t="shared" si="43"/>
        <v>150</v>
      </c>
      <c r="K251" s="24">
        <v>160</v>
      </c>
      <c r="L251" s="24">
        <f t="shared" si="44"/>
        <v>-10</v>
      </c>
      <c r="M251" s="24">
        <f t="shared" si="45"/>
        <v>106.66666666666667</v>
      </c>
      <c r="N251" s="25">
        <v>190</v>
      </c>
      <c r="O251" s="26" t="str">
        <f t="shared" si="46"/>
        <v>June</v>
      </c>
      <c r="P251" s="25">
        <f t="shared" si="47"/>
        <v>190</v>
      </c>
      <c r="Q251" s="27">
        <f t="shared" si="48"/>
        <v>-30</v>
      </c>
      <c r="R251" s="26" t="b">
        <f t="shared" si="49"/>
        <v>0</v>
      </c>
      <c r="S251" s="28" t="str">
        <f t="shared" si="50"/>
        <v>GROWTH</v>
      </c>
      <c r="T251" s="24">
        <v>131</v>
      </c>
      <c r="U251" s="29" t="str">
        <f t="shared" si="51"/>
        <v>May</v>
      </c>
      <c r="V251" s="24">
        <f t="shared" si="52"/>
        <v>131</v>
      </c>
      <c r="W251" s="30">
        <f t="shared" si="53"/>
        <v>29</v>
      </c>
      <c r="X251" s="31" t="b">
        <f t="shared" si="54"/>
        <v>0</v>
      </c>
      <c r="Y251" s="32" t="str">
        <f t="shared" si="55"/>
        <v>GROWTH</v>
      </c>
      <c r="Z251" s="41">
        <v>0</v>
      </c>
      <c r="AA251" s="36"/>
      <c r="AB251" s="36" t="s">
        <v>24</v>
      </c>
      <c r="AC251" s="36" t="s">
        <v>24</v>
      </c>
      <c r="AD251" s="34"/>
      <c r="AE251" s="35">
        <f>IFERROR(INDEX([1]Last6M_AvgSales_Ref!$B$2:$B$12659,MATCH(D251,[1]Last6M_AvgSales_Ref!$A$2:$A$12659,0)),"")</f>
        <v>192.5</v>
      </c>
    </row>
    <row r="252" spans="1:31" ht="14.25" customHeight="1" x14ac:dyDescent="0.3">
      <c r="A252" s="36" t="s">
        <v>24</v>
      </c>
      <c r="B252" s="38" t="s">
        <v>535</v>
      </c>
      <c r="C252" s="38" t="s">
        <v>536</v>
      </c>
      <c r="D252" s="38">
        <v>1000000718</v>
      </c>
      <c r="E252" s="39" t="s">
        <v>537</v>
      </c>
      <c r="F252" s="40">
        <v>38642</v>
      </c>
      <c r="G252" s="22" t="str">
        <f t="shared" si="42"/>
        <v>Targeted Dealer</v>
      </c>
      <c r="H252" s="22"/>
      <c r="I252" s="23">
        <v>1095</v>
      </c>
      <c r="J252" s="23">
        <f t="shared" si="43"/>
        <v>1095</v>
      </c>
      <c r="K252" s="24">
        <v>1019.5</v>
      </c>
      <c r="L252" s="24">
        <f t="shared" si="44"/>
        <v>75.5</v>
      </c>
      <c r="M252" s="24">
        <f t="shared" si="45"/>
        <v>93.105022831050235</v>
      </c>
      <c r="N252" s="25">
        <v>951.5</v>
      </c>
      <c r="O252" s="26" t="str">
        <f t="shared" si="46"/>
        <v>June</v>
      </c>
      <c r="P252" s="25">
        <f t="shared" si="47"/>
        <v>951.5</v>
      </c>
      <c r="Q252" s="27">
        <f t="shared" si="48"/>
        <v>68</v>
      </c>
      <c r="R252" s="26" t="b">
        <f t="shared" si="49"/>
        <v>0</v>
      </c>
      <c r="S252" s="28" t="str">
        <f t="shared" si="50"/>
        <v>GROWTH</v>
      </c>
      <c r="T252" s="24">
        <v>1005</v>
      </c>
      <c r="U252" s="29" t="str">
        <f t="shared" si="51"/>
        <v>May</v>
      </c>
      <c r="V252" s="24">
        <f t="shared" si="52"/>
        <v>1005</v>
      </c>
      <c r="W252" s="30">
        <f t="shared" si="53"/>
        <v>14.5</v>
      </c>
      <c r="X252" s="31" t="b">
        <f t="shared" si="54"/>
        <v>0</v>
      </c>
      <c r="Y252" s="32" t="str">
        <f t="shared" si="55"/>
        <v>GROWTH</v>
      </c>
      <c r="Z252" s="41">
        <v>0</v>
      </c>
      <c r="AA252" s="36"/>
      <c r="AB252" s="36" t="s">
        <v>24</v>
      </c>
      <c r="AC252" s="36" t="s">
        <v>24</v>
      </c>
      <c r="AD252" s="34"/>
      <c r="AE252" s="35">
        <f>IFERROR(INDEX([1]Last6M_AvgSales_Ref!$B$2:$B$12659,MATCH(D252,[1]Last6M_AvgSales_Ref!$A$2:$A$12659,0)),"")</f>
        <v>1094.5833333333301</v>
      </c>
    </row>
    <row r="253" spans="1:31" ht="14.25" customHeight="1" x14ac:dyDescent="0.3">
      <c r="A253" s="36" t="s">
        <v>24</v>
      </c>
      <c r="B253" s="38" t="s">
        <v>535</v>
      </c>
      <c r="C253" s="38" t="s">
        <v>538</v>
      </c>
      <c r="D253" s="38">
        <v>1000000707</v>
      </c>
      <c r="E253" s="39" t="s">
        <v>539</v>
      </c>
      <c r="F253" s="40">
        <v>38687</v>
      </c>
      <c r="G253" s="22" t="str">
        <f t="shared" si="42"/>
        <v>Targeted Dealer</v>
      </c>
      <c r="H253" s="22"/>
      <c r="I253" s="23">
        <v>1085</v>
      </c>
      <c r="J253" s="23">
        <f t="shared" si="43"/>
        <v>1085</v>
      </c>
      <c r="K253" s="24">
        <v>2026.75</v>
      </c>
      <c r="L253" s="24">
        <f t="shared" si="44"/>
        <v>-941.75</v>
      </c>
      <c r="M253" s="24">
        <f t="shared" si="45"/>
        <v>186.79723502304148</v>
      </c>
      <c r="N253" s="25">
        <v>1871.55</v>
      </c>
      <c r="O253" s="26" t="str">
        <f t="shared" si="46"/>
        <v>June</v>
      </c>
      <c r="P253" s="25">
        <f t="shared" si="47"/>
        <v>1871.55</v>
      </c>
      <c r="Q253" s="27">
        <f t="shared" si="48"/>
        <v>155.20000000000005</v>
      </c>
      <c r="R253" s="26" t="b">
        <f t="shared" si="49"/>
        <v>0</v>
      </c>
      <c r="S253" s="28" t="str">
        <f t="shared" si="50"/>
        <v>GROWTH</v>
      </c>
      <c r="T253" s="24">
        <v>1029</v>
      </c>
      <c r="U253" s="29" t="str">
        <f t="shared" si="51"/>
        <v>May</v>
      </c>
      <c r="V253" s="24">
        <f t="shared" si="52"/>
        <v>1029</v>
      </c>
      <c r="W253" s="30">
        <f t="shared" si="53"/>
        <v>997.75</v>
      </c>
      <c r="X253" s="31" t="b">
        <f t="shared" si="54"/>
        <v>0</v>
      </c>
      <c r="Y253" s="32" t="str">
        <f t="shared" si="55"/>
        <v>GROWTH</v>
      </c>
      <c r="Z253" s="41">
        <v>0</v>
      </c>
      <c r="AA253" s="36"/>
      <c r="AB253" s="36" t="s">
        <v>24</v>
      </c>
      <c r="AC253" s="36" t="s">
        <v>24</v>
      </c>
      <c r="AD253" s="34"/>
      <c r="AE253" s="35">
        <f>IFERROR(INDEX([1]Last6M_AvgSales_Ref!$B$2:$B$12659,MATCH(D253,[1]Last6M_AvgSales_Ref!$A$2:$A$12659,0)),"")</f>
        <v>2003.7750000000001</v>
      </c>
    </row>
    <row r="254" spans="1:31" ht="14.25" customHeight="1" x14ac:dyDescent="0.3">
      <c r="A254" s="36" t="s">
        <v>24</v>
      </c>
      <c r="B254" s="38" t="s">
        <v>535</v>
      </c>
      <c r="C254" s="38" t="s">
        <v>540</v>
      </c>
      <c r="D254" s="38">
        <v>1000000719</v>
      </c>
      <c r="E254" s="39" t="s">
        <v>541</v>
      </c>
      <c r="F254" s="40">
        <v>40081</v>
      </c>
      <c r="G254" s="22" t="str">
        <f t="shared" si="42"/>
        <v>Targeted Dealer</v>
      </c>
      <c r="H254" s="22"/>
      <c r="I254" s="23">
        <v>105</v>
      </c>
      <c r="J254" s="23">
        <f t="shared" si="43"/>
        <v>105</v>
      </c>
      <c r="K254" s="24">
        <v>0</v>
      </c>
      <c r="L254" s="24">
        <f t="shared" si="44"/>
        <v>105</v>
      </c>
      <c r="M254" s="24">
        <f t="shared" si="45"/>
        <v>0</v>
      </c>
      <c r="N254" s="25">
        <v>0</v>
      </c>
      <c r="O254" s="26" t="str">
        <f t="shared" si="46"/>
        <v>June</v>
      </c>
      <c r="P254" s="25">
        <f t="shared" si="47"/>
        <v>0</v>
      </c>
      <c r="Q254" s="27">
        <f t="shared" si="48"/>
        <v>0</v>
      </c>
      <c r="R254" s="26" t="b">
        <f t="shared" si="49"/>
        <v>0</v>
      </c>
      <c r="S254" s="28" t="b">
        <f t="shared" si="50"/>
        <v>0</v>
      </c>
      <c r="T254" s="24">
        <v>0</v>
      </c>
      <c r="U254" s="29" t="str">
        <f t="shared" si="51"/>
        <v>May</v>
      </c>
      <c r="V254" s="24">
        <f t="shared" si="52"/>
        <v>0</v>
      </c>
      <c r="W254" s="30">
        <f t="shared" si="53"/>
        <v>0</v>
      </c>
      <c r="X254" s="31" t="b">
        <f t="shared" si="54"/>
        <v>0</v>
      </c>
      <c r="Y254" s="32" t="b">
        <f t="shared" si="55"/>
        <v>0</v>
      </c>
      <c r="Z254" s="41">
        <v>0</v>
      </c>
      <c r="AA254" s="36"/>
      <c r="AB254" s="36" t="s">
        <v>24</v>
      </c>
      <c r="AC254" s="36" t="s">
        <v>24</v>
      </c>
      <c r="AD254" s="34"/>
      <c r="AE254" s="35">
        <f>IFERROR(INDEX([1]Last6M_AvgSales_Ref!$B$2:$B$12659,MATCH(D254,[1]Last6M_AvgSales_Ref!$A$2:$A$12659,0)),"")</f>
        <v>16.3333333333333</v>
      </c>
    </row>
    <row r="255" spans="1:31" ht="14.25" customHeight="1" x14ac:dyDescent="0.3">
      <c r="A255" s="36" t="s">
        <v>24</v>
      </c>
      <c r="B255" s="38" t="s">
        <v>535</v>
      </c>
      <c r="C255" s="38" t="s">
        <v>542</v>
      </c>
      <c r="D255" s="38">
        <v>1000000720</v>
      </c>
      <c r="E255" s="39" t="s">
        <v>543</v>
      </c>
      <c r="F255" s="40">
        <v>41537</v>
      </c>
      <c r="G255" s="22" t="str">
        <f t="shared" si="42"/>
        <v>Targeted Dealer</v>
      </c>
      <c r="H255" s="22"/>
      <c r="I255" s="23">
        <v>175</v>
      </c>
      <c r="J255" s="23">
        <f t="shared" si="43"/>
        <v>175</v>
      </c>
      <c r="K255" s="24">
        <v>210</v>
      </c>
      <c r="L255" s="24">
        <f t="shared" si="44"/>
        <v>-35</v>
      </c>
      <c r="M255" s="24">
        <f t="shared" si="45"/>
        <v>120</v>
      </c>
      <c r="N255" s="25">
        <v>95</v>
      </c>
      <c r="O255" s="26" t="str">
        <f t="shared" si="46"/>
        <v>June</v>
      </c>
      <c r="P255" s="25">
        <f t="shared" si="47"/>
        <v>95</v>
      </c>
      <c r="Q255" s="27">
        <f t="shared" si="48"/>
        <v>115</v>
      </c>
      <c r="R255" s="26" t="b">
        <f t="shared" si="49"/>
        <v>0</v>
      </c>
      <c r="S255" s="28" t="str">
        <f t="shared" si="50"/>
        <v>GROWTH</v>
      </c>
      <c r="T255" s="24">
        <v>172.5</v>
      </c>
      <c r="U255" s="29" t="str">
        <f t="shared" si="51"/>
        <v>May</v>
      </c>
      <c r="V255" s="24">
        <f t="shared" si="52"/>
        <v>172.5</v>
      </c>
      <c r="W255" s="30">
        <f t="shared" si="53"/>
        <v>37.5</v>
      </c>
      <c r="X255" s="31" t="b">
        <f t="shared" si="54"/>
        <v>0</v>
      </c>
      <c r="Y255" s="32" t="str">
        <f t="shared" si="55"/>
        <v>GROWTH</v>
      </c>
      <c r="Z255" s="41">
        <v>0</v>
      </c>
      <c r="AA255" s="36"/>
      <c r="AB255" s="36" t="s">
        <v>24</v>
      </c>
      <c r="AC255" s="36" t="s">
        <v>24</v>
      </c>
      <c r="AD255" s="34"/>
      <c r="AE255" s="35">
        <f>IFERROR(INDEX([1]Last6M_AvgSales_Ref!$B$2:$B$12659,MATCH(D255,[1]Last6M_AvgSales_Ref!$A$2:$A$12659,0)),"")</f>
        <v>151.166666666667</v>
      </c>
    </row>
    <row r="256" spans="1:31" ht="14.25" customHeight="1" x14ac:dyDescent="0.3">
      <c r="A256" s="36" t="s">
        <v>24</v>
      </c>
      <c r="B256" s="38" t="s">
        <v>535</v>
      </c>
      <c r="C256" s="38" t="s">
        <v>544</v>
      </c>
      <c r="D256" s="38">
        <v>1000000716</v>
      </c>
      <c r="E256" s="39" t="s">
        <v>545</v>
      </c>
      <c r="F256" s="40">
        <v>42580</v>
      </c>
      <c r="G256" s="22" t="str">
        <f t="shared" si="42"/>
        <v>Targeted Dealer</v>
      </c>
      <c r="H256" s="22"/>
      <c r="I256" s="23">
        <v>900</v>
      </c>
      <c r="J256" s="23">
        <f t="shared" si="43"/>
        <v>900</v>
      </c>
      <c r="K256" s="24">
        <v>1129.5</v>
      </c>
      <c r="L256" s="24">
        <f t="shared" si="44"/>
        <v>-229.5</v>
      </c>
      <c r="M256" s="24">
        <f t="shared" si="45"/>
        <v>125.5</v>
      </c>
      <c r="N256" s="25">
        <v>1014.5</v>
      </c>
      <c r="O256" s="26" t="str">
        <f t="shared" si="46"/>
        <v>June</v>
      </c>
      <c r="P256" s="25">
        <f t="shared" si="47"/>
        <v>1014.5</v>
      </c>
      <c r="Q256" s="27">
        <f t="shared" si="48"/>
        <v>115</v>
      </c>
      <c r="R256" s="26" t="b">
        <f t="shared" si="49"/>
        <v>0</v>
      </c>
      <c r="S256" s="28" t="str">
        <f t="shared" si="50"/>
        <v>GROWTH</v>
      </c>
      <c r="T256" s="24">
        <v>890</v>
      </c>
      <c r="U256" s="29" t="str">
        <f t="shared" si="51"/>
        <v>May</v>
      </c>
      <c r="V256" s="24">
        <f t="shared" si="52"/>
        <v>890</v>
      </c>
      <c r="W256" s="30">
        <f t="shared" si="53"/>
        <v>239.5</v>
      </c>
      <c r="X256" s="31" t="b">
        <f t="shared" si="54"/>
        <v>0</v>
      </c>
      <c r="Y256" s="32" t="str">
        <f t="shared" si="55"/>
        <v>GROWTH</v>
      </c>
      <c r="Z256" s="41">
        <v>0</v>
      </c>
      <c r="AA256" s="36"/>
      <c r="AB256" s="36" t="s">
        <v>24</v>
      </c>
      <c r="AC256" s="36" t="s">
        <v>24</v>
      </c>
      <c r="AD256" s="34"/>
      <c r="AE256" s="35">
        <f>IFERROR(INDEX([1]Last6M_AvgSales_Ref!$B$2:$B$12659,MATCH(D256,[1]Last6M_AvgSales_Ref!$A$2:$A$12659,0)),"")</f>
        <v>993.625</v>
      </c>
    </row>
    <row r="257" spans="1:31" ht="14.25" customHeight="1" x14ac:dyDescent="0.3">
      <c r="A257" s="36" t="s">
        <v>24</v>
      </c>
      <c r="B257" s="38" t="s">
        <v>535</v>
      </c>
      <c r="C257" s="38" t="s">
        <v>546</v>
      </c>
      <c r="D257" s="38">
        <v>1000000717</v>
      </c>
      <c r="E257" s="39" t="s">
        <v>547</v>
      </c>
      <c r="F257" s="40">
        <v>42648</v>
      </c>
      <c r="G257" s="22" t="str">
        <f t="shared" si="42"/>
        <v>Targeted Dealer</v>
      </c>
      <c r="H257" s="22"/>
      <c r="I257" s="23">
        <v>160</v>
      </c>
      <c r="J257" s="23">
        <f t="shared" si="43"/>
        <v>160</v>
      </c>
      <c r="K257" s="24">
        <v>30</v>
      </c>
      <c r="L257" s="24">
        <f t="shared" si="44"/>
        <v>130</v>
      </c>
      <c r="M257" s="24">
        <f t="shared" si="45"/>
        <v>18.75</v>
      </c>
      <c r="N257" s="25">
        <v>0</v>
      </c>
      <c r="O257" s="26" t="str">
        <f t="shared" si="46"/>
        <v>June</v>
      </c>
      <c r="P257" s="25">
        <f t="shared" si="47"/>
        <v>0</v>
      </c>
      <c r="Q257" s="27">
        <f t="shared" si="48"/>
        <v>30</v>
      </c>
      <c r="R257" s="26" t="b">
        <f t="shared" si="49"/>
        <v>0</v>
      </c>
      <c r="S257" s="28" t="b">
        <f t="shared" si="50"/>
        <v>0</v>
      </c>
      <c r="T257" s="24">
        <v>120</v>
      </c>
      <c r="U257" s="29" t="str">
        <f t="shared" si="51"/>
        <v>May</v>
      </c>
      <c r="V257" s="24">
        <f t="shared" si="52"/>
        <v>120</v>
      </c>
      <c r="W257" s="30">
        <f t="shared" si="53"/>
        <v>-90</v>
      </c>
      <c r="X257" s="31" t="b">
        <f t="shared" si="54"/>
        <v>0</v>
      </c>
      <c r="Y257" s="32" t="str">
        <f t="shared" si="55"/>
        <v>GROWTH</v>
      </c>
      <c r="Z257" s="41">
        <v>0</v>
      </c>
      <c r="AA257" s="36"/>
      <c r="AB257" s="36" t="s">
        <v>24</v>
      </c>
      <c r="AC257" s="36" t="s">
        <v>24</v>
      </c>
      <c r="AD257" s="34"/>
      <c r="AE257" s="35">
        <f>IFERROR(INDEX([1]Last6M_AvgSales_Ref!$B$2:$B$12659,MATCH(D257,[1]Last6M_AvgSales_Ref!$A$2:$A$12659,0)),"")</f>
        <v>20.8333333333333</v>
      </c>
    </row>
    <row r="258" spans="1:31" ht="14.25" customHeight="1" x14ac:dyDescent="0.3">
      <c r="A258" s="36" t="s">
        <v>24</v>
      </c>
      <c r="B258" s="38" t="s">
        <v>535</v>
      </c>
      <c r="C258" s="38" t="s">
        <v>548</v>
      </c>
      <c r="D258" s="38">
        <v>1000001057</v>
      </c>
      <c r="E258" s="39" t="s">
        <v>549</v>
      </c>
      <c r="F258" s="40">
        <v>43848</v>
      </c>
      <c r="G258" s="22" t="str">
        <f t="shared" si="42"/>
        <v>Targeted Dealer</v>
      </c>
      <c r="H258" s="22"/>
      <c r="I258" s="23">
        <v>100</v>
      </c>
      <c r="J258" s="23">
        <f t="shared" si="43"/>
        <v>100</v>
      </c>
      <c r="K258" s="24">
        <v>70.5</v>
      </c>
      <c r="L258" s="24">
        <f t="shared" si="44"/>
        <v>29.5</v>
      </c>
      <c r="M258" s="24">
        <f t="shared" si="45"/>
        <v>70.5</v>
      </c>
      <c r="N258" s="25">
        <v>106.5</v>
      </c>
      <c r="O258" s="26" t="str">
        <f t="shared" si="46"/>
        <v>June</v>
      </c>
      <c r="P258" s="25">
        <f t="shared" si="47"/>
        <v>106.5</v>
      </c>
      <c r="Q258" s="27">
        <f t="shared" si="48"/>
        <v>-36</v>
      </c>
      <c r="R258" s="26" t="b">
        <f t="shared" si="49"/>
        <v>0</v>
      </c>
      <c r="S258" s="28" t="str">
        <f t="shared" si="50"/>
        <v>GROWTH</v>
      </c>
      <c r="T258" s="24">
        <v>105</v>
      </c>
      <c r="U258" s="29" t="str">
        <f t="shared" si="51"/>
        <v>May</v>
      </c>
      <c r="V258" s="24">
        <f t="shared" si="52"/>
        <v>105</v>
      </c>
      <c r="W258" s="30">
        <f t="shared" si="53"/>
        <v>-34.5</v>
      </c>
      <c r="X258" s="31" t="b">
        <f t="shared" si="54"/>
        <v>0</v>
      </c>
      <c r="Y258" s="32" t="str">
        <f t="shared" si="55"/>
        <v>GROWTH</v>
      </c>
      <c r="Z258" s="41">
        <v>0</v>
      </c>
      <c r="AA258" s="36"/>
      <c r="AB258" s="36" t="s">
        <v>24</v>
      </c>
      <c r="AC258" s="36" t="s">
        <v>24</v>
      </c>
      <c r="AD258" s="34"/>
      <c r="AE258" s="35">
        <f>IFERROR(INDEX([1]Last6M_AvgSales_Ref!$B$2:$B$12659,MATCH(D258,[1]Last6M_AvgSales_Ref!$A$2:$A$12659,0)),"")</f>
        <v>97.9166666666667</v>
      </c>
    </row>
    <row r="259" spans="1:31" ht="14.25" customHeight="1" x14ac:dyDescent="0.3">
      <c r="A259" s="36" t="s">
        <v>24</v>
      </c>
      <c r="B259" s="38" t="s">
        <v>535</v>
      </c>
      <c r="C259" s="38" t="s">
        <v>550</v>
      </c>
      <c r="D259" s="38">
        <v>1000001062</v>
      </c>
      <c r="E259" s="39" t="s">
        <v>551</v>
      </c>
      <c r="F259" s="40">
        <v>44001</v>
      </c>
      <c r="G259" s="22" t="str">
        <f t="shared" ref="G259:G322" si="56">IF(I259&gt;0,"Targeted Dealer","-")</f>
        <v>Targeted Dealer</v>
      </c>
      <c r="H259" s="22"/>
      <c r="I259" s="23">
        <v>180</v>
      </c>
      <c r="J259" s="23">
        <f t="shared" ref="J259:J322" si="57">I259/$J$1*($J$1-$E$1)</f>
        <v>180</v>
      </c>
      <c r="K259" s="24">
        <v>179</v>
      </c>
      <c r="L259" s="24">
        <f t="shared" ref="L259:L322" si="58">I259-K259</f>
        <v>1</v>
      </c>
      <c r="M259" s="24">
        <f t="shared" ref="M259:M322" si="59">IFERROR((K259/J259%),"-")</f>
        <v>99.444444444444443</v>
      </c>
      <c r="N259" s="25">
        <v>192.5</v>
      </c>
      <c r="O259" s="26" t="str">
        <f t="shared" ref="O259:O322" si="60">IF(F259&lt;=$P$2,"June","")</f>
        <v>June</v>
      </c>
      <c r="P259" s="25">
        <f t="shared" ref="P259:P322" si="61">N259</f>
        <v>192.5</v>
      </c>
      <c r="Q259" s="27">
        <f t="shared" ref="Q259:Q322" si="62">K259-P259</f>
        <v>-13.5</v>
      </c>
      <c r="R259" s="26" t="b">
        <f t="shared" ref="R259:R322" si="63">IFERROR(IF(O259="May",(K259/P259-1))," ")</f>
        <v>0</v>
      </c>
      <c r="S259" s="28" t="str">
        <f t="shared" ref="S259:S322" si="64">IF(N259&gt;0,IF(O259="","-",IF(R259&lt;0%,"DEGROWTH","GROWTH")))</f>
        <v>GROWTH</v>
      </c>
      <c r="T259" s="24">
        <v>140</v>
      </c>
      <c r="U259" s="29" t="str">
        <f t="shared" ref="U259:U322" si="65">IF(F259&lt;=$V$2,"May","")</f>
        <v>May</v>
      </c>
      <c r="V259" s="24">
        <f t="shared" ref="V259:V322" si="66">T259</f>
        <v>140</v>
      </c>
      <c r="W259" s="30">
        <f t="shared" ref="W259:W322" si="67">K259-V259</f>
        <v>39</v>
      </c>
      <c r="X259" s="31" t="b">
        <f t="shared" ref="X259:X322" si="68">IFERROR(IF(U259="June",(K259/V259-1)),0)</f>
        <v>0</v>
      </c>
      <c r="Y259" s="32" t="str">
        <f t="shared" ref="Y259:Y322" si="69">IF(T259&gt;0,IF(U259="","-",IF(X259&lt;0%,"DEGROWTH","GROWTH")))</f>
        <v>GROWTH</v>
      </c>
      <c r="Z259" s="41">
        <v>0</v>
      </c>
      <c r="AA259" s="36"/>
      <c r="AB259" s="36" t="s">
        <v>24</v>
      </c>
      <c r="AC259" s="36" t="s">
        <v>24</v>
      </c>
      <c r="AD259" s="34"/>
      <c r="AE259" s="35">
        <f>IFERROR(INDEX([1]Last6M_AvgSales_Ref!$B$2:$B$12659,MATCH(D259,[1]Last6M_AvgSales_Ref!$A$2:$A$12659,0)),"")</f>
        <v>212.42500000000001</v>
      </c>
    </row>
    <row r="260" spans="1:31" ht="14.25" customHeight="1" x14ac:dyDescent="0.3">
      <c r="A260" s="36" t="s">
        <v>24</v>
      </c>
      <c r="B260" s="38" t="s">
        <v>535</v>
      </c>
      <c r="C260" s="38" t="s">
        <v>552</v>
      </c>
      <c r="D260" s="38">
        <v>1000002618</v>
      </c>
      <c r="E260" s="39" t="s">
        <v>553</v>
      </c>
      <c r="F260" s="40">
        <v>44627</v>
      </c>
      <c r="G260" s="22" t="str">
        <f t="shared" si="56"/>
        <v>Targeted Dealer</v>
      </c>
      <c r="H260" s="22"/>
      <c r="I260" s="23">
        <v>120</v>
      </c>
      <c r="J260" s="23">
        <f t="shared" si="57"/>
        <v>120</v>
      </c>
      <c r="K260" s="24">
        <v>105</v>
      </c>
      <c r="L260" s="24">
        <f t="shared" si="58"/>
        <v>15</v>
      </c>
      <c r="M260" s="24">
        <f t="shared" si="59"/>
        <v>87.5</v>
      </c>
      <c r="N260" s="25">
        <v>80</v>
      </c>
      <c r="O260" s="26" t="str">
        <f t="shared" si="60"/>
        <v>June</v>
      </c>
      <c r="P260" s="25">
        <f t="shared" si="61"/>
        <v>80</v>
      </c>
      <c r="Q260" s="27">
        <f t="shared" si="62"/>
        <v>25</v>
      </c>
      <c r="R260" s="26" t="b">
        <f t="shared" si="63"/>
        <v>0</v>
      </c>
      <c r="S260" s="28" t="str">
        <f t="shared" si="64"/>
        <v>GROWTH</v>
      </c>
      <c r="T260" s="24">
        <v>60</v>
      </c>
      <c r="U260" s="29" t="str">
        <f t="shared" si="65"/>
        <v>May</v>
      </c>
      <c r="V260" s="24">
        <f t="shared" si="66"/>
        <v>60</v>
      </c>
      <c r="W260" s="30">
        <f t="shared" si="67"/>
        <v>45</v>
      </c>
      <c r="X260" s="31" t="b">
        <f t="shared" si="68"/>
        <v>0</v>
      </c>
      <c r="Y260" s="32" t="str">
        <f t="shared" si="69"/>
        <v>GROWTH</v>
      </c>
      <c r="Z260" s="41">
        <v>0</v>
      </c>
      <c r="AA260" s="36"/>
      <c r="AB260" s="36" t="s">
        <v>24</v>
      </c>
      <c r="AC260" s="36" t="s">
        <v>24</v>
      </c>
      <c r="AD260" s="34"/>
      <c r="AE260" s="35">
        <f>IFERROR(INDEX([1]Last6M_AvgSales_Ref!$B$2:$B$12659,MATCH(D260,[1]Last6M_AvgSales_Ref!$A$2:$A$12659,0)),"")</f>
        <v>153.166666666667</v>
      </c>
    </row>
    <row r="261" spans="1:31" ht="14.25" customHeight="1" x14ac:dyDescent="0.3">
      <c r="A261" s="36" t="s">
        <v>24</v>
      </c>
      <c r="B261" s="38" t="s">
        <v>535</v>
      </c>
      <c r="C261" s="38" t="s">
        <v>554</v>
      </c>
      <c r="D261" s="38">
        <v>1000002758</v>
      </c>
      <c r="E261" s="39" t="s">
        <v>555</v>
      </c>
      <c r="F261" s="40">
        <v>44704</v>
      </c>
      <c r="G261" s="22" t="str">
        <f t="shared" si="56"/>
        <v>Targeted Dealer</v>
      </c>
      <c r="H261" s="22"/>
      <c r="I261" s="23">
        <v>40</v>
      </c>
      <c r="J261" s="23">
        <f t="shared" si="57"/>
        <v>40</v>
      </c>
      <c r="K261" s="24">
        <v>15</v>
      </c>
      <c r="L261" s="24">
        <f t="shared" si="58"/>
        <v>25</v>
      </c>
      <c r="M261" s="24">
        <f t="shared" si="59"/>
        <v>37.5</v>
      </c>
      <c r="N261" s="25">
        <v>25</v>
      </c>
      <c r="O261" s="26" t="str">
        <f t="shared" si="60"/>
        <v>June</v>
      </c>
      <c r="P261" s="25">
        <f t="shared" si="61"/>
        <v>25</v>
      </c>
      <c r="Q261" s="27">
        <f t="shared" si="62"/>
        <v>-10</v>
      </c>
      <c r="R261" s="26" t="b">
        <f t="shared" si="63"/>
        <v>0</v>
      </c>
      <c r="S261" s="28" t="str">
        <f t="shared" si="64"/>
        <v>GROWTH</v>
      </c>
      <c r="T261" s="24">
        <v>0</v>
      </c>
      <c r="U261" s="29" t="str">
        <f t="shared" si="65"/>
        <v>May</v>
      </c>
      <c r="V261" s="24">
        <f t="shared" si="66"/>
        <v>0</v>
      </c>
      <c r="W261" s="30">
        <f t="shared" si="67"/>
        <v>15</v>
      </c>
      <c r="X261" s="31" t="b">
        <f t="shared" si="68"/>
        <v>0</v>
      </c>
      <c r="Y261" s="32" t="b">
        <f t="shared" si="69"/>
        <v>0</v>
      </c>
      <c r="Z261" s="41">
        <v>0</v>
      </c>
      <c r="AA261" s="36"/>
      <c r="AB261" s="36" t="s">
        <v>24</v>
      </c>
      <c r="AC261" s="36" t="s">
        <v>24</v>
      </c>
      <c r="AD261" s="34"/>
      <c r="AE261" s="35">
        <f>IFERROR(INDEX([1]Last6M_AvgSales_Ref!$B$2:$B$12659,MATCH(D261,[1]Last6M_AvgSales_Ref!$A$2:$A$12659,0)),"")</f>
        <v>13.1666666666667</v>
      </c>
    </row>
    <row r="262" spans="1:31" ht="14.25" customHeight="1" x14ac:dyDescent="0.3">
      <c r="A262" s="36" t="s">
        <v>24</v>
      </c>
      <c r="B262" s="38" t="s">
        <v>535</v>
      </c>
      <c r="C262" s="38" t="s">
        <v>556</v>
      </c>
      <c r="D262" s="38">
        <v>1000002759</v>
      </c>
      <c r="E262" s="39" t="s">
        <v>557</v>
      </c>
      <c r="F262" s="40">
        <v>44704</v>
      </c>
      <c r="G262" s="22" t="str">
        <f t="shared" si="56"/>
        <v>Targeted Dealer</v>
      </c>
      <c r="H262" s="22"/>
      <c r="I262" s="23">
        <v>160</v>
      </c>
      <c r="J262" s="23">
        <f t="shared" si="57"/>
        <v>160</v>
      </c>
      <c r="K262" s="24">
        <v>120</v>
      </c>
      <c r="L262" s="24">
        <f t="shared" si="58"/>
        <v>40</v>
      </c>
      <c r="M262" s="24">
        <f t="shared" si="59"/>
        <v>75</v>
      </c>
      <c r="N262" s="25">
        <v>80</v>
      </c>
      <c r="O262" s="26" t="str">
        <f t="shared" si="60"/>
        <v>June</v>
      </c>
      <c r="P262" s="25">
        <f t="shared" si="61"/>
        <v>80</v>
      </c>
      <c r="Q262" s="27">
        <f t="shared" si="62"/>
        <v>40</v>
      </c>
      <c r="R262" s="26" t="b">
        <f t="shared" si="63"/>
        <v>0</v>
      </c>
      <c r="S262" s="28" t="str">
        <f t="shared" si="64"/>
        <v>GROWTH</v>
      </c>
      <c r="T262" s="24">
        <v>80</v>
      </c>
      <c r="U262" s="29" t="str">
        <f t="shared" si="65"/>
        <v>May</v>
      </c>
      <c r="V262" s="24">
        <f t="shared" si="66"/>
        <v>80</v>
      </c>
      <c r="W262" s="30">
        <f t="shared" si="67"/>
        <v>40</v>
      </c>
      <c r="X262" s="31" t="b">
        <f t="shared" si="68"/>
        <v>0</v>
      </c>
      <c r="Y262" s="32" t="str">
        <f t="shared" si="69"/>
        <v>GROWTH</v>
      </c>
      <c r="Z262" s="41">
        <v>0</v>
      </c>
      <c r="AA262" s="36"/>
      <c r="AB262" s="36" t="s">
        <v>24</v>
      </c>
      <c r="AC262" s="36" t="s">
        <v>24</v>
      </c>
      <c r="AD262" s="34"/>
      <c r="AE262" s="35">
        <f>IFERROR(INDEX([1]Last6M_AvgSales_Ref!$B$2:$B$12659,MATCH(D262,[1]Last6M_AvgSales_Ref!$A$2:$A$12659,0)),"")</f>
        <v>109.583333333333</v>
      </c>
    </row>
    <row r="263" spans="1:31" ht="14.25" customHeight="1" x14ac:dyDescent="0.3">
      <c r="A263" s="36" t="s">
        <v>24</v>
      </c>
      <c r="B263" s="38" t="s">
        <v>535</v>
      </c>
      <c r="C263" s="38" t="s">
        <v>558</v>
      </c>
      <c r="D263" s="38">
        <v>1000002760</v>
      </c>
      <c r="E263" s="39" t="s">
        <v>559</v>
      </c>
      <c r="F263" s="40">
        <v>44704</v>
      </c>
      <c r="G263" s="22" t="str">
        <f t="shared" si="56"/>
        <v>Targeted Dealer</v>
      </c>
      <c r="H263" s="22"/>
      <c r="I263" s="23">
        <v>40</v>
      </c>
      <c r="J263" s="23">
        <f t="shared" si="57"/>
        <v>40</v>
      </c>
      <c r="K263" s="24">
        <v>23.5</v>
      </c>
      <c r="L263" s="24">
        <f t="shared" si="58"/>
        <v>16.5</v>
      </c>
      <c r="M263" s="24">
        <f t="shared" si="59"/>
        <v>58.75</v>
      </c>
      <c r="N263" s="25">
        <v>22</v>
      </c>
      <c r="O263" s="26" t="str">
        <f t="shared" si="60"/>
        <v>June</v>
      </c>
      <c r="P263" s="25">
        <f t="shared" si="61"/>
        <v>22</v>
      </c>
      <c r="Q263" s="27">
        <f t="shared" si="62"/>
        <v>1.5</v>
      </c>
      <c r="R263" s="26" t="b">
        <f t="shared" si="63"/>
        <v>0</v>
      </c>
      <c r="S263" s="28" t="str">
        <f t="shared" si="64"/>
        <v>GROWTH</v>
      </c>
      <c r="T263" s="24">
        <v>0</v>
      </c>
      <c r="U263" s="29" t="str">
        <f t="shared" si="65"/>
        <v>May</v>
      </c>
      <c r="V263" s="24">
        <f t="shared" si="66"/>
        <v>0</v>
      </c>
      <c r="W263" s="30">
        <f t="shared" si="67"/>
        <v>23.5</v>
      </c>
      <c r="X263" s="31" t="b">
        <f t="shared" si="68"/>
        <v>0</v>
      </c>
      <c r="Y263" s="32" t="b">
        <f t="shared" si="69"/>
        <v>0</v>
      </c>
      <c r="Z263" s="41">
        <v>0</v>
      </c>
      <c r="AA263" s="36"/>
      <c r="AB263" s="36" t="s">
        <v>24</v>
      </c>
      <c r="AC263" s="36" t="s">
        <v>24</v>
      </c>
      <c r="AD263" s="34"/>
      <c r="AE263" s="35">
        <f>IFERROR(INDEX([1]Last6M_AvgSales_Ref!$B$2:$B$12659,MATCH(D263,[1]Last6M_AvgSales_Ref!$A$2:$A$12659,0)),"")</f>
        <v>29.6666666666667</v>
      </c>
    </row>
    <row r="264" spans="1:31" ht="14.25" customHeight="1" x14ac:dyDescent="0.3">
      <c r="A264" s="36" t="s">
        <v>24</v>
      </c>
      <c r="B264" s="38" t="s">
        <v>535</v>
      </c>
      <c r="C264" s="38" t="s">
        <v>560</v>
      </c>
      <c r="D264" s="38">
        <v>1000002764</v>
      </c>
      <c r="E264" s="39" t="s">
        <v>561</v>
      </c>
      <c r="F264" s="40">
        <v>44711</v>
      </c>
      <c r="G264" s="22" t="str">
        <f t="shared" si="56"/>
        <v>Targeted Dealer</v>
      </c>
      <c r="H264" s="22"/>
      <c r="I264" s="23">
        <v>45</v>
      </c>
      <c r="J264" s="23">
        <f t="shared" si="57"/>
        <v>45</v>
      </c>
      <c r="K264" s="24">
        <v>53.5</v>
      </c>
      <c r="L264" s="24">
        <f t="shared" si="58"/>
        <v>-8.5</v>
      </c>
      <c r="M264" s="24">
        <f t="shared" si="59"/>
        <v>118.88888888888889</v>
      </c>
      <c r="N264" s="25">
        <v>0</v>
      </c>
      <c r="O264" s="26" t="str">
        <f t="shared" si="60"/>
        <v>June</v>
      </c>
      <c r="P264" s="25">
        <f t="shared" si="61"/>
        <v>0</v>
      </c>
      <c r="Q264" s="27">
        <f t="shared" si="62"/>
        <v>53.5</v>
      </c>
      <c r="R264" s="26" t="b">
        <f t="shared" si="63"/>
        <v>0</v>
      </c>
      <c r="S264" s="28" t="b">
        <f t="shared" si="64"/>
        <v>0</v>
      </c>
      <c r="T264" s="24">
        <v>20</v>
      </c>
      <c r="U264" s="29" t="str">
        <f t="shared" si="65"/>
        <v>May</v>
      </c>
      <c r="V264" s="24">
        <f t="shared" si="66"/>
        <v>20</v>
      </c>
      <c r="W264" s="30">
        <f t="shared" si="67"/>
        <v>33.5</v>
      </c>
      <c r="X264" s="31" t="b">
        <f t="shared" si="68"/>
        <v>0</v>
      </c>
      <c r="Y264" s="32" t="str">
        <f t="shared" si="69"/>
        <v>GROWTH</v>
      </c>
      <c r="Z264" s="41">
        <v>0</v>
      </c>
      <c r="AA264" s="36"/>
      <c r="AB264" s="36" t="s">
        <v>24</v>
      </c>
      <c r="AC264" s="36" t="s">
        <v>24</v>
      </c>
      <c r="AD264" s="34"/>
      <c r="AE264" s="35">
        <f>IFERROR(INDEX([1]Last6M_AvgSales_Ref!$B$2:$B$12659,MATCH(D264,[1]Last6M_AvgSales_Ref!$A$2:$A$12659,0)),"")</f>
        <v>28.3333333333333</v>
      </c>
    </row>
    <row r="265" spans="1:31" ht="14.25" customHeight="1" x14ac:dyDescent="0.3">
      <c r="A265" s="36" t="s">
        <v>24</v>
      </c>
      <c r="B265" s="38" t="s">
        <v>535</v>
      </c>
      <c r="C265" s="38" t="s">
        <v>562</v>
      </c>
      <c r="D265" s="38">
        <v>1000003503</v>
      </c>
      <c r="E265" s="38" t="s">
        <v>563</v>
      </c>
      <c r="F265" s="40">
        <v>45042</v>
      </c>
      <c r="G265" s="22" t="str">
        <f t="shared" si="56"/>
        <v>Targeted Dealer</v>
      </c>
      <c r="H265" s="22"/>
      <c r="I265" s="23">
        <v>20</v>
      </c>
      <c r="J265" s="23">
        <f t="shared" si="57"/>
        <v>20</v>
      </c>
      <c r="K265" s="24">
        <v>17.5</v>
      </c>
      <c r="L265" s="24">
        <f t="shared" si="58"/>
        <v>2.5</v>
      </c>
      <c r="M265" s="24">
        <f t="shared" si="59"/>
        <v>87.5</v>
      </c>
      <c r="N265" s="25">
        <v>15</v>
      </c>
      <c r="O265" s="26" t="str">
        <f t="shared" si="60"/>
        <v>June</v>
      </c>
      <c r="P265" s="25">
        <f t="shared" si="61"/>
        <v>15</v>
      </c>
      <c r="Q265" s="27">
        <f t="shared" si="62"/>
        <v>2.5</v>
      </c>
      <c r="R265" s="26" t="b">
        <f t="shared" si="63"/>
        <v>0</v>
      </c>
      <c r="S265" s="28" t="str">
        <f t="shared" si="64"/>
        <v>GROWTH</v>
      </c>
      <c r="T265" s="24">
        <v>36.5</v>
      </c>
      <c r="U265" s="29" t="str">
        <f t="shared" si="65"/>
        <v>May</v>
      </c>
      <c r="V265" s="24">
        <f t="shared" si="66"/>
        <v>36.5</v>
      </c>
      <c r="W265" s="30">
        <f t="shared" si="67"/>
        <v>-19</v>
      </c>
      <c r="X265" s="31" t="b">
        <f t="shared" si="68"/>
        <v>0</v>
      </c>
      <c r="Y265" s="32" t="str">
        <f t="shared" si="69"/>
        <v>GROWTH</v>
      </c>
      <c r="Z265" s="41">
        <v>0</v>
      </c>
      <c r="AA265" s="36"/>
      <c r="AB265" s="36" t="s">
        <v>24</v>
      </c>
      <c r="AC265" s="36" t="s">
        <v>24</v>
      </c>
      <c r="AD265" s="34"/>
      <c r="AE265" s="35">
        <f>IFERROR(INDEX([1]Last6M_AvgSales_Ref!$B$2:$B$12659,MATCH(D265,[1]Last6M_AvgSales_Ref!$A$2:$A$12659,0)),"")</f>
        <v>27.5</v>
      </c>
    </row>
    <row r="266" spans="1:31" ht="14.25" customHeight="1" x14ac:dyDescent="0.3">
      <c r="A266" s="36" t="s">
        <v>24</v>
      </c>
      <c r="B266" s="38" t="s">
        <v>535</v>
      </c>
      <c r="C266" s="38" t="s">
        <v>564</v>
      </c>
      <c r="D266" s="38">
        <v>1000003511</v>
      </c>
      <c r="E266" s="38" t="s">
        <v>565</v>
      </c>
      <c r="F266" s="40">
        <v>45056</v>
      </c>
      <c r="G266" s="22" t="str">
        <f t="shared" si="56"/>
        <v>Targeted Dealer</v>
      </c>
      <c r="H266" s="22"/>
      <c r="I266" s="23">
        <v>50</v>
      </c>
      <c r="J266" s="23">
        <f t="shared" si="57"/>
        <v>50</v>
      </c>
      <c r="K266" s="24">
        <v>40</v>
      </c>
      <c r="L266" s="24">
        <f t="shared" si="58"/>
        <v>10</v>
      </c>
      <c r="M266" s="24">
        <f t="shared" si="59"/>
        <v>80</v>
      </c>
      <c r="N266" s="25">
        <v>55</v>
      </c>
      <c r="O266" s="26" t="str">
        <f t="shared" si="60"/>
        <v>June</v>
      </c>
      <c r="P266" s="25">
        <f t="shared" si="61"/>
        <v>55</v>
      </c>
      <c r="Q266" s="27">
        <f t="shared" si="62"/>
        <v>-15</v>
      </c>
      <c r="R266" s="26" t="b">
        <f t="shared" si="63"/>
        <v>0</v>
      </c>
      <c r="S266" s="28" t="str">
        <f t="shared" si="64"/>
        <v>GROWTH</v>
      </c>
      <c r="T266" s="24">
        <v>40</v>
      </c>
      <c r="U266" s="29" t="str">
        <f t="shared" si="65"/>
        <v>May</v>
      </c>
      <c r="V266" s="24">
        <f t="shared" si="66"/>
        <v>40</v>
      </c>
      <c r="W266" s="30">
        <f t="shared" si="67"/>
        <v>0</v>
      </c>
      <c r="X266" s="31" t="b">
        <f t="shared" si="68"/>
        <v>0</v>
      </c>
      <c r="Y266" s="32" t="str">
        <f t="shared" si="69"/>
        <v>GROWTH</v>
      </c>
      <c r="Z266" s="41">
        <v>0</v>
      </c>
      <c r="AA266" s="36"/>
      <c r="AB266" s="36" t="s">
        <v>24</v>
      </c>
      <c r="AC266" s="36" t="s">
        <v>24</v>
      </c>
      <c r="AD266" s="34"/>
      <c r="AE266" s="35">
        <f>IFERROR(INDEX([1]Last6M_AvgSales_Ref!$B$2:$B$12659,MATCH(D266,[1]Last6M_AvgSales_Ref!$A$2:$A$12659,0)),"")</f>
        <v>61.25</v>
      </c>
    </row>
    <row r="267" spans="1:31" ht="14.25" customHeight="1" x14ac:dyDescent="0.3">
      <c r="A267" s="36" t="s">
        <v>24</v>
      </c>
      <c r="B267" s="38" t="s">
        <v>535</v>
      </c>
      <c r="C267" s="38" t="s">
        <v>566</v>
      </c>
      <c r="D267" s="38">
        <v>1000003519</v>
      </c>
      <c r="E267" s="38" t="s">
        <v>567</v>
      </c>
      <c r="F267" s="40">
        <v>45058</v>
      </c>
      <c r="G267" s="22" t="str">
        <f t="shared" si="56"/>
        <v>Targeted Dealer</v>
      </c>
      <c r="H267" s="22"/>
      <c r="I267" s="23">
        <v>180</v>
      </c>
      <c r="J267" s="23">
        <f t="shared" si="57"/>
        <v>180</v>
      </c>
      <c r="K267" s="24">
        <v>407.5</v>
      </c>
      <c r="L267" s="24">
        <f t="shared" si="58"/>
        <v>-227.5</v>
      </c>
      <c r="M267" s="24">
        <f t="shared" si="59"/>
        <v>226.38888888888889</v>
      </c>
      <c r="N267" s="25">
        <v>207.6</v>
      </c>
      <c r="O267" s="26" t="str">
        <f t="shared" si="60"/>
        <v>June</v>
      </c>
      <c r="P267" s="25">
        <f t="shared" si="61"/>
        <v>207.6</v>
      </c>
      <c r="Q267" s="27">
        <f t="shared" si="62"/>
        <v>199.9</v>
      </c>
      <c r="R267" s="26" t="b">
        <f t="shared" si="63"/>
        <v>0</v>
      </c>
      <c r="S267" s="28" t="str">
        <f t="shared" si="64"/>
        <v>GROWTH</v>
      </c>
      <c r="T267" s="24">
        <v>66.25</v>
      </c>
      <c r="U267" s="29" t="str">
        <f t="shared" si="65"/>
        <v>May</v>
      </c>
      <c r="V267" s="24">
        <f t="shared" si="66"/>
        <v>66.25</v>
      </c>
      <c r="W267" s="30">
        <f t="shared" si="67"/>
        <v>341.25</v>
      </c>
      <c r="X267" s="31" t="b">
        <f t="shared" si="68"/>
        <v>0</v>
      </c>
      <c r="Y267" s="32" t="str">
        <f t="shared" si="69"/>
        <v>GROWTH</v>
      </c>
      <c r="Z267" s="41">
        <v>0</v>
      </c>
      <c r="AA267" s="36"/>
      <c r="AB267" s="36" t="s">
        <v>24</v>
      </c>
      <c r="AC267" s="36" t="s">
        <v>24</v>
      </c>
      <c r="AD267" s="34"/>
      <c r="AE267" s="35">
        <f>IFERROR(INDEX([1]Last6M_AvgSales_Ref!$B$2:$B$12659,MATCH(D267,[1]Last6M_AvgSales_Ref!$A$2:$A$12659,0)),"")</f>
        <v>229.041666666667</v>
      </c>
    </row>
    <row r="268" spans="1:31" ht="14.25" customHeight="1" x14ac:dyDescent="0.3">
      <c r="A268" s="36" t="s">
        <v>24</v>
      </c>
      <c r="B268" s="38" t="s">
        <v>535</v>
      </c>
      <c r="C268" s="38" t="s">
        <v>568</v>
      </c>
      <c r="D268" s="38">
        <v>1000003809</v>
      </c>
      <c r="E268" s="38" t="s">
        <v>569</v>
      </c>
      <c r="F268" s="40">
        <v>45289</v>
      </c>
      <c r="G268" s="22" t="str">
        <f t="shared" si="56"/>
        <v>Targeted Dealer</v>
      </c>
      <c r="H268" s="22"/>
      <c r="I268" s="23">
        <v>40</v>
      </c>
      <c r="J268" s="23">
        <f t="shared" si="57"/>
        <v>40</v>
      </c>
      <c r="K268" s="24">
        <v>54</v>
      </c>
      <c r="L268" s="24">
        <f t="shared" si="58"/>
        <v>-14</v>
      </c>
      <c r="M268" s="24">
        <f t="shared" si="59"/>
        <v>135</v>
      </c>
      <c r="N268" s="25">
        <v>0</v>
      </c>
      <c r="O268" s="26" t="str">
        <f t="shared" si="60"/>
        <v>June</v>
      </c>
      <c r="P268" s="25">
        <f t="shared" si="61"/>
        <v>0</v>
      </c>
      <c r="Q268" s="27">
        <f t="shared" si="62"/>
        <v>54</v>
      </c>
      <c r="R268" s="26" t="b">
        <f t="shared" si="63"/>
        <v>0</v>
      </c>
      <c r="S268" s="28" t="b">
        <f t="shared" si="64"/>
        <v>0</v>
      </c>
      <c r="T268" s="24">
        <v>20</v>
      </c>
      <c r="U268" s="29" t="str">
        <f t="shared" si="65"/>
        <v>May</v>
      </c>
      <c r="V268" s="24">
        <f t="shared" si="66"/>
        <v>20</v>
      </c>
      <c r="W268" s="30">
        <f t="shared" si="67"/>
        <v>34</v>
      </c>
      <c r="X268" s="31" t="b">
        <f t="shared" si="68"/>
        <v>0</v>
      </c>
      <c r="Y268" s="32" t="str">
        <f t="shared" si="69"/>
        <v>GROWTH</v>
      </c>
      <c r="Z268" s="41">
        <v>0</v>
      </c>
      <c r="AA268" s="36"/>
      <c r="AB268" s="36" t="s">
        <v>24</v>
      </c>
      <c r="AC268" s="36" t="s">
        <v>24</v>
      </c>
      <c r="AD268" s="34"/>
      <c r="AE268" s="35">
        <f>IFERROR(INDEX([1]Last6M_AvgSales_Ref!$B$2:$B$12659,MATCH(D268,[1]Last6M_AvgSales_Ref!$A$2:$A$12659,0)),"")</f>
        <v>45.8333333333333</v>
      </c>
    </row>
    <row r="269" spans="1:31" ht="14.25" customHeight="1" x14ac:dyDescent="0.3">
      <c r="A269" s="36" t="s">
        <v>24</v>
      </c>
      <c r="B269" s="38" t="s">
        <v>570</v>
      </c>
      <c r="C269" s="38" t="s">
        <v>571</v>
      </c>
      <c r="D269" s="38">
        <v>1000000237</v>
      </c>
      <c r="E269" s="39" t="s">
        <v>572</v>
      </c>
      <c r="F269" s="40">
        <v>38385</v>
      </c>
      <c r="G269" s="22" t="str">
        <f t="shared" si="56"/>
        <v>-</v>
      </c>
      <c r="H269" s="22"/>
      <c r="I269" s="23">
        <v>0</v>
      </c>
      <c r="J269" s="23">
        <f t="shared" si="57"/>
        <v>0</v>
      </c>
      <c r="K269" s="24">
        <v>0</v>
      </c>
      <c r="L269" s="24">
        <f t="shared" si="58"/>
        <v>0</v>
      </c>
      <c r="M269" s="24" t="str">
        <f t="shared" si="59"/>
        <v>-</v>
      </c>
      <c r="N269" s="25">
        <v>0</v>
      </c>
      <c r="O269" s="26" t="str">
        <f t="shared" si="60"/>
        <v>June</v>
      </c>
      <c r="P269" s="25">
        <f t="shared" si="61"/>
        <v>0</v>
      </c>
      <c r="Q269" s="27">
        <f t="shared" si="62"/>
        <v>0</v>
      </c>
      <c r="R269" s="26" t="b">
        <f t="shared" si="63"/>
        <v>0</v>
      </c>
      <c r="S269" s="28" t="b">
        <f t="shared" si="64"/>
        <v>0</v>
      </c>
      <c r="T269" s="24">
        <v>1.5</v>
      </c>
      <c r="U269" s="29" t="str">
        <f t="shared" si="65"/>
        <v>May</v>
      </c>
      <c r="V269" s="24">
        <f t="shared" si="66"/>
        <v>1.5</v>
      </c>
      <c r="W269" s="30">
        <f t="shared" si="67"/>
        <v>-1.5</v>
      </c>
      <c r="X269" s="31" t="b">
        <f t="shared" si="68"/>
        <v>0</v>
      </c>
      <c r="Y269" s="32" t="str">
        <f t="shared" si="69"/>
        <v>GROWTH</v>
      </c>
      <c r="Z269" s="41">
        <v>0</v>
      </c>
      <c r="AA269" s="36"/>
      <c r="AB269" s="36" t="s">
        <v>24</v>
      </c>
      <c r="AC269" s="36" t="s">
        <v>24</v>
      </c>
      <c r="AD269" s="34"/>
      <c r="AE269" s="35">
        <f>IFERROR(INDEX([1]Last6M_AvgSales_Ref!$B$2:$B$12659,MATCH(D269,[1]Last6M_AvgSales_Ref!$A$2:$A$12659,0)),"")</f>
        <v>5.5833333333333304</v>
      </c>
    </row>
    <row r="270" spans="1:31" ht="14.25" customHeight="1" x14ac:dyDescent="0.3">
      <c r="A270" s="36" t="s">
        <v>24</v>
      </c>
      <c r="B270" s="38" t="s">
        <v>570</v>
      </c>
      <c r="C270" s="38" t="s">
        <v>573</v>
      </c>
      <c r="D270" s="38">
        <v>1000000810</v>
      </c>
      <c r="E270" s="39" t="s">
        <v>574</v>
      </c>
      <c r="F270" s="40">
        <v>38385</v>
      </c>
      <c r="G270" s="22" t="str">
        <f t="shared" si="56"/>
        <v>Targeted Dealer</v>
      </c>
      <c r="H270" s="22"/>
      <c r="I270" s="23">
        <v>40</v>
      </c>
      <c r="J270" s="23">
        <f t="shared" si="57"/>
        <v>40</v>
      </c>
      <c r="K270" s="24">
        <v>0</v>
      </c>
      <c r="L270" s="24">
        <f t="shared" si="58"/>
        <v>40</v>
      </c>
      <c r="M270" s="24">
        <f t="shared" si="59"/>
        <v>0</v>
      </c>
      <c r="N270" s="25">
        <v>40</v>
      </c>
      <c r="O270" s="26" t="str">
        <f t="shared" si="60"/>
        <v>June</v>
      </c>
      <c r="P270" s="25">
        <f t="shared" si="61"/>
        <v>40</v>
      </c>
      <c r="Q270" s="27">
        <f t="shared" si="62"/>
        <v>-40</v>
      </c>
      <c r="R270" s="26" t="b">
        <f t="shared" si="63"/>
        <v>0</v>
      </c>
      <c r="S270" s="28" t="str">
        <f t="shared" si="64"/>
        <v>GROWTH</v>
      </c>
      <c r="T270" s="24">
        <v>40</v>
      </c>
      <c r="U270" s="29" t="str">
        <f t="shared" si="65"/>
        <v>May</v>
      </c>
      <c r="V270" s="24">
        <f t="shared" si="66"/>
        <v>40</v>
      </c>
      <c r="W270" s="30">
        <f t="shared" si="67"/>
        <v>-40</v>
      </c>
      <c r="X270" s="31" t="b">
        <f t="shared" si="68"/>
        <v>0</v>
      </c>
      <c r="Y270" s="32" t="str">
        <f t="shared" si="69"/>
        <v>GROWTH</v>
      </c>
      <c r="Z270" s="41">
        <v>0</v>
      </c>
      <c r="AA270" s="36"/>
      <c r="AB270" s="36" t="s">
        <v>24</v>
      </c>
      <c r="AC270" s="36" t="s">
        <v>24</v>
      </c>
      <c r="AD270" s="34"/>
      <c r="AE270" s="35">
        <f>IFERROR(INDEX([1]Last6M_AvgSales_Ref!$B$2:$B$12659,MATCH(D270,[1]Last6M_AvgSales_Ref!$A$2:$A$12659,0)),"")</f>
        <v>38.3333333333333</v>
      </c>
    </row>
    <row r="271" spans="1:31" ht="14.25" customHeight="1" x14ac:dyDescent="0.3">
      <c r="A271" s="36" t="s">
        <v>24</v>
      </c>
      <c r="B271" s="38" t="s">
        <v>570</v>
      </c>
      <c r="C271" s="38" t="s">
        <v>575</v>
      </c>
      <c r="D271" s="38">
        <v>1000000816</v>
      </c>
      <c r="E271" s="39" t="s">
        <v>576</v>
      </c>
      <c r="F271" s="40">
        <v>38385</v>
      </c>
      <c r="G271" s="22" t="str">
        <f t="shared" si="56"/>
        <v>Targeted Dealer</v>
      </c>
      <c r="H271" s="22"/>
      <c r="I271" s="23">
        <v>600</v>
      </c>
      <c r="J271" s="23">
        <f t="shared" si="57"/>
        <v>600</v>
      </c>
      <c r="K271" s="24">
        <v>314.5</v>
      </c>
      <c r="L271" s="24">
        <f t="shared" si="58"/>
        <v>285.5</v>
      </c>
      <c r="M271" s="24">
        <f t="shared" si="59"/>
        <v>52.416666666666664</v>
      </c>
      <c r="N271" s="25">
        <v>453</v>
      </c>
      <c r="O271" s="26" t="str">
        <f t="shared" si="60"/>
        <v>June</v>
      </c>
      <c r="P271" s="25">
        <f t="shared" si="61"/>
        <v>453</v>
      </c>
      <c r="Q271" s="27">
        <f t="shared" si="62"/>
        <v>-138.5</v>
      </c>
      <c r="R271" s="26" t="b">
        <f t="shared" si="63"/>
        <v>0</v>
      </c>
      <c r="S271" s="28" t="str">
        <f t="shared" si="64"/>
        <v>GROWTH</v>
      </c>
      <c r="T271" s="24">
        <v>561.54999999999995</v>
      </c>
      <c r="U271" s="29" t="str">
        <f t="shared" si="65"/>
        <v>May</v>
      </c>
      <c r="V271" s="24">
        <f t="shared" si="66"/>
        <v>561.54999999999995</v>
      </c>
      <c r="W271" s="30">
        <f t="shared" si="67"/>
        <v>-247.04999999999995</v>
      </c>
      <c r="X271" s="31" t="b">
        <f t="shared" si="68"/>
        <v>0</v>
      </c>
      <c r="Y271" s="32" t="str">
        <f t="shared" si="69"/>
        <v>GROWTH</v>
      </c>
      <c r="Z271" s="41">
        <v>0</v>
      </c>
      <c r="AA271" s="36"/>
      <c r="AB271" s="36" t="s">
        <v>24</v>
      </c>
      <c r="AC271" s="36" t="s">
        <v>24</v>
      </c>
      <c r="AD271" s="34"/>
      <c r="AE271" s="35">
        <f>IFERROR(INDEX([1]Last6M_AvgSales_Ref!$B$2:$B$12659,MATCH(D271,[1]Last6M_AvgSales_Ref!$A$2:$A$12659,0)),"")</f>
        <v>689.08333333333303</v>
      </c>
    </row>
    <row r="272" spans="1:31" ht="14.25" customHeight="1" x14ac:dyDescent="0.3">
      <c r="A272" s="36" t="s">
        <v>24</v>
      </c>
      <c r="B272" s="38" t="s">
        <v>570</v>
      </c>
      <c r="C272" s="38" t="s">
        <v>577</v>
      </c>
      <c r="D272" s="38">
        <v>1000000235</v>
      </c>
      <c r="E272" s="39" t="s">
        <v>578</v>
      </c>
      <c r="F272" s="40">
        <v>39212</v>
      </c>
      <c r="G272" s="22" t="str">
        <f t="shared" si="56"/>
        <v>Targeted Dealer</v>
      </c>
      <c r="H272" s="22"/>
      <c r="I272" s="23">
        <v>850</v>
      </c>
      <c r="J272" s="23">
        <f t="shared" si="57"/>
        <v>850</v>
      </c>
      <c r="K272" s="24">
        <v>1068.1500000000001</v>
      </c>
      <c r="L272" s="24">
        <f t="shared" si="58"/>
        <v>-218.15000000000009</v>
      </c>
      <c r="M272" s="24">
        <f t="shared" si="59"/>
        <v>125.66470588235295</v>
      </c>
      <c r="N272" s="25">
        <v>908.25</v>
      </c>
      <c r="O272" s="26" t="str">
        <f t="shared" si="60"/>
        <v>June</v>
      </c>
      <c r="P272" s="25">
        <f t="shared" si="61"/>
        <v>908.25</v>
      </c>
      <c r="Q272" s="27">
        <f t="shared" si="62"/>
        <v>159.90000000000009</v>
      </c>
      <c r="R272" s="26" t="b">
        <f t="shared" si="63"/>
        <v>0</v>
      </c>
      <c r="S272" s="28" t="str">
        <f t="shared" si="64"/>
        <v>GROWTH</v>
      </c>
      <c r="T272" s="24">
        <v>833.25</v>
      </c>
      <c r="U272" s="29" t="str">
        <f t="shared" si="65"/>
        <v>May</v>
      </c>
      <c r="V272" s="24">
        <f t="shared" si="66"/>
        <v>833.25</v>
      </c>
      <c r="W272" s="30">
        <f t="shared" si="67"/>
        <v>234.90000000000009</v>
      </c>
      <c r="X272" s="31" t="b">
        <f t="shared" si="68"/>
        <v>0</v>
      </c>
      <c r="Y272" s="32" t="str">
        <f t="shared" si="69"/>
        <v>GROWTH</v>
      </c>
      <c r="Z272" s="41">
        <v>0</v>
      </c>
      <c r="AA272" s="36"/>
      <c r="AB272" s="36" t="s">
        <v>24</v>
      </c>
      <c r="AC272" s="36" t="s">
        <v>24</v>
      </c>
      <c r="AD272" s="34"/>
      <c r="AE272" s="35">
        <f>IFERROR(INDEX([1]Last6M_AvgSales_Ref!$B$2:$B$12659,MATCH(D272,[1]Last6M_AvgSales_Ref!$A$2:$A$12659,0)),"")</f>
        <v>1187.11666666667</v>
      </c>
    </row>
    <row r="273" spans="1:31" ht="14.25" customHeight="1" x14ac:dyDescent="0.3">
      <c r="A273" s="36" t="s">
        <v>24</v>
      </c>
      <c r="B273" s="38" t="s">
        <v>570</v>
      </c>
      <c r="C273" s="38" t="s">
        <v>579</v>
      </c>
      <c r="D273" s="38">
        <v>1000000245</v>
      </c>
      <c r="E273" s="39" t="s">
        <v>580</v>
      </c>
      <c r="F273" s="40">
        <v>39958</v>
      </c>
      <c r="G273" s="22" t="str">
        <f t="shared" si="56"/>
        <v>-</v>
      </c>
      <c r="H273" s="22"/>
      <c r="I273" s="23">
        <v>0</v>
      </c>
      <c r="J273" s="23">
        <f t="shared" si="57"/>
        <v>0</v>
      </c>
      <c r="K273" s="24">
        <v>0</v>
      </c>
      <c r="L273" s="24">
        <f t="shared" si="58"/>
        <v>0</v>
      </c>
      <c r="M273" s="24" t="str">
        <f t="shared" si="59"/>
        <v>-</v>
      </c>
      <c r="N273" s="25">
        <v>0</v>
      </c>
      <c r="O273" s="26" t="str">
        <f t="shared" si="60"/>
        <v>June</v>
      </c>
      <c r="P273" s="25">
        <f t="shared" si="61"/>
        <v>0</v>
      </c>
      <c r="Q273" s="27">
        <f t="shared" si="62"/>
        <v>0</v>
      </c>
      <c r="R273" s="26" t="b">
        <f t="shared" si="63"/>
        <v>0</v>
      </c>
      <c r="S273" s="28" t="b">
        <f t="shared" si="64"/>
        <v>0</v>
      </c>
      <c r="T273" s="24">
        <v>15</v>
      </c>
      <c r="U273" s="29" t="str">
        <f t="shared" si="65"/>
        <v>May</v>
      </c>
      <c r="V273" s="24">
        <f t="shared" si="66"/>
        <v>15</v>
      </c>
      <c r="W273" s="30">
        <f t="shared" si="67"/>
        <v>-15</v>
      </c>
      <c r="X273" s="31" t="b">
        <f t="shared" si="68"/>
        <v>0</v>
      </c>
      <c r="Y273" s="32" t="str">
        <f t="shared" si="69"/>
        <v>GROWTH</v>
      </c>
      <c r="Z273" s="41">
        <v>0</v>
      </c>
      <c r="AA273" s="36"/>
      <c r="AB273" s="36" t="s">
        <v>24</v>
      </c>
      <c r="AC273" s="36" t="s">
        <v>24</v>
      </c>
      <c r="AD273" s="34"/>
      <c r="AE273" s="35">
        <f>IFERROR(INDEX([1]Last6M_AvgSales_Ref!$B$2:$B$12659,MATCH(D273,[1]Last6M_AvgSales_Ref!$A$2:$A$12659,0)),"")</f>
        <v>3.4166666666666701</v>
      </c>
    </row>
    <row r="274" spans="1:31" ht="14.25" customHeight="1" x14ac:dyDescent="0.3">
      <c r="A274" s="36" t="s">
        <v>24</v>
      </c>
      <c r="B274" s="38" t="s">
        <v>570</v>
      </c>
      <c r="C274" s="38" t="s">
        <v>581</v>
      </c>
      <c r="D274" s="38">
        <v>1000000248</v>
      </c>
      <c r="E274" s="39" t="s">
        <v>582</v>
      </c>
      <c r="F274" s="40">
        <v>39958</v>
      </c>
      <c r="G274" s="22" t="str">
        <f t="shared" si="56"/>
        <v>Targeted Dealer</v>
      </c>
      <c r="H274" s="22"/>
      <c r="I274" s="23">
        <v>200</v>
      </c>
      <c r="J274" s="23">
        <f t="shared" si="57"/>
        <v>200</v>
      </c>
      <c r="K274" s="24">
        <v>267.75</v>
      </c>
      <c r="L274" s="24">
        <f t="shared" si="58"/>
        <v>-67.75</v>
      </c>
      <c r="M274" s="24">
        <f t="shared" si="59"/>
        <v>133.875</v>
      </c>
      <c r="N274" s="25">
        <v>215.75</v>
      </c>
      <c r="O274" s="26" t="str">
        <f t="shared" si="60"/>
        <v>June</v>
      </c>
      <c r="P274" s="25">
        <f t="shared" si="61"/>
        <v>215.75</v>
      </c>
      <c r="Q274" s="27">
        <f t="shared" si="62"/>
        <v>52</v>
      </c>
      <c r="R274" s="26" t="b">
        <f t="shared" si="63"/>
        <v>0</v>
      </c>
      <c r="S274" s="28" t="str">
        <f t="shared" si="64"/>
        <v>GROWTH</v>
      </c>
      <c r="T274" s="24">
        <v>190.25</v>
      </c>
      <c r="U274" s="29" t="str">
        <f t="shared" si="65"/>
        <v>May</v>
      </c>
      <c r="V274" s="24">
        <f t="shared" si="66"/>
        <v>190.25</v>
      </c>
      <c r="W274" s="30">
        <f t="shared" si="67"/>
        <v>77.5</v>
      </c>
      <c r="X274" s="31" t="b">
        <f t="shared" si="68"/>
        <v>0</v>
      </c>
      <c r="Y274" s="32" t="str">
        <f t="shared" si="69"/>
        <v>GROWTH</v>
      </c>
      <c r="Z274" s="41">
        <v>0</v>
      </c>
      <c r="AA274" s="36"/>
      <c r="AB274" s="36" t="s">
        <v>24</v>
      </c>
      <c r="AC274" s="36" t="s">
        <v>24</v>
      </c>
      <c r="AD274" s="34"/>
      <c r="AE274" s="35">
        <f>IFERROR(INDEX([1]Last6M_AvgSales_Ref!$B$2:$B$12659,MATCH(D274,[1]Last6M_AvgSales_Ref!$A$2:$A$12659,0)),"")</f>
        <v>235.21666666666701</v>
      </c>
    </row>
    <row r="275" spans="1:31" ht="14.25" customHeight="1" x14ac:dyDescent="0.3">
      <c r="A275" s="36" t="s">
        <v>24</v>
      </c>
      <c r="B275" s="38" t="s">
        <v>570</v>
      </c>
      <c r="C275" s="38" t="s">
        <v>583</v>
      </c>
      <c r="D275" s="38">
        <v>1000000341</v>
      </c>
      <c r="E275" s="39" t="s">
        <v>584</v>
      </c>
      <c r="F275" s="40">
        <v>40030</v>
      </c>
      <c r="G275" s="22" t="str">
        <f t="shared" si="56"/>
        <v>Targeted Dealer</v>
      </c>
      <c r="H275" s="22"/>
      <c r="I275" s="23">
        <v>350</v>
      </c>
      <c r="J275" s="23">
        <f t="shared" si="57"/>
        <v>350</v>
      </c>
      <c r="K275" s="24">
        <v>440.5</v>
      </c>
      <c r="L275" s="24">
        <f t="shared" si="58"/>
        <v>-90.5</v>
      </c>
      <c r="M275" s="24">
        <f t="shared" si="59"/>
        <v>125.85714285714286</v>
      </c>
      <c r="N275" s="25">
        <v>136.5</v>
      </c>
      <c r="O275" s="26" t="str">
        <f t="shared" si="60"/>
        <v>June</v>
      </c>
      <c r="P275" s="25">
        <f t="shared" si="61"/>
        <v>136.5</v>
      </c>
      <c r="Q275" s="27">
        <f t="shared" si="62"/>
        <v>304</v>
      </c>
      <c r="R275" s="26" t="b">
        <f t="shared" si="63"/>
        <v>0</v>
      </c>
      <c r="S275" s="28" t="str">
        <f t="shared" si="64"/>
        <v>GROWTH</v>
      </c>
      <c r="T275" s="24">
        <v>436.7</v>
      </c>
      <c r="U275" s="29" t="str">
        <f t="shared" si="65"/>
        <v>May</v>
      </c>
      <c r="V275" s="24">
        <f t="shared" si="66"/>
        <v>436.7</v>
      </c>
      <c r="W275" s="30">
        <f t="shared" si="67"/>
        <v>3.8000000000000114</v>
      </c>
      <c r="X275" s="31" t="b">
        <f t="shared" si="68"/>
        <v>0</v>
      </c>
      <c r="Y275" s="32" t="str">
        <f t="shared" si="69"/>
        <v>GROWTH</v>
      </c>
      <c r="Z275" s="41">
        <v>0</v>
      </c>
      <c r="AA275" s="36"/>
      <c r="AB275" s="36" t="s">
        <v>24</v>
      </c>
      <c r="AC275" s="36" t="s">
        <v>24</v>
      </c>
      <c r="AD275" s="34"/>
      <c r="AE275" s="35">
        <f>IFERROR(INDEX([1]Last6M_AvgSales_Ref!$B$2:$B$12659,MATCH(D275,[1]Last6M_AvgSales_Ref!$A$2:$A$12659,0)),"")</f>
        <v>502.98333333333301</v>
      </c>
    </row>
    <row r="276" spans="1:31" ht="14.25" customHeight="1" x14ac:dyDescent="0.3">
      <c r="A276" s="36" t="s">
        <v>24</v>
      </c>
      <c r="B276" s="38" t="s">
        <v>570</v>
      </c>
      <c r="C276" s="38" t="s">
        <v>585</v>
      </c>
      <c r="D276" s="38">
        <v>1000000236</v>
      </c>
      <c r="E276" s="39" t="s">
        <v>586</v>
      </c>
      <c r="F276" s="40">
        <v>41146</v>
      </c>
      <c r="G276" s="22" t="str">
        <f t="shared" si="56"/>
        <v>Targeted Dealer</v>
      </c>
      <c r="H276" s="22"/>
      <c r="I276" s="23">
        <v>40</v>
      </c>
      <c r="J276" s="23">
        <f t="shared" si="57"/>
        <v>40</v>
      </c>
      <c r="K276" s="24">
        <v>20</v>
      </c>
      <c r="L276" s="24">
        <f t="shared" si="58"/>
        <v>20</v>
      </c>
      <c r="M276" s="24">
        <f t="shared" si="59"/>
        <v>50</v>
      </c>
      <c r="N276" s="25">
        <v>0</v>
      </c>
      <c r="O276" s="26" t="str">
        <f t="shared" si="60"/>
        <v>June</v>
      </c>
      <c r="P276" s="25">
        <f t="shared" si="61"/>
        <v>0</v>
      </c>
      <c r="Q276" s="27">
        <f t="shared" si="62"/>
        <v>20</v>
      </c>
      <c r="R276" s="26" t="b">
        <f t="shared" si="63"/>
        <v>0</v>
      </c>
      <c r="S276" s="28" t="b">
        <f t="shared" si="64"/>
        <v>0</v>
      </c>
      <c r="T276" s="24">
        <v>20</v>
      </c>
      <c r="U276" s="29" t="str">
        <f t="shared" si="65"/>
        <v>May</v>
      </c>
      <c r="V276" s="24">
        <f t="shared" si="66"/>
        <v>20</v>
      </c>
      <c r="W276" s="30">
        <f t="shared" si="67"/>
        <v>0</v>
      </c>
      <c r="X276" s="31" t="b">
        <f t="shared" si="68"/>
        <v>0</v>
      </c>
      <c r="Y276" s="32" t="str">
        <f t="shared" si="69"/>
        <v>GROWTH</v>
      </c>
      <c r="Z276" s="41">
        <v>0</v>
      </c>
      <c r="AA276" s="36"/>
      <c r="AB276" s="36" t="s">
        <v>24</v>
      </c>
      <c r="AC276" s="36" t="s">
        <v>24</v>
      </c>
      <c r="AD276" s="34"/>
      <c r="AE276" s="35">
        <f>IFERROR(INDEX([1]Last6M_AvgSales_Ref!$B$2:$B$12659,MATCH(D276,[1]Last6M_AvgSales_Ref!$A$2:$A$12659,0)),"")</f>
        <v>20</v>
      </c>
    </row>
    <row r="277" spans="1:31" ht="14.25" customHeight="1" x14ac:dyDescent="0.3">
      <c r="A277" s="36" t="s">
        <v>24</v>
      </c>
      <c r="B277" s="38" t="s">
        <v>570</v>
      </c>
      <c r="C277" s="38" t="s">
        <v>587</v>
      </c>
      <c r="D277" s="38">
        <v>1000000233</v>
      </c>
      <c r="E277" s="39" t="s">
        <v>588</v>
      </c>
      <c r="F277" s="40">
        <v>41243</v>
      </c>
      <c r="G277" s="22" t="str">
        <f t="shared" si="56"/>
        <v>Targeted Dealer</v>
      </c>
      <c r="H277" s="22"/>
      <c r="I277" s="23">
        <v>310</v>
      </c>
      <c r="J277" s="23">
        <f t="shared" si="57"/>
        <v>310</v>
      </c>
      <c r="K277" s="24">
        <v>355</v>
      </c>
      <c r="L277" s="24">
        <f t="shared" si="58"/>
        <v>-45</v>
      </c>
      <c r="M277" s="24">
        <f t="shared" si="59"/>
        <v>114.51612903225806</v>
      </c>
      <c r="N277" s="25">
        <v>422.5</v>
      </c>
      <c r="O277" s="26" t="str">
        <f t="shared" si="60"/>
        <v>June</v>
      </c>
      <c r="P277" s="25">
        <f t="shared" si="61"/>
        <v>422.5</v>
      </c>
      <c r="Q277" s="27">
        <f t="shared" si="62"/>
        <v>-67.5</v>
      </c>
      <c r="R277" s="26" t="b">
        <f t="shared" si="63"/>
        <v>0</v>
      </c>
      <c r="S277" s="28" t="str">
        <f t="shared" si="64"/>
        <v>GROWTH</v>
      </c>
      <c r="T277" s="24">
        <v>502.5</v>
      </c>
      <c r="U277" s="29" t="str">
        <f t="shared" si="65"/>
        <v>May</v>
      </c>
      <c r="V277" s="24">
        <f t="shared" si="66"/>
        <v>502.5</v>
      </c>
      <c r="W277" s="30">
        <f t="shared" si="67"/>
        <v>-147.5</v>
      </c>
      <c r="X277" s="31" t="b">
        <f t="shared" si="68"/>
        <v>0</v>
      </c>
      <c r="Y277" s="32" t="str">
        <f t="shared" si="69"/>
        <v>GROWTH</v>
      </c>
      <c r="Z277" s="41">
        <v>0</v>
      </c>
      <c r="AA277" s="36"/>
      <c r="AB277" s="36" t="s">
        <v>24</v>
      </c>
      <c r="AC277" s="36" t="s">
        <v>24</v>
      </c>
      <c r="AD277" s="34"/>
      <c r="AE277" s="35">
        <f>IFERROR(INDEX([1]Last6M_AvgSales_Ref!$B$2:$B$12659,MATCH(D277,[1]Last6M_AvgSales_Ref!$A$2:$A$12659,0)),"")</f>
        <v>542.66666666666697</v>
      </c>
    </row>
    <row r="278" spans="1:31" ht="14.25" customHeight="1" x14ac:dyDescent="0.3">
      <c r="A278" s="36" t="s">
        <v>24</v>
      </c>
      <c r="B278" s="38" t="s">
        <v>570</v>
      </c>
      <c r="C278" s="38" t="s">
        <v>589</v>
      </c>
      <c r="D278" s="38">
        <v>1000000247</v>
      </c>
      <c r="E278" s="39" t="s">
        <v>590</v>
      </c>
      <c r="F278" s="40">
        <v>41243</v>
      </c>
      <c r="G278" s="22" t="str">
        <f t="shared" si="56"/>
        <v>Targeted Dealer</v>
      </c>
      <c r="H278" s="22"/>
      <c r="I278" s="23">
        <v>60</v>
      </c>
      <c r="J278" s="23">
        <f t="shared" si="57"/>
        <v>60</v>
      </c>
      <c r="K278" s="24">
        <v>75</v>
      </c>
      <c r="L278" s="24">
        <f t="shared" si="58"/>
        <v>-15</v>
      </c>
      <c r="M278" s="24">
        <f t="shared" si="59"/>
        <v>125</v>
      </c>
      <c r="N278" s="25">
        <v>62.5</v>
      </c>
      <c r="O278" s="26" t="str">
        <f t="shared" si="60"/>
        <v>June</v>
      </c>
      <c r="P278" s="25">
        <f t="shared" si="61"/>
        <v>62.5</v>
      </c>
      <c r="Q278" s="27">
        <f t="shared" si="62"/>
        <v>12.5</v>
      </c>
      <c r="R278" s="26" t="b">
        <f t="shared" si="63"/>
        <v>0</v>
      </c>
      <c r="S278" s="28" t="str">
        <f t="shared" si="64"/>
        <v>GROWTH</v>
      </c>
      <c r="T278" s="24">
        <v>137.5</v>
      </c>
      <c r="U278" s="29" t="str">
        <f t="shared" si="65"/>
        <v>May</v>
      </c>
      <c r="V278" s="24">
        <f t="shared" si="66"/>
        <v>137.5</v>
      </c>
      <c r="W278" s="30">
        <f t="shared" si="67"/>
        <v>-62.5</v>
      </c>
      <c r="X278" s="31" t="b">
        <f t="shared" si="68"/>
        <v>0</v>
      </c>
      <c r="Y278" s="32" t="str">
        <f t="shared" si="69"/>
        <v>GROWTH</v>
      </c>
      <c r="Z278" s="41">
        <v>0</v>
      </c>
      <c r="AA278" s="36"/>
      <c r="AB278" s="36" t="s">
        <v>24</v>
      </c>
      <c r="AC278" s="36" t="s">
        <v>24</v>
      </c>
      <c r="AD278" s="34"/>
      <c r="AE278" s="35">
        <f>IFERROR(INDEX([1]Last6M_AvgSales_Ref!$B$2:$B$12659,MATCH(D278,[1]Last6M_AvgSales_Ref!$A$2:$A$12659,0)),"")</f>
        <v>73.75</v>
      </c>
    </row>
    <row r="279" spans="1:31" ht="14.25" customHeight="1" x14ac:dyDescent="0.3">
      <c r="A279" s="36" t="s">
        <v>24</v>
      </c>
      <c r="B279" s="38" t="s">
        <v>570</v>
      </c>
      <c r="C279" s="38" t="s">
        <v>591</v>
      </c>
      <c r="D279" s="38">
        <v>1000000246</v>
      </c>
      <c r="E279" s="39" t="s">
        <v>592</v>
      </c>
      <c r="F279" s="40">
        <v>41386</v>
      </c>
      <c r="G279" s="22" t="str">
        <f t="shared" si="56"/>
        <v>Targeted Dealer</v>
      </c>
      <c r="H279" s="22"/>
      <c r="I279" s="23">
        <v>20</v>
      </c>
      <c r="J279" s="23">
        <f t="shared" si="57"/>
        <v>20</v>
      </c>
      <c r="K279" s="24">
        <v>63.5</v>
      </c>
      <c r="L279" s="24">
        <f t="shared" si="58"/>
        <v>-43.5</v>
      </c>
      <c r="M279" s="24">
        <f t="shared" si="59"/>
        <v>317.5</v>
      </c>
      <c r="N279" s="25">
        <v>3</v>
      </c>
      <c r="O279" s="26" t="str">
        <f t="shared" si="60"/>
        <v>June</v>
      </c>
      <c r="P279" s="25">
        <f t="shared" si="61"/>
        <v>3</v>
      </c>
      <c r="Q279" s="27">
        <f t="shared" si="62"/>
        <v>60.5</v>
      </c>
      <c r="R279" s="26" t="b">
        <f t="shared" si="63"/>
        <v>0</v>
      </c>
      <c r="S279" s="28" t="str">
        <f t="shared" si="64"/>
        <v>GROWTH</v>
      </c>
      <c r="T279" s="24">
        <v>9</v>
      </c>
      <c r="U279" s="29" t="str">
        <f t="shared" si="65"/>
        <v>May</v>
      </c>
      <c r="V279" s="24">
        <f t="shared" si="66"/>
        <v>9</v>
      </c>
      <c r="W279" s="30">
        <f t="shared" si="67"/>
        <v>54.5</v>
      </c>
      <c r="X279" s="31" t="b">
        <f t="shared" si="68"/>
        <v>0</v>
      </c>
      <c r="Y279" s="32" t="str">
        <f t="shared" si="69"/>
        <v>GROWTH</v>
      </c>
      <c r="Z279" s="41">
        <v>0</v>
      </c>
      <c r="AA279" s="36"/>
      <c r="AB279" s="36" t="s">
        <v>24</v>
      </c>
      <c r="AC279" s="36" t="s">
        <v>24</v>
      </c>
      <c r="AD279" s="34"/>
      <c r="AE279" s="35">
        <f>IFERROR(INDEX([1]Last6M_AvgSales_Ref!$B$2:$B$12659,MATCH(D279,[1]Last6M_AvgSales_Ref!$A$2:$A$12659,0)),"")</f>
        <v>31.25</v>
      </c>
    </row>
    <row r="280" spans="1:31" ht="14.25" customHeight="1" x14ac:dyDescent="0.3">
      <c r="A280" s="36" t="s">
        <v>24</v>
      </c>
      <c r="B280" s="38" t="s">
        <v>570</v>
      </c>
      <c r="C280" s="38" t="s">
        <v>593</v>
      </c>
      <c r="D280" s="38">
        <v>1000000811</v>
      </c>
      <c r="E280" s="39" t="s">
        <v>594</v>
      </c>
      <c r="F280" s="40">
        <v>42097</v>
      </c>
      <c r="G280" s="22" t="str">
        <f t="shared" si="56"/>
        <v>Targeted Dealer</v>
      </c>
      <c r="H280" s="22"/>
      <c r="I280" s="23">
        <v>20</v>
      </c>
      <c r="J280" s="23">
        <f t="shared" si="57"/>
        <v>20</v>
      </c>
      <c r="K280" s="24">
        <v>20</v>
      </c>
      <c r="L280" s="24">
        <f t="shared" si="58"/>
        <v>0</v>
      </c>
      <c r="M280" s="24">
        <f t="shared" si="59"/>
        <v>100</v>
      </c>
      <c r="N280" s="25">
        <v>20</v>
      </c>
      <c r="O280" s="26" t="str">
        <f t="shared" si="60"/>
        <v>June</v>
      </c>
      <c r="P280" s="25">
        <f t="shared" si="61"/>
        <v>20</v>
      </c>
      <c r="Q280" s="27">
        <f t="shared" si="62"/>
        <v>0</v>
      </c>
      <c r="R280" s="26" t="b">
        <f t="shared" si="63"/>
        <v>0</v>
      </c>
      <c r="S280" s="28" t="str">
        <f t="shared" si="64"/>
        <v>GROWTH</v>
      </c>
      <c r="T280" s="24">
        <v>20</v>
      </c>
      <c r="U280" s="29" t="str">
        <f t="shared" si="65"/>
        <v>May</v>
      </c>
      <c r="V280" s="24">
        <f t="shared" si="66"/>
        <v>20</v>
      </c>
      <c r="W280" s="30">
        <f t="shared" si="67"/>
        <v>0</v>
      </c>
      <c r="X280" s="31" t="b">
        <f t="shared" si="68"/>
        <v>0</v>
      </c>
      <c r="Y280" s="32" t="str">
        <f t="shared" si="69"/>
        <v>GROWTH</v>
      </c>
      <c r="Z280" s="41">
        <v>0</v>
      </c>
      <c r="AA280" s="36"/>
      <c r="AB280" s="36" t="s">
        <v>24</v>
      </c>
      <c r="AC280" s="36" t="s">
        <v>24</v>
      </c>
      <c r="AD280" s="34"/>
      <c r="AE280" s="35">
        <f>IFERROR(INDEX([1]Last6M_AvgSales_Ref!$B$2:$B$12659,MATCH(D280,[1]Last6M_AvgSales_Ref!$A$2:$A$12659,0)),"")</f>
        <v>29.1666666666667</v>
      </c>
    </row>
    <row r="281" spans="1:31" ht="14.25" customHeight="1" x14ac:dyDescent="0.3">
      <c r="A281" s="36" t="s">
        <v>24</v>
      </c>
      <c r="B281" s="38" t="s">
        <v>570</v>
      </c>
      <c r="C281" s="38" t="s">
        <v>595</v>
      </c>
      <c r="D281" s="38">
        <v>1000000239</v>
      </c>
      <c r="E281" s="39" t="s">
        <v>596</v>
      </c>
      <c r="F281" s="40">
        <v>42123</v>
      </c>
      <c r="G281" s="22" t="str">
        <f t="shared" si="56"/>
        <v>Targeted Dealer</v>
      </c>
      <c r="H281" s="22"/>
      <c r="I281" s="23">
        <v>90</v>
      </c>
      <c r="J281" s="23">
        <f t="shared" si="57"/>
        <v>90</v>
      </c>
      <c r="K281" s="24">
        <v>31.5</v>
      </c>
      <c r="L281" s="24">
        <f t="shared" si="58"/>
        <v>58.5</v>
      </c>
      <c r="M281" s="24">
        <f t="shared" si="59"/>
        <v>35</v>
      </c>
      <c r="N281" s="25">
        <v>113.5</v>
      </c>
      <c r="O281" s="26" t="str">
        <f t="shared" si="60"/>
        <v>June</v>
      </c>
      <c r="P281" s="25">
        <f t="shared" si="61"/>
        <v>113.5</v>
      </c>
      <c r="Q281" s="27">
        <f t="shared" si="62"/>
        <v>-82</v>
      </c>
      <c r="R281" s="26" t="b">
        <f t="shared" si="63"/>
        <v>0</v>
      </c>
      <c r="S281" s="28" t="str">
        <f t="shared" si="64"/>
        <v>GROWTH</v>
      </c>
      <c r="T281" s="24">
        <v>74</v>
      </c>
      <c r="U281" s="29" t="str">
        <f t="shared" si="65"/>
        <v>May</v>
      </c>
      <c r="V281" s="24">
        <f t="shared" si="66"/>
        <v>74</v>
      </c>
      <c r="W281" s="30">
        <f t="shared" si="67"/>
        <v>-42.5</v>
      </c>
      <c r="X281" s="31" t="b">
        <f t="shared" si="68"/>
        <v>0</v>
      </c>
      <c r="Y281" s="32" t="str">
        <f t="shared" si="69"/>
        <v>GROWTH</v>
      </c>
      <c r="Z281" s="41">
        <v>0</v>
      </c>
      <c r="AA281" s="36"/>
      <c r="AB281" s="36" t="s">
        <v>24</v>
      </c>
      <c r="AC281" s="36" t="s">
        <v>24</v>
      </c>
      <c r="AD281" s="34"/>
      <c r="AE281" s="35">
        <f>IFERROR(INDEX([1]Last6M_AvgSales_Ref!$B$2:$B$12659,MATCH(D281,[1]Last6M_AvgSales_Ref!$A$2:$A$12659,0)),"")</f>
        <v>121.041666666667</v>
      </c>
    </row>
    <row r="282" spans="1:31" ht="14.25" customHeight="1" x14ac:dyDescent="0.3">
      <c r="A282" s="36" t="s">
        <v>24</v>
      </c>
      <c r="B282" s="38" t="s">
        <v>570</v>
      </c>
      <c r="C282" s="38" t="s">
        <v>597</v>
      </c>
      <c r="D282" s="38">
        <v>1000000820</v>
      </c>
      <c r="E282" s="39" t="s">
        <v>598</v>
      </c>
      <c r="F282" s="40">
        <v>42634</v>
      </c>
      <c r="G282" s="22" t="str">
        <f t="shared" si="56"/>
        <v>Targeted Dealer</v>
      </c>
      <c r="H282" s="22"/>
      <c r="I282" s="23">
        <v>120</v>
      </c>
      <c r="J282" s="23">
        <f t="shared" si="57"/>
        <v>120</v>
      </c>
      <c r="K282" s="24">
        <v>142.75</v>
      </c>
      <c r="L282" s="24">
        <f t="shared" si="58"/>
        <v>-22.75</v>
      </c>
      <c r="M282" s="24">
        <f t="shared" si="59"/>
        <v>118.95833333333334</v>
      </c>
      <c r="N282" s="25">
        <v>79</v>
      </c>
      <c r="O282" s="26" t="str">
        <f t="shared" si="60"/>
        <v>June</v>
      </c>
      <c r="P282" s="25">
        <f t="shared" si="61"/>
        <v>79</v>
      </c>
      <c r="Q282" s="27">
        <f t="shared" si="62"/>
        <v>63.75</v>
      </c>
      <c r="R282" s="26" t="b">
        <f t="shared" si="63"/>
        <v>0</v>
      </c>
      <c r="S282" s="28" t="str">
        <f t="shared" si="64"/>
        <v>GROWTH</v>
      </c>
      <c r="T282" s="24">
        <v>105.75</v>
      </c>
      <c r="U282" s="29" t="str">
        <f t="shared" si="65"/>
        <v>May</v>
      </c>
      <c r="V282" s="24">
        <f t="shared" si="66"/>
        <v>105.75</v>
      </c>
      <c r="W282" s="30">
        <f t="shared" si="67"/>
        <v>37</v>
      </c>
      <c r="X282" s="31" t="b">
        <f t="shared" si="68"/>
        <v>0</v>
      </c>
      <c r="Y282" s="32" t="str">
        <f t="shared" si="69"/>
        <v>GROWTH</v>
      </c>
      <c r="Z282" s="41">
        <v>0</v>
      </c>
      <c r="AA282" s="36"/>
      <c r="AB282" s="36" t="s">
        <v>24</v>
      </c>
      <c r="AC282" s="36" t="s">
        <v>24</v>
      </c>
      <c r="AD282" s="34"/>
      <c r="AE282" s="35">
        <f>IFERROR(INDEX([1]Last6M_AvgSales_Ref!$B$2:$B$12659,MATCH(D282,[1]Last6M_AvgSales_Ref!$A$2:$A$12659,0)),"")</f>
        <v>119.65</v>
      </c>
    </row>
    <row r="283" spans="1:31" ht="14.25" customHeight="1" x14ac:dyDescent="0.3">
      <c r="A283" s="36" t="s">
        <v>24</v>
      </c>
      <c r="B283" s="38" t="s">
        <v>570</v>
      </c>
      <c r="C283" s="38" t="s">
        <v>599</v>
      </c>
      <c r="D283" s="38">
        <v>1000000821</v>
      </c>
      <c r="E283" s="39" t="s">
        <v>600</v>
      </c>
      <c r="F283" s="40">
        <v>42731</v>
      </c>
      <c r="G283" s="22" t="str">
        <f t="shared" si="56"/>
        <v>Targeted Dealer</v>
      </c>
      <c r="H283" s="22"/>
      <c r="I283" s="23">
        <v>20</v>
      </c>
      <c r="J283" s="23">
        <f t="shared" si="57"/>
        <v>20</v>
      </c>
      <c r="K283" s="24">
        <v>0</v>
      </c>
      <c r="L283" s="24">
        <f t="shared" si="58"/>
        <v>20</v>
      </c>
      <c r="M283" s="24">
        <f t="shared" si="59"/>
        <v>0</v>
      </c>
      <c r="N283" s="25">
        <v>0</v>
      </c>
      <c r="O283" s="26" t="str">
        <f t="shared" si="60"/>
        <v>June</v>
      </c>
      <c r="P283" s="25">
        <f t="shared" si="61"/>
        <v>0</v>
      </c>
      <c r="Q283" s="27">
        <f t="shared" si="62"/>
        <v>0</v>
      </c>
      <c r="R283" s="26" t="b">
        <f t="shared" si="63"/>
        <v>0</v>
      </c>
      <c r="S283" s="28" t="b">
        <f t="shared" si="64"/>
        <v>0</v>
      </c>
      <c r="T283" s="24">
        <v>5</v>
      </c>
      <c r="U283" s="29" t="str">
        <f t="shared" si="65"/>
        <v>May</v>
      </c>
      <c r="V283" s="24">
        <f t="shared" si="66"/>
        <v>5</v>
      </c>
      <c r="W283" s="30">
        <f t="shared" si="67"/>
        <v>-5</v>
      </c>
      <c r="X283" s="31" t="b">
        <f t="shared" si="68"/>
        <v>0</v>
      </c>
      <c r="Y283" s="32" t="str">
        <f t="shared" si="69"/>
        <v>GROWTH</v>
      </c>
      <c r="Z283" s="41">
        <v>0</v>
      </c>
      <c r="AA283" s="36"/>
      <c r="AB283" s="36" t="s">
        <v>24</v>
      </c>
      <c r="AC283" s="36" t="s">
        <v>24</v>
      </c>
      <c r="AD283" s="34"/>
      <c r="AE283" s="35">
        <f>IFERROR(INDEX([1]Last6M_AvgSales_Ref!$B$2:$B$12659,MATCH(D283,[1]Last6M_AvgSales_Ref!$A$2:$A$12659,0)),"")</f>
        <v>1.4166666666666701</v>
      </c>
    </row>
    <row r="284" spans="1:31" ht="14.25" customHeight="1" x14ac:dyDescent="0.3">
      <c r="A284" s="36" t="s">
        <v>24</v>
      </c>
      <c r="B284" s="38" t="s">
        <v>570</v>
      </c>
      <c r="C284" s="38" t="s">
        <v>601</v>
      </c>
      <c r="D284" s="38">
        <v>1000000249</v>
      </c>
      <c r="E284" s="39" t="s">
        <v>602</v>
      </c>
      <c r="F284" s="40">
        <v>43217</v>
      </c>
      <c r="G284" s="22" t="str">
        <f t="shared" si="56"/>
        <v>Targeted Dealer</v>
      </c>
      <c r="H284" s="22"/>
      <c r="I284" s="23">
        <v>20</v>
      </c>
      <c r="J284" s="23">
        <f t="shared" si="57"/>
        <v>20</v>
      </c>
      <c r="K284" s="24">
        <v>19</v>
      </c>
      <c r="L284" s="24">
        <f t="shared" si="58"/>
        <v>1</v>
      </c>
      <c r="M284" s="24">
        <f t="shared" si="59"/>
        <v>95</v>
      </c>
      <c r="N284" s="25">
        <v>32</v>
      </c>
      <c r="O284" s="26" t="str">
        <f t="shared" si="60"/>
        <v>June</v>
      </c>
      <c r="P284" s="25">
        <f t="shared" si="61"/>
        <v>32</v>
      </c>
      <c r="Q284" s="27">
        <f t="shared" si="62"/>
        <v>-13</v>
      </c>
      <c r="R284" s="26" t="b">
        <f t="shared" si="63"/>
        <v>0</v>
      </c>
      <c r="S284" s="28" t="str">
        <f t="shared" si="64"/>
        <v>GROWTH</v>
      </c>
      <c r="T284" s="24">
        <v>11.95</v>
      </c>
      <c r="U284" s="29" t="str">
        <f t="shared" si="65"/>
        <v>May</v>
      </c>
      <c r="V284" s="24">
        <f t="shared" si="66"/>
        <v>11.95</v>
      </c>
      <c r="W284" s="30">
        <f t="shared" si="67"/>
        <v>7.0500000000000007</v>
      </c>
      <c r="X284" s="31" t="b">
        <f t="shared" si="68"/>
        <v>0</v>
      </c>
      <c r="Y284" s="32" t="str">
        <f t="shared" si="69"/>
        <v>GROWTH</v>
      </c>
      <c r="Z284" s="41">
        <v>0</v>
      </c>
      <c r="AA284" s="36"/>
      <c r="AB284" s="36" t="s">
        <v>24</v>
      </c>
      <c r="AC284" s="36" t="s">
        <v>24</v>
      </c>
      <c r="AD284" s="34"/>
      <c r="AE284" s="35">
        <f>IFERROR(INDEX([1]Last6M_AvgSales_Ref!$B$2:$B$12659,MATCH(D284,[1]Last6M_AvgSales_Ref!$A$2:$A$12659,0)),"")</f>
        <v>36.725000000000001</v>
      </c>
    </row>
    <row r="285" spans="1:31" ht="14.25" customHeight="1" x14ac:dyDescent="0.3">
      <c r="A285" s="36" t="s">
        <v>24</v>
      </c>
      <c r="B285" s="38" t="s">
        <v>570</v>
      </c>
      <c r="C285" s="38" t="s">
        <v>603</v>
      </c>
      <c r="D285" s="38">
        <v>1000000238</v>
      </c>
      <c r="E285" s="39" t="s">
        <v>604</v>
      </c>
      <c r="F285" s="40">
        <v>43315</v>
      </c>
      <c r="G285" s="22" t="str">
        <f t="shared" si="56"/>
        <v>Targeted Dealer</v>
      </c>
      <c r="H285" s="22"/>
      <c r="I285" s="23">
        <v>20</v>
      </c>
      <c r="J285" s="23">
        <f t="shared" si="57"/>
        <v>20</v>
      </c>
      <c r="K285" s="24">
        <v>4</v>
      </c>
      <c r="L285" s="24">
        <f t="shared" si="58"/>
        <v>16</v>
      </c>
      <c r="M285" s="24">
        <f t="shared" si="59"/>
        <v>20</v>
      </c>
      <c r="N285" s="25">
        <v>21.5</v>
      </c>
      <c r="O285" s="26" t="str">
        <f t="shared" si="60"/>
        <v>June</v>
      </c>
      <c r="P285" s="25">
        <f t="shared" si="61"/>
        <v>21.5</v>
      </c>
      <c r="Q285" s="27">
        <f t="shared" si="62"/>
        <v>-17.5</v>
      </c>
      <c r="R285" s="26" t="b">
        <f t="shared" si="63"/>
        <v>0</v>
      </c>
      <c r="S285" s="28" t="str">
        <f t="shared" si="64"/>
        <v>GROWTH</v>
      </c>
      <c r="T285" s="24">
        <v>10</v>
      </c>
      <c r="U285" s="29" t="str">
        <f t="shared" si="65"/>
        <v>May</v>
      </c>
      <c r="V285" s="24">
        <f t="shared" si="66"/>
        <v>10</v>
      </c>
      <c r="W285" s="30">
        <f t="shared" si="67"/>
        <v>-6</v>
      </c>
      <c r="X285" s="31" t="b">
        <f t="shared" si="68"/>
        <v>0</v>
      </c>
      <c r="Y285" s="32" t="str">
        <f t="shared" si="69"/>
        <v>GROWTH</v>
      </c>
      <c r="Z285" s="41">
        <v>0</v>
      </c>
      <c r="AA285" s="36"/>
      <c r="AB285" s="36" t="s">
        <v>24</v>
      </c>
      <c r="AC285" s="36" t="s">
        <v>24</v>
      </c>
      <c r="AD285" s="34"/>
      <c r="AE285" s="35">
        <f>IFERROR(INDEX([1]Last6M_AvgSales_Ref!$B$2:$B$12659,MATCH(D285,[1]Last6M_AvgSales_Ref!$A$2:$A$12659,0)),"")</f>
        <v>25.7083333333333</v>
      </c>
    </row>
    <row r="286" spans="1:31" ht="14.25" customHeight="1" x14ac:dyDescent="0.3">
      <c r="A286" s="36" t="s">
        <v>24</v>
      </c>
      <c r="B286" s="38" t="s">
        <v>570</v>
      </c>
      <c r="C286" s="38" t="s">
        <v>605</v>
      </c>
      <c r="D286" s="38">
        <v>1000000250</v>
      </c>
      <c r="E286" s="39" t="s">
        <v>606</v>
      </c>
      <c r="F286" s="40">
        <v>43525</v>
      </c>
      <c r="G286" s="22" t="str">
        <f t="shared" si="56"/>
        <v>Targeted Dealer</v>
      </c>
      <c r="H286" s="22"/>
      <c r="I286" s="23">
        <v>20</v>
      </c>
      <c r="J286" s="23">
        <f t="shared" si="57"/>
        <v>20</v>
      </c>
      <c r="K286" s="24">
        <v>15</v>
      </c>
      <c r="L286" s="24">
        <f t="shared" si="58"/>
        <v>5</v>
      </c>
      <c r="M286" s="24">
        <f t="shared" si="59"/>
        <v>75</v>
      </c>
      <c r="N286" s="25">
        <v>0</v>
      </c>
      <c r="O286" s="26" t="str">
        <f t="shared" si="60"/>
        <v>June</v>
      </c>
      <c r="P286" s="25">
        <f t="shared" si="61"/>
        <v>0</v>
      </c>
      <c r="Q286" s="27">
        <f t="shared" si="62"/>
        <v>15</v>
      </c>
      <c r="R286" s="26" t="b">
        <f t="shared" si="63"/>
        <v>0</v>
      </c>
      <c r="S286" s="28" t="b">
        <f t="shared" si="64"/>
        <v>0</v>
      </c>
      <c r="T286" s="24">
        <v>20</v>
      </c>
      <c r="U286" s="29" t="str">
        <f t="shared" si="65"/>
        <v>May</v>
      </c>
      <c r="V286" s="24">
        <f t="shared" si="66"/>
        <v>20</v>
      </c>
      <c r="W286" s="30">
        <f t="shared" si="67"/>
        <v>-5</v>
      </c>
      <c r="X286" s="31" t="b">
        <f t="shared" si="68"/>
        <v>0</v>
      </c>
      <c r="Y286" s="32" t="str">
        <f t="shared" si="69"/>
        <v>GROWTH</v>
      </c>
      <c r="Z286" s="41">
        <v>0</v>
      </c>
      <c r="AA286" s="36"/>
      <c r="AB286" s="36" t="s">
        <v>24</v>
      </c>
      <c r="AC286" s="36" t="s">
        <v>24</v>
      </c>
      <c r="AD286" s="34"/>
      <c r="AE286" s="35">
        <f>IFERROR(INDEX([1]Last6M_AvgSales_Ref!$B$2:$B$12659,MATCH(D286,[1]Last6M_AvgSales_Ref!$A$2:$A$12659,0)),"")</f>
        <v>25</v>
      </c>
    </row>
    <row r="287" spans="1:31" ht="14.25" customHeight="1" x14ac:dyDescent="0.3">
      <c r="A287" s="36" t="s">
        <v>24</v>
      </c>
      <c r="B287" s="38" t="s">
        <v>570</v>
      </c>
      <c r="C287" s="38" t="s">
        <v>607</v>
      </c>
      <c r="D287" s="38">
        <v>1000000339</v>
      </c>
      <c r="E287" s="39" t="s">
        <v>608</v>
      </c>
      <c r="F287" s="40">
        <v>43648</v>
      </c>
      <c r="G287" s="22" t="str">
        <f t="shared" si="56"/>
        <v>Targeted Dealer</v>
      </c>
      <c r="H287" s="22"/>
      <c r="I287" s="23">
        <v>100</v>
      </c>
      <c r="J287" s="23">
        <f t="shared" si="57"/>
        <v>100</v>
      </c>
      <c r="K287" s="24">
        <v>25</v>
      </c>
      <c r="L287" s="24">
        <f t="shared" si="58"/>
        <v>75</v>
      </c>
      <c r="M287" s="24">
        <f t="shared" si="59"/>
        <v>25</v>
      </c>
      <c r="N287" s="25">
        <v>50</v>
      </c>
      <c r="O287" s="26" t="str">
        <f t="shared" si="60"/>
        <v>June</v>
      </c>
      <c r="P287" s="25">
        <f t="shared" si="61"/>
        <v>50</v>
      </c>
      <c r="Q287" s="27">
        <f t="shared" si="62"/>
        <v>-25</v>
      </c>
      <c r="R287" s="26" t="b">
        <f t="shared" si="63"/>
        <v>0</v>
      </c>
      <c r="S287" s="28" t="str">
        <f t="shared" si="64"/>
        <v>GROWTH</v>
      </c>
      <c r="T287" s="24">
        <v>150</v>
      </c>
      <c r="U287" s="29" t="str">
        <f t="shared" si="65"/>
        <v>May</v>
      </c>
      <c r="V287" s="24">
        <f t="shared" si="66"/>
        <v>150</v>
      </c>
      <c r="W287" s="30">
        <f t="shared" si="67"/>
        <v>-125</v>
      </c>
      <c r="X287" s="31" t="b">
        <f t="shared" si="68"/>
        <v>0</v>
      </c>
      <c r="Y287" s="32" t="str">
        <f t="shared" si="69"/>
        <v>GROWTH</v>
      </c>
      <c r="Z287" s="41">
        <v>0</v>
      </c>
      <c r="AA287" s="36"/>
      <c r="AB287" s="36" t="s">
        <v>24</v>
      </c>
      <c r="AC287" s="36" t="s">
        <v>24</v>
      </c>
      <c r="AD287" s="34"/>
      <c r="AE287" s="35">
        <f>IFERROR(INDEX([1]Last6M_AvgSales_Ref!$B$2:$B$12659,MATCH(D287,[1]Last6M_AvgSales_Ref!$A$2:$A$12659,0)),"")</f>
        <v>95.3333333333333</v>
      </c>
    </row>
    <row r="288" spans="1:31" ht="14.25" customHeight="1" x14ac:dyDescent="0.3">
      <c r="A288" s="36" t="s">
        <v>24</v>
      </c>
      <c r="B288" s="38" t="s">
        <v>570</v>
      </c>
      <c r="C288" s="38" t="s">
        <v>609</v>
      </c>
      <c r="D288" s="38">
        <v>1000000815</v>
      </c>
      <c r="E288" s="39" t="s">
        <v>610</v>
      </c>
      <c r="F288" s="40">
        <v>43700</v>
      </c>
      <c r="G288" s="22" t="str">
        <f t="shared" si="56"/>
        <v>Targeted Dealer</v>
      </c>
      <c r="H288" s="22"/>
      <c r="I288" s="23">
        <v>430</v>
      </c>
      <c r="J288" s="23">
        <f t="shared" si="57"/>
        <v>430</v>
      </c>
      <c r="K288" s="24">
        <v>534.75</v>
      </c>
      <c r="L288" s="24">
        <f t="shared" si="58"/>
        <v>-104.75</v>
      </c>
      <c r="M288" s="24">
        <f t="shared" si="59"/>
        <v>124.36046511627907</v>
      </c>
      <c r="N288" s="25">
        <v>405.25</v>
      </c>
      <c r="O288" s="26" t="str">
        <f t="shared" si="60"/>
        <v>June</v>
      </c>
      <c r="P288" s="25">
        <f t="shared" si="61"/>
        <v>405.25</v>
      </c>
      <c r="Q288" s="27">
        <f t="shared" si="62"/>
        <v>129.5</v>
      </c>
      <c r="R288" s="26" t="b">
        <f t="shared" si="63"/>
        <v>0</v>
      </c>
      <c r="S288" s="28" t="str">
        <f t="shared" si="64"/>
        <v>GROWTH</v>
      </c>
      <c r="T288" s="24">
        <v>405.75</v>
      </c>
      <c r="U288" s="29" t="str">
        <f t="shared" si="65"/>
        <v>May</v>
      </c>
      <c r="V288" s="24">
        <f t="shared" si="66"/>
        <v>405.75</v>
      </c>
      <c r="W288" s="30">
        <f t="shared" si="67"/>
        <v>129</v>
      </c>
      <c r="X288" s="31" t="b">
        <f t="shared" si="68"/>
        <v>0</v>
      </c>
      <c r="Y288" s="32" t="str">
        <f t="shared" si="69"/>
        <v>GROWTH</v>
      </c>
      <c r="Z288" s="41">
        <v>0</v>
      </c>
      <c r="AA288" s="36"/>
      <c r="AB288" s="36" t="s">
        <v>24</v>
      </c>
      <c r="AC288" s="36" t="s">
        <v>24</v>
      </c>
      <c r="AD288" s="34"/>
      <c r="AE288" s="35">
        <f>IFERROR(INDEX([1]Last6M_AvgSales_Ref!$B$2:$B$12659,MATCH(D288,[1]Last6M_AvgSales_Ref!$A$2:$A$12659,0)),"")</f>
        <v>608.48333333333301</v>
      </c>
    </row>
    <row r="289" spans="1:31" ht="14.25" customHeight="1" x14ac:dyDescent="0.3">
      <c r="A289" s="36" t="s">
        <v>24</v>
      </c>
      <c r="B289" s="38" t="s">
        <v>570</v>
      </c>
      <c r="C289" s="38" t="s">
        <v>611</v>
      </c>
      <c r="D289" s="38">
        <v>1000000340</v>
      </c>
      <c r="E289" s="39" t="s">
        <v>612</v>
      </c>
      <c r="F289" s="40">
        <v>44006</v>
      </c>
      <c r="G289" s="22" t="str">
        <f t="shared" si="56"/>
        <v>Targeted Dealer</v>
      </c>
      <c r="H289" s="22"/>
      <c r="I289" s="23">
        <v>65</v>
      </c>
      <c r="J289" s="23">
        <f t="shared" si="57"/>
        <v>65</v>
      </c>
      <c r="K289" s="24">
        <v>22.5</v>
      </c>
      <c r="L289" s="24">
        <f t="shared" si="58"/>
        <v>42.5</v>
      </c>
      <c r="M289" s="24">
        <f t="shared" si="59"/>
        <v>34.615384615384613</v>
      </c>
      <c r="N289" s="25">
        <v>15</v>
      </c>
      <c r="O289" s="26" t="str">
        <f t="shared" si="60"/>
        <v>June</v>
      </c>
      <c r="P289" s="25">
        <f t="shared" si="61"/>
        <v>15</v>
      </c>
      <c r="Q289" s="27">
        <f t="shared" si="62"/>
        <v>7.5</v>
      </c>
      <c r="R289" s="26" t="b">
        <f t="shared" si="63"/>
        <v>0</v>
      </c>
      <c r="S289" s="28" t="str">
        <f t="shared" si="64"/>
        <v>GROWTH</v>
      </c>
      <c r="T289" s="24">
        <v>62.45</v>
      </c>
      <c r="U289" s="29" t="str">
        <f t="shared" si="65"/>
        <v>May</v>
      </c>
      <c r="V289" s="24">
        <f t="shared" si="66"/>
        <v>62.45</v>
      </c>
      <c r="W289" s="30">
        <f t="shared" si="67"/>
        <v>-39.950000000000003</v>
      </c>
      <c r="X289" s="31" t="b">
        <f t="shared" si="68"/>
        <v>0</v>
      </c>
      <c r="Y289" s="32" t="str">
        <f t="shared" si="69"/>
        <v>GROWTH</v>
      </c>
      <c r="Z289" s="41">
        <v>0</v>
      </c>
      <c r="AA289" s="36"/>
      <c r="AB289" s="36" t="s">
        <v>24</v>
      </c>
      <c r="AC289" s="36" t="s">
        <v>24</v>
      </c>
      <c r="AD289" s="34"/>
      <c r="AE289" s="35">
        <f>IFERROR(INDEX([1]Last6M_AvgSales_Ref!$B$2:$B$12659,MATCH(D289,[1]Last6M_AvgSales_Ref!$A$2:$A$12659,0)),"")</f>
        <v>36.0833333333333</v>
      </c>
    </row>
    <row r="290" spans="1:31" ht="14.25" customHeight="1" x14ac:dyDescent="0.3">
      <c r="A290" s="36" t="s">
        <v>24</v>
      </c>
      <c r="B290" s="38" t="s">
        <v>570</v>
      </c>
      <c r="C290" s="38" t="s">
        <v>613</v>
      </c>
      <c r="D290" s="38">
        <v>1000000817</v>
      </c>
      <c r="E290" s="39" t="s">
        <v>614</v>
      </c>
      <c r="F290" s="40">
        <v>44134</v>
      </c>
      <c r="G290" s="22" t="str">
        <f t="shared" si="56"/>
        <v>Targeted Dealer</v>
      </c>
      <c r="H290" s="22"/>
      <c r="I290" s="23">
        <v>80</v>
      </c>
      <c r="J290" s="23">
        <f t="shared" si="57"/>
        <v>80</v>
      </c>
      <c r="K290" s="24">
        <v>107.5</v>
      </c>
      <c r="L290" s="24">
        <f t="shared" si="58"/>
        <v>-27.5</v>
      </c>
      <c r="M290" s="24">
        <f t="shared" si="59"/>
        <v>134.375</v>
      </c>
      <c r="N290" s="25">
        <v>59</v>
      </c>
      <c r="O290" s="26" t="str">
        <f t="shared" si="60"/>
        <v>June</v>
      </c>
      <c r="P290" s="25">
        <f t="shared" si="61"/>
        <v>59</v>
      </c>
      <c r="Q290" s="27">
        <f t="shared" si="62"/>
        <v>48.5</v>
      </c>
      <c r="R290" s="26" t="b">
        <f t="shared" si="63"/>
        <v>0</v>
      </c>
      <c r="S290" s="28" t="str">
        <f t="shared" si="64"/>
        <v>GROWTH</v>
      </c>
      <c r="T290" s="24">
        <v>57.5</v>
      </c>
      <c r="U290" s="29" t="str">
        <f t="shared" si="65"/>
        <v>May</v>
      </c>
      <c r="V290" s="24">
        <f t="shared" si="66"/>
        <v>57.5</v>
      </c>
      <c r="W290" s="30">
        <f t="shared" si="67"/>
        <v>50</v>
      </c>
      <c r="X290" s="31" t="b">
        <f t="shared" si="68"/>
        <v>0</v>
      </c>
      <c r="Y290" s="32" t="str">
        <f t="shared" si="69"/>
        <v>GROWTH</v>
      </c>
      <c r="Z290" s="41">
        <v>0</v>
      </c>
      <c r="AA290" s="36"/>
      <c r="AB290" s="36" t="s">
        <v>24</v>
      </c>
      <c r="AC290" s="36" t="s">
        <v>24</v>
      </c>
      <c r="AD290" s="34"/>
      <c r="AE290" s="35">
        <f>IFERROR(INDEX([1]Last6M_AvgSales_Ref!$B$2:$B$12659,MATCH(D290,[1]Last6M_AvgSales_Ref!$A$2:$A$12659,0)),"")</f>
        <v>82.1666666666667</v>
      </c>
    </row>
    <row r="291" spans="1:31" ht="14.25" customHeight="1" x14ac:dyDescent="0.3">
      <c r="A291" s="36" t="s">
        <v>24</v>
      </c>
      <c r="B291" s="38" t="s">
        <v>570</v>
      </c>
      <c r="C291" s="38" t="s">
        <v>615</v>
      </c>
      <c r="D291" s="38">
        <v>1000000818</v>
      </c>
      <c r="E291" s="39" t="s">
        <v>616</v>
      </c>
      <c r="F291" s="40">
        <v>44139</v>
      </c>
      <c r="G291" s="22" t="str">
        <f t="shared" si="56"/>
        <v>Targeted Dealer</v>
      </c>
      <c r="H291" s="22"/>
      <c r="I291" s="23">
        <v>80</v>
      </c>
      <c r="J291" s="23">
        <f t="shared" si="57"/>
        <v>80</v>
      </c>
      <c r="K291" s="24">
        <v>96</v>
      </c>
      <c r="L291" s="24">
        <f t="shared" si="58"/>
        <v>-16</v>
      </c>
      <c r="M291" s="24">
        <f t="shared" si="59"/>
        <v>120</v>
      </c>
      <c r="N291" s="25">
        <v>89.35</v>
      </c>
      <c r="O291" s="26" t="str">
        <f t="shared" si="60"/>
        <v>June</v>
      </c>
      <c r="P291" s="25">
        <f t="shared" si="61"/>
        <v>89.35</v>
      </c>
      <c r="Q291" s="27">
        <f t="shared" si="62"/>
        <v>6.6500000000000057</v>
      </c>
      <c r="R291" s="26" t="b">
        <f t="shared" si="63"/>
        <v>0</v>
      </c>
      <c r="S291" s="28" t="str">
        <f t="shared" si="64"/>
        <v>GROWTH</v>
      </c>
      <c r="T291" s="24">
        <v>60.75</v>
      </c>
      <c r="U291" s="29" t="str">
        <f t="shared" si="65"/>
        <v>May</v>
      </c>
      <c r="V291" s="24">
        <f t="shared" si="66"/>
        <v>60.75</v>
      </c>
      <c r="W291" s="30">
        <f t="shared" si="67"/>
        <v>35.25</v>
      </c>
      <c r="X291" s="31" t="b">
        <f t="shared" si="68"/>
        <v>0</v>
      </c>
      <c r="Y291" s="32" t="str">
        <f t="shared" si="69"/>
        <v>GROWTH</v>
      </c>
      <c r="Z291" s="41">
        <v>0</v>
      </c>
      <c r="AA291" s="36"/>
      <c r="AB291" s="36" t="s">
        <v>24</v>
      </c>
      <c r="AC291" s="36" t="s">
        <v>24</v>
      </c>
      <c r="AD291" s="34"/>
      <c r="AE291" s="35">
        <f>IFERROR(INDEX([1]Last6M_AvgSales_Ref!$B$2:$B$12659,MATCH(D291,[1]Last6M_AvgSales_Ref!$A$2:$A$12659,0)),"")</f>
        <v>116.408333333333</v>
      </c>
    </row>
    <row r="292" spans="1:31" ht="14.25" customHeight="1" x14ac:dyDescent="0.3">
      <c r="A292" s="36" t="s">
        <v>24</v>
      </c>
      <c r="B292" s="38" t="s">
        <v>570</v>
      </c>
      <c r="C292" s="38" t="s">
        <v>617</v>
      </c>
      <c r="D292" s="38">
        <v>1000000812</v>
      </c>
      <c r="E292" s="39" t="s">
        <v>618</v>
      </c>
      <c r="F292" s="40">
        <v>44291</v>
      </c>
      <c r="G292" s="22" t="str">
        <f t="shared" si="56"/>
        <v>Targeted Dealer</v>
      </c>
      <c r="H292" s="22"/>
      <c r="I292" s="23">
        <v>930</v>
      </c>
      <c r="J292" s="23">
        <f t="shared" si="57"/>
        <v>930</v>
      </c>
      <c r="K292" s="24">
        <v>767</v>
      </c>
      <c r="L292" s="24">
        <f t="shared" si="58"/>
        <v>163</v>
      </c>
      <c r="M292" s="24">
        <f t="shared" si="59"/>
        <v>82.473118279569889</v>
      </c>
      <c r="N292" s="25">
        <v>723.25</v>
      </c>
      <c r="O292" s="26" t="str">
        <f t="shared" si="60"/>
        <v>June</v>
      </c>
      <c r="P292" s="25">
        <f t="shared" si="61"/>
        <v>723.25</v>
      </c>
      <c r="Q292" s="27">
        <f t="shared" si="62"/>
        <v>43.75</v>
      </c>
      <c r="R292" s="26" t="b">
        <f t="shared" si="63"/>
        <v>0</v>
      </c>
      <c r="S292" s="28" t="str">
        <f t="shared" si="64"/>
        <v>GROWTH</v>
      </c>
      <c r="T292" s="24">
        <v>855</v>
      </c>
      <c r="U292" s="29" t="str">
        <f t="shared" si="65"/>
        <v>May</v>
      </c>
      <c r="V292" s="24">
        <f t="shared" si="66"/>
        <v>855</v>
      </c>
      <c r="W292" s="30">
        <f t="shared" si="67"/>
        <v>-88</v>
      </c>
      <c r="X292" s="31" t="b">
        <f t="shared" si="68"/>
        <v>0</v>
      </c>
      <c r="Y292" s="32" t="str">
        <f t="shared" si="69"/>
        <v>GROWTH</v>
      </c>
      <c r="Z292" s="41">
        <v>0</v>
      </c>
      <c r="AA292" s="36"/>
      <c r="AB292" s="36" t="s">
        <v>24</v>
      </c>
      <c r="AC292" s="36" t="s">
        <v>24</v>
      </c>
      <c r="AD292" s="34"/>
      <c r="AE292" s="35">
        <f>IFERROR(INDEX([1]Last6M_AvgSales_Ref!$B$2:$B$12659,MATCH(D292,[1]Last6M_AvgSales_Ref!$A$2:$A$12659,0)),"")</f>
        <v>1417.4166666666699</v>
      </c>
    </row>
    <row r="293" spans="1:31" ht="14.25" customHeight="1" x14ac:dyDescent="0.3">
      <c r="A293" s="36" t="s">
        <v>24</v>
      </c>
      <c r="B293" s="38" t="s">
        <v>570</v>
      </c>
      <c r="C293" s="38" t="s">
        <v>619</v>
      </c>
      <c r="D293" s="38">
        <v>1000000819</v>
      </c>
      <c r="E293" s="39" t="s">
        <v>620</v>
      </c>
      <c r="F293" s="40">
        <v>44321</v>
      </c>
      <c r="G293" s="22" t="str">
        <f t="shared" si="56"/>
        <v>Targeted Dealer</v>
      </c>
      <c r="H293" s="22"/>
      <c r="I293" s="23">
        <v>220</v>
      </c>
      <c r="J293" s="23">
        <f t="shared" si="57"/>
        <v>220</v>
      </c>
      <c r="K293" s="24">
        <v>233.75</v>
      </c>
      <c r="L293" s="24">
        <f t="shared" si="58"/>
        <v>-13.75</v>
      </c>
      <c r="M293" s="24">
        <f t="shared" si="59"/>
        <v>106.24999999999999</v>
      </c>
      <c r="N293" s="25">
        <v>280</v>
      </c>
      <c r="O293" s="26" t="str">
        <f t="shared" si="60"/>
        <v>June</v>
      </c>
      <c r="P293" s="25">
        <f t="shared" si="61"/>
        <v>280</v>
      </c>
      <c r="Q293" s="27">
        <f t="shared" si="62"/>
        <v>-46.25</v>
      </c>
      <c r="R293" s="26" t="b">
        <f t="shared" si="63"/>
        <v>0</v>
      </c>
      <c r="S293" s="28" t="str">
        <f t="shared" si="64"/>
        <v>GROWTH</v>
      </c>
      <c r="T293" s="24">
        <v>205</v>
      </c>
      <c r="U293" s="29" t="str">
        <f t="shared" si="65"/>
        <v>May</v>
      </c>
      <c r="V293" s="24">
        <f t="shared" si="66"/>
        <v>205</v>
      </c>
      <c r="W293" s="30">
        <f t="shared" si="67"/>
        <v>28.75</v>
      </c>
      <c r="X293" s="31" t="b">
        <f t="shared" si="68"/>
        <v>0</v>
      </c>
      <c r="Y293" s="32" t="str">
        <f t="shared" si="69"/>
        <v>GROWTH</v>
      </c>
      <c r="Z293" s="41">
        <v>0</v>
      </c>
      <c r="AA293" s="36"/>
      <c r="AB293" s="36" t="s">
        <v>24</v>
      </c>
      <c r="AC293" s="36" t="s">
        <v>24</v>
      </c>
      <c r="AD293" s="34"/>
      <c r="AE293" s="35">
        <f>IFERROR(INDEX([1]Last6M_AvgSales_Ref!$B$2:$B$12659,MATCH(D293,[1]Last6M_AvgSales_Ref!$A$2:$A$12659,0)),"")</f>
        <v>190.058333333333</v>
      </c>
    </row>
    <row r="294" spans="1:31" ht="14.25" customHeight="1" x14ac:dyDescent="0.3">
      <c r="A294" s="36" t="s">
        <v>24</v>
      </c>
      <c r="B294" s="38" t="s">
        <v>570</v>
      </c>
      <c r="C294" s="38" t="s">
        <v>621</v>
      </c>
      <c r="D294" s="38">
        <v>1000003134</v>
      </c>
      <c r="E294" s="38" t="s">
        <v>622</v>
      </c>
      <c r="F294" s="40">
        <v>44911</v>
      </c>
      <c r="G294" s="22" t="str">
        <f t="shared" si="56"/>
        <v>Targeted Dealer</v>
      </c>
      <c r="H294" s="22"/>
      <c r="I294" s="23">
        <v>70</v>
      </c>
      <c r="J294" s="23">
        <f t="shared" si="57"/>
        <v>70</v>
      </c>
      <c r="K294" s="24">
        <v>108.25</v>
      </c>
      <c r="L294" s="24">
        <f t="shared" si="58"/>
        <v>-38.25</v>
      </c>
      <c r="M294" s="24">
        <f t="shared" si="59"/>
        <v>154.64285714285714</v>
      </c>
      <c r="N294" s="25">
        <v>20.5</v>
      </c>
      <c r="O294" s="26" t="str">
        <f t="shared" si="60"/>
        <v>June</v>
      </c>
      <c r="P294" s="25">
        <f t="shared" si="61"/>
        <v>20.5</v>
      </c>
      <c r="Q294" s="27">
        <f t="shared" si="62"/>
        <v>87.75</v>
      </c>
      <c r="R294" s="26" t="b">
        <f t="shared" si="63"/>
        <v>0</v>
      </c>
      <c r="S294" s="28" t="str">
        <f t="shared" si="64"/>
        <v>GROWTH</v>
      </c>
      <c r="T294" s="24">
        <v>67</v>
      </c>
      <c r="U294" s="29" t="str">
        <f t="shared" si="65"/>
        <v>May</v>
      </c>
      <c r="V294" s="24">
        <f t="shared" si="66"/>
        <v>67</v>
      </c>
      <c r="W294" s="30">
        <f t="shared" si="67"/>
        <v>41.25</v>
      </c>
      <c r="X294" s="31" t="b">
        <f t="shared" si="68"/>
        <v>0</v>
      </c>
      <c r="Y294" s="32" t="str">
        <f t="shared" si="69"/>
        <v>GROWTH</v>
      </c>
      <c r="Z294" s="41">
        <v>0</v>
      </c>
      <c r="AA294" s="36"/>
      <c r="AB294" s="36" t="s">
        <v>24</v>
      </c>
      <c r="AC294" s="36" t="s">
        <v>24</v>
      </c>
      <c r="AD294" s="34"/>
      <c r="AE294" s="35">
        <f>IFERROR(INDEX([1]Last6M_AvgSales_Ref!$B$2:$B$12659,MATCH(D294,[1]Last6M_AvgSales_Ref!$A$2:$A$12659,0)),"")</f>
        <v>46.875</v>
      </c>
    </row>
    <row r="295" spans="1:31" ht="14.25" customHeight="1" x14ac:dyDescent="0.3">
      <c r="A295" s="36" t="s">
        <v>24</v>
      </c>
      <c r="B295" s="38" t="s">
        <v>570</v>
      </c>
      <c r="C295" s="38" t="s">
        <v>623</v>
      </c>
      <c r="D295" s="38">
        <v>1000003473</v>
      </c>
      <c r="E295" s="38" t="s">
        <v>624</v>
      </c>
      <c r="F295" s="40">
        <v>45021</v>
      </c>
      <c r="G295" s="22" t="str">
        <f t="shared" si="56"/>
        <v>Targeted Dealer</v>
      </c>
      <c r="H295" s="22"/>
      <c r="I295" s="23">
        <v>40</v>
      </c>
      <c r="J295" s="23">
        <f t="shared" si="57"/>
        <v>40</v>
      </c>
      <c r="K295" s="24">
        <v>35</v>
      </c>
      <c r="L295" s="24">
        <f t="shared" si="58"/>
        <v>5</v>
      </c>
      <c r="M295" s="24">
        <f t="shared" si="59"/>
        <v>87.5</v>
      </c>
      <c r="N295" s="25">
        <v>40</v>
      </c>
      <c r="O295" s="26" t="str">
        <f t="shared" si="60"/>
        <v>June</v>
      </c>
      <c r="P295" s="25">
        <f t="shared" si="61"/>
        <v>40</v>
      </c>
      <c r="Q295" s="27">
        <f t="shared" si="62"/>
        <v>-5</v>
      </c>
      <c r="R295" s="26" t="b">
        <f t="shared" si="63"/>
        <v>0</v>
      </c>
      <c r="S295" s="28" t="str">
        <f t="shared" si="64"/>
        <v>GROWTH</v>
      </c>
      <c r="T295" s="24">
        <v>100</v>
      </c>
      <c r="U295" s="29" t="str">
        <f t="shared" si="65"/>
        <v>May</v>
      </c>
      <c r="V295" s="24">
        <f t="shared" si="66"/>
        <v>100</v>
      </c>
      <c r="W295" s="30">
        <f t="shared" si="67"/>
        <v>-65</v>
      </c>
      <c r="X295" s="31" t="b">
        <f t="shared" si="68"/>
        <v>0</v>
      </c>
      <c r="Y295" s="32" t="str">
        <f t="shared" si="69"/>
        <v>GROWTH</v>
      </c>
      <c r="Z295" s="41">
        <v>0</v>
      </c>
      <c r="AA295" s="36"/>
      <c r="AB295" s="36" t="s">
        <v>24</v>
      </c>
      <c r="AC295" s="36" t="s">
        <v>24</v>
      </c>
      <c r="AD295" s="34"/>
      <c r="AE295" s="35">
        <f>IFERROR(INDEX([1]Last6M_AvgSales_Ref!$B$2:$B$12659,MATCH(D295,[1]Last6M_AvgSales_Ref!$A$2:$A$12659,0)),"")</f>
        <v>50.4166666666667</v>
      </c>
    </row>
    <row r="296" spans="1:31" ht="14.25" customHeight="1" x14ac:dyDescent="0.3">
      <c r="A296" s="36" t="s">
        <v>24</v>
      </c>
      <c r="B296" s="38" t="s">
        <v>570</v>
      </c>
      <c r="C296" s="38" t="s">
        <v>625</v>
      </c>
      <c r="D296" s="38">
        <v>1000003502</v>
      </c>
      <c r="E296" s="38" t="s">
        <v>626</v>
      </c>
      <c r="F296" s="40">
        <v>45042</v>
      </c>
      <c r="G296" s="22" t="str">
        <f t="shared" si="56"/>
        <v>Targeted Dealer</v>
      </c>
      <c r="H296" s="22"/>
      <c r="I296" s="23">
        <v>140</v>
      </c>
      <c r="J296" s="23">
        <f t="shared" si="57"/>
        <v>140</v>
      </c>
      <c r="K296" s="24">
        <v>264.25</v>
      </c>
      <c r="L296" s="24">
        <f t="shared" si="58"/>
        <v>-124.25</v>
      </c>
      <c r="M296" s="24">
        <f t="shared" si="59"/>
        <v>188.75</v>
      </c>
      <c r="N296" s="25">
        <v>167.75</v>
      </c>
      <c r="O296" s="26" t="str">
        <f t="shared" si="60"/>
        <v>June</v>
      </c>
      <c r="P296" s="25">
        <f t="shared" si="61"/>
        <v>167.75</v>
      </c>
      <c r="Q296" s="27">
        <f t="shared" si="62"/>
        <v>96.5</v>
      </c>
      <c r="R296" s="26" t="b">
        <f t="shared" si="63"/>
        <v>0</v>
      </c>
      <c r="S296" s="28" t="str">
        <f t="shared" si="64"/>
        <v>GROWTH</v>
      </c>
      <c r="T296" s="24">
        <v>81</v>
      </c>
      <c r="U296" s="29" t="str">
        <f t="shared" si="65"/>
        <v>May</v>
      </c>
      <c r="V296" s="24">
        <f t="shared" si="66"/>
        <v>81</v>
      </c>
      <c r="W296" s="30">
        <f t="shared" si="67"/>
        <v>183.25</v>
      </c>
      <c r="X296" s="31" t="b">
        <f t="shared" si="68"/>
        <v>0</v>
      </c>
      <c r="Y296" s="32" t="str">
        <f t="shared" si="69"/>
        <v>GROWTH</v>
      </c>
      <c r="Z296" s="41">
        <v>0</v>
      </c>
      <c r="AA296" s="36"/>
      <c r="AB296" s="36" t="s">
        <v>24</v>
      </c>
      <c r="AC296" s="36" t="s">
        <v>24</v>
      </c>
      <c r="AD296" s="34"/>
      <c r="AE296" s="35">
        <f>IFERROR(INDEX([1]Last6M_AvgSales_Ref!$B$2:$B$12659,MATCH(D296,[1]Last6M_AvgSales_Ref!$A$2:$A$12659,0)),"")</f>
        <v>242.308333333333</v>
      </c>
    </row>
    <row r="297" spans="1:31" ht="14.25" customHeight="1" x14ac:dyDescent="0.3">
      <c r="A297" s="36" t="s">
        <v>24</v>
      </c>
      <c r="B297" s="38" t="s">
        <v>570</v>
      </c>
      <c r="C297" s="38" t="s">
        <v>627</v>
      </c>
      <c r="D297" s="38">
        <v>1000003566</v>
      </c>
      <c r="E297" s="38" t="s">
        <v>628</v>
      </c>
      <c r="F297" s="40">
        <v>45078</v>
      </c>
      <c r="G297" s="22" t="str">
        <f t="shared" si="56"/>
        <v>Targeted Dealer</v>
      </c>
      <c r="H297" s="22"/>
      <c r="I297" s="23">
        <v>50</v>
      </c>
      <c r="J297" s="23">
        <f t="shared" si="57"/>
        <v>50</v>
      </c>
      <c r="K297" s="24">
        <v>20</v>
      </c>
      <c r="L297" s="24">
        <f t="shared" si="58"/>
        <v>30</v>
      </c>
      <c r="M297" s="24">
        <f t="shared" si="59"/>
        <v>40</v>
      </c>
      <c r="N297" s="25">
        <v>0</v>
      </c>
      <c r="O297" s="26" t="str">
        <f t="shared" si="60"/>
        <v>June</v>
      </c>
      <c r="P297" s="25">
        <f t="shared" si="61"/>
        <v>0</v>
      </c>
      <c r="Q297" s="27">
        <f t="shared" si="62"/>
        <v>20</v>
      </c>
      <c r="R297" s="26" t="b">
        <f t="shared" si="63"/>
        <v>0</v>
      </c>
      <c r="S297" s="28" t="b">
        <f t="shared" si="64"/>
        <v>0</v>
      </c>
      <c r="T297" s="24">
        <v>35</v>
      </c>
      <c r="U297" s="29" t="str">
        <f t="shared" si="65"/>
        <v>May</v>
      </c>
      <c r="V297" s="24">
        <f t="shared" si="66"/>
        <v>35</v>
      </c>
      <c r="W297" s="30">
        <f t="shared" si="67"/>
        <v>-15</v>
      </c>
      <c r="X297" s="31" t="b">
        <f t="shared" si="68"/>
        <v>0</v>
      </c>
      <c r="Y297" s="32" t="str">
        <f t="shared" si="69"/>
        <v>GROWTH</v>
      </c>
      <c r="Z297" s="41">
        <v>0</v>
      </c>
      <c r="AA297" s="36"/>
      <c r="AB297" s="36" t="s">
        <v>24</v>
      </c>
      <c r="AC297" s="36" t="s">
        <v>24</v>
      </c>
      <c r="AD297" s="34"/>
      <c r="AE297" s="35">
        <f>IFERROR(INDEX([1]Last6M_AvgSales_Ref!$B$2:$B$12659,MATCH(D297,[1]Last6M_AvgSales_Ref!$A$2:$A$12659,0)),"")</f>
        <v>51</v>
      </c>
    </row>
    <row r="298" spans="1:31" ht="14.25" customHeight="1" x14ac:dyDescent="0.3">
      <c r="A298" s="36" t="s">
        <v>24</v>
      </c>
      <c r="B298" s="38" t="s">
        <v>570</v>
      </c>
      <c r="C298" s="38" t="s">
        <v>629</v>
      </c>
      <c r="D298" s="38">
        <v>1000003732</v>
      </c>
      <c r="E298" s="38" t="s">
        <v>630</v>
      </c>
      <c r="F298" s="40">
        <v>45219</v>
      </c>
      <c r="G298" s="22" t="str">
        <f t="shared" si="56"/>
        <v>Targeted Dealer</v>
      </c>
      <c r="H298" s="22"/>
      <c r="I298" s="23">
        <v>620</v>
      </c>
      <c r="J298" s="23">
        <f t="shared" si="57"/>
        <v>620</v>
      </c>
      <c r="K298" s="24">
        <v>702.3</v>
      </c>
      <c r="L298" s="24">
        <f t="shared" si="58"/>
        <v>-82.299999999999955</v>
      </c>
      <c r="M298" s="24">
        <f t="shared" si="59"/>
        <v>113.27419354838709</v>
      </c>
      <c r="N298" s="25">
        <v>606.25</v>
      </c>
      <c r="O298" s="26" t="str">
        <f t="shared" si="60"/>
        <v>June</v>
      </c>
      <c r="P298" s="25">
        <f t="shared" si="61"/>
        <v>606.25</v>
      </c>
      <c r="Q298" s="27">
        <f t="shared" si="62"/>
        <v>96.049999999999955</v>
      </c>
      <c r="R298" s="26" t="b">
        <f t="shared" si="63"/>
        <v>0</v>
      </c>
      <c r="S298" s="28" t="str">
        <f t="shared" si="64"/>
        <v>GROWTH</v>
      </c>
      <c r="T298" s="24">
        <v>549.54999999999995</v>
      </c>
      <c r="U298" s="29" t="str">
        <f t="shared" si="65"/>
        <v>May</v>
      </c>
      <c r="V298" s="24">
        <f t="shared" si="66"/>
        <v>549.54999999999995</v>
      </c>
      <c r="W298" s="30">
        <f t="shared" si="67"/>
        <v>152.75</v>
      </c>
      <c r="X298" s="31" t="b">
        <f t="shared" si="68"/>
        <v>0</v>
      </c>
      <c r="Y298" s="32" t="str">
        <f t="shared" si="69"/>
        <v>GROWTH</v>
      </c>
      <c r="Z298" s="41">
        <v>0</v>
      </c>
      <c r="AA298" s="36"/>
      <c r="AB298" s="36" t="s">
        <v>24</v>
      </c>
      <c r="AC298" s="36" t="s">
        <v>24</v>
      </c>
      <c r="AD298" s="34"/>
      <c r="AE298" s="35">
        <f>IFERROR(INDEX([1]Last6M_AvgSales_Ref!$B$2:$B$12659,MATCH(D298,[1]Last6M_AvgSales_Ref!$A$2:$A$12659,0)),"")</f>
        <v>1091.25833333333</v>
      </c>
    </row>
    <row r="299" spans="1:31" ht="14.25" customHeight="1" x14ac:dyDescent="0.3">
      <c r="A299" s="36" t="s">
        <v>24</v>
      </c>
      <c r="B299" s="38" t="s">
        <v>570</v>
      </c>
      <c r="C299" s="38" t="s">
        <v>631</v>
      </c>
      <c r="D299" s="38">
        <v>1000003794</v>
      </c>
      <c r="E299" s="38" t="s">
        <v>632</v>
      </c>
      <c r="F299" s="40">
        <v>45281</v>
      </c>
      <c r="G299" s="22" t="str">
        <f t="shared" si="56"/>
        <v>Targeted Dealer</v>
      </c>
      <c r="H299" s="22"/>
      <c r="I299" s="23">
        <v>100</v>
      </c>
      <c r="J299" s="23">
        <f t="shared" si="57"/>
        <v>100</v>
      </c>
      <c r="K299" s="24">
        <v>75</v>
      </c>
      <c r="L299" s="24">
        <f t="shared" si="58"/>
        <v>25</v>
      </c>
      <c r="M299" s="24">
        <f t="shared" si="59"/>
        <v>75</v>
      </c>
      <c r="N299" s="25">
        <v>70</v>
      </c>
      <c r="O299" s="26" t="str">
        <f t="shared" si="60"/>
        <v>June</v>
      </c>
      <c r="P299" s="25">
        <f t="shared" si="61"/>
        <v>70</v>
      </c>
      <c r="Q299" s="27">
        <f t="shared" si="62"/>
        <v>5</v>
      </c>
      <c r="R299" s="26" t="b">
        <f t="shared" si="63"/>
        <v>0</v>
      </c>
      <c r="S299" s="28" t="str">
        <f t="shared" si="64"/>
        <v>GROWTH</v>
      </c>
      <c r="T299" s="24">
        <v>92.5</v>
      </c>
      <c r="U299" s="29" t="str">
        <f t="shared" si="65"/>
        <v>May</v>
      </c>
      <c r="V299" s="24">
        <f t="shared" si="66"/>
        <v>92.5</v>
      </c>
      <c r="W299" s="30">
        <f t="shared" si="67"/>
        <v>-17.5</v>
      </c>
      <c r="X299" s="31" t="b">
        <f t="shared" si="68"/>
        <v>0</v>
      </c>
      <c r="Y299" s="32" t="str">
        <f t="shared" si="69"/>
        <v>GROWTH</v>
      </c>
      <c r="Z299" s="41">
        <v>0</v>
      </c>
      <c r="AA299" s="36"/>
      <c r="AB299" s="36" t="s">
        <v>24</v>
      </c>
      <c r="AC299" s="36" t="s">
        <v>24</v>
      </c>
      <c r="AD299" s="34"/>
      <c r="AE299" s="35">
        <f>IFERROR(INDEX([1]Last6M_AvgSales_Ref!$B$2:$B$12659,MATCH(D299,[1]Last6M_AvgSales_Ref!$A$2:$A$12659,0)),"")</f>
        <v>135</v>
      </c>
    </row>
    <row r="300" spans="1:31" ht="14.25" customHeight="1" x14ac:dyDescent="0.3">
      <c r="A300" s="36" t="s">
        <v>24</v>
      </c>
      <c r="B300" s="38" t="s">
        <v>570</v>
      </c>
      <c r="C300" s="38" t="s">
        <v>633</v>
      </c>
      <c r="D300" s="38">
        <v>1000003817</v>
      </c>
      <c r="E300" s="38" t="s">
        <v>634</v>
      </c>
      <c r="F300" s="43">
        <v>45301</v>
      </c>
      <c r="G300" s="22" t="str">
        <f t="shared" si="56"/>
        <v>Targeted Dealer</v>
      </c>
      <c r="H300" s="22"/>
      <c r="I300" s="23">
        <v>85</v>
      </c>
      <c r="J300" s="23">
        <f t="shared" si="57"/>
        <v>85</v>
      </c>
      <c r="K300" s="24">
        <v>50</v>
      </c>
      <c r="L300" s="24">
        <f t="shared" si="58"/>
        <v>35</v>
      </c>
      <c r="M300" s="24">
        <f t="shared" si="59"/>
        <v>58.82352941176471</v>
      </c>
      <c r="N300" s="25">
        <v>90</v>
      </c>
      <c r="O300" s="26" t="str">
        <f t="shared" si="60"/>
        <v>June</v>
      </c>
      <c r="P300" s="25">
        <f t="shared" si="61"/>
        <v>90</v>
      </c>
      <c r="Q300" s="27">
        <f t="shared" si="62"/>
        <v>-40</v>
      </c>
      <c r="R300" s="26" t="b">
        <f t="shared" si="63"/>
        <v>0</v>
      </c>
      <c r="S300" s="28" t="str">
        <f t="shared" si="64"/>
        <v>GROWTH</v>
      </c>
      <c r="T300" s="24">
        <v>80</v>
      </c>
      <c r="U300" s="29" t="str">
        <f t="shared" si="65"/>
        <v>May</v>
      </c>
      <c r="V300" s="24">
        <f t="shared" si="66"/>
        <v>80</v>
      </c>
      <c r="W300" s="30">
        <f t="shared" si="67"/>
        <v>-30</v>
      </c>
      <c r="X300" s="31" t="b">
        <f t="shared" si="68"/>
        <v>0</v>
      </c>
      <c r="Y300" s="32" t="str">
        <f t="shared" si="69"/>
        <v>GROWTH</v>
      </c>
      <c r="Z300" s="41">
        <v>0</v>
      </c>
      <c r="AA300" s="36"/>
      <c r="AB300" s="36" t="s">
        <v>24</v>
      </c>
      <c r="AC300" s="36" t="s">
        <v>24</v>
      </c>
      <c r="AD300" s="34"/>
      <c r="AE300" s="35">
        <f>IFERROR(INDEX([1]Last6M_AvgSales_Ref!$B$2:$B$12659,MATCH(D300,[1]Last6M_AvgSales_Ref!$A$2:$A$12659,0)),"")</f>
        <v>94.1666666666667</v>
      </c>
    </row>
    <row r="301" spans="1:31" ht="14.25" customHeight="1" x14ac:dyDescent="0.3">
      <c r="A301" s="41" t="s">
        <v>24</v>
      </c>
      <c r="B301" s="44" t="s">
        <v>570</v>
      </c>
      <c r="C301" s="44" t="s">
        <v>635</v>
      </c>
      <c r="D301" s="44">
        <v>1000003953</v>
      </c>
      <c r="E301" s="44" t="s">
        <v>636</v>
      </c>
      <c r="F301" s="40">
        <v>45427</v>
      </c>
      <c r="G301" s="22" t="str">
        <f t="shared" si="56"/>
        <v>Targeted Dealer</v>
      </c>
      <c r="H301" s="22"/>
      <c r="I301" s="23">
        <v>330</v>
      </c>
      <c r="J301" s="23">
        <f t="shared" si="57"/>
        <v>330</v>
      </c>
      <c r="K301" s="24">
        <v>635.75</v>
      </c>
      <c r="L301" s="24">
        <f t="shared" si="58"/>
        <v>-305.75</v>
      </c>
      <c r="M301" s="24">
        <f t="shared" si="59"/>
        <v>192.65151515151516</v>
      </c>
      <c r="N301" s="25">
        <v>440</v>
      </c>
      <c r="O301" s="26" t="str">
        <f t="shared" si="60"/>
        <v>June</v>
      </c>
      <c r="P301" s="25">
        <f t="shared" si="61"/>
        <v>440</v>
      </c>
      <c r="Q301" s="27">
        <f t="shared" si="62"/>
        <v>195.75</v>
      </c>
      <c r="R301" s="26" t="b">
        <f t="shared" si="63"/>
        <v>0</v>
      </c>
      <c r="S301" s="28" t="str">
        <f t="shared" si="64"/>
        <v>GROWTH</v>
      </c>
      <c r="T301" s="24">
        <v>305.5</v>
      </c>
      <c r="U301" s="29" t="str">
        <f t="shared" si="65"/>
        <v>May</v>
      </c>
      <c r="V301" s="24">
        <f t="shared" si="66"/>
        <v>305.5</v>
      </c>
      <c r="W301" s="30">
        <f t="shared" si="67"/>
        <v>330.25</v>
      </c>
      <c r="X301" s="31" t="b">
        <f t="shared" si="68"/>
        <v>0</v>
      </c>
      <c r="Y301" s="32" t="str">
        <f t="shared" si="69"/>
        <v>GROWTH</v>
      </c>
      <c r="Z301" s="41">
        <v>0</v>
      </c>
      <c r="AA301" s="36"/>
      <c r="AB301" s="36" t="s">
        <v>24</v>
      </c>
      <c r="AC301" s="41" t="s">
        <v>24</v>
      </c>
      <c r="AD301" s="34"/>
      <c r="AE301" s="35">
        <f>IFERROR(INDEX([1]Last6M_AvgSales_Ref!$B$2:$B$12659,MATCH(D301,[1]Last6M_AvgSales_Ref!$A$2:$A$12659,0)),"")</f>
        <v>490.90833333333302</v>
      </c>
    </row>
    <row r="302" spans="1:31" ht="14.25" customHeight="1" x14ac:dyDescent="0.3">
      <c r="A302" s="41" t="s">
        <v>24</v>
      </c>
      <c r="B302" s="44" t="s">
        <v>570</v>
      </c>
      <c r="C302" s="44" t="s">
        <v>637</v>
      </c>
      <c r="D302" s="44">
        <v>1000003996</v>
      </c>
      <c r="E302" s="44" t="s">
        <v>638</v>
      </c>
      <c r="F302" s="40">
        <v>45446</v>
      </c>
      <c r="G302" s="22" t="str">
        <f t="shared" si="56"/>
        <v>Targeted Dealer</v>
      </c>
      <c r="H302" s="22"/>
      <c r="I302" s="23">
        <v>80</v>
      </c>
      <c r="J302" s="23">
        <f t="shared" si="57"/>
        <v>80</v>
      </c>
      <c r="K302" s="24">
        <v>107.5</v>
      </c>
      <c r="L302" s="24">
        <f t="shared" si="58"/>
        <v>-27.5</v>
      </c>
      <c r="M302" s="24">
        <f t="shared" si="59"/>
        <v>134.375</v>
      </c>
      <c r="N302" s="25">
        <v>65</v>
      </c>
      <c r="O302" s="26" t="str">
        <f t="shared" si="60"/>
        <v>June</v>
      </c>
      <c r="P302" s="25">
        <f t="shared" si="61"/>
        <v>65</v>
      </c>
      <c r="Q302" s="27">
        <f t="shared" si="62"/>
        <v>42.5</v>
      </c>
      <c r="R302" s="26" t="b">
        <f t="shared" si="63"/>
        <v>0</v>
      </c>
      <c r="S302" s="28" t="str">
        <f t="shared" si="64"/>
        <v>GROWTH</v>
      </c>
      <c r="T302" s="24">
        <v>62.5</v>
      </c>
      <c r="U302" s="29" t="str">
        <f t="shared" si="65"/>
        <v>May</v>
      </c>
      <c r="V302" s="24">
        <f t="shared" si="66"/>
        <v>62.5</v>
      </c>
      <c r="W302" s="30">
        <f t="shared" si="67"/>
        <v>45</v>
      </c>
      <c r="X302" s="31" t="b">
        <f t="shared" si="68"/>
        <v>0</v>
      </c>
      <c r="Y302" s="32" t="str">
        <f t="shared" si="69"/>
        <v>GROWTH</v>
      </c>
      <c r="Z302" s="41">
        <v>0</v>
      </c>
      <c r="AA302" s="36"/>
      <c r="AB302" s="36" t="s">
        <v>24</v>
      </c>
      <c r="AC302" s="41" t="s">
        <v>24</v>
      </c>
      <c r="AD302" s="34"/>
      <c r="AE302" s="35">
        <f>IFERROR(INDEX([1]Last6M_AvgSales_Ref!$B$2:$B$12659,MATCH(D302,[1]Last6M_AvgSales_Ref!$A$2:$A$12659,0)),"")</f>
        <v>91.875</v>
      </c>
    </row>
    <row r="303" spans="1:31" ht="14.25" customHeight="1" x14ac:dyDescent="0.3">
      <c r="A303" s="41" t="s">
        <v>24</v>
      </c>
      <c r="B303" s="44" t="s">
        <v>570</v>
      </c>
      <c r="C303" s="44" t="s">
        <v>639</v>
      </c>
      <c r="D303" s="44">
        <v>1000004000</v>
      </c>
      <c r="E303" s="44" t="s">
        <v>640</v>
      </c>
      <c r="F303" s="40">
        <v>45449</v>
      </c>
      <c r="G303" s="22" t="str">
        <f t="shared" si="56"/>
        <v>Targeted Dealer</v>
      </c>
      <c r="H303" s="22"/>
      <c r="I303" s="23">
        <v>70</v>
      </c>
      <c r="J303" s="23">
        <f t="shared" si="57"/>
        <v>70</v>
      </c>
      <c r="K303" s="24">
        <v>40</v>
      </c>
      <c r="L303" s="24">
        <f t="shared" si="58"/>
        <v>30</v>
      </c>
      <c r="M303" s="24">
        <f t="shared" si="59"/>
        <v>57.142857142857146</v>
      </c>
      <c r="N303" s="25">
        <v>65</v>
      </c>
      <c r="O303" s="26" t="str">
        <f t="shared" si="60"/>
        <v>June</v>
      </c>
      <c r="P303" s="25">
        <f t="shared" si="61"/>
        <v>65</v>
      </c>
      <c r="Q303" s="27">
        <f t="shared" si="62"/>
        <v>-25</v>
      </c>
      <c r="R303" s="26" t="b">
        <f t="shared" si="63"/>
        <v>0</v>
      </c>
      <c r="S303" s="28" t="str">
        <f t="shared" si="64"/>
        <v>GROWTH</v>
      </c>
      <c r="T303" s="24">
        <v>60</v>
      </c>
      <c r="U303" s="29" t="str">
        <f t="shared" si="65"/>
        <v>May</v>
      </c>
      <c r="V303" s="24">
        <f t="shared" si="66"/>
        <v>60</v>
      </c>
      <c r="W303" s="30">
        <f t="shared" si="67"/>
        <v>-20</v>
      </c>
      <c r="X303" s="31" t="b">
        <f t="shared" si="68"/>
        <v>0</v>
      </c>
      <c r="Y303" s="32" t="str">
        <f t="shared" si="69"/>
        <v>GROWTH</v>
      </c>
      <c r="Z303" s="41">
        <v>0</v>
      </c>
      <c r="AA303" s="36"/>
      <c r="AB303" s="36" t="s">
        <v>24</v>
      </c>
      <c r="AC303" s="41" t="s">
        <v>24</v>
      </c>
      <c r="AD303" s="34"/>
      <c r="AE303" s="35">
        <f>IFERROR(INDEX([1]Last6M_AvgSales_Ref!$B$2:$B$12659,MATCH(D303,[1]Last6M_AvgSales_Ref!$A$2:$A$12659,0)),"")</f>
        <v>67.5</v>
      </c>
    </row>
    <row r="304" spans="1:31" ht="14.25" customHeight="1" x14ac:dyDescent="0.3">
      <c r="A304" s="41" t="s">
        <v>24</v>
      </c>
      <c r="B304" s="44" t="s">
        <v>570</v>
      </c>
      <c r="C304" s="44" t="s">
        <v>641</v>
      </c>
      <c r="D304" s="44">
        <v>1000004008</v>
      </c>
      <c r="E304" s="44" t="s">
        <v>642</v>
      </c>
      <c r="F304" s="40">
        <v>45457</v>
      </c>
      <c r="G304" s="22" t="str">
        <f t="shared" si="56"/>
        <v>Targeted Dealer</v>
      </c>
      <c r="H304" s="22"/>
      <c r="I304" s="23">
        <v>60</v>
      </c>
      <c r="J304" s="23">
        <f t="shared" si="57"/>
        <v>60</v>
      </c>
      <c r="K304" s="24">
        <v>40</v>
      </c>
      <c r="L304" s="24">
        <f t="shared" si="58"/>
        <v>20</v>
      </c>
      <c r="M304" s="24">
        <f t="shared" si="59"/>
        <v>66.666666666666671</v>
      </c>
      <c r="N304" s="25">
        <v>30</v>
      </c>
      <c r="O304" s="26" t="str">
        <f t="shared" si="60"/>
        <v>June</v>
      </c>
      <c r="P304" s="25">
        <f t="shared" si="61"/>
        <v>30</v>
      </c>
      <c r="Q304" s="27">
        <f t="shared" si="62"/>
        <v>10</v>
      </c>
      <c r="R304" s="26" t="b">
        <f t="shared" si="63"/>
        <v>0</v>
      </c>
      <c r="S304" s="28" t="str">
        <f t="shared" si="64"/>
        <v>GROWTH</v>
      </c>
      <c r="T304" s="24">
        <v>75</v>
      </c>
      <c r="U304" s="29" t="str">
        <f t="shared" si="65"/>
        <v>May</v>
      </c>
      <c r="V304" s="24">
        <f t="shared" si="66"/>
        <v>75</v>
      </c>
      <c r="W304" s="30">
        <f t="shared" si="67"/>
        <v>-35</v>
      </c>
      <c r="X304" s="31" t="b">
        <f t="shared" si="68"/>
        <v>0</v>
      </c>
      <c r="Y304" s="32" t="str">
        <f t="shared" si="69"/>
        <v>GROWTH</v>
      </c>
      <c r="Z304" s="41">
        <v>0</v>
      </c>
      <c r="AA304" s="36"/>
      <c r="AB304" s="36" t="s">
        <v>24</v>
      </c>
      <c r="AC304" s="41" t="s">
        <v>24</v>
      </c>
      <c r="AD304" s="34"/>
      <c r="AE304" s="35">
        <f>IFERROR(INDEX([1]Last6M_AvgSales_Ref!$B$2:$B$12659,MATCH(D304,[1]Last6M_AvgSales_Ref!$A$2:$A$12659,0)),"")</f>
        <v>63.75</v>
      </c>
    </row>
    <row r="305" spans="1:31" ht="14.25" customHeight="1" x14ac:dyDescent="0.3">
      <c r="A305" s="41" t="s">
        <v>24</v>
      </c>
      <c r="B305" s="44" t="s">
        <v>570</v>
      </c>
      <c r="C305" s="44" t="s">
        <v>643</v>
      </c>
      <c r="D305" s="44">
        <v>1000004074</v>
      </c>
      <c r="E305" s="44" t="s">
        <v>644</v>
      </c>
      <c r="F305" s="40">
        <v>45506</v>
      </c>
      <c r="G305" s="22" t="str">
        <f t="shared" si="56"/>
        <v>Targeted Dealer</v>
      </c>
      <c r="H305" s="22"/>
      <c r="I305" s="23">
        <v>70</v>
      </c>
      <c r="J305" s="23">
        <f t="shared" si="57"/>
        <v>70</v>
      </c>
      <c r="K305" s="24">
        <v>70</v>
      </c>
      <c r="L305" s="24">
        <f t="shared" si="58"/>
        <v>0</v>
      </c>
      <c r="M305" s="24">
        <f t="shared" si="59"/>
        <v>100</v>
      </c>
      <c r="N305" s="25">
        <v>0</v>
      </c>
      <c r="O305" s="26" t="str">
        <f t="shared" si="60"/>
        <v>June</v>
      </c>
      <c r="P305" s="25">
        <f t="shared" si="61"/>
        <v>0</v>
      </c>
      <c r="Q305" s="27">
        <f t="shared" si="62"/>
        <v>70</v>
      </c>
      <c r="R305" s="26" t="b">
        <f t="shared" si="63"/>
        <v>0</v>
      </c>
      <c r="S305" s="28" t="b">
        <f t="shared" si="64"/>
        <v>0</v>
      </c>
      <c r="T305" s="24">
        <v>62.5</v>
      </c>
      <c r="U305" s="29" t="str">
        <f t="shared" si="65"/>
        <v>May</v>
      </c>
      <c r="V305" s="24">
        <f t="shared" si="66"/>
        <v>62.5</v>
      </c>
      <c r="W305" s="30">
        <f t="shared" si="67"/>
        <v>7.5</v>
      </c>
      <c r="X305" s="31" t="b">
        <f t="shared" si="68"/>
        <v>0</v>
      </c>
      <c r="Y305" s="32" t="str">
        <f t="shared" si="69"/>
        <v>GROWTH</v>
      </c>
      <c r="Z305" s="41">
        <v>0</v>
      </c>
      <c r="AA305" s="36"/>
      <c r="AB305" s="36" t="s">
        <v>24</v>
      </c>
      <c r="AC305" s="41" t="s">
        <v>24</v>
      </c>
      <c r="AD305" s="34"/>
      <c r="AE305" s="35">
        <f>IFERROR(INDEX([1]Last6M_AvgSales_Ref!$B$2:$B$12659,MATCH(D305,[1]Last6M_AvgSales_Ref!$A$2:$A$12659,0)),"")</f>
        <v>73.375</v>
      </c>
    </row>
    <row r="306" spans="1:31" ht="14.25" customHeight="1" x14ac:dyDescent="0.3">
      <c r="A306" s="36" t="s">
        <v>24</v>
      </c>
      <c r="B306" s="38" t="s">
        <v>645</v>
      </c>
      <c r="C306" s="38" t="s">
        <v>646</v>
      </c>
      <c r="D306" s="38">
        <v>1000000119</v>
      </c>
      <c r="E306" s="39" t="s">
        <v>647</v>
      </c>
      <c r="F306" s="40">
        <v>40826</v>
      </c>
      <c r="G306" s="22" t="str">
        <f t="shared" si="56"/>
        <v>Targeted Dealer</v>
      </c>
      <c r="H306" s="22"/>
      <c r="I306" s="23">
        <v>170</v>
      </c>
      <c r="J306" s="23">
        <f t="shared" si="57"/>
        <v>170</v>
      </c>
      <c r="K306" s="24">
        <v>150</v>
      </c>
      <c r="L306" s="24">
        <f t="shared" si="58"/>
        <v>20</v>
      </c>
      <c r="M306" s="24">
        <f t="shared" si="59"/>
        <v>88.235294117647058</v>
      </c>
      <c r="N306" s="25">
        <v>70</v>
      </c>
      <c r="O306" s="26" t="str">
        <f t="shared" si="60"/>
        <v>June</v>
      </c>
      <c r="P306" s="25">
        <f t="shared" si="61"/>
        <v>70</v>
      </c>
      <c r="Q306" s="27">
        <f t="shared" si="62"/>
        <v>80</v>
      </c>
      <c r="R306" s="26" t="b">
        <f t="shared" si="63"/>
        <v>0</v>
      </c>
      <c r="S306" s="28" t="str">
        <f t="shared" si="64"/>
        <v>GROWTH</v>
      </c>
      <c r="T306" s="24">
        <v>167.75</v>
      </c>
      <c r="U306" s="29" t="str">
        <f t="shared" si="65"/>
        <v>May</v>
      </c>
      <c r="V306" s="24">
        <f t="shared" si="66"/>
        <v>167.75</v>
      </c>
      <c r="W306" s="30">
        <f t="shared" si="67"/>
        <v>-17.75</v>
      </c>
      <c r="X306" s="31" t="b">
        <f t="shared" si="68"/>
        <v>0</v>
      </c>
      <c r="Y306" s="32" t="str">
        <f t="shared" si="69"/>
        <v>GROWTH</v>
      </c>
      <c r="Z306" s="41">
        <v>0</v>
      </c>
      <c r="AA306" s="36"/>
      <c r="AB306" s="36" t="s">
        <v>24</v>
      </c>
      <c r="AC306" s="36" t="s">
        <v>24</v>
      </c>
      <c r="AD306" s="34"/>
      <c r="AE306" s="35">
        <f>IFERROR(INDEX([1]Last6M_AvgSales_Ref!$B$2:$B$12659,MATCH(D306,[1]Last6M_AvgSales_Ref!$A$2:$A$12659,0)),"")</f>
        <v>145.666666666667</v>
      </c>
    </row>
    <row r="307" spans="1:31" ht="14.25" customHeight="1" x14ac:dyDescent="0.3">
      <c r="A307" s="36" t="s">
        <v>24</v>
      </c>
      <c r="B307" s="38" t="s">
        <v>645</v>
      </c>
      <c r="C307" s="38" t="s">
        <v>648</v>
      </c>
      <c r="D307" s="38">
        <v>1000000114</v>
      </c>
      <c r="E307" s="39" t="s">
        <v>649</v>
      </c>
      <c r="F307" s="40">
        <v>41289</v>
      </c>
      <c r="G307" s="22" t="str">
        <f t="shared" si="56"/>
        <v>Targeted Dealer</v>
      </c>
      <c r="H307" s="22"/>
      <c r="I307" s="23">
        <v>250</v>
      </c>
      <c r="J307" s="23">
        <f t="shared" si="57"/>
        <v>250.00000000000003</v>
      </c>
      <c r="K307" s="24">
        <v>470</v>
      </c>
      <c r="L307" s="24">
        <f t="shared" si="58"/>
        <v>-220</v>
      </c>
      <c r="M307" s="24">
        <f t="shared" si="59"/>
        <v>187.99999999999997</v>
      </c>
      <c r="N307" s="25">
        <v>205</v>
      </c>
      <c r="O307" s="26" t="str">
        <f t="shared" si="60"/>
        <v>June</v>
      </c>
      <c r="P307" s="25">
        <f t="shared" si="61"/>
        <v>205</v>
      </c>
      <c r="Q307" s="27">
        <f t="shared" si="62"/>
        <v>265</v>
      </c>
      <c r="R307" s="26" t="b">
        <f t="shared" si="63"/>
        <v>0</v>
      </c>
      <c r="S307" s="28" t="str">
        <f t="shared" si="64"/>
        <v>GROWTH</v>
      </c>
      <c r="T307" s="24">
        <v>100</v>
      </c>
      <c r="U307" s="29" t="str">
        <f t="shared" si="65"/>
        <v>May</v>
      </c>
      <c r="V307" s="24">
        <f t="shared" si="66"/>
        <v>100</v>
      </c>
      <c r="W307" s="30">
        <f t="shared" si="67"/>
        <v>370</v>
      </c>
      <c r="X307" s="31" t="b">
        <f t="shared" si="68"/>
        <v>0</v>
      </c>
      <c r="Y307" s="32" t="str">
        <f t="shared" si="69"/>
        <v>GROWTH</v>
      </c>
      <c r="Z307" s="41">
        <v>0</v>
      </c>
      <c r="AA307" s="36"/>
      <c r="AB307" s="36" t="s">
        <v>24</v>
      </c>
      <c r="AC307" s="36" t="s">
        <v>24</v>
      </c>
      <c r="AD307" s="34"/>
      <c r="AE307" s="35">
        <f>IFERROR(INDEX([1]Last6M_AvgSales_Ref!$B$2:$B$12659,MATCH(D307,[1]Last6M_AvgSales_Ref!$A$2:$A$12659,0)),"")</f>
        <v>311.5</v>
      </c>
    </row>
    <row r="308" spans="1:31" ht="14.25" customHeight="1" x14ac:dyDescent="0.3">
      <c r="A308" s="36" t="s">
        <v>24</v>
      </c>
      <c r="B308" s="38" t="s">
        <v>645</v>
      </c>
      <c r="C308" s="38" t="s">
        <v>650</v>
      </c>
      <c r="D308" s="38">
        <v>1000003611</v>
      </c>
      <c r="E308" s="38" t="s">
        <v>651</v>
      </c>
      <c r="F308" s="40">
        <v>45103</v>
      </c>
      <c r="G308" s="22" t="str">
        <f t="shared" si="56"/>
        <v>-</v>
      </c>
      <c r="H308" s="22"/>
      <c r="I308" s="23">
        <v>0</v>
      </c>
      <c r="J308" s="23">
        <f t="shared" si="57"/>
        <v>0</v>
      </c>
      <c r="K308" s="24">
        <v>0</v>
      </c>
      <c r="L308" s="24">
        <f t="shared" si="58"/>
        <v>0</v>
      </c>
      <c r="M308" s="24" t="str">
        <f t="shared" si="59"/>
        <v>-</v>
      </c>
      <c r="N308" s="25">
        <v>0</v>
      </c>
      <c r="O308" s="26" t="str">
        <f t="shared" si="60"/>
        <v>June</v>
      </c>
      <c r="P308" s="25">
        <f t="shared" si="61"/>
        <v>0</v>
      </c>
      <c r="Q308" s="27">
        <f t="shared" si="62"/>
        <v>0</v>
      </c>
      <c r="R308" s="26" t="b">
        <f t="shared" si="63"/>
        <v>0</v>
      </c>
      <c r="S308" s="28" t="b">
        <f t="shared" si="64"/>
        <v>0</v>
      </c>
      <c r="T308" s="24">
        <v>15</v>
      </c>
      <c r="U308" s="29" t="str">
        <f t="shared" si="65"/>
        <v>May</v>
      </c>
      <c r="V308" s="24">
        <f t="shared" si="66"/>
        <v>15</v>
      </c>
      <c r="W308" s="30">
        <f t="shared" si="67"/>
        <v>-15</v>
      </c>
      <c r="X308" s="31" t="b">
        <f t="shared" si="68"/>
        <v>0</v>
      </c>
      <c r="Y308" s="32" t="str">
        <f t="shared" si="69"/>
        <v>GROWTH</v>
      </c>
      <c r="Z308" s="41">
        <v>0</v>
      </c>
      <c r="AA308" s="36"/>
      <c r="AB308" s="36" t="s">
        <v>24</v>
      </c>
      <c r="AC308" s="36" t="s">
        <v>24</v>
      </c>
      <c r="AD308" s="34"/>
      <c r="AE308" s="35">
        <f>IFERROR(INDEX([1]Last6M_AvgSales_Ref!$B$2:$B$12659,MATCH(D308,[1]Last6M_AvgSales_Ref!$A$2:$A$12659,0)),"")</f>
        <v>5</v>
      </c>
    </row>
    <row r="309" spans="1:31" ht="14.25" customHeight="1" x14ac:dyDescent="0.3">
      <c r="A309" s="41" t="s">
        <v>24</v>
      </c>
      <c r="B309" s="44" t="s">
        <v>645</v>
      </c>
      <c r="C309" s="44" t="s">
        <v>652</v>
      </c>
      <c r="D309" s="44">
        <v>1000003876</v>
      </c>
      <c r="E309" s="44" t="s">
        <v>653</v>
      </c>
      <c r="F309" s="40">
        <v>45351</v>
      </c>
      <c r="G309" s="22" t="str">
        <f t="shared" si="56"/>
        <v>Targeted Dealer</v>
      </c>
      <c r="H309" s="22"/>
      <c r="I309" s="23">
        <v>175</v>
      </c>
      <c r="J309" s="23">
        <f t="shared" si="57"/>
        <v>175</v>
      </c>
      <c r="K309" s="24">
        <v>196</v>
      </c>
      <c r="L309" s="24">
        <f t="shared" si="58"/>
        <v>-21</v>
      </c>
      <c r="M309" s="24">
        <f t="shared" si="59"/>
        <v>112</v>
      </c>
      <c r="N309" s="25">
        <v>233</v>
      </c>
      <c r="O309" s="26" t="str">
        <f t="shared" si="60"/>
        <v>June</v>
      </c>
      <c r="P309" s="25">
        <f t="shared" si="61"/>
        <v>233</v>
      </c>
      <c r="Q309" s="27">
        <f t="shared" si="62"/>
        <v>-37</v>
      </c>
      <c r="R309" s="26" t="b">
        <f t="shared" si="63"/>
        <v>0</v>
      </c>
      <c r="S309" s="28" t="str">
        <f t="shared" si="64"/>
        <v>GROWTH</v>
      </c>
      <c r="T309" s="24">
        <v>95</v>
      </c>
      <c r="U309" s="29" t="str">
        <f t="shared" si="65"/>
        <v>May</v>
      </c>
      <c r="V309" s="24">
        <f t="shared" si="66"/>
        <v>95</v>
      </c>
      <c r="W309" s="30">
        <f t="shared" si="67"/>
        <v>101</v>
      </c>
      <c r="X309" s="31" t="b">
        <f t="shared" si="68"/>
        <v>0</v>
      </c>
      <c r="Y309" s="32" t="str">
        <f t="shared" si="69"/>
        <v>GROWTH</v>
      </c>
      <c r="Z309" s="41">
        <v>0</v>
      </c>
      <c r="AA309" s="36"/>
      <c r="AB309" s="36" t="s">
        <v>24</v>
      </c>
      <c r="AC309" s="41" t="s">
        <v>24</v>
      </c>
      <c r="AD309" s="34"/>
      <c r="AE309" s="35">
        <f>IFERROR(INDEX([1]Last6M_AvgSales_Ref!$B$2:$B$12659,MATCH(D309,[1]Last6M_AvgSales_Ref!$A$2:$A$12659,0)),"")</f>
        <v>177.916666666667</v>
      </c>
    </row>
    <row r="310" spans="1:31" ht="14.25" customHeight="1" x14ac:dyDescent="0.3">
      <c r="A310" s="41" t="s">
        <v>24</v>
      </c>
      <c r="B310" s="44" t="s">
        <v>645</v>
      </c>
      <c r="C310" s="44" t="s">
        <v>654</v>
      </c>
      <c r="D310" s="44">
        <v>1000004016</v>
      </c>
      <c r="E310" s="44" t="s">
        <v>655</v>
      </c>
      <c r="F310" s="40">
        <v>45468</v>
      </c>
      <c r="G310" s="22" t="str">
        <f t="shared" si="56"/>
        <v>Targeted Dealer</v>
      </c>
      <c r="H310" s="22"/>
      <c r="I310" s="23">
        <v>100</v>
      </c>
      <c r="J310" s="23">
        <f t="shared" si="57"/>
        <v>100</v>
      </c>
      <c r="K310" s="24">
        <v>120</v>
      </c>
      <c r="L310" s="24">
        <f t="shared" si="58"/>
        <v>-20</v>
      </c>
      <c r="M310" s="24">
        <f t="shared" si="59"/>
        <v>120</v>
      </c>
      <c r="N310" s="25">
        <v>120</v>
      </c>
      <c r="O310" s="26" t="str">
        <f t="shared" si="60"/>
        <v>June</v>
      </c>
      <c r="P310" s="25">
        <f t="shared" si="61"/>
        <v>120</v>
      </c>
      <c r="Q310" s="27">
        <f t="shared" si="62"/>
        <v>0</v>
      </c>
      <c r="R310" s="26" t="b">
        <f t="shared" si="63"/>
        <v>0</v>
      </c>
      <c r="S310" s="28" t="str">
        <f t="shared" si="64"/>
        <v>GROWTH</v>
      </c>
      <c r="T310" s="24">
        <v>45</v>
      </c>
      <c r="U310" s="29" t="str">
        <f t="shared" si="65"/>
        <v>May</v>
      </c>
      <c r="V310" s="24">
        <f t="shared" si="66"/>
        <v>45</v>
      </c>
      <c r="W310" s="30">
        <f t="shared" si="67"/>
        <v>75</v>
      </c>
      <c r="X310" s="31" t="b">
        <f t="shared" si="68"/>
        <v>0</v>
      </c>
      <c r="Y310" s="32" t="str">
        <f t="shared" si="69"/>
        <v>GROWTH</v>
      </c>
      <c r="Z310" s="41">
        <v>0</v>
      </c>
      <c r="AA310" s="36"/>
      <c r="AB310" s="36" t="s">
        <v>24</v>
      </c>
      <c r="AC310" s="41" t="s">
        <v>24</v>
      </c>
      <c r="AD310" s="34"/>
      <c r="AE310" s="35">
        <f>IFERROR(INDEX([1]Last6M_AvgSales_Ref!$B$2:$B$12659,MATCH(D310,[1]Last6M_AvgSales_Ref!$A$2:$A$12659,0)),"")</f>
        <v>74.883333333333297</v>
      </c>
    </row>
    <row r="311" spans="1:31" ht="14.25" customHeight="1" x14ac:dyDescent="0.3">
      <c r="A311" s="36" t="s">
        <v>24</v>
      </c>
      <c r="B311" s="38" t="s">
        <v>656</v>
      </c>
      <c r="C311" s="38" t="s">
        <v>657</v>
      </c>
      <c r="D311" s="38">
        <v>1000000751</v>
      </c>
      <c r="E311" s="39" t="s">
        <v>658</v>
      </c>
      <c r="F311" s="40">
        <v>38387</v>
      </c>
      <c r="G311" s="22" t="str">
        <f t="shared" si="56"/>
        <v>Targeted Dealer</v>
      </c>
      <c r="H311" s="22"/>
      <c r="I311" s="23">
        <v>30</v>
      </c>
      <c r="J311" s="23">
        <f t="shared" si="57"/>
        <v>30</v>
      </c>
      <c r="K311" s="24">
        <v>0</v>
      </c>
      <c r="L311" s="24">
        <f t="shared" si="58"/>
        <v>30</v>
      </c>
      <c r="M311" s="24">
        <f t="shared" si="59"/>
        <v>0</v>
      </c>
      <c r="N311" s="25">
        <v>0</v>
      </c>
      <c r="O311" s="26" t="str">
        <f t="shared" si="60"/>
        <v>June</v>
      </c>
      <c r="P311" s="25">
        <f t="shared" si="61"/>
        <v>0</v>
      </c>
      <c r="Q311" s="27">
        <f t="shared" si="62"/>
        <v>0</v>
      </c>
      <c r="R311" s="26" t="b">
        <f t="shared" si="63"/>
        <v>0</v>
      </c>
      <c r="S311" s="28" t="b">
        <f t="shared" si="64"/>
        <v>0</v>
      </c>
      <c r="T311" s="24">
        <v>41.5</v>
      </c>
      <c r="U311" s="29" t="str">
        <f t="shared" si="65"/>
        <v>May</v>
      </c>
      <c r="V311" s="24">
        <f t="shared" si="66"/>
        <v>41.5</v>
      </c>
      <c r="W311" s="30">
        <f t="shared" si="67"/>
        <v>-41.5</v>
      </c>
      <c r="X311" s="31" t="b">
        <f t="shared" si="68"/>
        <v>0</v>
      </c>
      <c r="Y311" s="32" t="str">
        <f t="shared" si="69"/>
        <v>GROWTH</v>
      </c>
      <c r="Z311" s="41">
        <v>0</v>
      </c>
      <c r="AA311" s="36"/>
      <c r="AB311" s="36" t="s">
        <v>24</v>
      </c>
      <c r="AC311" s="36" t="s">
        <v>24</v>
      </c>
      <c r="AD311" s="34"/>
      <c r="AE311" s="35">
        <f>IFERROR(INDEX([1]Last6M_AvgSales_Ref!$B$2:$B$12659,MATCH(D311,[1]Last6M_AvgSales_Ref!$A$2:$A$12659,0)),"")</f>
        <v>31.25</v>
      </c>
    </row>
    <row r="312" spans="1:31" ht="14.25" customHeight="1" x14ac:dyDescent="0.3">
      <c r="A312" s="36" t="s">
        <v>24</v>
      </c>
      <c r="B312" s="38" t="s">
        <v>656</v>
      </c>
      <c r="C312" s="38" t="s">
        <v>659</v>
      </c>
      <c r="D312" s="38">
        <v>1000000752</v>
      </c>
      <c r="E312" s="39" t="s">
        <v>660</v>
      </c>
      <c r="F312" s="40">
        <v>38416</v>
      </c>
      <c r="G312" s="22" t="str">
        <f t="shared" si="56"/>
        <v>Targeted Dealer</v>
      </c>
      <c r="H312" s="22"/>
      <c r="I312" s="23">
        <v>875</v>
      </c>
      <c r="J312" s="23">
        <f t="shared" si="57"/>
        <v>875</v>
      </c>
      <c r="K312" s="24">
        <v>756.5</v>
      </c>
      <c r="L312" s="24">
        <f t="shared" si="58"/>
        <v>118.5</v>
      </c>
      <c r="M312" s="24">
        <f t="shared" si="59"/>
        <v>86.457142857142856</v>
      </c>
      <c r="N312" s="25">
        <v>566.5</v>
      </c>
      <c r="O312" s="26" t="str">
        <f t="shared" si="60"/>
        <v>June</v>
      </c>
      <c r="P312" s="25">
        <f t="shared" si="61"/>
        <v>566.5</v>
      </c>
      <c r="Q312" s="27">
        <f t="shared" si="62"/>
        <v>190</v>
      </c>
      <c r="R312" s="26" t="b">
        <f t="shared" si="63"/>
        <v>0</v>
      </c>
      <c r="S312" s="28" t="str">
        <f t="shared" si="64"/>
        <v>GROWTH</v>
      </c>
      <c r="T312" s="24">
        <v>844.75</v>
      </c>
      <c r="U312" s="29" t="str">
        <f t="shared" si="65"/>
        <v>May</v>
      </c>
      <c r="V312" s="24">
        <f t="shared" si="66"/>
        <v>844.75</v>
      </c>
      <c r="W312" s="30">
        <f t="shared" si="67"/>
        <v>-88.25</v>
      </c>
      <c r="X312" s="31" t="b">
        <f t="shared" si="68"/>
        <v>0</v>
      </c>
      <c r="Y312" s="32" t="str">
        <f t="shared" si="69"/>
        <v>GROWTH</v>
      </c>
      <c r="Z312" s="41">
        <v>0</v>
      </c>
      <c r="AA312" s="36"/>
      <c r="AB312" s="36" t="s">
        <v>24</v>
      </c>
      <c r="AC312" s="36" t="s">
        <v>24</v>
      </c>
      <c r="AD312" s="34"/>
      <c r="AE312" s="35">
        <f>IFERROR(INDEX([1]Last6M_AvgSales_Ref!$B$2:$B$12659,MATCH(D312,[1]Last6M_AvgSales_Ref!$A$2:$A$12659,0)),"")</f>
        <v>1056.81666666667</v>
      </c>
    </row>
    <row r="313" spans="1:31" ht="14.25" customHeight="1" x14ac:dyDescent="0.3">
      <c r="A313" s="36" t="s">
        <v>24</v>
      </c>
      <c r="B313" s="38" t="s">
        <v>656</v>
      </c>
      <c r="C313" s="38" t="s">
        <v>661</v>
      </c>
      <c r="D313" s="38">
        <v>1000000761</v>
      </c>
      <c r="E313" s="39" t="s">
        <v>662</v>
      </c>
      <c r="F313" s="40">
        <v>39324</v>
      </c>
      <c r="G313" s="22" t="str">
        <f t="shared" si="56"/>
        <v>Targeted Dealer</v>
      </c>
      <c r="H313" s="22"/>
      <c r="I313" s="23">
        <v>100</v>
      </c>
      <c r="J313" s="23">
        <f t="shared" si="57"/>
        <v>100</v>
      </c>
      <c r="K313" s="24">
        <v>50</v>
      </c>
      <c r="L313" s="24">
        <f t="shared" si="58"/>
        <v>50</v>
      </c>
      <c r="M313" s="24">
        <f t="shared" si="59"/>
        <v>50</v>
      </c>
      <c r="N313" s="25">
        <v>100</v>
      </c>
      <c r="O313" s="26" t="str">
        <f t="shared" si="60"/>
        <v>June</v>
      </c>
      <c r="P313" s="25">
        <f t="shared" si="61"/>
        <v>100</v>
      </c>
      <c r="Q313" s="27">
        <f t="shared" si="62"/>
        <v>-50</v>
      </c>
      <c r="R313" s="26" t="b">
        <f t="shared" si="63"/>
        <v>0</v>
      </c>
      <c r="S313" s="28" t="str">
        <f t="shared" si="64"/>
        <v>GROWTH</v>
      </c>
      <c r="T313" s="24">
        <v>120</v>
      </c>
      <c r="U313" s="29" t="str">
        <f t="shared" si="65"/>
        <v>May</v>
      </c>
      <c r="V313" s="24">
        <f t="shared" si="66"/>
        <v>120</v>
      </c>
      <c r="W313" s="30">
        <f t="shared" si="67"/>
        <v>-70</v>
      </c>
      <c r="X313" s="31" t="b">
        <f t="shared" si="68"/>
        <v>0</v>
      </c>
      <c r="Y313" s="32" t="str">
        <f t="shared" si="69"/>
        <v>GROWTH</v>
      </c>
      <c r="Z313" s="41">
        <v>0</v>
      </c>
      <c r="AA313" s="36"/>
      <c r="AB313" s="36" t="s">
        <v>24</v>
      </c>
      <c r="AC313" s="36" t="s">
        <v>24</v>
      </c>
      <c r="AD313" s="34"/>
      <c r="AE313" s="35">
        <f>IFERROR(INDEX([1]Last6M_AvgSales_Ref!$B$2:$B$12659,MATCH(D313,[1]Last6M_AvgSales_Ref!$A$2:$A$12659,0)),"")</f>
        <v>111.666666666667</v>
      </c>
    </row>
    <row r="314" spans="1:31" ht="14.25" customHeight="1" x14ac:dyDescent="0.3">
      <c r="A314" s="36" t="s">
        <v>24</v>
      </c>
      <c r="B314" s="38" t="s">
        <v>656</v>
      </c>
      <c r="C314" s="38" t="s">
        <v>663</v>
      </c>
      <c r="D314" s="38">
        <v>1000000753</v>
      </c>
      <c r="E314" s="39" t="s">
        <v>491</v>
      </c>
      <c r="F314" s="40">
        <v>40807</v>
      </c>
      <c r="G314" s="22" t="str">
        <f t="shared" si="56"/>
        <v>Targeted Dealer</v>
      </c>
      <c r="H314" s="22"/>
      <c r="I314" s="23">
        <v>25</v>
      </c>
      <c r="J314" s="23">
        <f t="shared" si="57"/>
        <v>25</v>
      </c>
      <c r="K314" s="24">
        <v>0</v>
      </c>
      <c r="L314" s="24">
        <f t="shared" si="58"/>
        <v>25</v>
      </c>
      <c r="M314" s="24">
        <f t="shared" si="59"/>
        <v>0</v>
      </c>
      <c r="N314" s="25">
        <v>0</v>
      </c>
      <c r="O314" s="26" t="str">
        <f t="shared" si="60"/>
        <v>June</v>
      </c>
      <c r="P314" s="25">
        <f t="shared" si="61"/>
        <v>0</v>
      </c>
      <c r="Q314" s="27">
        <f t="shared" si="62"/>
        <v>0</v>
      </c>
      <c r="R314" s="26" t="b">
        <f t="shared" si="63"/>
        <v>0</v>
      </c>
      <c r="S314" s="28" t="b">
        <f t="shared" si="64"/>
        <v>0</v>
      </c>
      <c r="T314" s="24">
        <v>0</v>
      </c>
      <c r="U314" s="29" t="str">
        <f t="shared" si="65"/>
        <v>May</v>
      </c>
      <c r="V314" s="24">
        <f t="shared" si="66"/>
        <v>0</v>
      </c>
      <c r="W314" s="30">
        <f t="shared" si="67"/>
        <v>0</v>
      </c>
      <c r="X314" s="31" t="b">
        <f t="shared" si="68"/>
        <v>0</v>
      </c>
      <c r="Y314" s="32" t="b">
        <f t="shared" si="69"/>
        <v>0</v>
      </c>
      <c r="Z314" s="41">
        <v>0</v>
      </c>
      <c r="AA314" s="36"/>
      <c r="AB314" s="36" t="s">
        <v>24</v>
      </c>
      <c r="AC314" s="36" t="s">
        <v>24</v>
      </c>
      <c r="AD314" s="34"/>
      <c r="AE314" s="35">
        <f>IFERROR(INDEX([1]Last6M_AvgSales_Ref!$B$2:$B$12659,MATCH(D314,[1]Last6M_AvgSales_Ref!$A$2:$A$12659,0)),"")</f>
        <v>23.3333333333333</v>
      </c>
    </row>
    <row r="315" spans="1:31" ht="14.25" customHeight="1" x14ac:dyDescent="0.3">
      <c r="A315" s="36" t="s">
        <v>24</v>
      </c>
      <c r="B315" s="38" t="s">
        <v>656</v>
      </c>
      <c r="C315" s="38" t="s">
        <v>664</v>
      </c>
      <c r="D315" s="38">
        <v>1000000760</v>
      </c>
      <c r="E315" s="39" t="s">
        <v>665</v>
      </c>
      <c r="F315" s="40">
        <v>42866</v>
      </c>
      <c r="G315" s="22" t="str">
        <f t="shared" si="56"/>
        <v>Targeted Dealer</v>
      </c>
      <c r="H315" s="22"/>
      <c r="I315" s="23">
        <v>30</v>
      </c>
      <c r="J315" s="23">
        <f t="shared" si="57"/>
        <v>30</v>
      </c>
      <c r="K315" s="24">
        <v>20</v>
      </c>
      <c r="L315" s="24">
        <f t="shared" si="58"/>
        <v>10</v>
      </c>
      <c r="M315" s="24">
        <f t="shared" si="59"/>
        <v>66.666666666666671</v>
      </c>
      <c r="N315" s="25">
        <v>20</v>
      </c>
      <c r="O315" s="26" t="str">
        <f t="shared" si="60"/>
        <v>June</v>
      </c>
      <c r="P315" s="25">
        <f t="shared" si="61"/>
        <v>20</v>
      </c>
      <c r="Q315" s="27">
        <f t="shared" si="62"/>
        <v>0</v>
      </c>
      <c r="R315" s="26" t="b">
        <f t="shared" si="63"/>
        <v>0</v>
      </c>
      <c r="S315" s="28" t="str">
        <f t="shared" si="64"/>
        <v>GROWTH</v>
      </c>
      <c r="T315" s="24">
        <v>25</v>
      </c>
      <c r="U315" s="29" t="str">
        <f t="shared" si="65"/>
        <v>May</v>
      </c>
      <c r="V315" s="24">
        <f t="shared" si="66"/>
        <v>25</v>
      </c>
      <c r="W315" s="30">
        <f t="shared" si="67"/>
        <v>-5</v>
      </c>
      <c r="X315" s="31" t="b">
        <f t="shared" si="68"/>
        <v>0</v>
      </c>
      <c r="Y315" s="32" t="str">
        <f t="shared" si="69"/>
        <v>GROWTH</v>
      </c>
      <c r="Z315" s="41">
        <v>0</v>
      </c>
      <c r="AA315" s="36"/>
      <c r="AB315" s="36" t="s">
        <v>24</v>
      </c>
      <c r="AC315" s="36" t="s">
        <v>24</v>
      </c>
      <c r="AD315" s="34"/>
      <c r="AE315" s="35">
        <f>IFERROR(INDEX([1]Last6M_AvgSales_Ref!$B$2:$B$12659,MATCH(D315,[1]Last6M_AvgSales_Ref!$A$2:$A$12659,0)),"")</f>
        <v>30</v>
      </c>
    </row>
    <row r="316" spans="1:31" ht="14.25" customHeight="1" x14ac:dyDescent="0.3">
      <c r="A316" s="36" t="s">
        <v>24</v>
      </c>
      <c r="B316" s="38" t="s">
        <v>656</v>
      </c>
      <c r="C316" s="38" t="s">
        <v>666</v>
      </c>
      <c r="D316" s="38">
        <v>1000000749</v>
      </c>
      <c r="E316" s="39" t="s">
        <v>667</v>
      </c>
      <c r="F316" s="40">
        <v>42993</v>
      </c>
      <c r="G316" s="22" t="str">
        <f t="shared" si="56"/>
        <v>Targeted Dealer</v>
      </c>
      <c r="H316" s="22"/>
      <c r="I316" s="23">
        <v>30</v>
      </c>
      <c r="J316" s="23">
        <f t="shared" si="57"/>
        <v>30</v>
      </c>
      <c r="K316" s="24">
        <v>30</v>
      </c>
      <c r="L316" s="24">
        <f t="shared" si="58"/>
        <v>0</v>
      </c>
      <c r="M316" s="24">
        <f t="shared" si="59"/>
        <v>100</v>
      </c>
      <c r="N316" s="25">
        <v>30</v>
      </c>
      <c r="O316" s="26" t="str">
        <f t="shared" si="60"/>
        <v>June</v>
      </c>
      <c r="P316" s="25">
        <f t="shared" si="61"/>
        <v>30</v>
      </c>
      <c r="Q316" s="27">
        <f t="shared" si="62"/>
        <v>0</v>
      </c>
      <c r="R316" s="26" t="b">
        <f t="shared" si="63"/>
        <v>0</v>
      </c>
      <c r="S316" s="28" t="str">
        <f t="shared" si="64"/>
        <v>GROWTH</v>
      </c>
      <c r="T316" s="24">
        <v>41.5</v>
      </c>
      <c r="U316" s="29" t="str">
        <f t="shared" si="65"/>
        <v>May</v>
      </c>
      <c r="V316" s="24">
        <f t="shared" si="66"/>
        <v>41.5</v>
      </c>
      <c r="W316" s="30">
        <f t="shared" si="67"/>
        <v>-11.5</v>
      </c>
      <c r="X316" s="31" t="b">
        <f t="shared" si="68"/>
        <v>0</v>
      </c>
      <c r="Y316" s="32" t="str">
        <f t="shared" si="69"/>
        <v>GROWTH</v>
      </c>
      <c r="Z316" s="41">
        <v>0</v>
      </c>
      <c r="AA316" s="36"/>
      <c r="AB316" s="36" t="s">
        <v>24</v>
      </c>
      <c r="AC316" s="36" t="s">
        <v>24</v>
      </c>
      <c r="AD316" s="34"/>
      <c r="AE316" s="35">
        <f>IFERROR(INDEX([1]Last6M_AvgSales_Ref!$B$2:$B$12659,MATCH(D316,[1]Last6M_AvgSales_Ref!$A$2:$A$12659,0)),"")</f>
        <v>10.8333333333333</v>
      </c>
    </row>
    <row r="317" spans="1:31" ht="14.25" customHeight="1" x14ac:dyDescent="0.3">
      <c r="A317" s="36" t="s">
        <v>24</v>
      </c>
      <c r="B317" s="38" t="s">
        <v>656</v>
      </c>
      <c r="C317" s="38" t="s">
        <v>668</v>
      </c>
      <c r="D317" s="38">
        <v>1000000757</v>
      </c>
      <c r="E317" s="39" t="s">
        <v>669</v>
      </c>
      <c r="F317" s="40">
        <v>43169</v>
      </c>
      <c r="G317" s="22" t="str">
        <f t="shared" si="56"/>
        <v>Targeted Dealer</v>
      </c>
      <c r="H317" s="22"/>
      <c r="I317" s="23">
        <v>200</v>
      </c>
      <c r="J317" s="23">
        <f t="shared" si="57"/>
        <v>200</v>
      </c>
      <c r="K317" s="24">
        <v>215</v>
      </c>
      <c r="L317" s="24">
        <f t="shared" si="58"/>
        <v>-15</v>
      </c>
      <c r="M317" s="24">
        <f t="shared" si="59"/>
        <v>107.5</v>
      </c>
      <c r="N317" s="25">
        <v>50</v>
      </c>
      <c r="O317" s="26" t="str">
        <f t="shared" si="60"/>
        <v>June</v>
      </c>
      <c r="P317" s="25">
        <f t="shared" si="61"/>
        <v>50</v>
      </c>
      <c r="Q317" s="27">
        <f t="shared" si="62"/>
        <v>165</v>
      </c>
      <c r="R317" s="26" t="b">
        <f t="shared" si="63"/>
        <v>0</v>
      </c>
      <c r="S317" s="28" t="str">
        <f t="shared" si="64"/>
        <v>GROWTH</v>
      </c>
      <c r="T317" s="24">
        <v>50</v>
      </c>
      <c r="U317" s="29" t="str">
        <f t="shared" si="65"/>
        <v>May</v>
      </c>
      <c r="V317" s="24">
        <f t="shared" si="66"/>
        <v>50</v>
      </c>
      <c r="W317" s="30">
        <f t="shared" si="67"/>
        <v>165</v>
      </c>
      <c r="X317" s="31" t="b">
        <f t="shared" si="68"/>
        <v>0</v>
      </c>
      <c r="Y317" s="32" t="str">
        <f t="shared" si="69"/>
        <v>GROWTH</v>
      </c>
      <c r="Z317" s="41">
        <v>0</v>
      </c>
      <c r="AA317" s="36"/>
      <c r="AB317" s="36" t="s">
        <v>24</v>
      </c>
      <c r="AC317" s="36" t="s">
        <v>24</v>
      </c>
      <c r="AD317" s="34"/>
      <c r="AE317" s="35">
        <f>IFERROR(INDEX([1]Last6M_AvgSales_Ref!$B$2:$B$12659,MATCH(D317,[1]Last6M_AvgSales_Ref!$A$2:$A$12659,0)),"")</f>
        <v>200</v>
      </c>
    </row>
    <row r="318" spans="1:31" ht="14.25" customHeight="1" x14ac:dyDescent="0.3">
      <c r="A318" s="36" t="s">
        <v>24</v>
      </c>
      <c r="B318" s="38" t="s">
        <v>656</v>
      </c>
      <c r="C318" s="38" t="s">
        <v>670</v>
      </c>
      <c r="D318" s="38">
        <v>1000001082</v>
      </c>
      <c r="E318" s="39" t="s">
        <v>671</v>
      </c>
      <c r="F318" s="40">
        <v>43791</v>
      </c>
      <c r="G318" s="22" t="str">
        <f t="shared" si="56"/>
        <v>Targeted Dealer</v>
      </c>
      <c r="H318" s="22"/>
      <c r="I318" s="23">
        <v>30</v>
      </c>
      <c r="J318" s="23">
        <f t="shared" si="57"/>
        <v>30</v>
      </c>
      <c r="K318" s="24">
        <v>0</v>
      </c>
      <c r="L318" s="24">
        <f t="shared" si="58"/>
        <v>30</v>
      </c>
      <c r="M318" s="24">
        <f t="shared" si="59"/>
        <v>0</v>
      </c>
      <c r="N318" s="25">
        <v>30</v>
      </c>
      <c r="O318" s="26" t="str">
        <f t="shared" si="60"/>
        <v>June</v>
      </c>
      <c r="P318" s="25">
        <f t="shared" si="61"/>
        <v>30</v>
      </c>
      <c r="Q318" s="27">
        <f t="shared" si="62"/>
        <v>-30</v>
      </c>
      <c r="R318" s="26" t="b">
        <f t="shared" si="63"/>
        <v>0</v>
      </c>
      <c r="S318" s="28" t="str">
        <f t="shared" si="64"/>
        <v>GROWTH</v>
      </c>
      <c r="T318" s="24">
        <v>20</v>
      </c>
      <c r="U318" s="29" t="str">
        <f t="shared" si="65"/>
        <v>May</v>
      </c>
      <c r="V318" s="24">
        <f t="shared" si="66"/>
        <v>20</v>
      </c>
      <c r="W318" s="30">
        <f t="shared" si="67"/>
        <v>-20</v>
      </c>
      <c r="X318" s="31" t="b">
        <f t="shared" si="68"/>
        <v>0</v>
      </c>
      <c r="Y318" s="32" t="str">
        <f t="shared" si="69"/>
        <v>GROWTH</v>
      </c>
      <c r="Z318" s="41">
        <v>0</v>
      </c>
      <c r="AA318" s="36"/>
      <c r="AB318" s="36" t="s">
        <v>24</v>
      </c>
      <c r="AC318" s="36" t="s">
        <v>24</v>
      </c>
      <c r="AD318" s="34"/>
      <c r="AE318" s="35">
        <f>IFERROR(INDEX([1]Last6M_AvgSales_Ref!$B$2:$B$12659,MATCH(D318,[1]Last6M_AvgSales_Ref!$A$2:$A$12659,0)),"")</f>
        <v>12.5</v>
      </c>
    </row>
    <row r="319" spans="1:31" ht="14.25" customHeight="1" x14ac:dyDescent="0.3">
      <c r="A319" s="36" t="s">
        <v>24</v>
      </c>
      <c r="B319" s="38" t="s">
        <v>656</v>
      </c>
      <c r="C319" s="38" t="s">
        <v>672</v>
      </c>
      <c r="D319" s="38">
        <v>1000000763</v>
      </c>
      <c r="E319" s="39" t="s">
        <v>673</v>
      </c>
      <c r="F319" s="40">
        <v>43894</v>
      </c>
      <c r="G319" s="22" t="str">
        <f t="shared" si="56"/>
        <v>Targeted Dealer</v>
      </c>
      <c r="H319" s="22"/>
      <c r="I319" s="23">
        <v>400</v>
      </c>
      <c r="J319" s="23">
        <f t="shared" si="57"/>
        <v>400</v>
      </c>
      <c r="K319" s="24">
        <v>634.25</v>
      </c>
      <c r="L319" s="24">
        <f t="shared" si="58"/>
        <v>-234.25</v>
      </c>
      <c r="M319" s="24">
        <f t="shared" si="59"/>
        <v>158.5625</v>
      </c>
      <c r="N319" s="25">
        <v>620</v>
      </c>
      <c r="O319" s="26" t="str">
        <f t="shared" si="60"/>
        <v>June</v>
      </c>
      <c r="P319" s="25">
        <f t="shared" si="61"/>
        <v>620</v>
      </c>
      <c r="Q319" s="27">
        <f t="shared" si="62"/>
        <v>14.25</v>
      </c>
      <c r="R319" s="26" t="b">
        <f t="shared" si="63"/>
        <v>0</v>
      </c>
      <c r="S319" s="28" t="str">
        <f t="shared" si="64"/>
        <v>GROWTH</v>
      </c>
      <c r="T319" s="24">
        <v>370</v>
      </c>
      <c r="U319" s="29" t="str">
        <f t="shared" si="65"/>
        <v>May</v>
      </c>
      <c r="V319" s="24">
        <f t="shared" si="66"/>
        <v>370</v>
      </c>
      <c r="W319" s="30">
        <f t="shared" si="67"/>
        <v>264.25</v>
      </c>
      <c r="X319" s="31" t="b">
        <f t="shared" si="68"/>
        <v>0</v>
      </c>
      <c r="Y319" s="32" t="str">
        <f t="shared" si="69"/>
        <v>GROWTH</v>
      </c>
      <c r="Z319" s="41">
        <v>0</v>
      </c>
      <c r="AA319" s="36"/>
      <c r="AB319" s="36" t="s">
        <v>24</v>
      </c>
      <c r="AC319" s="36" t="s">
        <v>24</v>
      </c>
      <c r="AD319" s="34"/>
      <c r="AE319" s="35">
        <f>IFERROR(INDEX([1]Last6M_AvgSales_Ref!$B$2:$B$12659,MATCH(D319,[1]Last6M_AvgSales_Ref!$A$2:$A$12659,0)),"")</f>
        <v>551</v>
      </c>
    </row>
    <row r="320" spans="1:31" ht="14.25" customHeight="1" x14ac:dyDescent="0.3">
      <c r="A320" s="36" t="s">
        <v>24</v>
      </c>
      <c r="B320" s="38" t="s">
        <v>656</v>
      </c>
      <c r="C320" s="38" t="s">
        <v>674</v>
      </c>
      <c r="D320" s="38">
        <v>1000001077</v>
      </c>
      <c r="E320" s="39" t="s">
        <v>675</v>
      </c>
      <c r="F320" s="40">
        <v>43959</v>
      </c>
      <c r="G320" s="22" t="str">
        <f t="shared" si="56"/>
        <v>Targeted Dealer</v>
      </c>
      <c r="H320" s="22"/>
      <c r="I320" s="23">
        <v>30</v>
      </c>
      <c r="J320" s="23">
        <f t="shared" si="57"/>
        <v>30</v>
      </c>
      <c r="K320" s="24">
        <v>0</v>
      </c>
      <c r="L320" s="24">
        <f t="shared" si="58"/>
        <v>30</v>
      </c>
      <c r="M320" s="24">
        <f t="shared" si="59"/>
        <v>0</v>
      </c>
      <c r="N320" s="25">
        <v>30</v>
      </c>
      <c r="O320" s="26" t="str">
        <f t="shared" si="60"/>
        <v>June</v>
      </c>
      <c r="P320" s="25">
        <f t="shared" si="61"/>
        <v>30</v>
      </c>
      <c r="Q320" s="27">
        <f t="shared" si="62"/>
        <v>-30</v>
      </c>
      <c r="R320" s="26" t="b">
        <f t="shared" si="63"/>
        <v>0</v>
      </c>
      <c r="S320" s="28" t="str">
        <f t="shared" si="64"/>
        <v>GROWTH</v>
      </c>
      <c r="T320" s="24">
        <v>25</v>
      </c>
      <c r="U320" s="29" t="str">
        <f t="shared" si="65"/>
        <v>May</v>
      </c>
      <c r="V320" s="24">
        <f t="shared" si="66"/>
        <v>25</v>
      </c>
      <c r="W320" s="30">
        <f t="shared" si="67"/>
        <v>-25</v>
      </c>
      <c r="X320" s="31" t="b">
        <f t="shared" si="68"/>
        <v>0</v>
      </c>
      <c r="Y320" s="32" t="str">
        <f t="shared" si="69"/>
        <v>GROWTH</v>
      </c>
      <c r="Z320" s="41">
        <v>0</v>
      </c>
      <c r="AA320" s="36"/>
      <c r="AB320" s="36" t="s">
        <v>24</v>
      </c>
      <c r="AC320" s="36" t="s">
        <v>24</v>
      </c>
      <c r="AD320" s="34"/>
      <c r="AE320" s="35">
        <f>IFERROR(INDEX([1]Last6M_AvgSales_Ref!$B$2:$B$12659,MATCH(D320,[1]Last6M_AvgSales_Ref!$A$2:$A$12659,0)),"")</f>
        <v>25.8333333333333</v>
      </c>
    </row>
    <row r="321" spans="1:31" ht="14.25" customHeight="1" x14ac:dyDescent="0.3">
      <c r="A321" s="36" t="s">
        <v>24</v>
      </c>
      <c r="B321" s="38" t="s">
        <v>656</v>
      </c>
      <c r="C321" s="38" t="s">
        <v>676</v>
      </c>
      <c r="D321" s="38">
        <v>1000001070</v>
      </c>
      <c r="E321" s="39" t="s">
        <v>677</v>
      </c>
      <c r="F321" s="40">
        <v>44405</v>
      </c>
      <c r="G321" s="22" t="str">
        <f t="shared" si="56"/>
        <v>Targeted Dealer</v>
      </c>
      <c r="H321" s="22"/>
      <c r="I321" s="23">
        <v>40</v>
      </c>
      <c r="J321" s="23">
        <f t="shared" si="57"/>
        <v>40</v>
      </c>
      <c r="K321" s="24">
        <v>32</v>
      </c>
      <c r="L321" s="24">
        <f t="shared" si="58"/>
        <v>8</v>
      </c>
      <c r="M321" s="24">
        <f t="shared" si="59"/>
        <v>80</v>
      </c>
      <c r="N321" s="25">
        <v>0</v>
      </c>
      <c r="O321" s="26" t="str">
        <f t="shared" si="60"/>
        <v>June</v>
      </c>
      <c r="P321" s="25">
        <f t="shared" si="61"/>
        <v>0</v>
      </c>
      <c r="Q321" s="27">
        <f t="shared" si="62"/>
        <v>32</v>
      </c>
      <c r="R321" s="26" t="b">
        <f t="shared" si="63"/>
        <v>0</v>
      </c>
      <c r="S321" s="28" t="b">
        <f t="shared" si="64"/>
        <v>0</v>
      </c>
      <c r="T321" s="24">
        <v>35</v>
      </c>
      <c r="U321" s="29" t="str">
        <f t="shared" si="65"/>
        <v>May</v>
      </c>
      <c r="V321" s="24">
        <f t="shared" si="66"/>
        <v>35</v>
      </c>
      <c r="W321" s="30">
        <f t="shared" si="67"/>
        <v>-3</v>
      </c>
      <c r="X321" s="31" t="b">
        <f t="shared" si="68"/>
        <v>0</v>
      </c>
      <c r="Y321" s="32" t="str">
        <f t="shared" si="69"/>
        <v>GROWTH</v>
      </c>
      <c r="Z321" s="41">
        <v>0</v>
      </c>
      <c r="AA321" s="36"/>
      <c r="AB321" s="36" t="s">
        <v>24</v>
      </c>
      <c r="AC321" s="36" t="s">
        <v>24</v>
      </c>
      <c r="AD321" s="34"/>
      <c r="AE321" s="35">
        <f>IFERROR(INDEX([1]Last6M_AvgSales_Ref!$B$2:$B$12659,MATCH(D321,[1]Last6M_AvgSales_Ref!$A$2:$A$12659,0)),"")</f>
        <v>31.25</v>
      </c>
    </row>
    <row r="322" spans="1:31" ht="14.25" customHeight="1" x14ac:dyDescent="0.3">
      <c r="A322" s="36" t="s">
        <v>24</v>
      </c>
      <c r="B322" s="38" t="s">
        <v>656</v>
      </c>
      <c r="C322" s="38" t="s">
        <v>678</v>
      </c>
      <c r="D322" s="38">
        <v>1000002605</v>
      </c>
      <c r="E322" s="39" t="s">
        <v>679</v>
      </c>
      <c r="F322" s="40">
        <v>44601</v>
      </c>
      <c r="G322" s="22" t="str">
        <f t="shared" si="56"/>
        <v>Targeted Dealer</v>
      </c>
      <c r="H322" s="22"/>
      <c r="I322" s="23">
        <v>60</v>
      </c>
      <c r="J322" s="23">
        <f t="shared" si="57"/>
        <v>60</v>
      </c>
      <c r="K322" s="24">
        <v>60</v>
      </c>
      <c r="L322" s="24">
        <f t="shared" si="58"/>
        <v>0</v>
      </c>
      <c r="M322" s="24">
        <f t="shared" si="59"/>
        <v>100</v>
      </c>
      <c r="N322" s="25">
        <v>15</v>
      </c>
      <c r="O322" s="26" t="str">
        <f t="shared" si="60"/>
        <v>June</v>
      </c>
      <c r="P322" s="25">
        <f t="shared" si="61"/>
        <v>15</v>
      </c>
      <c r="Q322" s="27">
        <f t="shared" si="62"/>
        <v>45</v>
      </c>
      <c r="R322" s="26" t="b">
        <f t="shared" si="63"/>
        <v>0</v>
      </c>
      <c r="S322" s="28" t="str">
        <f t="shared" si="64"/>
        <v>GROWTH</v>
      </c>
      <c r="T322" s="24">
        <v>65</v>
      </c>
      <c r="U322" s="29" t="str">
        <f t="shared" si="65"/>
        <v>May</v>
      </c>
      <c r="V322" s="24">
        <f t="shared" si="66"/>
        <v>65</v>
      </c>
      <c r="W322" s="30">
        <f t="shared" si="67"/>
        <v>-5</v>
      </c>
      <c r="X322" s="31" t="b">
        <f t="shared" si="68"/>
        <v>0</v>
      </c>
      <c r="Y322" s="32" t="str">
        <f t="shared" si="69"/>
        <v>GROWTH</v>
      </c>
      <c r="Z322" s="41">
        <v>0</v>
      </c>
      <c r="AA322" s="36"/>
      <c r="AB322" s="36" t="s">
        <v>24</v>
      </c>
      <c r="AC322" s="36" t="s">
        <v>24</v>
      </c>
      <c r="AD322" s="34"/>
      <c r="AE322" s="35">
        <f>IFERROR(INDEX([1]Last6M_AvgSales_Ref!$B$2:$B$12659,MATCH(D322,[1]Last6M_AvgSales_Ref!$A$2:$A$12659,0)),"")</f>
        <v>60.4166666666667</v>
      </c>
    </row>
    <row r="323" spans="1:31" ht="14.25" customHeight="1" x14ac:dyDescent="0.3">
      <c r="A323" s="36" t="s">
        <v>24</v>
      </c>
      <c r="B323" s="38" t="s">
        <v>656</v>
      </c>
      <c r="C323" s="38" t="s">
        <v>680</v>
      </c>
      <c r="D323" s="38">
        <v>1000002617</v>
      </c>
      <c r="E323" s="39" t="s">
        <v>681</v>
      </c>
      <c r="F323" s="40">
        <v>44625</v>
      </c>
      <c r="G323" s="22" t="str">
        <f t="shared" ref="G323:G386" si="70">IF(I323&gt;0,"Targeted Dealer","-")</f>
        <v>Targeted Dealer</v>
      </c>
      <c r="H323" s="22"/>
      <c r="I323" s="23">
        <v>40</v>
      </c>
      <c r="J323" s="23">
        <f t="shared" ref="J323:J386" si="71">I323/$J$1*($J$1-$E$1)</f>
        <v>40</v>
      </c>
      <c r="K323" s="24">
        <v>9</v>
      </c>
      <c r="L323" s="24">
        <f t="shared" ref="L323:L386" si="72">I323-K323</f>
        <v>31</v>
      </c>
      <c r="M323" s="24">
        <f t="shared" ref="M323:M386" si="73">IFERROR((K323/J323%),"-")</f>
        <v>22.5</v>
      </c>
      <c r="N323" s="25">
        <v>11.5</v>
      </c>
      <c r="O323" s="26" t="str">
        <f t="shared" ref="O323:O386" si="74">IF(F323&lt;=$P$2,"June","")</f>
        <v>June</v>
      </c>
      <c r="P323" s="25">
        <f t="shared" ref="P323:P386" si="75">N323</f>
        <v>11.5</v>
      </c>
      <c r="Q323" s="27">
        <f t="shared" ref="Q323:Q386" si="76">K323-P323</f>
        <v>-2.5</v>
      </c>
      <c r="R323" s="26" t="b">
        <f t="shared" ref="R323:R386" si="77">IFERROR(IF(O323="May",(K323/P323-1))," ")</f>
        <v>0</v>
      </c>
      <c r="S323" s="28" t="str">
        <f t="shared" ref="S323:S386" si="78">IF(N323&gt;0,IF(O323="","-",IF(R323&lt;0%,"DEGROWTH","GROWTH")))</f>
        <v>GROWTH</v>
      </c>
      <c r="T323" s="24">
        <v>80</v>
      </c>
      <c r="U323" s="29" t="str">
        <f t="shared" ref="U323:U386" si="79">IF(F323&lt;=$V$2,"May","")</f>
        <v>May</v>
      </c>
      <c r="V323" s="24">
        <f t="shared" ref="V323:V386" si="80">T323</f>
        <v>80</v>
      </c>
      <c r="W323" s="30">
        <f t="shared" ref="W323:W386" si="81">K323-V323</f>
        <v>-71</v>
      </c>
      <c r="X323" s="31" t="b">
        <f t="shared" ref="X323:X386" si="82">IFERROR(IF(U323="June",(K323/V323-1)),0)</f>
        <v>0</v>
      </c>
      <c r="Y323" s="32" t="str">
        <f t="shared" ref="Y323:Y386" si="83">IF(T323&gt;0,IF(U323="","-",IF(X323&lt;0%,"DEGROWTH","GROWTH")))</f>
        <v>GROWTH</v>
      </c>
      <c r="Z323" s="41">
        <v>0</v>
      </c>
      <c r="AA323" s="36"/>
      <c r="AB323" s="36" t="s">
        <v>24</v>
      </c>
      <c r="AC323" s="36" t="s">
        <v>24</v>
      </c>
      <c r="AD323" s="34"/>
      <c r="AE323" s="35">
        <f>IFERROR(INDEX([1]Last6M_AvgSales_Ref!$B$2:$B$12659,MATCH(D323,[1]Last6M_AvgSales_Ref!$A$2:$A$12659,0)),"")</f>
        <v>46.9166666666667</v>
      </c>
    </row>
    <row r="324" spans="1:31" ht="14.25" customHeight="1" x14ac:dyDescent="0.3">
      <c r="A324" s="36" t="s">
        <v>24</v>
      </c>
      <c r="B324" s="38" t="s">
        <v>656</v>
      </c>
      <c r="C324" s="38" t="s">
        <v>682</v>
      </c>
      <c r="D324" s="38">
        <v>1000002726</v>
      </c>
      <c r="E324" s="38" t="s">
        <v>683</v>
      </c>
      <c r="F324" s="40">
        <v>44671</v>
      </c>
      <c r="G324" s="22" t="str">
        <f t="shared" si="70"/>
        <v>Targeted Dealer</v>
      </c>
      <c r="H324" s="22"/>
      <c r="I324" s="23">
        <v>20</v>
      </c>
      <c r="J324" s="23">
        <f t="shared" si="71"/>
        <v>20</v>
      </c>
      <c r="K324" s="24">
        <v>20</v>
      </c>
      <c r="L324" s="24">
        <f t="shared" si="72"/>
        <v>0</v>
      </c>
      <c r="M324" s="24">
        <f t="shared" si="73"/>
        <v>100</v>
      </c>
      <c r="N324" s="25">
        <v>15</v>
      </c>
      <c r="O324" s="26" t="str">
        <f t="shared" si="74"/>
        <v>June</v>
      </c>
      <c r="P324" s="25">
        <f t="shared" si="75"/>
        <v>15</v>
      </c>
      <c r="Q324" s="27">
        <f t="shared" si="76"/>
        <v>5</v>
      </c>
      <c r="R324" s="26" t="b">
        <f t="shared" si="77"/>
        <v>0</v>
      </c>
      <c r="S324" s="28" t="str">
        <f t="shared" si="78"/>
        <v>GROWTH</v>
      </c>
      <c r="T324" s="24">
        <v>0</v>
      </c>
      <c r="U324" s="29" t="str">
        <f t="shared" si="79"/>
        <v>May</v>
      </c>
      <c r="V324" s="24">
        <f t="shared" si="80"/>
        <v>0</v>
      </c>
      <c r="W324" s="30">
        <f t="shared" si="81"/>
        <v>20</v>
      </c>
      <c r="X324" s="31" t="b">
        <f t="shared" si="82"/>
        <v>0</v>
      </c>
      <c r="Y324" s="32" t="b">
        <f t="shared" si="83"/>
        <v>0</v>
      </c>
      <c r="Z324" s="41">
        <v>0</v>
      </c>
      <c r="AA324" s="36"/>
      <c r="AB324" s="36" t="s">
        <v>24</v>
      </c>
      <c r="AC324" s="36" t="s">
        <v>24</v>
      </c>
      <c r="AD324" s="34"/>
      <c r="AE324" s="35">
        <f>IFERROR(INDEX([1]Last6M_AvgSales_Ref!$B$2:$B$12659,MATCH(D324,[1]Last6M_AvgSales_Ref!$A$2:$A$12659,0)),"")</f>
        <v>28.3333333333333</v>
      </c>
    </row>
    <row r="325" spans="1:31" ht="14.25" customHeight="1" x14ac:dyDescent="0.3">
      <c r="A325" s="36" t="s">
        <v>24</v>
      </c>
      <c r="B325" s="38" t="s">
        <v>656</v>
      </c>
      <c r="C325" s="38" t="s">
        <v>684</v>
      </c>
      <c r="D325" s="38">
        <v>1000002748</v>
      </c>
      <c r="E325" s="38" t="s">
        <v>685</v>
      </c>
      <c r="F325" s="40">
        <v>44694</v>
      </c>
      <c r="G325" s="22" t="str">
        <f t="shared" si="70"/>
        <v>Targeted Dealer</v>
      </c>
      <c r="H325" s="22"/>
      <c r="I325" s="23">
        <v>150</v>
      </c>
      <c r="J325" s="23">
        <f t="shared" si="71"/>
        <v>150</v>
      </c>
      <c r="K325" s="24">
        <v>140</v>
      </c>
      <c r="L325" s="24">
        <f t="shared" si="72"/>
        <v>10</v>
      </c>
      <c r="M325" s="24">
        <f t="shared" si="73"/>
        <v>93.333333333333329</v>
      </c>
      <c r="N325" s="25">
        <v>110</v>
      </c>
      <c r="O325" s="26" t="str">
        <f t="shared" si="74"/>
        <v>June</v>
      </c>
      <c r="P325" s="25">
        <f t="shared" si="75"/>
        <v>110</v>
      </c>
      <c r="Q325" s="27">
        <f t="shared" si="76"/>
        <v>30</v>
      </c>
      <c r="R325" s="26" t="b">
        <f t="shared" si="77"/>
        <v>0</v>
      </c>
      <c r="S325" s="28" t="str">
        <f t="shared" si="78"/>
        <v>GROWTH</v>
      </c>
      <c r="T325" s="24">
        <v>81</v>
      </c>
      <c r="U325" s="29" t="str">
        <f t="shared" si="79"/>
        <v>May</v>
      </c>
      <c r="V325" s="24">
        <f t="shared" si="80"/>
        <v>81</v>
      </c>
      <c r="W325" s="30">
        <f t="shared" si="81"/>
        <v>59</v>
      </c>
      <c r="X325" s="31" t="b">
        <f t="shared" si="82"/>
        <v>0</v>
      </c>
      <c r="Y325" s="32" t="str">
        <f t="shared" si="83"/>
        <v>GROWTH</v>
      </c>
      <c r="Z325" s="41">
        <v>0</v>
      </c>
      <c r="AA325" s="36"/>
      <c r="AB325" s="36" t="s">
        <v>24</v>
      </c>
      <c r="AC325" s="36" t="s">
        <v>24</v>
      </c>
      <c r="AD325" s="34"/>
      <c r="AE325" s="35">
        <f>IFERROR(INDEX([1]Last6M_AvgSales_Ref!$B$2:$B$12659,MATCH(D325,[1]Last6M_AvgSales_Ref!$A$2:$A$12659,0)),"")</f>
        <v>154.583333333333</v>
      </c>
    </row>
    <row r="326" spans="1:31" ht="14.25" customHeight="1" x14ac:dyDescent="0.3">
      <c r="A326" s="36" t="s">
        <v>24</v>
      </c>
      <c r="B326" s="38" t="s">
        <v>656</v>
      </c>
      <c r="C326" s="38" t="s">
        <v>686</v>
      </c>
      <c r="D326" s="38">
        <v>1000002811</v>
      </c>
      <c r="E326" s="38" t="s">
        <v>687</v>
      </c>
      <c r="F326" s="40">
        <v>44719</v>
      </c>
      <c r="G326" s="22" t="str">
        <f t="shared" si="70"/>
        <v>Targeted Dealer</v>
      </c>
      <c r="H326" s="22"/>
      <c r="I326" s="23">
        <v>70</v>
      </c>
      <c r="J326" s="23">
        <f t="shared" si="71"/>
        <v>70</v>
      </c>
      <c r="K326" s="24">
        <v>106.5</v>
      </c>
      <c r="L326" s="24">
        <f t="shared" si="72"/>
        <v>-36.5</v>
      </c>
      <c r="M326" s="24">
        <f t="shared" si="73"/>
        <v>152.14285714285714</v>
      </c>
      <c r="N326" s="25">
        <v>25</v>
      </c>
      <c r="O326" s="26" t="str">
        <f t="shared" si="74"/>
        <v>June</v>
      </c>
      <c r="P326" s="25">
        <f t="shared" si="75"/>
        <v>25</v>
      </c>
      <c r="Q326" s="27">
        <f t="shared" si="76"/>
        <v>81.5</v>
      </c>
      <c r="R326" s="26" t="b">
        <f t="shared" si="77"/>
        <v>0</v>
      </c>
      <c r="S326" s="28" t="str">
        <f t="shared" si="78"/>
        <v>GROWTH</v>
      </c>
      <c r="T326" s="24">
        <v>15</v>
      </c>
      <c r="U326" s="29" t="str">
        <f t="shared" si="79"/>
        <v>May</v>
      </c>
      <c r="V326" s="24">
        <f t="shared" si="80"/>
        <v>15</v>
      </c>
      <c r="W326" s="30">
        <f t="shared" si="81"/>
        <v>91.5</v>
      </c>
      <c r="X326" s="31" t="b">
        <f t="shared" si="82"/>
        <v>0</v>
      </c>
      <c r="Y326" s="32" t="str">
        <f t="shared" si="83"/>
        <v>GROWTH</v>
      </c>
      <c r="Z326" s="41">
        <v>0</v>
      </c>
      <c r="AA326" s="36"/>
      <c r="AB326" s="36" t="s">
        <v>24</v>
      </c>
      <c r="AC326" s="36" t="s">
        <v>24</v>
      </c>
      <c r="AD326" s="34"/>
      <c r="AE326" s="35">
        <f>IFERROR(INDEX([1]Last6M_AvgSales_Ref!$B$2:$B$12659,MATCH(D326,[1]Last6M_AvgSales_Ref!$A$2:$A$12659,0)),"")</f>
        <v>20.5</v>
      </c>
    </row>
    <row r="327" spans="1:31" ht="14.25" customHeight="1" x14ac:dyDescent="0.3">
      <c r="A327" s="36" t="s">
        <v>24</v>
      </c>
      <c r="B327" s="38" t="s">
        <v>656</v>
      </c>
      <c r="C327" s="38" t="s">
        <v>688</v>
      </c>
      <c r="D327" s="38">
        <v>1000003477</v>
      </c>
      <c r="E327" s="38" t="s">
        <v>689</v>
      </c>
      <c r="F327" s="40">
        <v>45036</v>
      </c>
      <c r="G327" s="22" t="str">
        <f t="shared" si="70"/>
        <v>Targeted Dealer</v>
      </c>
      <c r="H327" s="22"/>
      <c r="I327" s="23">
        <v>20</v>
      </c>
      <c r="J327" s="23">
        <f t="shared" si="71"/>
        <v>20</v>
      </c>
      <c r="K327" s="24">
        <v>0</v>
      </c>
      <c r="L327" s="24">
        <f t="shared" si="72"/>
        <v>20</v>
      </c>
      <c r="M327" s="24">
        <f t="shared" si="73"/>
        <v>0</v>
      </c>
      <c r="N327" s="25">
        <v>0</v>
      </c>
      <c r="O327" s="26" t="str">
        <f t="shared" si="74"/>
        <v>June</v>
      </c>
      <c r="P327" s="25">
        <f t="shared" si="75"/>
        <v>0</v>
      </c>
      <c r="Q327" s="27">
        <f t="shared" si="76"/>
        <v>0</v>
      </c>
      <c r="R327" s="26" t="b">
        <f t="shared" si="77"/>
        <v>0</v>
      </c>
      <c r="S327" s="28" t="b">
        <f t="shared" si="78"/>
        <v>0</v>
      </c>
      <c r="T327" s="24">
        <v>22.5</v>
      </c>
      <c r="U327" s="29" t="str">
        <f t="shared" si="79"/>
        <v>May</v>
      </c>
      <c r="V327" s="24">
        <f t="shared" si="80"/>
        <v>22.5</v>
      </c>
      <c r="W327" s="30">
        <f t="shared" si="81"/>
        <v>-22.5</v>
      </c>
      <c r="X327" s="31" t="b">
        <f t="shared" si="82"/>
        <v>0</v>
      </c>
      <c r="Y327" s="32" t="str">
        <f t="shared" si="83"/>
        <v>GROWTH</v>
      </c>
      <c r="Z327" s="41">
        <v>0</v>
      </c>
      <c r="AA327" s="36"/>
      <c r="AB327" s="36" t="s">
        <v>24</v>
      </c>
      <c r="AC327" s="36" t="s">
        <v>24</v>
      </c>
      <c r="AD327" s="34"/>
      <c r="AE327" s="35">
        <f>IFERROR(INDEX([1]Last6M_AvgSales_Ref!$B$2:$B$12659,MATCH(D327,[1]Last6M_AvgSales_Ref!$A$2:$A$12659,0)),"")</f>
        <v>8.3333333333333304</v>
      </c>
    </row>
    <row r="328" spans="1:31" ht="14.25" customHeight="1" x14ac:dyDescent="0.3">
      <c r="A328" s="36" t="s">
        <v>24</v>
      </c>
      <c r="B328" s="38" t="s">
        <v>656</v>
      </c>
      <c r="C328" s="38" t="s">
        <v>690</v>
      </c>
      <c r="D328" s="38">
        <v>1000003521</v>
      </c>
      <c r="E328" s="38" t="s">
        <v>691</v>
      </c>
      <c r="F328" s="40">
        <v>45062</v>
      </c>
      <c r="G328" s="22" t="str">
        <f t="shared" si="70"/>
        <v>Targeted Dealer</v>
      </c>
      <c r="H328" s="22"/>
      <c r="I328" s="23">
        <v>80</v>
      </c>
      <c r="J328" s="23">
        <f t="shared" si="71"/>
        <v>80</v>
      </c>
      <c r="K328" s="24">
        <v>62.5</v>
      </c>
      <c r="L328" s="24">
        <f t="shared" si="72"/>
        <v>17.5</v>
      </c>
      <c r="M328" s="24">
        <f t="shared" si="73"/>
        <v>78.125</v>
      </c>
      <c r="N328" s="25">
        <v>10</v>
      </c>
      <c r="O328" s="26" t="str">
        <f t="shared" si="74"/>
        <v>June</v>
      </c>
      <c r="P328" s="25">
        <f t="shared" si="75"/>
        <v>10</v>
      </c>
      <c r="Q328" s="27">
        <f t="shared" si="76"/>
        <v>52.5</v>
      </c>
      <c r="R328" s="26" t="b">
        <f t="shared" si="77"/>
        <v>0</v>
      </c>
      <c r="S328" s="28" t="str">
        <f t="shared" si="78"/>
        <v>GROWTH</v>
      </c>
      <c r="T328" s="24">
        <v>120</v>
      </c>
      <c r="U328" s="29" t="str">
        <f t="shared" si="79"/>
        <v>May</v>
      </c>
      <c r="V328" s="24">
        <f t="shared" si="80"/>
        <v>120</v>
      </c>
      <c r="W328" s="30">
        <f t="shared" si="81"/>
        <v>-57.5</v>
      </c>
      <c r="X328" s="31" t="b">
        <f t="shared" si="82"/>
        <v>0</v>
      </c>
      <c r="Y328" s="32" t="str">
        <f t="shared" si="83"/>
        <v>GROWTH</v>
      </c>
      <c r="Z328" s="41">
        <v>0</v>
      </c>
      <c r="AA328" s="36"/>
      <c r="AB328" s="36" t="s">
        <v>24</v>
      </c>
      <c r="AC328" s="36" t="s">
        <v>24</v>
      </c>
      <c r="AD328" s="34"/>
      <c r="AE328" s="35">
        <f>IFERROR(INDEX([1]Last6M_AvgSales_Ref!$B$2:$B$12659,MATCH(D328,[1]Last6M_AvgSales_Ref!$A$2:$A$12659,0)),"")</f>
        <v>48.75</v>
      </c>
    </row>
    <row r="329" spans="1:31" ht="14.25" customHeight="1" x14ac:dyDescent="0.3">
      <c r="A329" s="41" t="s">
        <v>24</v>
      </c>
      <c r="B329" s="44" t="s">
        <v>656</v>
      </c>
      <c r="C329" s="44" t="s">
        <v>692</v>
      </c>
      <c r="D329" s="44">
        <v>1000003931</v>
      </c>
      <c r="E329" s="44" t="s">
        <v>693</v>
      </c>
      <c r="F329" s="40">
        <v>45412</v>
      </c>
      <c r="G329" s="22" t="str">
        <f t="shared" si="70"/>
        <v>Targeted Dealer</v>
      </c>
      <c r="H329" s="22"/>
      <c r="I329" s="23">
        <v>40</v>
      </c>
      <c r="J329" s="23">
        <f t="shared" si="71"/>
        <v>40</v>
      </c>
      <c r="K329" s="24">
        <v>30</v>
      </c>
      <c r="L329" s="24">
        <f t="shared" si="72"/>
        <v>10</v>
      </c>
      <c r="M329" s="24">
        <f t="shared" si="73"/>
        <v>75</v>
      </c>
      <c r="N329" s="25">
        <v>15</v>
      </c>
      <c r="O329" s="26" t="str">
        <f t="shared" si="74"/>
        <v>June</v>
      </c>
      <c r="P329" s="25">
        <f t="shared" si="75"/>
        <v>15</v>
      </c>
      <c r="Q329" s="27">
        <f t="shared" si="76"/>
        <v>15</v>
      </c>
      <c r="R329" s="26" t="b">
        <f t="shared" si="77"/>
        <v>0</v>
      </c>
      <c r="S329" s="28" t="str">
        <f t="shared" si="78"/>
        <v>GROWTH</v>
      </c>
      <c r="T329" s="24">
        <v>30</v>
      </c>
      <c r="U329" s="29" t="str">
        <f t="shared" si="79"/>
        <v>May</v>
      </c>
      <c r="V329" s="24">
        <f t="shared" si="80"/>
        <v>30</v>
      </c>
      <c r="W329" s="30">
        <f t="shared" si="81"/>
        <v>0</v>
      </c>
      <c r="X329" s="31" t="b">
        <f t="shared" si="82"/>
        <v>0</v>
      </c>
      <c r="Y329" s="32" t="str">
        <f t="shared" si="83"/>
        <v>GROWTH</v>
      </c>
      <c r="Z329" s="41">
        <v>0</v>
      </c>
      <c r="AA329" s="36"/>
      <c r="AB329" s="36" t="s">
        <v>24</v>
      </c>
      <c r="AC329" s="41" t="s">
        <v>24</v>
      </c>
      <c r="AD329" s="34"/>
      <c r="AE329" s="35">
        <f>IFERROR(INDEX([1]Last6M_AvgSales_Ref!$B$2:$B$12659,MATCH(D329,[1]Last6M_AvgSales_Ref!$A$2:$A$12659,0)),"")</f>
        <v>15.8333333333333</v>
      </c>
    </row>
    <row r="330" spans="1:31" ht="14.25" customHeight="1" x14ac:dyDescent="0.3">
      <c r="A330" s="41" t="s">
        <v>24</v>
      </c>
      <c r="B330" s="44" t="s">
        <v>656</v>
      </c>
      <c r="C330" s="44" t="s">
        <v>694</v>
      </c>
      <c r="D330" s="44">
        <v>1000004065</v>
      </c>
      <c r="E330" s="44" t="s">
        <v>695</v>
      </c>
      <c r="F330" s="40">
        <v>45503</v>
      </c>
      <c r="G330" s="22" t="str">
        <f t="shared" si="70"/>
        <v>-</v>
      </c>
      <c r="H330" s="22"/>
      <c r="I330" s="23">
        <v>0</v>
      </c>
      <c r="J330" s="23">
        <f t="shared" si="71"/>
        <v>0</v>
      </c>
      <c r="K330" s="24">
        <v>0</v>
      </c>
      <c r="L330" s="24">
        <f t="shared" si="72"/>
        <v>0</v>
      </c>
      <c r="M330" s="24" t="str">
        <f t="shared" si="73"/>
        <v>-</v>
      </c>
      <c r="N330" s="25">
        <v>0</v>
      </c>
      <c r="O330" s="26" t="str">
        <f t="shared" si="74"/>
        <v>June</v>
      </c>
      <c r="P330" s="25">
        <f t="shared" si="75"/>
        <v>0</v>
      </c>
      <c r="Q330" s="27">
        <f t="shared" si="76"/>
        <v>0</v>
      </c>
      <c r="R330" s="26" t="b">
        <f t="shared" si="77"/>
        <v>0</v>
      </c>
      <c r="S330" s="28" t="b">
        <f t="shared" si="78"/>
        <v>0</v>
      </c>
      <c r="T330" s="24">
        <v>47.25</v>
      </c>
      <c r="U330" s="29" t="str">
        <f t="shared" si="79"/>
        <v>May</v>
      </c>
      <c r="V330" s="24">
        <f t="shared" si="80"/>
        <v>47.25</v>
      </c>
      <c r="W330" s="30">
        <f t="shared" si="81"/>
        <v>-47.25</v>
      </c>
      <c r="X330" s="31" t="b">
        <f t="shared" si="82"/>
        <v>0</v>
      </c>
      <c r="Y330" s="32" t="str">
        <f t="shared" si="83"/>
        <v>GROWTH</v>
      </c>
      <c r="Z330" s="41">
        <v>0</v>
      </c>
      <c r="AA330" s="36"/>
      <c r="AB330" s="36" t="s">
        <v>24</v>
      </c>
      <c r="AC330" s="41" t="s">
        <v>24</v>
      </c>
      <c r="AD330" s="34"/>
      <c r="AE330" s="35">
        <f>IFERROR(INDEX([1]Last6M_AvgSales_Ref!$B$2:$B$12659,MATCH(D330,[1]Last6M_AvgSales_Ref!$A$2:$A$12659,0)),"")</f>
        <v>40.2916666666667</v>
      </c>
    </row>
    <row r="331" spans="1:31" ht="14.25" customHeight="1" x14ac:dyDescent="0.3">
      <c r="A331" s="41" t="s">
        <v>24</v>
      </c>
      <c r="B331" s="44" t="s">
        <v>656</v>
      </c>
      <c r="C331" s="44" t="s">
        <v>696</v>
      </c>
      <c r="D331" s="44">
        <v>1000004097</v>
      </c>
      <c r="E331" s="44" t="s">
        <v>697</v>
      </c>
      <c r="F331" s="40">
        <v>45532</v>
      </c>
      <c r="G331" s="22" t="str">
        <f t="shared" si="70"/>
        <v>Targeted Dealer</v>
      </c>
      <c r="H331" s="22"/>
      <c r="I331" s="23">
        <v>40</v>
      </c>
      <c r="J331" s="23">
        <f t="shared" si="71"/>
        <v>40</v>
      </c>
      <c r="K331" s="24">
        <v>50</v>
      </c>
      <c r="L331" s="24">
        <f t="shared" si="72"/>
        <v>-10</v>
      </c>
      <c r="M331" s="24">
        <f t="shared" si="73"/>
        <v>125</v>
      </c>
      <c r="N331" s="25">
        <v>40</v>
      </c>
      <c r="O331" s="26" t="str">
        <f t="shared" si="74"/>
        <v>June</v>
      </c>
      <c r="P331" s="25">
        <f t="shared" si="75"/>
        <v>40</v>
      </c>
      <c r="Q331" s="27">
        <f t="shared" si="76"/>
        <v>10</v>
      </c>
      <c r="R331" s="26" t="b">
        <f t="shared" si="77"/>
        <v>0</v>
      </c>
      <c r="S331" s="28" t="str">
        <f t="shared" si="78"/>
        <v>GROWTH</v>
      </c>
      <c r="T331" s="24">
        <v>30.5</v>
      </c>
      <c r="U331" s="29" t="str">
        <f t="shared" si="79"/>
        <v>May</v>
      </c>
      <c r="V331" s="24">
        <f t="shared" si="80"/>
        <v>30.5</v>
      </c>
      <c r="W331" s="30">
        <f t="shared" si="81"/>
        <v>19.5</v>
      </c>
      <c r="X331" s="31" t="b">
        <f t="shared" si="82"/>
        <v>0</v>
      </c>
      <c r="Y331" s="32" t="str">
        <f t="shared" si="83"/>
        <v>GROWTH</v>
      </c>
      <c r="Z331" s="41">
        <v>0</v>
      </c>
      <c r="AA331" s="36"/>
      <c r="AB331" s="36" t="s">
        <v>24</v>
      </c>
      <c r="AC331" s="41" t="s">
        <v>24</v>
      </c>
      <c r="AD331" s="34"/>
      <c r="AE331" s="35">
        <f>IFERROR(INDEX([1]Last6M_AvgSales_Ref!$B$2:$B$12659,MATCH(D331,[1]Last6M_AvgSales_Ref!$A$2:$A$12659,0)),"")</f>
        <v>79.6666666666667</v>
      </c>
    </row>
    <row r="332" spans="1:31" ht="14.25" customHeight="1" x14ac:dyDescent="0.3">
      <c r="A332" s="36" t="s">
        <v>24</v>
      </c>
      <c r="B332" s="38" t="s">
        <v>698</v>
      </c>
      <c r="C332" s="38" t="s">
        <v>699</v>
      </c>
      <c r="D332" s="38">
        <v>1000000702</v>
      </c>
      <c r="E332" s="39" t="s">
        <v>700</v>
      </c>
      <c r="F332" s="40">
        <v>39855</v>
      </c>
      <c r="G332" s="22" t="str">
        <f t="shared" si="70"/>
        <v>Targeted Dealer</v>
      </c>
      <c r="H332" s="22"/>
      <c r="I332" s="23">
        <v>200</v>
      </c>
      <c r="J332" s="23">
        <f t="shared" si="71"/>
        <v>200</v>
      </c>
      <c r="K332" s="24">
        <v>268</v>
      </c>
      <c r="L332" s="24">
        <f t="shared" si="72"/>
        <v>-68</v>
      </c>
      <c r="M332" s="24">
        <f t="shared" si="73"/>
        <v>134</v>
      </c>
      <c r="N332" s="25">
        <v>93</v>
      </c>
      <c r="O332" s="26" t="str">
        <f t="shared" si="74"/>
        <v>June</v>
      </c>
      <c r="P332" s="25">
        <f t="shared" si="75"/>
        <v>93</v>
      </c>
      <c r="Q332" s="27">
        <f t="shared" si="76"/>
        <v>175</v>
      </c>
      <c r="R332" s="26" t="b">
        <f t="shared" si="77"/>
        <v>0</v>
      </c>
      <c r="S332" s="28" t="str">
        <f t="shared" si="78"/>
        <v>GROWTH</v>
      </c>
      <c r="T332" s="24">
        <v>261</v>
      </c>
      <c r="U332" s="29" t="str">
        <f t="shared" si="79"/>
        <v>May</v>
      </c>
      <c r="V332" s="24">
        <f t="shared" si="80"/>
        <v>261</v>
      </c>
      <c r="W332" s="30">
        <f t="shared" si="81"/>
        <v>7</v>
      </c>
      <c r="X332" s="31" t="b">
        <f t="shared" si="82"/>
        <v>0</v>
      </c>
      <c r="Y332" s="32" t="str">
        <f t="shared" si="83"/>
        <v>GROWTH</v>
      </c>
      <c r="Z332" s="41">
        <v>0</v>
      </c>
      <c r="AA332" s="36"/>
      <c r="AB332" s="36" t="s">
        <v>24</v>
      </c>
      <c r="AC332" s="36" t="s">
        <v>24</v>
      </c>
      <c r="AD332" s="34"/>
      <c r="AE332" s="35">
        <f>IFERROR(INDEX([1]Last6M_AvgSales_Ref!$B$2:$B$12659,MATCH(D332,[1]Last6M_AvgSales_Ref!$A$2:$A$12659,0)),"")</f>
        <v>197.833333333333</v>
      </c>
    </row>
    <row r="333" spans="1:31" ht="14.25" customHeight="1" x14ac:dyDescent="0.3">
      <c r="A333" s="36" t="s">
        <v>24</v>
      </c>
      <c r="B333" s="38" t="s">
        <v>698</v>
      </c>
      <c r="C333" s="38" t="s">
        <v>701</v>
      </c>
      <c r="D333" s="38">
        <v>1000000694</v>
      </c>
      <c r="E333" s="39" t="s">
        <v>702</v>
      </c>
      <c r="F333" s="40">
        <v>40275</v>
      </c>
      <c r="G333" s="22" t="str">
        <f t="shared" si="70"/>
        <v>Targeted Dealer</v>
      </c>
      <c r="H333" s="22"/>
      <c r="I333" s="23">
        <v>23</v>
      </c>
      <c r="J333" s="23">
        <f t="shared" si="71"/>
        <v>23</v>
      </c>
      <c r="K333" s="24">
        <v>25</v>
      </c>
      <c r="L333" s="24">
        <f t="shared" si="72"/>
        <v>-2</v>
      </c>
      <c r="M333" s="24">
        <f t="shared" si="73"/>
        <v>108.69565217391303</v>
      </c>
      <c r="N333" s="25">
        <v>24</v>
      </c>
      <c r="O333" s="26" t="str">
        <f t="shared" si="74"/>
        <v>June</v>
      </c>
      <c r="P333" s="25">
        <f t="shared" si="75"/>
        <v>24</v>
      </c>
      <c r="Q333" s="27">
        <f t="shared" si="76"/>
        <v>1</v>
      </c>
      <c r="R333" s="26" t="b">
        <f t="shared" si="77"/>
        <v>0</v>
      </c>
      <c r="S333" s="28" t="str">
        <f t="shared" si="78"/>
        <v>GROWTH</v>
      </c>
      <c r="T333" s="24">
        <v>48</v>
      </c>
      <c r="U333" s="29" t="str">
        <f t="shared" si="79"/>
        <v>May</v>
      </c>
      <c r="V333" s="24">
        <f t="shared" si="80"/>
        <v>48</v>
      </c>
      <c r="W333" s="30">
        <f t="shared" si="81"/>
        <v>-23</v>
      </c>
      <c r="X333" s="31" t="b">
        <f t="shared" si="82"/>
        <v>0</v>
      </c>
      <c r="Y333" s="32" t="str">
        <f t="shared" si="83"/>
        <v>GROWTH</v>
      </c>
      <c r="Z333" s="41">
        <v>0</v>
      </c>
      <c r="AA333" s="36"/>
      <c r="AB333" s="36" t="s">
        <v>24</v>
      </c>
      <c r="AC333" s="36" t="s">
        <v>24</v>
      </c>
      <c r="AD333" s="34"/>
      <c r="AE333" s="35">
        <f>IFERROR(INDEX([1]Last6M_AvgSales_Ref!$B$2:$B$12659,MATCH(D333,[1]Last6M_AvgSales_Ref!$A$2:$A$12659,0)),"")</f>
        <v>47.5416666666667</v>
      </c>
    </row>
    <row r="334" spans="1:31" ht="14.25" customHeight="1" x14ac:dyDescent="0.3">
      <c r="A334" s="36" t="s">
        <v>24</v>
      </c>
      <c r="B334" s="38" t="s">
        <v>698</v>
      </c>
      <c r="C334" s="38" t="s">
        <v>703</v>
      </c>
      <c r="D334" s="38">
        <v>1000000697</v>
      </c>
      <c r="E334" s="39" t="s">
        <v>704</v>
      </c>
      <c r="F334" s="40">
        <v>40388</v>
      </c>
      <c r="G334" s="22" t="str">
        <f t="shared" si="70"/>
        <v>Targeted Dealer</v>
      </c>
      <c r="H334" s="22"/>
      <c r="I334" s="23">
        <v>100</v>
      </c>
      <c r="J334" s="23">
        <f t="shared" si="71"/>
        <v>100</v>
      </c>
      <c r="K334" s="24">
        <v>60</v>
      </c>
      <c r="L334" s="24">
        <f t="shared" si="72"/>
        <v>40</v>
      </c>
      <c r="M334" s="24">
        <f t="shared" si="73"/>
        <v>60</v>
      </c>
      <c r="N334" s="25">
        <v>30</v>
      </c>
      <c r="O334" s="26" t="str">
        <f t="shared" si="74"/>
        <v>June</v>
      </c>
      <c r="P334" s="25">
        <f t="shared" si="75"/>
        <v>30</v>
      </c>
      <c r="Q334" s="27">
        <f t="shared" si="76"/>
        <v>30</v>
      </c>
      <c r="R334" s="26" t="b">
        <f t="shared" si="77"/>
        <v>0</v>
      </c>
      <c r="S334" s="28" t="str">
        <f t="shared" si="78"/>
        <v>GROWTH</v>
      </c>
      <c r="T334" s="24">
        <v>127</v>
      </c>
      <c r="U334" s="29" t="str">
        <f t="shared" si="79"/>
        <v>May</v>
      </c>
      <c r="V334" s="24">
        <f t="shared" si="80"/>
        <v>127</v>
      </c>
      <c r="W334" s="30">
        <f t="shared" si="81"/>
        <v>-67</v>
      </c>
      <c r="X334" s="31" t="b">
        <f t="shared" si="82"/>
        <v>0</v>
      </c>
      <c r="Y334" s="32" t="str">
        <f t="shared" si="83"/>
        <v>GROWTH</v>
      </c>
      <c r="Z334" s="41">
        <v>0</v>
      </c>
      <c r="AA334" s="36"/>
      <c r="AB334" s="36" t="s">
        <v>24</v>
      </c>
      <c r="AC334" s="36" t="s">
        <v>24</v>
      </c>
      <c r="AD334" s="34"/>
      <c r="AE334" s="35">
        <f>IFERROR(INDEX([1]Last6M_AvgSales_Ref!$B$2:$B$12659,MATCH(D334,[1]Last6M_AvgSales_Ref!$A$2:$A$12659,0)),"")</f>
        <v>132.833333333333</v>
      </c>
    </row>
    <row r="335" spans="1:31" ht="14.25" customHeight="1" x14ac:dyDescent="0.3">
      <c r="A335" s="36" t="s">
        <v>24</v>
      </c>
      <c r="B335" s="38" t="s">
        <v>698</v>
      </c>
      <c r="C335" s="38" t="s">
        <v>705</v>
      </c>
      <c r="D335" s="38">
        <v>1000000696</v>
      </c>
      <c r="E335" s="39" t="s">
        <v>706</v>
      </c>
      <c r="F335" s="40">
        <v>40666</v>
      </c>
      <c r="G335" s="22" t="str">
        <f t="shared" si="70"/>
        <v>Targeted Dealer</v>
      </c>
      <c r="H335" s="22"/>
      <c r="I335" s="23">
        <v>50</v>
      </c>
      <c r="J335" s="23">
        <f t="shared" si="71"/>
        <v>50</v>
      </c>
      <c r="K335" s="24">
        <v>0</v>
      </c>
      <c r="L335" s="24">
        <f t="shared" si="72"/>
        <v>50</v>
      </c>
      <c r="M335" s="24">
        <f t="shared" si="73"/>
        <v>0</v>
      </c>
      <c r="N335" s="25">
        <v>35</v>
      </c>
      <c r="O335" s="26" t="str">
        <f t="shared" si="74"/>
        <v>June</v>
      </c>
      <c r="P335" s="25">
        <f t="shared" si="75"/>
        <v>35</v>
      </c>
      <c r="Q335" s="27">
        <f t="shared" si="76"/>
        <v>-35</v>
      </c>
      <c r="R335" s="26" t="b">
        <f t="shared" si="77"/>
        <v>0</v>
      </c>
      <c r="S335" s="28" t="str">
        <f t="shared" si="78"/>
        <v>GROWTH</v>
      </c>
      <c r="T335" s="24">
        <v>35</v>
      </c>
      <c r="U335" s="29" t="str">
        <f t="shared" si="79"/>
        <v>May</v>
      </c>
      <c r="V335" s="24">
        <f t="shared" si="80"/>
        <v>35</v>
      </c>
      <c r="W335" s="30">
        <f t="shared" si="81"/>
        <v>-35</v>
      </c>
      <c r="X335" s="31" t="b">
        <f t="shared" si="82"/>
        <v>0</v>
      </c>
      <c r="Y335" s="32" t="str">
        <f t="shared" si="83"/>
        <v>GROWTH</v>
      </c>
      <c r="Z335" s="41">
        <v>0</v>
      </c>
      <c r="AA335" s="36"/>
      <c r="AB335" s="36" t="s">
        <v>24</v>
      </c>
      <c r="AC335" s="36" t="s">
        <v>24</v>
      </c>
      <c r="AD335" s="34"/>
      <c r="AE335" s="35">
        <f>IFERROR(INDEX([1]Last6M_AvgSales_Ref!$B$2:$B$12659,MATCH(D335,[1]Last6M_AvgSales_Ref!$A$2:$A$12659,0)),"")</f>
        <v>23.3333333333333</v>
      </c>
    </row>
    <row r="336" spans="1:31" ht="14.25" customHeight="1" x14ac:dyDescent="0.3">
      <c r="A336" s="36" t="s">
        <v>24</v>
      </c>
      <c r="B336" s="38" t="s">
        <v>698</v>
      </c>
      <c r="C336" s="38" t="s">
        <v>707</v>
      </c>
      <c r="D336" s="38">
        <v>1000000692</v>
      </c>
      <c r="E336" s="39" t="s">
        <v>708</v>
      </c>
      <c r="F336" s="40">
        <v>40732</v>
      </c>
      <c r="G336" s="22" t="str">
        <f t="shared" si="70"/>
        <v>Targeted Dealer</v>
      </c>
      <c r="H336" s="22"/>
      <c r="I336" s="23">
        <v>75</v>
      </c>
      <c r="J336" s="23">
        <f t="shared" si="71"/>
        <v>75</v>
      </c>
      <c r="K336" s="24">
        <v>105</v>
      </c>
      <c r="L336" s="24">
        <f t="shared" si="72"/>
        <v>-30</v>
      </c>
      <c r="M336" s="24">
        <f t="shared" si="73"/>
        <v>140</v>
      </c>
      <c r="N336" s="25">
        <v>78</v>
      </c>
      <c r="O336" s="26" t="str">
        <f t="shared" si="74"/>
        <v>June</v>
      </c>
      <c r="P336" s="25">
        <f t="shared" si="75"/>
        <v>78</v>
      </c>
      <c r="Q336" s="27">
        <f t="shared" si="76"/>
        <v>27</v>
      </c>
      <c r="R336" s="26" t="b">
        <f t="shared" si="77"/>
        <v>0</v>
      </c>
      <c r="S336" s="28" t="str">
        <f t="shared" si="78"/>
        <v>GROWTH</v>
      </c>
      <c r="T336" s="24">
        <v>78</v>
      </c>
      <c r="U336" s="29" t="str">
        <f t="shared" si="79"/>
        <v>May</v>
      </c>
      <c r="V336" s="24">
        <f t="shared" si="80"/>
        <v>78</v>
      </c>
      <c r="W336" s="30">
        <f t="shared" si="81"/>
        <v>27</v>
      </c>
      <c r="X336" s="31" t="b">
        <f t="shared" si="82"/>
        <v>0</v>
      </c>
      <c r="Y336" s="32" t="str">
        <f t="shared" si="83"/>
        <v>GROWTH</v>
      </c>
      <c r="Z336" s="41">
        <v>0</v>
      </c>
      <c r="AA336" s="36"/>
      <c r="AB336" s="36" t="s">
        <v>24</v>
      </c>
      <c r="AC336" s="36" t="s">
        <v>24</v>
      </c>
      <c r="AD336" s="34"/>
      <c r="AE336" s="35">
        <f>IFERROR(INDEX([1]Last6M_AvgSales_Ref!$B$2:$B$12659,MATCH(D336,[1]Last6M_AvgSales_Ref!$A$2:$A$12659,0)),"")</f>
        <v>90</v>
      </c>
    </row>
    <row r="337" spans="1:31" ht="14.25" customHeight="1" x14ac:dyDescent="0.3">
      <c r="A337" s="36" t="s">
        <v>24</v>
      </c>
      <c r="B337" s="38" t="s">
        <v>698</v>
      </c>
      <c r="C337" s="38" t="s">
        <v>709</v>
      </c>
      <c r="D337" s="38">
        <v>1000000699</v>
      </c>
      <c r="E337" s="39" t="s">
        <v>710</v>
      </c>
      <c r="F337" s="40">
        <v>40799</v>
      </c>
      <c r="G337" s="22" t="str">
        <f t="shared" si="70"/>
        <v>Targeted Dealer</v>
      </c>
      <c r="H337" s="22"/>
      <c r="I337" s="23">
        <v>125</v>
      </c>
      <c r="J337" s="23">
        <f t="shared" si="71"/>
        <v>125.00000000000001</v>
      </c>
      <c r="K337" s="24">
        <v>132</v>
      </c>
      <c r="L337" s="24">
        <f t="shared" si="72"/>
        <v>-7</v>
      </c>
      <c r="M337" s="24">
        <f t="shared" si="73"/>
        <v>105.59999999999998</v>
      </c>
      <c r="N337" s="25">
        <v>132</v>
      </c>
      <c r="O337" s="26" t="str">
        <f t="shared" si="74"/>
        <v>June</v>
      </c>
      <c r="P337" s="25">
        <f t="shared" si="75"/>
        <v>132</v>
      </c>
      <c r="Q337" s="27">
        <f t="shared" si="76"/>
        <v>0</v>
      </c>
      <c r="R337" s="26" t="b">
        <f t="shared" si="77"/>
        <v>0</v>
      </c>
      <c r="S337" s="28" t="str">
        <f t="shared" si="78"/>
        <v>GROWTH</v>
      </c>
      <c r="T337" s="24">
        <v>154</v>
      </c>
      <c r="U337" s="29" t="str">
        <f t="shared" si="79"/>
        <v>May</v>
      </c>
      <c r="V337" s="24">
        <f t="shared" si="80"/>
        <v>154</v>
      </c>
      <c r="W337" s="30">
        <f t="shared" si="81"/>
        <v>-22</v>
      </c>
      <c r="X337" s="31" t="b">
        <f t="shared" si="82"/>
        <v>0</v>
      </c>
      <c r="Y337" s="32" t="str">
        <f t="shared" si="83"/>
        <v>GROWTH</v>
      </c>
      <c r="Z337" s="41">
        <v>0</v>
      </c>
      <c r="AA337" s="36"/>
      <c r="AB337" s="36" t="s">
        <v>24</v>
      </c>
      <c r="AC337" s="36" t="s">
        <v>24</v>
      </c>
      <c r="AD337" s="34"/>
      <c r="AE337" s="35">
        <f>IFERROR(INDEX([1]Last6M_AvgSales_Ref!$B$2:$B$12659,MATCH(D337,[1]Last6M_AvgSales_Ref!$A$2:$A$12659,0)),"")</f>
        <v>148.333333333333</v>
      </c>
    </row>
    <row r="338" spans="1:31" ht="14.25" customHeight="1" x14ac:dyDescent="0.3">
      <c r="A338" s="36" t="s">
        <v>24</v>
      </c>
      <c r="B338" s="38" t="s">
        <v>698</v>
      </c>
      <c r="C338" s="38" t="s">
        <v>711</v>
      </c>
      <c r="D338" s="38">
        <v>1000000683</v>
      </c>
      <c r="E338" s="39" t="s">
        <v>712</v>
      </c>
      <c r="F338" s="40">
        <v>40982</v>
      </c>
      <c r="G338" s="22" t="str">
        <f t="shared" si="70"/>
        <v>Targeted Dealer</v>
      </c>
      <c r="H338" s="22"/>
      <c r="I338" s="23">
        <v>350</v>
      </c>
      <c r="J338" s="23">
        <f t="shared" si="71"/>
        <v>350</v>
      </c>
      <c r="K338" s="24">
        <v>402</v>
      </c>
      <c r="L338" s="24">
        <f t="shared" si="72"/>
        <v>-52</v>
      </c>
      <c r="M338" s="24">
        <f t="shared" si="73"/>
        <v>114.85714285714286</v>
      </c>
      <c r="N338" s="25">
        <v>353</v>
      </c>
      <c r="O338" s="26" t="str">
        <f t="shared" si="74"/>
        <v>June</v>
      </c>
      <c r="P338" s="25">
        <f t="shared" si="75"/>
        <v>353</v>
      </c>
      <c r="Q338" s="27">
        <f t="shared" si="76"/>
        <v>49</v>
      </c>
      <c r="R338" s="26" t="b">
        <f t="shared" si="77"/>
        <v>0</v>
      </c>
      <c r="S338" s="28" t="str">
        <f t="shared" si="78"/>
        <v>GROWTH</v>
      </c>
      <c r="T338" s="24">
        <v>483</v>
      </c>
      <c r="U338" s="29" t="str">
        <f t="shared" si="79"/>
        <v>May</v>
      </c>
      <c r="V338" s="24">
        <f t="shared" si="80"/>
        <v>483</v>
      </c>
      <c r="W338" s="30">
        <f t="shared" si="81"/>
        <v>-81</v>
      </c>
      <c r="X338" s="31" t="b">
        <f t="shared" si="82"/>
        <v>0</v>
      </c>
      <c r="Y338" s="32" t="str">
        <f t="shared" si="83"/>
        <v>GROWTH</v>
      </c>
      <c r="Z338" s="41">
        <v>0</v>
      </c>
      <c r="AA338" s="36"/>
      <c r="AB338" s="36" t="s">
        <v>24</v>
      </c>
      <c r="AC338" s="36" t="s">
        <v>24</v>
      </c>
      <c r="AD338" s="34"/>
      <c r="AE338" s="35">
        <f>IFERROR(INDEX([1]Last6M_AvgSales_Ref!$B$2:$B$12659,MATCH(D338,[1]Last6M_AvgSales_Ref!$A$2:$A$12659,0)),"")</f>
        <v>431.5</v>
      </c>
    </row>
    <row r="339" spans="1:31" ht="14.25" customHeight="1" x14ac:dyDescent="0.3">
      <c r="A339" s="36" t="s">
        <v>24</v>
      </c>
      <c r="B339" s="38" t="s">
        <v>698</v>
      </c>
      <c r="C339" s="38" t="s">
        <v>713</v>
      </c>
      <c r="D339" s="38">
        <v>1000000679</v>
      </c>
      <c r="E339" s="39" t="s">
        <v>714</v>
      </c>
      <c r="F339" s="40">
        <v>42857</v>
      </c>
      <c r="G339" s="22" t="str">
        <f t="shared" si="70"/>
        <v>Targeted Dealer</v>
      </c>
      <c r="H339" s="22"/>
      <c r="I339" s="23">
        <v>150</v>
      </c>
      <c r="J339" s="23">
        <f t="shared" si="71"/>
        <v>150</v>
      </c>
      <c r="K339" s="24">
        <v>135</v>
      </c>
      <c r="L339" s="24">
        <f t="shared" si="72"/>
        <v>15</v>
      </c>
      <c r="M339" s="24">
        <f t="shared" si="73"/>
        <v>90</v>
      </c>
      <c r="N339" s="25">
        <v>161</v>
      </c>
      <c r="O339" s="26" t="str">
        <f t="shared" si="74"/>
        <v>June</v>
      </c>
      <c r="P339" s="25">
        <f t="shared" si="75"/>
        <v>161</v>
      </c>
      <c r="Q339" s="27">
        <f t="shared" si="76"/>
        <v>-26</v>
      </c>
      <c r="R339" s="26" t="b">
        <f t="shared" si="77"/>
        <v>0</v>
      </c>
      <c r="S339" s="28" t="str">
        <f t="shared" si="78"/>
        <v>GROWTH</v>
      </c>
      <c r="T339" s="24">
        <v>135</v>
      </c>
      <c r="U339" s="29" t="str">
        <f t="shared" si="79"/>
        <v>May</v>
      </c>
      <c r="V339" s="24">
        <f t="shared" si="80"/>
        <v>135</v>
      </c>
      <c r="W339" s="30">
        <f t="shared" si="81"/>
        <v>0</v>
      </c>
      <c r="X339" s="31" t="b">
        <f t="shared" si="82"/>
        <v>0</v>
      </c>
      <c r="Y339" s="32" t="str">
        <f t="shared" si="83"/>
        <v>GROWTH</v>
      </c>
      <c r="Z339" s="41">
        <v>0</v>
      </c>
      <c r="AA339" s="36"/>
      <c r="AB339" s="36" t="s">
        <v>24</v>
      </c>
      <c r="AC339" s="36" t="s">
        <v>24</v>
      </c>
      <c r="AD339" s="34"/>
      <c r="AE339" s="35">
        <f>IFERROR(INDEX([1]Last6M_AvgSales_Ref!$B$2:$B$12659,MATCH(D339,[1]Last6M_AvgSales_Ref!$A$2:$A$12659,0)),"")</f>
        <v>194.5</v>
      </c>
    </row>
    <row r="340" spans="1:31" ht="14.25" customHeight="1" x14ac:dyDescent="0.3">
      <c r="A340" s="36" t="s">
        <v>24</v>
      </c>
      <c r="B340" s="38" t="s">
        <v>698</v>
      </c>
      <c r="C340" s="38" t="s">
        <v>715</v>
      </c>
      <c r="D340" s="38">
        <v>1000000695</v>
      </c>
      <c r="E340" s="39" t="s">
        <v>716</v>
      </c>
      <c r="F340" s="40">
        <v>42928</v>
      </c>
      <c r="G340" s="22" t="str">
        <f t="shared" si="70"/>
        <v>Targeted Dealer</v>
      </c>
      <c r="H340" s="22"/>
      <c r="I340" s="23">
        <v>100</v>
      </c>
      <c r="J340" s="23">
        <f t="shared" si="71"/>
        <v>100</v>
      </c>
      <c r="K340" s="24">
        <v>82</v>
      </c>
      <c r="L340" s="24">
        <f t="shared" si="72"/>
        <v>18</v>
      </c>
      <c r="M340" s="24">
        <f t="shared" si="73"/>
        <v>82</v>
      </c>
      <c r="N340" s="25">
        <v>52</v>
      </c>
      <c r="O340" s="26" t="str">
        <f t="shared" si="74"/>
        <v>June</v>
      </c>
      <c r="P340" s="25">
        <f t="shared" si="75"/>
        <v>52</v>
      </c>
      <c r="Q340" s="27">
        <f t="shared" si="76"/>
        <v>30</v>
      </c>
      <c r="R340" s="26" t="b">
        <f t="shared" si="77"/>
        <v>0</v>
      </c>
      <c r="S340" s="28" t="str">
        <f t="shared" si="78"/>
        <v>GROWTH</v>
      </c>
      <c r="T340" s="24">
        <v>90</v>
      </c>
      <c r="U340" s="29" t="str">
        <f t="shared" si="79"/>
        <v>May</v>
      </c>
      <c r="V340" s="24">
        <f t="shared" si="80"/>
        <v>90</v>
      </c>
      <c r="W340" s="30">
        <f t="shared" si="81"/>
        <v>-8</v>
      </c>
      <c r="X340" s="31" t="b">
        <f t="shared" si="82"/>
        <v>0</v>
      </c>
      <c r="Y340" s="32" t="str">
        <f t="shared" si="83"/>
        <v>GROWTH</v>
      </c>
      <c r="Z340" s="41">
        <v>0</v>
      </c>
      <c r="AA340" s="36"/>
      <c r="AB340" s="36" t="s">
        <v>24</v>
      </c>
      <c r="AC340" s="36" t="s">
        <v>24</v>
      </c>
      <c r="AD340" s="34"/>
      <c r="AE340" s="35">
        <f>IFERROR(INDEX([1]Last6M_AvgSales_Ref!$B$2:$B$12659,MATCH(D340,[1]Last6M_AvgSales_Ref!$A$2:$A$12659,0)),"")</f>
        <v>107</v>
      </c>
    </row>
    <row r="341" spans="1:31" ht="14.25" customHeight="1" x14ac:dyDescent="0.3">
      <c r="A341" s="36" t="s">
        <v>24</v>
      </c>
      <c r="B341" s="38" t="s">
        <v>698</v>
      </c>
      <c r="C341" s="38" t="s">
        <v>717</v>
      </c>
      <c r="D341" s="38">
        <v>1000000701</v>
      </c>
      <c r="E341" s="39" t="s">
        <v>718</v>
      </c>
      <c r="F341" s="40">
        <v>43334</v>
      </c>
      <c r="G341" s="22" t="str">
        <f t="shared" si="70"/>
        <v>Targeted Dealer</v>
      </c>
      <c r="H341" s="22"/>
      <c r="I341" s="23">
        <v>2471</v>
      </c>
      <c r="J341" s="23">
        <f t="shared" si="71"/>
        <v>2471</v>
      </c>
      <c r="K341" s="24">
        <v>2833</v>
      </c>
      <c r="L341" s="24">
        <f t="shared" si="72"/>
        <v>-362</v>
      </c>
      <c r="M341" s="24">
        <f t="shared" si="73"/>
        <v>114.64993929583164</v>
      </c>
      <c r="N341" s="25">
        <v>2762.5</v>
      </c>
      <c r="O341" s="26" t="str">
        <f t="shared" si="74"/>
        <v>June</v>
      </c>
      <c r="P341" s="25">
        <f t="shared" si="75"/>
        <v>2762.5</v>
      </c>
      <c r="Q341" s="27">
        <f t="shared" si="76"/>
        <v>70.5</v>
      </c>
      <c r="R341" s="26" t="b">
        <f t="shared" si="77"/>
        <v>0</v>
      </c>
      <c r="S341" s="28" t="str">
        <f t="shared" si="78"/>
        <v>GROWTH</v>
      </c>
      <c r="T341" s="24">
        <v>2283</v>
      </c>
      <c r="U341" s="29" t="str">
        <f t="shared" si="79"/>
        <v>May</v>
      </c>
      <c r="V341" s="24">
        <f t="shared" si="80"/>
        <v>2283</v>
      </c>
      <c r="W341" s="30">
        <f t="shared" si="81"/>
        <v>550</v>
      </c>
      <c r="X341" s="31" t="b">
        <f t="shared" si="82"/>
        <v>0</v>
      </c>
      <c r="Y341" s="32" t="str">
        <f t="shared" si="83"/>
        <v>GROWTH</v>
      </c>
      <c r="Z341" s="41">
        <v>0</v>
      </c>
      <c r="AA341" s="36"/>
      <c r="AB341" s="36" t="s">
        <v>24</v>
      </c>
      <c r="AC341" s="36" t="s">
        <v>24</v>
      </c>
      <c r="AD341" s="34"/>
      <c r="AE341" s="35">
        <f>IFERROR(INDEX([1]Last6M_AvgSales_Ref!$B$2:$B$12659,MATCH(D341,[1]Last6M_AvgSales_Ref!$A$2:$A$12659,0)),"")</f>
        <v>3764.3249999999998</v>
      </c>
    </row>
    <row r="342" spans="1:31" ht="14.25" customHeight="1" x14ac:dyDescent="0.3">
      <c r="A342" s="36" t="s">
        <v>24</v>
      </c>
      <c r="B342" s="38" t="s">
        <v>698</v>
      </c>
      <c r="C342" s="38" t="s">
        <v>719</v>
      </c>
      <c r="D342" s="38">
        <v>1000001055</v>
      </c>
      <c r="E342" s="39" t="s">
        <v>720</v>
      </c>
      <c r="F342" s="40">
        <v>43734</v>
      </c>
      <c r="G342" s="22" t="str">
        <f t="shared" si="70"/>
        <v>Targeted Dealer</v>
      </c>
      <c r="H342" s="22"/>
      <c r="I342" s="23">
        <v>50</v>
      </c>
      <c r="J342" s="23">
        <f t="shared" si="71"/>
        <v>50</v>
      </c>
      <c r="K342" s="24">
        <v>29</v>
      </c>
      <c r="L342" s="24">
        <f t="shared" si="72"/>
        <v>21</v>
      </c>
      <c r="M342" s="24">
        <f t="shared" si="73"/>
        <v>58</v>
      </c>
      <c r="N342" s="25">
        <v>0</v>
      </c>
      <c r="O342" s="26" t="str">
        <f t="shared" si="74"/>
        <v>June</v>
      </c>
      <c r="P342" s="25">
        <f t="shared" si="75"/>
        <v>0</v>
      </c>
      <c r="Q342" s="27">
        <f t="shared" si="76"/>
        <v>29</v>
      </c>
      <c r="R342" s="26" t="b">
        <f t="shared" si="77"/>
        <v>0</v>
      </c>
      <c r="S342" s="28" t="b">
        <f t="shared" si="78"/>
        <v>0</v>
      </c>
      <c r="T342" s="24">
        <v>35</v>
      </c>
      <c r="U342" s="29" t="str">
        <f t="shared" si="79"/>
        <v>May</v>
      </c>
      <c r="V342" s="24">
        <f t="shared" si="80"/>
        <v>35</v>
      </c>
      <c r="W342" s="30">
        <f t="shared" si="81"/>
        <v>-6</v>
      </c>
      <c r="X342" s="31" t="b">
        <f t="shared" si="82"/>
        <v>0</v>
      </c>
      <c r="Y342" s="32" t="str">
        <f t="shared" si="83"/>
        <v>GROWTH</v>
      </c>
      <c r="Z342" s="41">
        <v>0</v>
      </c>
      <c r="AA342" s="36"/>
      <c r="AB342" s="36" t="s">
        <v>24</v>
      </c>
      <c r="AC342" s="36" t="s">
        <v>24</v>
      </c>
      <c r="AD342" s="34"/>
      <c r="AE342" s="35">
        <f>IFERROR(INDEX([1]Last6M_AvgSales_Ref!$B$2:$B$12659,MATCH(D342,[1]Last6M_AvgSales_Ref!$A$2:$A$12659,0)),"")</f>
        <v>66</v>
      </c>
    </row>
    <row r="343" spans="1:31" ht="14.25" customHeight="1" x14ac:dyDescent="0.3">
      <c r="A343" s="36" t="s">
        <v>24</v>
      </c>
      <c r="B343" s="38" t="s">
        <v>698</v>
      </c>
      <c r="C343" s="38" t="s">
        <v>721</v>
      </c>
      <c r="D343" s="38">
        <v>1000001052</v>
      </c>
      <c r="E343" s="39" t="s">
        <v>722</v>
      </c>
      <c r="F343" s="40">
        <v>44004</v>
      </c>
      <c r="G343" s="22" t="str">
        <f t="shared" si="70"/>
        <v>Targeted Dealer</v>
      </c>
      <c r="H343" s="22"/>
      <c r="I343" s="23">
        <v>360</v>
      </c>
      <c r="J343" s="23">
        <f t="shared" si="71"/>
        <v>360</v>
      </c>
      <c r="K343" s="24">
        <v>451</v>
      </c>
      <c r="L343" s="24">
        <f t="shared" si="72"/>
        <v>-91</v>
      </c>
      <c r="M343" s="24">
        <f t="shared" si="73"/>
        <v>125.27777777777777</v>
      </c>
      <c r="N343" s="25">
        <v>623</v>
      </c>
      <c r="O343" s="26" t="str">
        <f t="shared" si="74"/>
        <v>June</v>
      </c>
      <c r="P343" s="25">
        <f t="shared" si="75"/>
        <v>623</v>
      </c>
      <c r="Q343" s="27">
        <f t="shared" si="76"/>
        <v>-172</v>
      </c>
      <c r="R343" s="26" t="b">
        <f t="shared" si="77"/>
        <v>0</v>
      </c>
      <c r="S343" s="28" t="str">
        <f t="shared" si="78"/>
        <v>GROWTH</v>
      </c>
      <c r="T343" s="24">
        <v>318</v>
      </c>
      <c r="U343" s="29" t="str">
        <f t="shared" si="79"/>
        <v>May</v>
      </c>
      <c r="V343" s="24">
        <f t="shared" si="80"/>
        <v>318</v>
      </c>
      <c r="W343" s="30">
        <f t="shared" si="81"/>
        <v>133</v>
      </c>
      <c r="X343" s="31" t="b">
        <f t="shared" si="82"/>
        <v>0</v>
      </c>
      <c r="Y343" s="32" t="str">
        <f t="shared" si="83"/>
        <v>GROWTH</v>
      </c>
      <c r="Z343" s="41">
        <v>0</v>
      </c>
      <c r="AA343" s="36"/>
      <c r="AB343" s="36" t="s">
        <v>24</v>
      </c>
      <c r="AC343" s="36" t="s">
        <v>24</v>
      </c>
      <c r="AD343" s="34"/>
      <c r="AE343" s="35">
        <f>IFERROR(INDEX([1]Last6M_AvgSales_Ref!$B$2:$B$12659,MATCH(D343,[1]Last6M_AvgSales_Ref!$A$2:$A$12659,0)),"")</f>
        <v>768</v>
      </c>
    </row>
    <row r="344" spans="1:31" ht="14.25" customHeight="1" x14ac:dyDescent="0.3">
      <c r="A344" s="36" t="s">
        <v>24</v>
      </c>
      <c r="B344" s="38" t="s">
        <v>698</v>
      </c>
      <c r="C344" s="38" t="s">
        <v>723</v>
      </c>
      <c r="D344" s="38">
        <v>1000001051</v>
      </c>
      <c r="E344" s="39" t="s">
        <v>724</v>
      </c>
      <c r="F344" s="40">
        <v>44413</v>
      </c>
      <c r="G344" s="22" t="str">
        <f t="shared" si="70"/>
        <v>Targeted Dealer</v>
      </c>
      <c r="H344" s="22"/>
      <c r="I344" s="23">
        <v>175</v>
      </c>
      <c r="J344" s="23">
        <f t="shared" si="71"/>
        <v>175</v>
      </c>
      <c r="K344" s="24">
        <v>205</v>
      </c>
      <c r="L344" s="24">
        <f t="shared" si="72"/>
        <v>-30</v>
      </c>
      <c r="M344" s="24">
        <f t="shared" si="73"/>
        <v>117.14285714285714</v>
      </c>
      <c r="N344" s="25">
        <v>276</v>
      </c>
      <c r="O344" s="26" t="str">
        <f t="shared" si="74"/>
        <v>June</v>
      </c>
      <c r="P344" s="25">
        <f t="shared" si="75"/>
        <v>276</v>
      </c>
      <c r="Q344" s="27">
        <f t="shared" si="76"/>
        <v>-71</v>
      </c>
      <c r="R344" s="26" t="b">
        <f t="shared" si="77"/>
        <v>0</v>
      </c>
      <c r="S344" s="28" t="str">
        <f t="shared" si="78"/>
        <v>GROWTH</v>
      </c>
      <c r="T344" s="24">
        <v>162</v>
      </c>
      <c r="U344" s="29" t="str">
        <f t="shared" si="79"/>
        <v>May</v>
      </c>
      <c r="V344" s="24">
        <f t="shared" si="80"/>
        <v>162</v>
      </c>
      <c r="W344" s="30">
        <f t="shared" si="81"/>
        <v>43</v>
      </c>
      <c r="X344" s="31" t="b">
        <f t="shared" si="82"/>
        <v>0</v>
      </c>
      <c r="Y344" s="32" t="str">
        <f t="shared" si="83"/>
        <v>GROWTH</v>
      </c>
      <c r="Z344" s="41">
        <v>0</v>
      </c>
      <c r="AA344" s="36"/>
      <c r="AB344" s="36" t="s">
        <v>24</v>
      </c>
      <c r="AC344" s="36" t="s">
        <v>24</v>
      </c>
      <c r="AD344" s="34"/>
      <c r="AE344" s="35">
        <f>IFERROR(INDEX([1]Last6M_AvgSales_Ref!$B$2:$B$12659,MATCH(D344,[1]Last6M_AvgSales_Ref!$A$2:$A$12659,0)),"")</f>
        <v>277.5</v>
      </c>
    </row>
    <row r="345" spans="1:31" ht="14.25" customHeight="1" x14ac:dyDescent="0.3">
      <c r="A345" s="36" t="s">
        <v>24</v>
      </c>
      <c r="B345" s="38" t="s">
        <v>698</v>
      </c>
      <c r="C345" s="38" t="s">
        <v>725</v>
      </c>
      <c r="D345" s="38">
        <v>1000001047</v>
      </c>
      <c r="E345" s="39" t="s">
        <v>726</v>
      </c>
      <c r="F345" s="40">
        <v>44415</v>
      </c>
      <c r="G345" s="22" t="str">
        <f t="shared" si="70"/>
        <v>Targeted Dealer</v>
      </c>
      <c r="H345" s="22"/>
      <c r="I345" s="23">
        <v>100</v>
      </c>
      <c r="J345" s="23">
        <f t="shared" si="71"/>
        <v>100</v>
      </c>
      <c r="K345" s="24">
        <v>83</v>
      </c>
      <c r="L345" s="24">
        <f t="shared" si="72"/>
        <v>17</v>
      </c>
      <c r="M345" s="24">
        <f t="shared" si="73"/>
        <v>83</v>
      </c>
      <c r="N345" s="25">
        <v>60</v>
      </c>
      <c r="O345" s="26" t="str">
        <f t="shared" si="74"/>
        <v>June</v>
      </c>
      <c r="P345" s="25">
        <f t="shared" si="75"/>
        <v>60</v>
      </c>
      <c r="Q345" s="27">
        <f t="shared" si="76"/>
        <v>23</v>
      </c>
      <c r="R345" s="26" t="b">
        <f t="shared" si="77"/>
        <v>0</v>
      </c>
      <c r="S345" s="28" t="str">
        <f t="shared" si="78"/>
        <v>GROWTH</v>
      </c>
      <c r="T345" s="24">
        <v>60</v>
      </c>
      <c r="U345" s="29" t="str">
        <f t="shared" si="79"/>
        <v>May</v>
      </c>
      <c r="V345" s="24">
        <f t="shared" si="80"/>
        <v>60</v>
      </c>
      <c r="W345" s="30">
        <f t="shared" si="81"/>
        <v>23</v>
      </c>
      <c r="X345" s="31" t="b">
        <f t="shared" si="82"/>
        <v>0</v>
      </c>
      <c r="Y345" s="32" t="str">
        <f t="shared" si="83"/>
        <v>GROWTH</v>
      </c>
      <c r="Z345" s="41">
        <v>0</v>
      </c>
      <c r="AA345" s="36"/>
      <c r="AB345" s="36" t="s">
        <v>24</v>
      </c>
      <c r="AC345" s="36" t="s">
        <v>24</v>
      </c>
      <c r="AD345" s="34"/>
      <c r="AE345" s="35">
        <f>IFERROR(INDEX([1]Last6M_AvgSales_Ref!$B$2:$B$12659,MATCH(D345,[1]Last6M_AvgSales_Ref!$A$2:$A$12659,0)),"")</f>
        <v>96.5</v>
      </c>
    </row>
    <row r="346" spans="1:31" ht="14.25" customHeight="1" x14ac:dyDescent="0.3">
      <c r="A346" s="36" t="s">
        <v>24</v>
      </c>
      <c r="B346" s="38" t="s">
        <v>698</v>
      </c>
      <c r="C346" s="38" t="s">
        <v>727</v>
      </c>
      <c r="D346" s="38">
        <v>1000002613</v>
      </c>
      <c r="E346" s="39" t="s">
        <v>728</v>
      </c>
      <c r="F346" s="40">
        <v>44623</v>
      </c>
      <c r="G346" s="22" t="str">
        <f t="shared" si="70"/>
        <v>Targeted Dealer</v>
      </c>
      <c r="H346" s="22"/>
      <c r="I346" s="23">
        <v>23</v>
      </c>
      <c r="J346" s="23">
        <f t="shared" si="71"/>
        <v>23</v>
      </c>
      <c r="K346" s="24">
        <v>0</v>
      </c>
      <c r="L346" s="24">
        <f t="shared" si="72"/>
        <v>23</v>
      </c>
      <c r="M346" s="24">
        <f t="shared" si="73"/>
        <v>0</v>
      </c>
      <c r="N346" s="25">
        <v>45</v>
      </c>
      <c r="O346" s="26" t="str">
        <f t="shared" si="74"/>
        <v>June</v>
      </c>
      <c r="P346" s="25">
        <f t="shared" si="75"/>
        <v>45</v>
      </c>
      <c r="Q346" s="27">
        <f t="shared" si="76"/>
        <v>-45</v>
      </c>
      <c r="R346" s="26" t="b">
        <f t="shared" si="77"/>
        <v>0</v>
      </c>
      <c r="S346" s="28" t="str">
        <f t="shared" si="78"/>
        <v>GROWTH</v>
      </c>
      <c r="T346" s="24">
        <v>44</v>
      </c>
      <c r="U346" s="29" t="str">
        <f t="shared" si="79"/>
        <v>May</v>
      </c>
      <c r="V346" s="24">
        <f t="shared" si="80"/>
        <v>44</v>
      </c>
      <c r="W346" s="30">
        <f t="shared" si="81"/>
        <v>-44</v>
      </c>
      <c r="X346" s="31" t="b">
        <f t="shared" si="82"/>
        <v>0</v>
      </c>
      <c r="Y346" s="32" t="str">
        <f t="shared" si="83"/>
        <v>GROWTH</v>
      </c>
      <c r="Z346" s="41">
        <v>0</v>
      </c>
      <c r="AA346" s="36"/>
      <c r="AB346" s="36" t="s">
        <v>24</v>
      </c>
      <c r="AC346" s="36" t="s">
        <v>24</v>
      </c>
      <c r="AD346" s="34"/>
      <c r="AE346" s="35">
        <f>IFERROR(INDEX([1]Last6M_AvgSales_Ref!$B$2:$B$12659,MATCH(D346,[1]Last6M_AvgSales_Ref!$A$2:$A$12659,0)),"")</f>
        <v>27.3333333333333</v>
      </c>
    </row>
    <row r="347" spans="1:31" ht="14.25" customHeight="1" x14ac:dyDescent="0.3">
      <c r="A347" s="36" t="s">
        <v>24</v>
      </c>
      <c r="B347" s="38" t="s">
        <v>698</v>
      </c>
      <c r="C347" s="38" t="s">
        <v>729</v>
      </c>
      <c r="D347" s="38">
        <v>1000002812</v>
      </c>
      <c r="E347" s="39" t="s">
        <v>730</v>
      </c>
      <c r="F347" s="40">
        <v>44719</v>
      </c>
      <c r="G347" s="22" t="str">
        <f t="shared" si="70"/>
        <v>Targeted Dealer</v>
      </c>
      <c r="H347" s="22"/>
      <c r="I347" s="23">
        <v>50</v>
      </c>
      <c r="J347" s="23">
        <f t="shared" si="71"/>
        <v>50</v>
      </c>
      <c r="K347" s="24">
        <v>4</v>
      </c>
      <c r="L347" s="24">
        <f t="shared" si="72"/>
        <v>46</v>
      </c>
      <c r="M347" s="24">
        <f t="shared" si="73"/>
        <v>8</v>
      </c>
      <c r="N347" s="25">
        <v>52</v>
      </c>
      <c r="O347" s="26" t="str">
        <f t="shared" si="74"/>
        <v>June</v>
      </c>
      <c r="P347" s="25">
        <f t="shared" si="75"/>
        <v>52</v>
      </c>
      <c r="Q347" s="27">
        <f t="shared" si="76"/>
        <v>-48</v>
      </c>
      <c r="R347" s="26" t="b">
        <f t="shared" si="77"/>
        <v>0</v>
      </c>
      <c r="S347" s="28" t="str">
        <f t="shared" si="78"/>
        <v>GROWTH</v>
      </c>
      <c r="T347" s="24">
        <v>52</v>
      </c>
      <c r="U347" s="29" t="str">
        <f t="shared" si="79"/>
        <v>May</v>
      </c>
      <c r="V347" s="24">
        <f t="shared" si="80"/>
        <v>52</v>
      </c>
      <c r="W347" s="30">
        <f t="shared" si="81"/>
        <v>-48</v>
      </c>
      <c r="X347" s="31" t="b">
        <f t="shared" si="82"/>
        <v>0</v>
      </c>
      <c r="Y347" s="32" t="str">
        <f t="shared" si="83"/>
        <v>GROWTH</v>
      </c>
      <c r="Z347" s="41">
        <v>0</v>
      </c>
      <c r="AA347" s="36"/>
      <c r="AB347" s="36" t="s">
        <v>24</v>
      </c>
      <c r="AC347" s="36" t="s">
        <v>24</v>
      </c>
      <c r="AD347" s="34"/>
      <c r="AE347" s="35">
        <f>IFERROR(INDEX([1]Last6M_AvgSales_Ref!$B$2:$B$12659,MATCH(D347,[1]Last6M_AvgSales_Ref!$A$2:$A$12659,0)),"")</f>
        <v>52.8333333333333</v>
      </c>
    </row>
    <row r="348" spans="1:31" ht="14.25" customHeight="1" x14ac:dyDescent="0.3">
      <c r="A348" s="36" t="s">
        <v>24</v>
      </c>
      <c r="B348" s="38" t="s">
        <v>698</v>
      </c>
      <c r="C348" s="38" t="s">
        <v>731</v>
      </c>
      <c r="D348" s="38">
        <v>1000002844</v>
      </c>
      <c r="E348" s="39" t="s">
        <v>732</v>
      </c>
      <c r="F348" s="40">
        <v>44763</v>
      </c>
      <c r="G348" s="22" t="str">
        <f t="shared" si="70"/>
        <v>Targeted Dealer</v>
      </c>
      <c r="H348" s="22"/>
      <c r="I348" s="23">
        <v>1700</v>
      </c>
      <c r="J348" s="23">
        <f t="shared" si="71"/>
        <v>1700</v>
      </c>
      <c r="K348" s="24">
        <v>1627</v>
      </c>
      <c r="L348" s="24">
        <f t="shared" si="72"/>
        <v>73</v>
      </c>
      <c r="M348" s="24">
        <f t="shared" si="73"/>
        <v>95.705882352941174</v>
      </c>
      <c r="N348" s="25">
        <v>1401.75</v>
      </c>
      <c r="O348" s="26" t="str">
        <f t="shared" si="74"/>
        <v>June</v>
      </c>
      <c r="P348" s="25">
        <f t="shared" si="75"/>
        <v>1401.75</v>
      </c>
      <c r="Q348" s="27">
        <f t="shared" si="76"/>
        <v>225.25</v>
      </c>
      <c r="R348" s="26" t="b">
        <f t="shared" si="77"/>
        <v>0</v>
      </c>
      <c r="S348" s="28" t="str">
        <f t="shared" si="78"/>
        <v>GROWTH</v>
      </c>
      <c r="T348" s="24">
        <v>1499</v>
      </c>
      <c r="U348" s="29" t="str">
        <f t="shared" si="79"/>
        <v>May</v>
      </c>
      <c r="V348" s="24">
        <f t="shared" si="80"/>
        <v>1499</v>
      </c>
      <c r="W348" s="30">
        <f t="shared" si="81"/>
        <v>128</v>
      </c>
      <c r="X348" s="31" t="b">
        <f t="shared" si="82"/>
        <v>0</v>
      </c>
      <c r="Y348" s="32" t="str">
        <f t="shared" si="83"/>
        <v>GROWTH</v>
      </c>
      <c r="Z348" s="41">
        <v>0</v>
      </c>
      <c r="AA348" s="36"/>
      <c r="AB348" s="36" t="s">
        <v>24</v>
      </c>
      <c r="AC348" s="36" t="s">
        <v>24</v>
      </c>
      <c r="AD348" s="34"/>
      <c r="AE348" s="35">
        <f>IFERROR(INDEX([1]Last6M_AvgSales_Ref!$B$2:$B$12659,MATCH(D348,[1]Last6M_AvgSales_Ref!$A$2:$A$12659,0)),"")</f>
        <v>1692.6666666666699</v>
      </c>
    </row>
    <row r="349" spans="1:31" ht="14.25" customHeight="1" x14ac:dyDescent="0.3">
      <c r="A349" s="36" t="s">
        <v>24</v>
      </c>
      <c r="B349" s="38" t="s">
        <v>698</v>
      </c>
      <c r="C349" s="38" t="s">
        <v>733</v>
      </c>
      <c r="D349" s="38">
        <v>1000003136</v>
      </c>
      <c r="E349" s="39" t="s">
        <v>734</v>
      </c>
      <c r="F349" s="40">
        <v>44914</v>
      </c>
      <c r="G349" s="22" t="str">
        <f t="shared" si="70"/>
        <v>Targeted Dealer</v>
      </c>
      <c r="H349" s="22"/>
      <c r="I349" s="23">
        <v>23</v>
      </c>
      <c r="J349" s="23">
        <f t="shared" si="71"/>
        <v>23</v>
      </c>
      <c r="K349" s="24">
        <v>0</v>
      </c>
      <c r="L349" s="24">
        <f t="shared" si="72"/>
        <v>23</v>
      </c>
      <c r="M349" s="24">
        <f t="shared" si="73"/>
        <v>0</v>
      </c>
      <c r="N349" s="25">
        <v>0</v>
      </c>
      <c r="O349" s="26" t="str">
        <f t="shared" si="74"/>
        <v>June</v>
      </c>
      <c r="P349" s="25">
        <f t="shared" si="75"/>
        <v>0</v>
      </c>
      <c r="Q349" s="27">
        <f t="shared" si="76"/>
        <v>0</v>
      </c>
      <c r="R349" s="26" t="b">
        <f t="shared" si="77"/>
        <v>0</v>
      </c>
      <c r="S349" s="28" t="b">
        <f t="shared" si="78"/>
        <v>0</v>
      </c>
      <c r="T349" s="24">
        <v>0</v>
      </c>
      <c r="U349" s="29" t="str">
        <f t="shared" si="79"/>
        <v>May</v>
      </c>
      <c r="V349" s="24">
        <f t="shared" si="80"/>
        <v>0</v>
      </c>
      <c r="W349" s="30">
        <f t="shared" si="81"/>
        <v>0</v>
      </c>
      <c r="X349" s="31" t="b">
        <f t="shared" si="82"/>
        <v>0</v>
      </c>
      <c r="Y349" s="32" t="b">
        <f t="shared" si="83"/>
        <v>0</v>
      </c>
      <c r="Z349" s="41">
        <v>0</v>
      </c>
      <c r="AA349" s="36"/>
      <c r="AB349" s="36" t="s">
        <v>24</v>
      </c>
      <c r="AC349" s="36" t="s">
        <v>24</v>
      </c>
      <c r="AD349" s="34"/>
      <c r="AE349" s="35">
        <f>IFERROR(INDEX([1]Last6M_AvgSales_Ref!$B$2:$B$12659,MATCH(D349,[1]Last6M_AvgSales_Ref!$A$2:$A$12659,0)),"")</f>
        <v>8.3333333333333304</v>
      </c>
    </row>
    <row r="350" spans="1:31" ht="14.25" customHeight="1" x14ac:dyDescent="0.3">
      <c r="A350" s="36" t="s">
        <v>24</v>
      </c>
      <c r="B350" s="38" t="s">
        <v>698</v>
      </c>
      <c r="C350" s="38" t="s">
        <v>735</v>
      </c>
      <c r="D350" s="38">
        <v>1000003612</v>
      </c>
      <c r="E350" s="39" t="s">
        <v>736</v>
      </c>
      <c r="F350" s="40">
        <v>45106</v>
      </c>
      <c r="G350" s="22" t="str">
        <f t="shared" si="70"/>
        <v>Targeted Dealer</v>
      </c>
      <c r="H350" s="22"/>
      <c r="I350" s="23">
        <v>250</v>
      </c>
      <c r="J350" s="23">
        <f t="shared" si="71"/>
        <v>250.00000000000003</v>
      </c>
      <c r="K350" s="24">
        <v>300.5</v>
      </c>
      <c r="L350" s="24">
        <f t="shared" si="72"/>
        <v>-50.5</v>
      </c>
      <c r="M350" s="24">
        <f t="shared" si="73"/>
        <v>120.19999999999997</v>
      </c>
      <c r="N350" s="25">
        <v>303</v>
      </c>
      <c r="O350" s="26" t="str">
        <f t="shared" si="74"/>
        <v>June</v>
      </c>
      <c r="P350" s="25">
        <f t="shared" si="75"/>
        <v>303</v>
      </c>
      <c r="Q350" s="27">
        <f t="shared" si="76"/>
        <v>-2.5</v>
      </c>
      <c r="R350" s="26" t="b">
        <f t="shared" si="77"/>
        <v>0</v>
      </c>
      <c r="S350" s="28" t="str">
        <f t="shared" si="78"/>
        <v>GROWTH</v>
      </c>
      <c r="T350" s="24">
        <v>216</v>
      </c>
      <c r="U350" s="29" t="str">
        <f t="shared" si="79"/>
        <v>May</v>
      </c>
      <c r="V350" s="24">
        <f t="shared" si="80"/>
        <v>216</v>
      </c>
      <c r="W350" s="30">
        <f t="shared" si="81"/>
        <v>84.5</v>
      </c>
      <c r="X350" s="31" t="b">
        <f t="shared" si="82"/>
        <v>0</v>
      </c>
      <c r="Y350" s="32" t="str">
        <f t="shared" si="83"/>
        <v>GROWTH</v>
      </c>
      <c r="Z350" s="41">
        <v>0</v>
      </c>
      <c r="AA350" s="36"/>
      <c r="AB350" s="36" t="s">
        <v>24</v>
      </c>
      <c r="AC350" s="36" t="s">
        <v>24</v>
      </c>
      <c r="AD350" s="34"/>
      <c r="AE350" s="35">
        <f>IFERROR(INDEX([1]Last6M_AvgSales_Ref!$B$2:$B$12659,MATCH(D350,[1]Last6M_AvgSales_Ref!$A$2:$A$12659,0)),"")</f>
        <v>327.16666666666703</v>
      </c>
    </row>
    <row r="351" spans="1:31" ht="14.25" customHeight="1" x14ac:dyDescent="0.3">
      <c r="A351" s="36" t="s">
        <v>24</v>
      </c>
      <c r="B351" s="38" t="s">
        <v>698</v>
      </c>
      <c r="C351" s="38" t="s">
        <v>737</v>
      </c>
      <c r="D351" s="38">
        <v>1000003675</v>
      </c>
      <c r="E351" s="39" t="s">
        <v>738</v>
      </c>
      <c r="F351" s="40">
        <v>45142</v>
      </c>
      <c r="G351" s="22" t="str">
        <f t="shared" si="70"/>
        <v>Targeted Dealer</v>
      </c>
      <c r="H351" s="22"/>
      <c r="I351" s="23">
        <v>23</v>
      </c>
      <c r="J351" s="23">
        <f t="shared" si="71"/>
        <v>23</v>
      </c>
      <c r="K351" s="24">
        <v>21</v>
      </c>
      <c r="L351" s="24">
        <f t="shared" si="72"/>
        <v>2</v>
      </c>
      <c r="M351" s="24">
        <f t="shared" si="73"/>
        <v>91.304347826086953</v>
      </c>
      <c r="N351" s="25">
        <v>0</v>
      </c>
      <c r="O351" s="26" t="str">
        <f t="shared" si="74"/>
        <v>June</v>
      </c>
      <c r="P351" s="25">
        <f t="shared" si="75"/>
        <v>0</v>
      </c>
      <c r="Q351" s="27">
        <f t="shared" si="76"/>
        <v>21</v>
      </c>
      <c r="R351" s="26" t="b">
        <f t="shared" si="77"/>
        <v>0</v>
      </c>
      <c r="S351" s="28" t="b">
        <f t="shared" si="78"/>
        <v>0</v>
      </c>
      <c r="T351" s="24">
        <v>26</v>
      </c>
      <c r="U351" s="29" t="str">
        <f t="shared" si="79"/>
        <v>May</v>
      </c>
      <c r="V351" s="24">
        <f t="shared" si="80"/>
        <v>26</v>
      </c>
      <c r="W351" s="30">
        <f t="shared" si="81"/>
        <v>-5</v>
      </c>
      <c r="X351" s="31" t="b">
        <f t="shared" si="82"/>
        <v>0</v>
      </c>
      <c r="Y351" s="32" t="str">
        <f t="shared" si="83"/>
        <v>GROWTH</v>
      </c>
      <c r="Z351" s="41">
        <v>0</v>
      </c>
      <c r="AA351" s="36"/>
      <c r="AB351" s="36" t="s">
        <v>24</v>
      </c>
      <c r="AC351" s="36" t="s">
        <v>24</v>
      </c>
      <c r="AD351" s="34"/>
      <c r="AE351" s="35">
        <f>IFERROR(INDEX([1]Last6M_AvgSales_Ref!$B$2:$B$12659,MATCH(D351,[1]Last6M_AvgSales_Ref!$A$2:$A$12659,0)),"")</f>
        <v>22.5</v>
      </c>
    </row>
    <row r="352" spans="1:31" ht="14.25" customHeight="1" x14ac:dyDescent="0.3">
      <c r="A352" s="41" t="s">
        <v>24</v>
      </c>
      <c r="B352" s="44" t="s">
        <v>698</v>
      </c>
      <c r="C352" s="44" t="s">
        <v>739</v>
      </c>
      <c r="D352" s="44">
        <v>1000004038</v>
      </c>
      <c r="E352" s="44" t="s">
        <v>740</v>
      </c>
      <c r="F352" s="40">
        <v>45484</v>
      </c>
      <c r="G352" s="22" t="str">
        <f t="shared" si="70"/>
        <v>Targeted Dealer</v>
      </c>
      <c r="H352" s="22"/>
      <c r="I352" s="23">
        <v>23</v>
      </c>
      <c r="J352" s="23">
        <f t="shared" si="71"/>
        <v>23</v>
      </c>
      <c r="K352" s="24">
        <v>49</v>
      </c>
      <c r="L352" s="24">
        <f t="shared" si="72"/>
        <v>-26</v>
      </c>
      <c r="M352" s="24">
        <f t="shared" si="73"/>
        <v>213.04347826086956</v>
      </c>
      <c r="N352" s="25">
        <v>48</v>
      </c>
      <c r="O352" s="26" t="str">
        <f t="shared" si="74"/>
        <v>June</v>
      </c>
      <c r="P352" s="25">
        <f t="shared" si="75"/>
        <v>48</v>
      </c>
      <c r="Q352" s="27">
        <f t="shared" si="76"/>
        <v>1</v>
      </c>
      <c r="R352" s="26" t="b">
        <f t="shared" si="77"/>
        <v>0</v>
      </c>
      <c r="S352" s="28" t="str">
        <f t="shared" si="78"/>
        <v>GROWTH</v>
      </c>
      <c r="T352" s="24">
        <v>69</v>
      </c>
      <c r="U352" s="29" t="str">
        <f t="shared" si="79"/>
        <v>May</v>
      </c>
      <c r="V352" s="24">
        <f t="shared" si="80"/>
        <v>69</v>
      </c>
      <c r="W352" s="30">
        <f t="shared" si="81"/>
        <v>-20</v>
      </c>
      <c r="X352" s="31" t="b">
        <f t="shared" si="82"/>
        <v>0</v>
      </c>
      <c r="Y352" s="32" t="str">
        <f t="shared" si="83"/>
        <v>GROWTH</v>
      </c>
      <c r="Z352" s="41">
        <v>0</v>
      </c>
      <c r="AA352" s="36"/>
      <c r="AB352" s="36" t="s">
        <v>24</v>
      </c>
      <c r="AC352" s="41" t="s">
        <v>24</v>
      </c>
      <c r="AD352" s="34"/>
      <c r="AE352" s="35">
        <f>IFERROR(INDEX([1]Last6M_AvgSales_Ref!$B$2:$B$12659,MATCH(D352,[1]Last6M_AvgSales_Ref!$A$2:$A$12659,0)),"")</f>
        <v>42.1666666666667</v>
      </c>
    </row>
    <row r="353" spans="1:31" ht="14.25" customHeight="1" x14ac:dyDescent="0.3">
      <c r="A353" s="36" t="s">
        <v>24</v>
      </c>
      <c r="B353" s="38" t="s">
        <v>741</v>
      </c>
      <c r="C353" s="38" t="s">
        <v>742</v>
      </c>
      <c r="D353" s="38">
        <v>1000000385</v>
      </c>
      <c r="E353" s="39" t="s">
        <v>743</v>
      </c>
      <c r="F353" s="40">
        <v>40115</v>
      </c>
      <c r="G353" s="22" t="str">
        <f t="shared" si="70"/>
        <v>Targeted Dealer</v>
      </c>
      <c r="H353" s="22"/>
      <c r="I353" s="23">
        <v>23</v>
      </c>
      <c r="J353" s="23">
        <f t="shared" si="71"/>
        <v>23</v>
      </c>
      <c r="K353" s="24">
        <v>23</v>
      </c>
      <c r="L353" s="24">
        <f t="shared" si="72"/>
        <v>0</v>
      </c>
      <c r="M353" s="24">
        <f t="shared" si="73"/>
        <v>100</v>
      </c>
      <c r="N353" s="25">
        <v>23</v>
      </c>
      <c r="O353" s="26" t="str">
        <f t="shared" si="74"/>
        <v>June</v>
      </c>
      <c r="P353" s="25">
        <f t="shared" si="75"/>
        <v>23</v>
      </c>
      <c r="Q353" s="27">
        <f t="shared" si="76"/>
        <v>0</v>
      </c>
      <c r="R353" s="26" t="b">
        <f t="shared" si="77"/>
        <v>0</v>
      </c>
      <c r="S353" s="28" t="str">
        <f t="shared" si="78"/>
        <v>GROWTH</v>
      </c>
      <c r="T353" s="24">
        <v>0</v>
      </c>
      <c r="U353" s="29" t="str">
        <f t="shared" si="79"/>
        <v>May</v>
      </c>
      <c r="V353" s="24">
        <f t="shared" si="80"/>
        <v>0</v>
      </c>
      <c r="W353" s="30">
        <f t="shared" si="81"/>
        <v>23</v>
      </c>
      <c r="X353" s="31" t="b">
        <f t="shared" si="82"/>
        <v>0</v>
      </c>
      <c r="Y353" s="32" t="b">
        <f t="shared" si="83"/>
        <v>0</v>
      </c>
      <c r="Z353" s="41">
        <v>0</v>
      </c>
      <c r="AA353" s="36"/>
      <c r="AB353" s="36" t="s">
        <v>24</v>
      </c>
      <c r="AC353" s="36" t="s">
        <v>24</v>
      </c>
      <c r="AD353" s="34"/>
      <c r="AE353" s="35">
        <f>IFERROR(INDEX([1]Last6M_AvgSales_Ref!$B$2:$B$12659,MATCH(D353,[1]Last6M_AvgSales_Ref!$A$2:$A$12659,0)),"")</f>
        <v>27.6666666666667</v>
      </c>
    </row>
    <row r="354" spans="1:31" ht="14.25" customHeight="1" x14ac:dyDescent="0.3">
      <c r="A354" s="36" t="s">
        <v>24</v>
      </c>
      <c r="B354" s="38" t="s">
        <v>741</v>
      </c>
      <c r="C354" s="38" t="s">
        <v>744</v>
      </c>
      <c r="D354" s="38">
        <v>1000000383</v>
      </c>
      <c r="E354" s="39" t="s">
        <v>745</v>
      </c>
      <c r="F354" s="40">
        <v>43061</v>
      </c>
      <c r="G354" s="22" t="str">
        <f t="shared" si="70"/>
        <v>Targeted Dealer</v>
      </c>
      <c r="H354" s="22"/>
      <c r="I354" s="23">
        <v>185</v>
      </c>
      <c r="J354" s="23">
        <f t="shared" si="71"/>
        <v>185</v>
      </c>
      <c r="K354" s="24">
        <v>180</v>
      </c>
      <c r="L354" s="24">
        <f t="shared" si="72"/>
        <v>5</v>
      </c>
      <c r="M354" s="24">
        <f t="shared" si="73"/>
        <v>97.297297297297291</v>
      </c>
      <c r="N354" s="25">
        <v>175</v>
      </c>
      <c r="O354" s="26" t="str">
        <f t="shared" si="74"/>
        <v>June</v>
      </c>
      <c r="P354" s="25">
        <f t="shared" si="75"/>
        <v>175</v>
      </c>
      <c r="Q354" s="27">
        <f t="shared" si="76"/>
        <v>5</v>
      </c>
      <c r="R354" s="26" t="b">
        <f t="shared" si="77"/>
        <v>0</v>
      </c>
      <c r="S354" s="28" t="str">
        <f t="shared" si="78"/>
        <v>GROWTH</v>
      </c>
      <c r="T354" s="24">
        <v>40</v>
      </c>
      <c r="U354" s="29" t="str">
        <f t="shared" si="79"/>
        <v>May</v>
      </c>
      <c r="V354" s="24">
        <f t="shared" si="80"/>
        <v>40</v>
      </c>
      <c r="W354" s="30">
        <f t="shared" si="81"/>
        <v>140</v>
      </c>
      <c r="X354" s="31" t="b">
        <f t="shared" si="82"/>
        <v>0</v>
      </c>
      <c r="Y354" s="32" t="str">
        <f t="shared" si="83"/>
        <v>GROWTH</v>
      </c>
      <c r="Z354" s="41">
        <v>0</v>
      </c>
      <c r="AA354" s="36"/>
      <c r="AB354" s="36" t="s">
        <v>24</v>
      </c>
      <c r="AC354" s="36" t="s">
        <v>24</v>
      </c>
      <c r="AD354" s="34"/>
      <c r="AE354" s="35">
        <f>IFERROR(INDEX([1]Last6M_AvgSales_Ref!$B$2:$B$12659,MATCH(D354,[1]Last6M_AvgSales_Ref!$A$2:$A$12659,0)),"")</f>
        <v>247.333333333333</v>
      </c>
    </row>
    <row r="355" spans="1:31" ht="14.25" customHeight="1" x14ac:dyDescent="0.3">
      <c r="A355" s="36" t="s">
        <v>24</v>
      </c>
      <c r="B355" s="38" t="s">
        <v>741</v>
      </c>
      <c r="C355" s="38" t="s">
        <v>746</v>
      </c>
      <c r="D355" s="38">
        <v>1000000380</v>
      </c>
      <c r="E355" s="39" t="s">
        <v>747</v>
      </c>
      <c r="F355" s="40">
        <v>43587</v>
      </c>
      <c r="G355" s="22" t="str">
        <f t="shared" si="70"/>
        <v>Targeted Dealer</v>
      </c>
      <c r="H355" s="22"/>
      <c r="I355" s="23">
        <v>23</v>
      </c>
      <c r="J355" s="23">
        <f t="shared" si="71"/>
        <v>23</v>
      </c>
      <c r="K355" s="24">
        <v>23</v>
      </c>
      <c r="L355" s="24">
        <f t="shared" si="72"/>
        <v>0</v>
      </c>
      <c r="M355" s="24">
        <f t="shared" si="73"/>
        <v>100</v>
      </c>
      <c r="N355" s="25">
        <v>0</v>
      </c>
      <c r="O355" s="26" t="str">
        <f t="shared" si="74"/>
        <v>June</v>
      </c>
      <c r="P355" s="25">
        <f t="shared" si="75"/>
        <v>0</v>
      </c>
      <c r="Q355" s="27">
        <f t="shared" si="76"/>
        <v>23</v>
      </c>
      <c r="R355" s="26" t="b">
        <f t="shared" si="77"/>
        <v>0</v>
      </c>
      <c r="S355" s="28" t="b">
        <f t="shared" si="78"/>
        <v>0</v>
      </c>
      <c r="T355" s="24">
        <v>23</v>
      </c>
      <c r="U355" s="29" t="str">
        <f t="shared" si="79"/>
        <v>May</v>
      </c>
      <c r="V355" s="24">
        <f t="shared" si="80"/>
        <v>23</v>
      </c>
      <c r="W355" s="30">
        <f t="shared" si="81"/>
        <v>0</v>
      </c>
      <c r="X355" s="31" t="b">
        <f t="shared" si="82"/>
        <v>0</v>
      </c>
      <c r="Y355" s="32" t="str">
        <f t="shared" si="83"/>
        <v>GROWTH</v>
      </c>
      <c r="Z355" s="41">
        <v>0</v>
      </c>
      <c r="AA355" s="36"/>
      <c r="AB355" s="36" t="s">
        <v>24</v>
      </c>
      <c r="AC355" s="36" t="s">
        <v>24</v>
      </c>
      <c r="AD355" s="34"/>
      <c r="AE355" s="35">
        <f>IFERROR(INDEX([1]Last6M_AvgSales_Ref!$B$2:$B$12659,MATCH(D355,[1]Last6M_AvgSales_Ref!$A$2:$A$12659,0)),"")</f>
        <v>11.5</v>
      </c>
    </row>
    <row r="356" spans="1:31" ht="14.25" customHeight="1" x14ac:dyDescent="0.3">
      <c r="A356" s="36" t="s">
        <v>24</v>
      </c>
      <c r="B356" s="38" t="s">
        <v>741</v>
      </c>
      <c r="C356" s="38" t="s">
        <v>748</v>
      </c>
      <c r="D356" s="38">
        <v>1000000384</v>
      </c>
      <c r="E356" s="39" t="s">
        <v>749</v>
      </c>
      <c r="F356" s="40">
        <v>44392</v>
      </c>
      <c r="G356" s="22" t="str">
        <f t="shared" si="70"/>
        <v>Targeted Dealer</v>
      </c>
      <c r="H356" s="22"/>
      <c r="I356" s="23">
        <v>1050</v>
      </c>
      <c r="J356" s="23">
        <f t="shared" si="71"/>
        <v>1050</v>
      </c>
      <c r="K356" s="24">
        <v>876</v>
      </c>
      <c r="L356" s="24">
        <f t="shared" si="72"/>
        <v>174</v>
      </c>
      <c r="M356" s="24">
        <f t="shared" si="73"/>
        <v>83.428571428571431</v>
      </c>
      <c r="N356" s="25">
        <v>635</v>
      </c>
      <c r="O356" s="26" t="str">
        <f t="shared" si="74"/>
        <v>June</v>
      </c>
      <c r="P356" s="25">
        <f t="shared" si="75"/>
        <v>635</v>
      </c>
      <c r="Q356" s="27">
        <f t="shared" si="76"/>
        <v>241</v>
      </c>
      <c r="R356" s="26" t="b">
        <f t="shared" si="77"/>
        <v>0</v>
      </c>
      <c r="S356" s="28" t="str">
        <f t="shared" si="78"/>
        <v>GROWTH</v>
      </c>
      <c r="T356" s="24">
        <v>819</v>
      </c>
      <c r="U356" s="29" t="str">
        <f t="shared" si="79"/>
        <v>May</v>
      </c>
      <c r="V356" s="24">
        <f t="shared" si="80"/>
        <v>819</v>
      </c>
      <c r="W356" s="30">
        <f t="shared" si="81"/>
        <v>57</v>
      </c>
      <c r="X356" s="31" t="b">
        <f t="shared" si="82"/>
        <v>0</v>
      </c>
      <c r="Y356" s="32" t="str">
        <f t="shared" si="83"/>
        <v>GROWTH</v>
      </c>
      <c r="Z356" s="41">
        <v>0</v>
      </c>
      <c r="AA356" s="36"/>
      <c r="AB356" s="36" t="s">
        <v>24</v>
      </c>
      <c r="AC356" s="36" t="s">
        <v>24</v>
      </c>
      <c r="AD356" s="34"/>
      <c r="AE356" s="35">
        <f>IFERROR(INDEX([1]Last6M_AvgSales_Ref!$B$2:$B$12659,MATCH(D356,[1]Last6M_AvgSales_Ref!$A$2:$A$12659,0)),"")</f>
        <v>1096.5</v>
      </c>
    </row>
    <row r="357" spans="1:31" ht="14.25" customHeight="1" x14ac:dyDescent="0.3">
      <c r="A357" s="36" t="s">
        <v>24</v>
      </c>
      <c r="B357" s="38" t="s">
        <v>741</v>
      </c>
      <c r="C357" s="38" t="s">
        <v>750</v>
      </c>
      <c r="D357" s="38">
        <v>1000003773</v>
      </c>
      <c r="E357" s="38" t="s">
        <v>751</v>
      </c>
      <c r="F357" s="40">
        <v>45267</v>
      </c>
      <c r="G357" s="22" t="str">
        <f t="shared" si="70"/>
        <v>Targeted Dealer</v>
      </c>
      <c r="H357" s="22"/>
      <c r="I357" s="23">
        <v>70</v>
      </c>
      <c r="J357" s="23">
        <f t="shared" si="71"/>
        <v>70</v>
      </c>
      <c r="K357" s="24">
        <v>30</v>
      </c>
      <c r="L357" s="24">
        <f t="shared" si="72"/>
        <v>40</v>
      </c>
      <c r="M357" s="24">
        <f t="shared" si="73"/>
        <v>42.857142857142861</v>
      </c>
      <c r="N357" s="25">
        <v>30</v>
      </c>
      <c r="O357" s="26" t="str">
        <f t="shared" si="74"/>
        <v>June</v>
      </c>
      <c r="P357" s="25">
        <f t="shared" si="75"/>
        <v>30</v>
      </c>
      <c r="Q357" s="27">
        <f t="shared" si="76"/>
        <v>0</v>
      </c>
      <c r="R357" s="26" t="b">
        <f t="shared" si="77"/>
        <v>0</v>
      </c>
      <c r="S357" s="28" t="str">
        <f t="shared" si="78"/>
        <v>GROWTH</v>
      </c>
      <c r="T357" s="24">
        <v>0</v>
      </c>
      <c r="U357" s="29" t="str">
        <f t="shared" si="79"/>
        <v>May</v>
      </c>
      <c r="V357" s="24">
        <f t="shared" si="80"/>
        <v>0</v>
      </c>
      <c r="W357" s="30">
        <f t="shared" si="81"/>
        <v>30</v>
      </c>
      <c r="X357" s="31" t="b">
        <f t="shared" si="82"/>
        <v>0</v>
      </c>
      <c r="Y357" s="32" t="b">
        <f t="shared" si="83"/>
        <v>0</v>
      </c>
      <c r="Z357" s="41">
        <v>0</v>
      </c>
      <c r="AA357" s="36"/>
      <c r="AB357" s="36" t="s">
        <v>24</v>
      </c>
      <c r="AC357" s="36" t="s">
        <v>24</v>
      </c>
      <c r="AD357" s="34"/>
      <c r="AE357" s="35">
        <f>IFERROR(INDEX([1]Last6M_AvgSales_Ref!$B$2:$B$12659,MATCH(D357,[1]Last6M_AvgSales_Ref!$A$2:$A$12659,0)),"")</f>
        <v>124.333333333333</v>
      </c>
    </row>
    <row r="358" spans="1:31" ht="14.25" customHeight="1" x14ac:dyDescent="0.3">
      <c r="A358" s="36" t="s">
        <v>24</v>
      </c>
      <c r="B358" s="38" t="s">
        <v>752</v>
      </c>
      <c r="C358" s="38" t="s">
        <v>753</v>
      </c>
      <c r="D358" s="38">
        <v>1000000577</v>
      </c>
      <c r="E358" s="39" t="s">
        <v>754</v>
      </c>
      <c r="F358" s="40">
        <v>41486</v>
      </c>
      <c r="G358" s="22" t="str">
        <f t="shared" si="70"/>
        <v>Targeted Dealer</v>
      </c>
      <c r="H358" s="22"/>
      <c r="I358" s="23">
        <v>105</v>
      </c>
      <c r="J358" s="23">
        <f t="shared" si="71"/>
        <v>105</v>
      </c>
      <c r="K358" s="24">
        <v>140</v>
      </c>
      <c r="L358" s="24">
        <f t="shared" si="72"/>
        <v>-35</v>
      </c>
      <c r="M358" s="24">
        <f t="shared" si="73"/>
        <v>133.33333333333331</v>
      </c>
      <c r="N358" s="25">
        <v>78</v>
      </c>
      <c r="O358" s="26" t="str">
        <f t="shared" si="74"/>
        <v>June</v>
      </c>
      <c r="P358" s="25">
        <f t="shared" si="75"/>
        <v>78</v>
      </c>
      <c r="Q358" s="27">
        <f t="shared" si="76"/>
        <v>62</v>
      </c>
      <c r="R358" s="26" t="b">
        <f t="shared" si="77"/>
        <v>0</v>
      </c>
      <c r="S358" s="28" t="str">
        <f t="shared" si="78"/>
        <v>GROWTH</v>
      </c>
      <c r="T358" s="24">
        <v>177.5</v>
      </c>
      <c r="U358" s="29" t="str">
        <f t="shared" si="79"/>
        <v>May</v>
      </c>
      <c r="V358" s="24">
        <f t="shared" si="80"/>
        <v>177.5</v>
      </c>
      <c r="W358" s="30">
        <f t="shared" si="81"/>
        <v>-37.5</v>
      </c>
      <c r="X358" s="31" t="b">
        <f t="shared" si="82"/>
        <v>0</v>
      </c>
      <c r="Y358" s="32" t="str">
        <f t="shared" si="83"/>
        <v>GROWTH</v>
      </c>
      <c r="Z358" s="41">
        <v>0</v>
      </c>
      <c r="AA358" s="36"/>
      <c r="AB358" s="36" t="s">
        <v>24</v>
      </c>
      <c r="AC358" s="36" t="s">
        <v>24</v>
      </c>
      <c r="AD358" s="34"/>
      <c r="AE358" s="35">
        <f>IFERROR(INDEX([1]Last6M_AvgSales_Ref!$B$2:$B$12659,MATCH(D358,[1]Last6M_AvgSales_Ref!$A$2:$A$12659,0)),"")</f>
        <v>144.166666666667</v>
      </c>
    </row>
    <row r="359" spans="1:31" ht="14.25" customHeight="1" x14ac:dyDescent="0.3">
      <c r="A359" s="36" t="s">
        <v>24</v>
      </c>
      <c r="B359" s="38" t="s">
        <v>752</v>
      </c>
      <c r="C359" s="38" t="s">
        <v>755</v>
      </c>
      <c r="D359" s="38">
        <v>1000000562</v>
      </c>
      <c r="E359" s="39" t="s">
        <v>756</v>
      </c>
      <c r="F359" s="40">
        <v>41556</v>
      </c>
      <c r="G359" s="22" t="str">
        <f t="shared" si="70"/>
        <v>Targeted Dealer</v>
      </c>
      <c r="H359" s="22"/>
      <c r="I359" s="23">
        <v>30</v>
      </c>
      <c r="J359" s="23">
        <f t="shared" si="71"/>
        <v>30</v>
      </c>
      <c r="K359" s="24">
        <v>0</v>
      </c>
      <c r="L359" s="24">
        <f t="shared" si="72"/>
        <v>30</v>
      </c>
      <c r="M359" s="24">
        <f t="shared" si="73"/>
        <v>0</v>
      </c>
      <c r="N359" s="25">
        <v>0</v>
      </c>
      <c r="O359" s="26" t="str">
        <f t="shared" si="74"/>
        <v>June</v>
      </c>
      <c r="P359" s="25">
        <f t="shared" si="75"/>
        <v>0</v>
      </c>
      <c r="Q359" s="27">
        <f t="shared" si="76"/>
        <v>0</v>
      </c>
      <c r="R359" s="26" t="b">
        <f t="shared" si="77"/>
        <v>0</v>
      </c>
      <c r="S359" s="28" t="b">
        <f t="shared" si="78"/>
        <v>0</v>
      </c>
      <c r="T359" s="24">
        <v>27</v>
      </c>
      <c r="U359" s="29" t="str">
        <f t="shared" si="79"/>
        <v>May</v>
      </c>
      <c r="V359" s="24">
        <f t="shared" si="80"/>
        <v>27</v>
      </c>
      <c r="W359" s="30">
        <f t="shared" si="81"/>
        <v>-27</v>
      </c>
      <c r="X359" s="31" t="b">
        <f t="shared" si="82"/>
        <v>0</v>
      </c>
      <c r="Y359" s="32" t="str">
        <f t="shared" si="83"/>
        <v>GROWTH</v>
      </c>
      <c r="Z359" s="41">
        <v>0</v>
      </c>
      <c r="AA359" s="36"/>
      <c r="AB359" s="36" t="s">
        <v>24</v>
      </c>
      <c r="AC359" s="36" t="s">
        <v>24</v>
      </c>
      <c r="AD359" s="34"/>
      <c r="AE359" s="35">
        <f>IFERROR(INDEX([1]Last6M_AvgSales_Ref!$B$2:$B$12659,MATCH(D359,[1]Last6M_AvgSales_Ref!$A$2:$A$12659,0)),"")</f>
        <v>31.5</v>
      </c>
    </row>
    <row r="360" spans="1:31" ht="14.25" customHeight="1" x14ac:dyDescent="0.3">
      <c r="A360" s="36" t="s">
        <v>24</v>
      </c>
      <c r="B360" s="38" t="s">
        <v>752</v>
      </c>
      <c r="C360" s="38" t="s">
        <v>757</v>
      </c>
      <c r="D360" s="38">
        <v>1000000579</v>
      </c>
      <c r="E360" s="39" t="s">
        <v>758</v>
      </c>
      <c r="F360" s="40">
        <v>41899</v>
      </c>
      <c r="G360" s="22" t="str">
        <f t="shared" si="70"/>
        <v>Targeted Dealer</v>
      </c>
      <c r="H360" s="22"/>
      <c r="I360" s="23">
        <v>4760</v>
      </c>
      <c r="J360" s="23">
        <f t="shared" si="71"/>
        <v>4760</v>
      </c>
      <c r="K360" s="24">
        <v>3592.75</v>
      </c>
      <c r="L360" s="24">
        <f t="shared" si="72"/>
        <v>1167.25</v>
      </c>
      <c r="M360" s="24">
        <f t="shared" si="73"/>
        <v>75.47794117647058</v>
      </c>
      <c r="N360" s="25">
        <v>2503.1</v>
      </c>
      <c r="O360" s="26" t="str">
        <f t="shared" si="74"/>
        <v>June</v>
      </c>
      <c r="P360" s="25">
        <f t="shared" si="75"/>
        <v>2503.1</v>
      </c>
      <c r="Q360" s="27">
        <f t="shared" si="76"/>
        <v>1089.6500000000001</v>
      </c>
      <c r="R360" s="26" t="b">
        <f t="shared" si="77"/>
        <v>0</v>
      </c>
      <c r="S360" s="28" t="str">
        <f t="shared" si="78"/>
        <v>GROWTH</v>
      </c>
      <c r="T360" s="24">
        <v>1470.65</v>
      </c>
      <c r="U360" s="29" t="str">
        <f t="shared" si="79"/>
        <v>May</v>
      </c>
      <c r="V360" s="24">
        <f t="shared" si="80"/>
        <v>1470.65</v>
      </c>
      <c r="W360" s="30">
        <f t="shared" si="81"/>
        <v>2122.1</v>
      </c>
      <c r="X360" s="31" t="b">
        <f t="shared" si="82"/>
        <v>0</v>
      </c>
      <c r="Y360" s="32" t="str">
        <f t="shared" si="83"/>
        <v>GROWTH</v>
      </c>
      <c r="Z360" s="41">
        <v>0</v>
      </c>
      <c r="AA360" s="36"/>
      <c r="AB360" s="36" t="s">
        <v>24</v>
      </c>
      <c r="AC360" s="36" t="s">
        <v>24</v>
      </c>
      <c r="AD360" s="34"/>
      <c r="AE360" s="35">
        <f>IFERROR(INDEX([1]Last6M_AvgSales_Ref!$B$2:$B$12659,MATCH(D360,[1]Last6M_AvgSales_Ref!$A$2:$A$12659,0)),"")</f>
        <v>6630.8166666666702</v>
      </c>
    </row>
    <row r="361" spans="1:31" ht="14.25" customHeight="1" x14ac:dyDescent="0.3">
      <c r="A361" s="36" t="s">
        <v>24</v>
      </c>
      <c r="B361" s="38" t="s">
        <v>752</v>
      </c>
      <c r="C361" s="38" t="s">
        <v>759</v>
      </c>
      <c r="D361" s="38">
        <v>1000000558</v>
      </c>
      <c r="E361" s="39" t="s">
        <v>760</v>
      </c>
      <c r="F361" s="40">
        <v>42966</v>
      </c>
      <c r="G361" s="22" t="str">
        <f t="shared" si="70"/>
        <v>Targeted Dealer</v>
      </c>
      <c r="H361" s="22"/>
      <c r="I361" s="23">
        <v>780</v>
      </c>
      <c r="J361" s="23">
        <f t="shared" si="71"/>
        <v>780</v>
      </c>
      <c r="K361" s="24">
        <v>946</v>
      </c>
      <c r="L361" s="24">
        <f t="shared" si="72"/>
        <v>-166</v>
      </c>
      <c r="M361" s="24">
        <f t="shared" si="73"/>
        <v>121.28205128205128</v>
      </c>
      <c r="N361" s="25">
        <v>469</v>
      </c>
      <c r="O361" s="26" t="str">
        <f t="shared" si="74"/>
        <v>June</v>
      </c>
      <c r="P361" s="25">
        <f t="shared" si="75"/>
        <v>469</v>
      </c>
      <c r="Q361" s="27">
        <f t="shared" si="76"/>
        <v>477</v>
      </c>
      <c r="R361" s="26" t="b">
        <f t="shared" si="77"/>
        <v>0</v>
      </c>
      <c r="S361" s="28" t="str">
        <f t="shared" si="78"/>
        <v>GROWTH</v>
      </c>
      <c r="T361" s="24">
        <v>281</v>
      </c>
      <c r="U361" s="29" t="str">
        <f t="shared" si="79"/>
        <v>May</v>
      </c>
      <c r="V361" s="24">
        <f t="shared" si="80"/>
        <v>281</v>
      </c>
      <c r="W361" s="30">
        <f t="shared" si="81"/>
        <v>665</v>
      </c>
      <c r="X361" s="31" t="b">
        <f t="shared" si="82"/>
        <v>0</v>
      </c>
      <c r="Y361" s="32" t="str">
        <f t="shared" si="83"/>
        <v>GROWTH</v>
      </c>
      <c r="Z361" s="41">
        <v>0</v>
      </c>
      <c r="AA361" s="36"/>
      <c r="AB361" s="36" t="s">
        <v>24</v>
      </c>
      <c r="AC361" s="36" t="s">
        <v>24</v>
      </c>
      <c r="AD361" s="34"/>
      <c r="AE361" s="35">
        <f>IFERROR(INDEX([1]Last6M_AvgSales_Ref!$B$2:$B$12659,MATCH(D361,[1]Last6M_AvgSales_Ref!$A$2:$A$12659,0)),"")</f>
        <v>906.65833333333296</v>
      </c>
    </row>
    <row r="362" spans="1:31" ht="14.25" customHeight="1" x14ac:dyDescent="0.3">
      <c r="A362" s="36" t="s">
        <v>24</v>
      </c>
      <c r="B362" s="38" t="s">
        <v>752</v>
      </c>
      <c r="C362" s="38" t="s">
        <v>761</v>
      </c>
      <c r="D362" s="38">
        <v>1000000569</v>
      </c>
      <c r="E362" s="39" t="s">
        <v>762</v>
      </c>
      <c r="F362" s="40">
        <v>43208</v>
      </c>
      <c r="G362" s="22" t="str">
        <f t="shared" si="70"/>
        <v>Targeted Dealer</v>
      </c>
      <c r="H362" s="22"/>
      <c r="I362" s="23">
        <v>155</v>
      </c>
      <c r="J362" s="23">
        <f t="shared" si="71"/>
        <v>155</v>
      </c>
      <c r="K362" s="24">
        <v>30</v>
      </c>
      <c r="L362" s="24">
        <f t="shared" si="72"/>
        <v>125</v>
      </c>
      <c r="M362" s="24">
        <f t="shared" si="73"/>
        <v>19.35483870967742</v>
      </c>
      <c r="N362" s="25">
        <v>145</v>
      </c>
      <c r="O362" s="26" t="str">
        <f t="shared" si="74"/>
        <v>June</v>
      </c>
      <c r="P362" s="25">
        <f t="shared" si="75"/>
        <v>145</v>
      </c>
      <c r="Q362" s="27">
        <f t="shared" si="76"/>
        <v>-115</v>
      </c>
      <c r="R362" s="26" t="b">
        <f t="shared" si="77"/>
        <v>0</v>
      </c>
      <c r="S362" s="28" t="str">
        <f t="shared" si="78"/>
        <v>GROWTH</v>
      </c>
      <c r="T362" s="24">
        <v>0</v>
      </c>
      <c r="U362" s="29" t="str">
        <f t="shared" si="79"/>
        <v>May</v>
      </c>
      <c r="V362" s="24">
        <f t="shared" si="80"/>
        <v>0</v>
      </c>
      <c r="W362" s="30">
        <f t="shared" si="81"/>
        <v>30</v>
      </c>
      <c r="X362" s="31" t="b">
        <f t="shared" si="82"/>
        <v>0</v>
      </c>
      <c r="Y362" s="32" t="b">
        <f t="shared" si="83"/>
        <v>0</v>
      </c>
      <c r="Z362" s="41">
        <v>0</v>
      </c>
      <c r="AA362" s="36"/>
      <c r="AB362" s="36" t="s">
        <v>24</v>
      </c>
      <c r="AC362" s="36" t="s">
        <v>24</v>
      </c>
      <c r="AD362" s="34"/>
      <c r="AE362" s="35">
        <f>IFERROR(INDEX([1]Last6M_AvgSales_Ref!$B$2:$B$12659,MATCH(D362,[1]Last6M_AvgSales_Ref!$A$2:$A$12659,0)),"")</f>
        <v>161.5</v>
      </c>
    </row>
    <row r="363" spans="1:31" ht="14.25" customHeight="1" x14ac:dyDescent="0.3">
      <c r="A363" s="36" t="s">
        <v>24</v>
      </c>
      <c r="B363" s="38" t="s">
        <v>752</v>
      </c>
      <c r="C363" s="38" t="s">
        <v>763</v>
      </c>
      <c r="D363" s="38">
        <v>1000000578</v>
      </c>
      <c r="E363" s="39" t="s">
        <v>764</v>
      </c>
      <c r="F363" s="40">
        <v>43263</v>
      </c>
      <c r="G363" s="22" t="str">
        <f t="shared" si="70"/>
        <v>Targeted Dealer</v>
      </c>
      <c r="H363" s="22"/>
      <c r="I363" s="23">
        <v>185</v>
      </c>
      <c r="J363" s="23">
        <f t="shared" si="71"/>
        <v>185</v>
      </c>
      <c r="K363" s="24">
        <v>305</v>
      </c>
      <c r="L363" s="24">
        <f t="shared" si="72"/>
        <v>-120</v>
      </c>
      <c r="M363" s="24">
        <f t="shared" si="73"/>
        <v>164.86486486486487</v>
      </c>
      <c r="N363" s="25">
        <v>88</v>
      </c>
      <c r="O363" s="26" t="str">
        <f t="shared" si="74"/>
        <v>June</v>
      </c>
      <c r="P363" s="25">
        <f t="shared" si="75"/>
        <v>88</v>
      </c>
      <c r="Q363" s="27">
        <f t="shared" si="76"/>
        <v>217</v>
      </c>
      <c r="R363" s="26" t="b">
        <f t="shared" si="77"/>
        <v>0</v>
      </c>
      <c r="S363" s="28" t="str">
        <f t="shared" si="78"/>
        <v>GROWTH</v>
      </c>
      <c r="T363" s="24">
        <v>52</v>
      </c>
      <c r="U363" s="29" t="str">
        <f t="shared" si="79"/>
        <v>May</v>
      </c>
      <c r="V363" s="24">
        <f t="shared" si="80"/>
        <v>52</v>
      </c>
      <c r="W363" s="30">
        <f t="shared" si="81"/>
        <v>253</v>
      </c>
      <c r="X363" s="31" t="b">
        <f t="shared" si="82"/>
        <v>0</v>
      </c>
      <c r="Y363" s="32" t="str">
        <f t="shared" si="83"/>
        <v>GROWTH</v>
      </c>
      <c r="Z363" s="41">
        <v>0</v>
      </c>
      <c r="AA363" s="36"/>
      <c r="AB363" s="36" t="s">
        <v>24</v>
      </c>
      <c r="AC363" s="36" t="s">
        <v>24</v>
      </c>
      <c r="AD363" s="34"/>
      <c r="AE363" s="35">
        <f>IFERROR(INDEX([1]Last6M_AvgSales_Ref!$B$2:$B$12659,MATCH(D363,[1]Last6M_AvgSales_Ref!$A$2:$A$12659,0)),"")</f>
        <v>278.83333333333297</v>
      </c>
    </row>
    <row r="364" spans="1:31" ht="14.25" customHeight="1" x14ac:dyDescent="0.3">
      <c r="A364" s="36" t="s">
        <v>24</v>
      </c>
      <c r="B364" s="38" t="s">
        <v>752</v>
      </c>
      <c r="C364" s="38" t="s">
        <v>765</v>
      </c>
      <c r="D364" s="38">
        <v>1000000561</v>
      </c>
      <c r="E364" s="39" t="s">
        <v>766</v>
      </c>
      <c r="F364" s="40">
        <v>43357</v>
      </c>
      <c r="G364" s="22" t="str">
        <f t="shared" si="70"/>
        <v>Targeted Dealer</v>
      </c>
      <c r="H364" s="22"/>
      <c r="I364" s="23">
        <v>125</v>
      </c>
      <c r="J364" s="23">
        <f t="shared" si="71"/>
        <v>125.00000000000001</v>
      </c>
      <c r="K364" s="24">
        <v>155</v>
      </c>
      <c r="L364" s="24">
        <f t="shared" si="72"/>
        <v>-30</v>
      </c>
      <c r="M364" s="24">
        <f t="shared" si="73"/>
        <v>123.99999999999997</v>
      </c>
      <c r="N364" s="25">
        <v>472.2</v>
      </c>
      <c r="O364" s="26" t="str">
        <f t="shared" si="74"/>
        <v>June</v>
      </c>
      <c r="P364" s="25">
        <f t="shared" si="75"/>
        <v>472.2</v>
      </c>
      <c r="Q364" s="27">
        <f t="shared" si="76"/>
        <v>-317.2</v>
      </c>
      <c r="R364" s="26" t="b">
        <f t="shared" si="77"/>
        <v>0</v>
      </c>
      <c r="S364" s="28" t="str">
        <f t="shared" si="78"/>
        <v>GROWTH</v>
      </c>
      <c r="T364" s="24">
        <v>20</v>
      </c>
      <c r="U364" s="29" t="str">
        <f t="shared" si="79"/>
        <v>May</v>
      </c>
      <c r="V364" s="24">
        <f t="shared" si="80"/>
        <v>20</v>
      </c>
      <c r="W364" s="30">
        <f t="shared" si="81"/>
        <v>135</v>
      </c>
      <c r="X364" s="31" t="b">
        <f t="shared" si="82"/>
        <v>0</v>
      </c>
      <c r="Y364" s="32" t="str">
        <f t="shared" si="83"/>
        <v>GROWTH</v>
      </c>
      <c r="Z364" s="41">
        <v>0</v>
      </c>
      <c r="AA364" s="36"/>
      <c r="AB364" s="36" t="s">
        <v>24</v>
      </c>
      <c r="AC364" s="36" t="s">
        <v>24</v>
      </c>
      <c r="AD364" s="34"/>
      <c r="AE364" s="35">
        <f>IFERROR(INDEX([1]Last6M_AvgSales_Ref!$B$2:$B$12659,MATCH(D364,[1]Last6M_AvgSales_Ref!$A$2:$A$12659,0)),"")</f>
        <v>120.833333333333</v>
      </c>
    </row>
    <row r="365" spans="1:31" ht="14.25" customHeight="1" x14ac:dyDescent="0.3">
      <c r="A365" s="36" t="s">
        <v>24</v>
      </c>
      <c r="B365" s="38" t="s">
        <v>752</v>
      </c>
      <c r="C365" s="38" t="s">
        <v>767</v>
      </c>
      <c r="D365" s="38">
        <v>1000000573</v>
      </c>
      <c r="E365" s="39" t="s">
        <v>768</v>
      </c>
      <c r="F365" s="40">
        <v>43357</v>
      </c>
      <c r="G365" s="22" t="str">
        <f t="shared" si="70"/>
        <v>Targeted Dealer</v>
      </c>
      <c r="H365" s="22"/>
      <c r="I365" s="23">
        <v>3380</v>
      </c>
      <c r="J365" s="23">
        <f t="shared" si="71"/>
        <v>3380</v>
      </c>
      <c r="K365" s="24">
        <v>2639.45</v>
      </c>
      <c r="L365" s="24">
        <f t="shared" si="72"/>
        <v>740.55000000000018</v>
      </c>
      <c r="M365" s="24">
        <f t="shared" si="73"/>
        <v>78.09023668639054</v>
      </c>
      <c r="N365" s="25">
        <v>3764.3</v>
      </c>
      <c r="O365" s="26" t="str">
        <f t="shared" si="74"/>
        <v>June</v>
      </c>
      <c r="P365" s="25">
        <f t="shared" si="75"/>
        <v>3764.3</v>
      </c>
      <c r="Q365" s="27">
        <f t="shared" si="76"/>
        <v>-1124.8500000000004</v>
      </c>
      <c r="R365" s="26" t="b">
        <f t="shared" si="77"/>
        <v>0</v>
      </c>
      <c r="S365" s="28" t="str">
        <f t="shared" si="78"/>
        <v>GROWTH</v>
      </c>
      <c r="T365" s="24">
        <v>2384</v>
      </c>
      <c r="U365" s="29" t="str">
        <f t="shared" si="79"/>
        <v>May</v>
      </c>
      <c r="V365" s="24">
        <f t="shared" si="80"/>
        <v>2384</v>
      </c>
      <c r="W365" s="30">
        <f t="shared" si="81"/>
        <v>255.44999999999982</v>
      </c>
      <c r="X365" s="31" t="b">
        <f t="shared" si="82"/>
        <v>0</v>
      </c>
      <c r="Y365" s="32" t="str">
        <f t="shared" si="83"/>
        <v>GROWTH</v>
      </c>
      <c r="Z365" s="41">
        <v>0</v>
      </c>
      <c r="AA365" s="36"/>
      <c r="AB365" s="36" t="s">
        <v>24</v>
      </c>
      <c r="AC365" s="36" t="s">
        <v>24</v>
      </c>
      <c r="AD365" s="34"/>
      <c r="AE365" s="35">
        <f>IFERROR(INDEX([1]Last6M_AvgSales_Ref!$B$2:$B$12659,MATCH(D365,[1]Last6M_AvgSales_Ref!$A$2:$A$12659,0)),"")</f>
        <v>4298.8333333333303</v>
      </c>
    </row>
    <row r="366" spans="1:31" ht="14.25" customHeight="1" x14ac:dyDescent="0.3">
      <c r="A366" s="36" t="s">
        <v>24</v>
      </c>
      <c r="B366" s="38" t="s">
        <v>752</v>
      </c>
      <c r="C366" s="38" t="s">
        <v>769</v>
      </c>
      <c r="D366" s="38">
        <v>1000000983</v>
      </c>
      <c r="E366" s="39" t="s">
        <v>770</v>
      </c>
      <c r="F366" s="40">
        <v>43711</v>
      </c>
      <c r="G366" s="22" t="str">
        <f t="shared" si="70"/>
        <v>Targeted Dealer</v>
      </c>
      <c r="H366" s="22"/>
      <c r="I366" s="23">
        <v>215</v>
      </c>
      <c r="J366" s="23">
        <f t="shared" si="71"/>
        <v>215</v>
      </c>
      <c r="K366" s="24">
        <v>230</v>
      </c>
      <c r="L366" s="24">
        <f t="shared" si="72"/>
        <v>-15</v>
      </c>
      <c r="M366" s="24">
        <f t="shared" si="73"/>
        <v>106.97674418604652</v>
      </c>
      <c r="N366" s="25">
        <v>305.45</v>
      </c>
      <c r="O366" s="26" t="str">
        <f t="shared" si="74"/>
        <v>June</v>
      </c>
      <c r="P366" s="25">
        <f t="shared" si="75"/>
        <v>305.45</v>
      </c>
      <c r="Q366" s="27">
        <f t="shared" si="76"/>
        <v>-75.449999999999989</v>
      </c>
      <c r="R366" s="26" t="b">
        <f t="shared" si="77"/>
        <v>0</v>
      </c>
      <c r="S366" s="28" t="str">
        <f t="shared" si="78"/>
        <v>GROWTH</v>
      </c>
      <c r="T366" s="24">
        <v>80</v>
      </c>
      <c r="U366" s="29" t="str">
        <f t="shared" si="79"/>
        <v>May</v>
      </c>
      <c r="V366" s="24">
        <f t="shared" si="80"/>
        <v>80</v>
      </c>
      <c r="W366" s="30">
        <f t="shared" si="81"/>
        <v>150</v>
      </c>
      <c r="X366" s="31" t="b">
        <f t="shared" si="82"/>
        <v>0</v>
      </c>
      <c r="Y366" s="32" t="str">
        <f t="shared" si="83"/>
        <v>GROWTH</v>
      </c>
      <c r="Z366" s="41">
        <v>0</v>
      </c>
      <c r="AA366" s="36"/>
      <c r="AB366" s="36" t="s">
        <v>24</v>
      </c>
      <c r="AC366" s="36" t="s">
        <v>24</v>
      </c>
      <c r="AD366" s="34"/>
      <c r="AE366" s="35">
        <f>IFERROR(INDEX([1]Last6M_AvgSales_Ref!$B$2:$B$12659,MATCH(D366,[1]Last6M_AvgSales_Ref!$A$2:$A$12659,0)),"")</f>
        <v>457.96666666666698</v>
      </c>
    </row>
    <row r="367" spans="1:31" ht="14.25" customHeight="1" x14ac:dyDescent="0.3">
      <c r="A367" s="36" t="s">
        <v>24</v>
      </c>
      <c r="B367" s="38" t="s">
        <v>752</v>
      </c>
      <c r="C367" s="38" t="s">
        <v>771</v>
      </c>
      <c r="D367" s="38">
        <v>1000000969</v>
      </c>
      <c r="E367" s="39" t="s">
        <v>772</v>
      </c>
      <c r="F367" s="40">
        <v>43819</v>
      </c>
      <c r="G367" s="22" t="str">
        <f t="shared" si="70"/>
        <v>Targeted Dealer</v>
      </c>
      <c r="H367" s="22"/>
      <c r="I367" s="23">
        <v>90</v>
      </c>
      <c r="J367" s="23">
        <f t="shared" si="71"/>
        <v>90</v>
      </c>
      <c r="K367" s="24">
        <v>52</v>
      </c>
      <c r="L367" s="24">
        <f t="shared" si="72"/>
        <v>38</v>
      </c>
      <c r="M367" s="24">
        <f t="shared" si="73"/>
        <v>57.777777777777779</v>
      </c>
      <c r="N367" s="25">
        <v>283</v>
      </c>
      <c r="O367" s="26" t="str">
        <f t="shared" si="74"/>
        <v>June</v>
      </c>
      <c r="P367" s="25">
        <f t="shared" si="75"/>
        <v>283</v>
      </c>
      <c r="Q367" s="27">
        <f t="shared" si="76"/>
        <v>-231</v>
      </c>
      <c r="R367" s="26" t="b">
        <f t="shared" si="77"/>
        <v>0</v>
      </c>
      <c r="S367" s="28" t="str">
        <f t="shared" si="78"/>
        <v>GROWTH</v>
      </c>
      <c r="T367" s="24">
        <v>0</v>
      </c>
      <c r="U367" s="29" t="str">
        <f t="shared" si="79"/>
        <v>May</v>
      </c>
      <c r="V367" s="24">
        <f t="shared" si="80"/>
        <v>0</v>
      </c>
      <c r="W367" s="30">
        <f t="shared" si="81"/>
        <v>52</v>
      </c>
      <c r="X367" s="31" t="b">
        <f t="shared" si="82"/>
        <v>0</v>
      </c>
      <c r="Y367" s="32" t="b">
        <f t="shared" si="83"/>
        <v>0</v>
      </c>
      <c r="Z367" s="41">
        <v>0</v>
      </c>
      <c r="AA367" s="36"/>
      <c r="AB367" s="36" t="s">
        <v>24</v>
      </c>
      <c r="AC367" s="36" t="s">
        <v>24</v>
      </c>
      <c r="AD367" s="34"/>
      <c r="AE367" s="35">
        <f>IFERROR(INDEX([1]Last6M_AvgSales_Ref!$B$2:$B$12659,MATCH(D367,[1]Last6M_AvgSales_Ref!$A$2:$A$12659,0)),"")</f>
        <v>111</v>
      </c>
    </row>
    <row r="368" spans="1:31" ht="14.25" customHeight="1" x14ac:dyDescent="0.3">
      <c r="A368" s="36" t="s">
        <v>24</v>
      </c>
      <c r="B368" s="38" t="s">
        <v>752</v>
      </c>
      <c r="C368" s="38" t="s">
        <v>773</v>
      </c>
      <c r="D368" s="38">
        <v>1000000976</v>
      </c>
      <c r="E368" s="39" t="s">
        <v>774</v>
      </c>
      <c r="F368" s="40">
        <v>44002</v>
      </c>
      <c r="G368" s="22" t="str">
        <f t="shared" si="70"/>
        <v>Targeted Dealer</v>
      </c>
      <c r="H368" s="22"/>
      <c r="I368" s="23">
        <v>110</v>
      </c>
      <c r="J368" s="23">
        <f t="shared" si="71"/>
        <v>110</v>
      </c>
      <c r="K368" s="24">
        <v>0</v>
      </c>
      <c r="L368" s="24">
        <f t="shared" si="72"/>
        <v>110</v>
      </c>
      <c r="M368" s="24">
        <f t="shared" si="73"/>
        <v>0</v>
      </c>
      <c r="N368" s="25">
        <v>0</v>
      </c>
      <c r="O368" s="26" t="str">
        <f t="shared" si="74"/>
        <v>June</v>
      </c>
      <c r="P368" s="25">
        <f t="shared" si="75"/>
        <v>0</v>
      </c>
      <c r="Q368" s="27">
        <f t="shared" si="76"/>
        <v>0</v>
      </c>
      <c r="R368" s="26" t="b">
        <f t="shared" si="77"/>
        <v>0</v>
      </c>
      <c r="S368" s="28" t="b">
        <f t="shared" si="78"/>
        <v>0</v>
      </c>
      <c r="T368" s="24">
        <v>104</v>
      </c>
      <c r="U368" s="29" t="str">
        <f t="shared" si="79"/>
        <v>May</v>
      </c>
      <c r="V368" s="24">
        <f t="shared" si="80"/>
        <v>104</v>
      </c>
      <c r="W368" s="30">
        <f t="shared" si="81"/>
        <v>-104</v>
      </c>
      <c r="X368" s="31" t="b">
        <f t="shared" si="82"/>
        <v>0</v>
      </c>
      <c r="Y368" s="32" t="str">
        <f t="shared" si="83"/>
        <v>GROWTH</v>
      </c>
      <c r="Z368" s="41">
        <v>0</v>
      </c>
      <c r="AA368" s="36"/>
      <c r="AB368" s="36" t="s">
        <v>24</v>
      </c>
      <c r="AC368" s="36" t="s">
        <v>24</v>
      </c>
      <c r="AD368" s="34"/>
      <c r="AE368" s="35">
        <f>IFERROR(INDEX([1]Last6M_AvgSales_Ref!$B$2:$B$12659,MATCH(D368,[1]Last6M_AvgSales_Ref!$A$2:$A$12659,0)),"")</f>
        <v>76.908333333333303</v>
      </c>
    </row>
    <row r="369" spans="1:31" ht="14.25" customHeight="1" x14ac:dyDescent="0.3">
      <c r="A369" s="36" t="s">
        <v>24</v>
      </c>
      <c r="B369" s="38" t="s">
        <v>752</v>
      </c>
      <c r="C369" s="38" t="s">
        <v>775</v>
      </c>
      <c r="D369" s="38">
        <v>1000000972</v>
      </c>
      <c r="E369" s="39" t="s">
        <v>776</v>
      </c>
      <c r="F369" s="40">
        <v>44008</v>
      </c>
      <c r="G369" s="22" t="str">
        <f t="shared" si="70"/>
        <v>Targeted Dealer</v>
      </c>
      <c r="H369" s="22"/>
      <c r="I369" s="23">
        <v>50</v>
      </c>
      <c r="J369" s="23">
        <f t="shared" si="71"/>
        <v>50</v>
      </c>
      <c r="K369" s="24">
        <v>52</v>
      </c>
      <c r="L369" s="24">
        <f t="shared" si="72"/>
        <v>-2</v>
      </c>
      <c r="M369" s="24">
        <f t="shared" si="73"/>
        <v>104</v>
      </c>
      <c r="N369" s="25">
        <v>42</v>
      </c>
      <c r="O369" s="26" t="str">
        <f t="shared" si="74"/>
        <v>June</v>
      </c>
      <c r="P369" s="25">
        <f t="shared" si="75"/>
        <v>42</v>
      </c>
      <c r="Q369" s="27">
        <f t="shared" si="76"/>
        <v>10</v>
      </c>
      <c r="R369" s="26" t="b">
        <f t="shared" si="77"/>
        <v>0</v>
      </c>
      <c r="S369" s="28" t="str">
        <f t="shared" si="78"/>
        <v>GROWTH</v>
      </c>
      <c r="T369" s="24">
        <v>0</v>
      </c>
      <c r="U369" s="29" t="str">
        <f t="shared" si="79"/>
        <v>May</v>
      </c>
      <c r="V369" s="24">
        <f t="shared" si="80"/>
        <v>0</v>
      </c>
      <c r="W369" s="30">
        <f t="shared" si="81"/>
        <v>52</v>
      </c>
      <c r="X369" s="31" t="b">
        <f t="shared" si="82"/>
        <v>0</v>
      </c>
      <c r="Y369" s="32" t="b">
        <f t="shared" si="83"/>
        <v>0</v>
      </c>
      <c r="Z369" s="41">
        <v>0</v>
      </c>
      <c r="AA369" s="36"/>
      <c r="AB369" s="36" t="s">
        <v>24</v>
      </c>
      <c r="AC369" s="36" t="s">
        <v>24</v>
      </c>
      <c r="AD369" s="34"/>
      <c r="AE369" s="35">
        <f>IFERROR(INDEX([1]Last6M_AvgSales_Ref!$B$2:$B$12659,MATCH(D369,[1]Last6M_AvgSales_Ref!$A$2:$A$12659,0)),"")</f>
        <v>73.55</v>
      </c>
    </row>
    <row r="370" spans="1:31" ht="14.25" customHeight="1" x14ac:dyDescent="0.3">
      <c r="A370" s="36" t="s">
        <v>24</v>
      </c>
      <c r="B370" s="38" t="s">
        <v>752</v>
      </c>
      <c r="C370" s="38" t="s">
        <v>777</v>
      </c>
      <c r="D370" s="38">
        <v>1000000970</v>
      </c>
      <c r="E370" s="39" t="s">
        <v>778</v>
      </c>
      <c r="F370" s="40">
        <v>44309</v>
      </c>
      <c r="G370" s="22" t="str">
        <f t="shared" si="70"/>
        <v>Targeted Dealer</v>
      </c>
      <c r="H370" s="22"/>
      <c r="I370" s="23">
        <v>1660</v>
      </c>
      <c r="J370" s="23">
        <f t="shared" si="71"/>
        <v>1660</v>
      </c>
      <c r="K370" s="24">
        <v>1360</v>
      </c>
      <c r="L370" s="24">
        <f t="shared" si="72"/>
        <v>300</v>
      </c>
      <c r="M370" s="24">
        <f t="shared" si="73"/>
        <v>81.92771084337349</v>
      </c>
      <c r="N370" s="25">
        <v>1215.8499999999999</v>
      </c>
      <c r="O370" s="26" t="str">
        <f t="shared" si="74"/>
        <v>June</v>
      </c>
      <c r="P370" s="25">
        <f t="shared" si="75"/>
        <v>1215.8499999999999</v>
      </c>
      <c r="Q370" s="27">
        <f t="shared" si="76"/>
        <v>144.15000000000009</v>
      </c>
      <c r="R370" s="26" t="b">
        <f t="shared" si="77"/>
        <v>0</v>
      </c>
      <c r="S370" s="28" t="str">
        <f t="shared" si="78"/>
        <v>GROWTH</v>
      </c>
      <c r="T370" s="24">
        <v>85</v>
      </c>
      <c r="U370" s="29" t="str">
        <f t="shared" si="79"/>
        <v>May</v>
      </c>
      <c r="V370" s="24">
        <f t="shared" si="80"/>
        <v>85</v>
      </c>
      <c r="W370" s="30">
        <f t="shared" si="81"/>
        <v>1275</v>
      </c>
      <c r="X370" s="31" t="b">
        <f t="shared" si="82"/>
        <v>0</v>
      </c>
      <c r="Y370" s="32" t="str">
        <f t="shared" si="83"/>
        <v>GROWTH</v>
      </c>
      <c r="Z370" s="41">
        <v>0</v>
      </c>
      <c r="AA370" s="36"/>
      <c r="AB370" s="36" t="s">
        <v>24</v>
      </c>
      <c r="AC370" s="36" t="s">
        <v>24</v>
      </c>
      <c r="AD370" s="34"/>
      <c r="AE370" s="35">
        <f>IFERROR(INDEX([1]Last6M_AvgSales_Ref!$B$2:$B$12659,MATCH(D370,[1]Last6M_AvgSales_Ref!$A$2:$A$12659,0)),"")</f>
        <v>1996.56666666667</v>
      </c>
    </row>
    <row r="371" spans="1:31" ht="14.25" customHeight="1" x14ac:dyDescent="0.3">
      <c r="A371" s="36" t="s">
        <v>24</v>
      </c>
      <c r="B371" s="38" t="s">
        <v>752</v>
      </c>
      <c r="C371" s="38" t="s">
        <v>779</v>
      </c>
      <c r="D371" s="38">
        <v>1000000975</v>
      </c>
      <c r="E371" s="39" t="s">
        <v>780</v>
      </c>
      <c r="F371" s="40">
        <v>44474</v>
      </c>
      <c r="G371" s="22" t="str">
        <f t="shared" si="70"/>
        <v>Targeted Dealer</v>
      </c>
      <c r="H371" s="22"/>
      <c r="I371" s="23">
        <v>135</v>
      </c>
      <c r="J371" s="23">
        <f t="shared" si="71"/>
        <v>135</v>
      </c>
      <c r="K371" s="24">
        <v>0</v>
      </c>
      <c r="L371" s="24">
        <f t="shared" si="72"/>
        <v>135</v>
      </c>
      <c r="M371" s="24">
        <f t="shared" si="73"/>
        <v>0</v>
      </c>
      <c r="N371" s="25">
        <v>0</v>
      </c>
      <c r="O371" s="26" t="str">
        <f t="shared" si="74"/>
        <v>June</v>
      </c>
      <c r="P371" s="25">
        <f t="shared" si="75"/>
        <v>0</v>
      </c>
      <c r="Q371" s="27">
        <f t="shared" si="76"/>
        <v>0</v>
      </c>
      <c r="R371" s="26" t="b">
        <f t="shared" si="77"/>
        <v>0</v>
      </c>
      <c r="S371" s="28" t="b">
        <f t="shared" si="78"/>
        <v>0</v>
      </c>
      <c r="T371" s="24">
        <v>60</v>
      </c>
      <c r="U371" s="29" t="str">
        <f t="shared" si="79"/>
        <v>May</v>
      </c>
      <c r="V371" s="24">
        <f t="shared" si="80"/>
        <v>60</v>
      </c>
      <c r="W371" s="30">
        <f t="shared" si="81"/>
        <v>-60</v>
      </c>
      <c r="X371" s="31" t="b">
        <f t="shared" si="82"/>
        <v>0</v>
      </c>
      <c r="Y371" s="32" t="str">
        <f t="shared" si="83"/>
        <v>GROWTH</v>
      </c>
      <c r="Z371" s="41">
        <v>0</v>
      </c>
      <c r="AA371" s="36"/>
      <c r="AB371" s="36" t="s">
        <v>24</v>
      </c>
      <c r="AC371" s="36" t="s">
        <v>24</v>
      </c>
      <c r="AD371" s="34"/>
      <c r="AE371" s="35">
        <f>IFERROR(INDEX([1]Last6M_AvgSales_Ref!$B$2:$B$12659,MATCH(D371,[1]Last6M_AvgSales_Ref!$A$2:$A$12659,0)),"")</f>
        <v>182.125</v>
      </c>
    </row>
    <row r="372" spans="1:31" ht="14.25" customHeight="1" x14ac:dyDescent="0.3">
      <c r="A372" s="36" t="s">
        <v>24</v>
      </c>
      <c r="B372" s="38" t="s">
        <v>752</v>
      </c>
      <c r="C372" s="38" t="s">
        <v>781</v>
      </c>
      <c r="D372" s="38">
        <v>1000002823</v>
      </c>
      <c r="E372" s="39" t="s">
        <v>782</v>
      </c>
      <c r="F372" s="40">
        <v>44740</v>
      </c>
      <c r="G372" s="22" t="str">
        <f t="shared" si="70"/>
        <v>Targeted Dealer</v>
      </c>
      <c r="H372" s="22"/>
      <c r="I372" s="23">
        <v>50</v>
      </c>
      <c r="J372" s="23">
        <f t="shared" si="71"/>
        <v>50</v>
      </c>
      <c r="K372" s="24">
        <v>0</v>
      </c>
      <c r="L372" s="24">
        <f t="shared" si="72"/>
        <v>50</v>
      </c>
      <c r="M372" s="24">
        <f t="shared" si="73"/>
        <v>0</v>
      </c>
      <c r="N372" s="25">
        <v>0</v>
      </c>
      <c r="O372" s="26" t="str">
        <f t="shared" si="74"/>
        <v>June</v>
      </c>
      <c r="P372" s="25">
        <f t="shared" si="75"/>
        <v>0</v>
      </c>
      <c r="Q372" s="27">
        <f t="shared" si="76"/>
        <v>0</v>
      </c>
      <c r="R372" s="26" t="b">
        <f t="shared" si="77"/>
        <v>0</v>
      </c>
      <c r="S372" s="28" t="b">
        <f t="shared" si="78"/>
        <v>0</v>
      </c>
      <c r="T372" s="24">
        <v>0</v>
      </c>
      <c r="U372" s="29" t="str">
        <f t="shared" si="79"/>
        <v>May</v>
      </c>
      <c r="V372" s="24">
        <f t="shared" si="80"/>
        <v>0</v>
      </c>
      <c r="W372" s="30">
        <f t="shared" si="81"/>
        <v>0</v>
      </c>
      <c r="X372" s="31" t="b">
        <f t="shared" si="82"/>
        <v>0</v>
      </c>
      <c r="Y372" s="32" t="b">
        <f t="shared" si="83"/>
        <v>0</v>
      </c>
      <c r="Z372" s="41">
        <v>0</v>
      </c>
      <c r="AA372" s="36"/>
      <c r="AB372" s="36" t="s">
        <v>24</v>
      </c>
      <c r="AC372" s="36" t="s">
        <v>24</v>
      </c>
      <c r="AD372" s="34"/>
      <c r="AE372" s="35">
        <f>IFERROR(INDEX([1]Last6M_AvgSales_Ref!$B$2:$B$12659,MATCH(D372,[1]Last6M_AvgSales_Ref!$A$2:$A$12659,0)),"")</f>
        <v>102.583333333333</v>
      </c>
    </row>
    <row r="373" spans="1:31" ht="14.25" customHeight="1" x14ac:dyDescent="0.3">
      <c r="A373" s="36" t="s">
        <v>24</v>
      </c>
      <c r="B373" s="38" t="s">
        <v>752</v>
      </c>
      <c r="C373" s="38" t="s">
        <v>783</v>
      </c>
      <c r="D373" s="38">
        <v>1000003188</v>
      </c>
      <c r="E373" s="38" t="s">
        <v>784</v>
      </c>
      <c r="F373" s="40">
        <v>44923</v>
      </c>
      <c r="G373" s="22" t="str">
        <f t="shared" si="70"/>
        <v>Targeted Dealer</v>
      </c>
      <c r="H373" s="22"/>
      <c r="I373" s="23">
        <v>30</v>
      </c>
      <c r="J373" s="23">
        <f t="shared" si="71"/>
        <v>30</v>
      </c>
      <c r="K373" s="24">
        <v>20</v>
      </c>
      <c r="L373" s="24">
        <f t="shared" si="72"/>
        <v>10</v>
      </c>
      <c r="M373" s="24">
        <f t="shared" si="73"/>
        <v>66.666666666666671</v>
      </c>
      <c r="N373" s="25">
        <v>0</v>
      </c>
      <c r="O373" s="26" t="str">
        <f t="shared" si="74"/>
        <v>June</v>
      </c>
      <c r="P373" s="25">
        <f t="shared" si="75"/>
        <v>0</v>
      </c>
      <c r="Q373" s="27">
        <f t="shared" si="76"/>
        <v>20</v>
      </c>
      <c r="R373" s="26" t="b">
        <f t="shared" si="77"/>
        <v>0</v>
      </c>
      <c r="S373" s="28" t="b">
        <f t="shared" si="78"/>
        <v>0</v>
      </c>
      <c r="T373" s="24">
        <v>25</v>
      </c>
      <c r="U373" s="29" t="str">
        <f t="shared" si="79"/>
        <v>May</v>
      </c>
      <c r="V373" s="24">
        <f t="shared" si="80"/>
        <v>25</v>
      </c>
      <c r="W373" s="30">
        <f t="shared" si="81"/>
        <v>-5</v>
      </c>
      <c r="X373" s="31" t="b">
        <f t="shared" si="82"/>
        <v>0</v>
      </c>
      <c r="Y373" s="32" t="str">
        <f t="shared" si="83"/>
        <v>GROWTH</v>
      </c>
      <c r="Z373" s="41">
        <v>0</v>
      </c>
      <c r="AA373" s="36"/>
      <c r="AB373" s="36" t="s">
        <v>24</v>
      </c>
      <c r="AC373" s="36" t="s">
        <v>24</v>
      </c>
      <c r="AD373" s="34"/>
      <c r="AE373" s="35">
        <f>IFERROR(INDEX([1]Last6M_AvgSales_Ref!$B$2:$B$12659,MATCH(D373,[1]Last6M_AvgSales_Ref!$A$2:$A$12659,0)),"")</f>
        <v>10.5</v>
      </c>
    </row>
    <row r="374" spans="1:31" ht="14.25" customHeight="1" x14ac:dyDescent="0.3">
      <c r="A374" s="36" t="s">
        <v>24</v>
      </c>
      <c r="B374" s="38" t="s">
        <v>752</v>
      </c>
      <c r="C374" s="38" t="s">
        <v>785</v>
      </c>
      <c r="D374" s="38">
        <v>1000003192</v>
      </c>
      <c r="E374" s="38" t="s">
        <v>786</v>
      </c>
      <c r="F374" s="40">
        <v>44924</v>
      </c>
      <c r="G374" s="22" t="str">
        <f t="shared" si="70"/>
        <v>Targeted Dealer</v>
      </c>
      <c r="H374" s="22"/>
      <c r="I374" s="23">
        <v>105</v>
      </c>
      <c r="J374" s="23">
        <f t="shared" si="71"/>
        <v>105</v>
      </c>
      <c r="K374" s="24">
        <v>73</v>
      </c>
      <c r="L374" s="24">
        <f t="shared" si="72"/>
        <v>32</v>
      </c>
      <c r="M374" s="24">
        <f t="shared" si="73"/>
        <v>69.523809523809518</v>
      </c>
      <c r="N374" s="25">
        <v>35</v>
      </c>
      <c r="O374" s="26" t="str">
        <f t="shared" si="74"/>
        <v>June</v>
      </c>
      <c r="P374" s="25">
        <f t="shared" si="75"/>
        <v>35</v>
      </c>
      <c r="Q374" s="27">
        <f t="shared" si="76"/>
        <v>38</v>
      </c>
      <c r="R374" s="26" t="b">
        <f t="shared" si="77"/>
        <v>0</v>
      </c>
      <c r="S374" s="28" t="str">
        <f t="shared" si="78"/>
        <v>GROWTH</v>
      </c>
      <c r="T374" s="24">
        <v>70</v>
      </c>
      <c r="U374" s="29" t="str">
        <f t="shared" si="79"/>
        <v>May</v>
      </c>
      <c r="V374" s="24">
        <f t="shared" si="80"/>
        <v>70</v>
      </c>
      <c r="W374" s="30">
        <f t="shared" si="81"/>
        <v>3</v>
      </c>
      <c r="X374" s="31" t="b">
        <f t="shared" si="82"/>
        <v>0</v>
      </c>
      <c r="Y374" s="32" t="str">
        <f t="shared" si="83"/>
        <v>GROWTH</v>
      </c>
      <c r="Z374" s="41">
        <v>0</v>
      </c>
      <c r="AA374" s="36"/>
      <c r="AB374" s="36" t="s">
        <v>24</v>
      </c>
      <c r="AC374" s="36" t="s">
        <v>24</v>
      </c>
      <c r="AD374" s="34"/>
      <c r="AE374" s="35">
        <f>IFERROR(INDEX([1]Last6M_AvgSales_Ref!$B$2:$B$12659,MATCH(D374,[1]Last6M_AvgSales_Ref!$A$2:$A$12659,0)),"")</f>
        <v>152.583333333333</v>
      </c>
    </row>
    <row r="375" spans="1:31" ht="14.25" customHeight="1" x14ac:dyDescent="0.3">
      <c r="A375" s="36" t="s">
        <v>24</v>
      </c>
      <c r="B375" s="38" t="s">
        <v>752</v>
      </c>
      <c r="C375" s="38" t="s">
        <v>787</v>
      </c>
      <c r="D375" s="38">
        <v>1000003203</v>
      </c>
      <c r="E375" s="38" t="s">
        <v>788</v>
      </c>
      <c r="F375" s="40">
        <v>44926</v>
      </c>
      <c r="G375" s="22" t="str">
        <f t="shared" si="70"/>
        <v>Targeted Dealer</v>
      </c>
      <c r="H375" s="22"/>
      <c r="I375" s="23">
        <v>155</v>
      </c>
      <c r="J375" s="23">
        <f t="shared" si="71"/>
        <v>155</v>
      </c>
      <c r="K375" s="24">
        <v>22</v>
      </c>
      <c r="L375" s="24">
        <f t="shared" si="72"/>
        <v>133</v>
      </c>
      <c r="M375" s="24">
        <f t="shared" si="73"/>
        <v>14.193548387096774</v>
      </c>
      <c r="N375" s="25">
        <v>0</v>
      </c>
      <c r="O375" s="26" t="str">
        <f t="shared" si="74"/>
        <v>June</v>
      </c>
      <c r="P375" s="25">
        <f t="shared" si="75"/>
        <v>0</v>
      </c>
      <c r="Q375" s="27">
        <f t="shared" si="76"/>
        <v>22</v>
      </c>
      <c r="R375" s="26" t="b">
        <f t="shared" si="77"/>
        <v>0</v>
      </c>
      <c r="S375" s="28" t="b">
        <f t="shared" si="78"/>
        <v>0</v>
      </c>
      <c r="T375" s="24">
        <v>120</v>
      </c>
      <c r="U375" s="29" t="str">
        <f t="shared" si="79"/>
        <v>May</v>
      </c>
      <c r="V375" s="24">
        <f t="shared" si="80"/>
        <v>120</v>
      </c>
      <c r="W375" s="30">
        <f t="shared" si="81"/>
        <v>-98</v>
      </c>
      <c r="X375" s="31" t="b">
        <f t="shared" si="82"/>
        <v>0</v>
      </c>
      <c r="Y375" s="32" t="str">
        <f t="shared" si="83"/>
        <v>GROWTH</v>
      </c>
      <c r="Z375" s="41">
        <v>0</v>
      </c>
      <c r="AA375" s="36"/>
      <c r="AB375" s="36" t="s">
        <v>24</v>
      </c>
      <c r="AC375" s="36" t="s">
        <v>24</v>
      </c>
      <c r="AD375" s="34"/>
      <c r="AE375" s="35">
        <f>IFERROR(INDEX([1]Last6M_AvgSales_Ref!$B$2:$B$12659,MATCH(D375,[1]Last6M_AvgSales_Ref!$A$2:$A$12659,0)),"")</f>
        <v>241.666666666667</v>
      </c>
    </row>
    <row r="376" spans="1:31" ht="14.25" customHeight="1" x14ac:dyDescent="0.3">
      <c r="A376" s="36" t="s">
        <v>24</v>
      </c>
      <c r="B376" s="38" t="s">
        <v>752</v>
      </c>
      <c r="C376" s="38" t="s">
        <v>789</v>
      </c>
      <c r="D376" s="38">
        <v>1000003386</v>
      </c>
      <c r="E376" s="38" t="s">
        <v>790</v>
      </c>
      <c r="F376" s="40">
        <v>44983</v>
      </c>
      <c r="G376" s="22" t="str">
        <f t="shared" si="70"/>
        <v>Targeted Dealer</v>
      </c>
      <c r="H376" s="22"/>
      <c r="I376" s="23">
        <v>60</v>
      </c>
      <c r="J376" s="23">
        <f t="shared" si="71"/>
        <v>60</v>
      </c>
      <c r="K376" s="24">
        <v>35</v>
      </c>
      <c r="L376" s="24">
        <f t="shared" si="72"/>
        <v>25</v>
      </c>
      <c r="M376" s="24">
        <f t="shared" si="73"/>
        <v>58.333333333333336</v>
      </c>
      <c r="N376" s="25">
        <v>45</v>
      </c>
      <c r="O376" s="26" t="str">
        <f t="shared" si="74"/>
        <v>June</v>
      </c>
      <c r="P376" s="25">
        <f t="shared" si="75"/>
        <v>45</v>
      </c>
      <c r="Q376" s="27">
        <f t="shared" si="76"/>
        <v>-10</v>
      </c>
      <c r="R376" s="26" t="b">
        <f t="shared" si="77"/>
        <v>0</v>
      </c>
      <c r="S376" s="28" t="str">
        <f t="shared" si="78"/>
        <v>GROWTH</v>
      </c>
      <c r="T376" s="24">
        <v>56</v>
      </c>
      <c r="U376" s="29" t="str">
        <f t="shared" si="79"/>
        <v>May</v>
      </c>
      <c r="V376" s="24">
        <f t="shared" si="80"/>
        <v>56</v>
      </c>
      <c r="W376" s="30">
        <f t="shared" si="81"/>
        <v>-21</v>
      </c>
      <c r="X376" s="31" t="b">
        <f t="shared" si="82"/>
        <v>0</v>
      </c>
      <c r="Y376" s="32" t="str">
        <f t="shared" si="83"/>
        <v>GROWTH</v>
      </c>
      <c r="Z376" s="41">
        <v>0</v>
      </c>
      <c r="AA376" s="36"/>
      <c r="AB376" s="36" t="s">
        <v>24</v>
      </c>
      <c r="AC376" s="36" t="s">
        <v>24</v>
      </c>
      <c r="AD376" s="34"/>
      <c r="AE376" s="35">
        <f>IFERROR(INDEX([1]Last6M_AvgSales_Ref!$B$2:$B$12659,MATCH(D376,[1]Last6M_AvgSales_Ref!$A$2:$A$12659,0)),"")</f>
        <v>87</v>
      </c>
    </row>
    <row r="377" spans="1:31" ht="14.25" customHeight="1" x14ac:dyDescent="0.3">
      <c r="A377" s="36" t="s">
        <v>24</v>
      </c>
      <c r="B377" s="38" t="s">
        <v>752</v>
      </c>
      <c r="C377" s="38" t="s">
        <v>791</v>
      </c>
      <c r="D377" s="38">
        <v>1000003785</v>
      </c>
      <c r="E377" s="38" t="s">
        <v>792</v>
      </c>
      <c r="F377" s="40">
        <v>45273</v>
      </c>
      <c r="G377" s="22" t="str">
        <f t="shared" si="70"/>
        <v>Targeted Dealer</v>
      </c>
      <c r="H377" s="22"/>
      <c r="I377" s="23">
        <v>850</v>
      </c>
      <c r="J377" s="23">
        <f t="shared" si="71"/>
        <v>850</v>
      </c>
      <c r="K377" s="24">
        <v>1274</v>
      </c>
      <c r="L377" s="24">
        <f t="shared" si="72"/>
        <v>-424</v>
      </c>
      <c r="M377" s="24">
        <f t="shared" si="73"/>
        <v>149.88235294117646</v>
      </c>
      <c r="N377" s="25">
        <v>707.75</v>
      </c>
      <c r="O377" s="26" t="str">
        <f t="shared" si="74"/>
        <v>June</v>
      </c>
      <c r="P377" s="25">
        <f t="shared" si="75"/>
        <v>707.75</v>
      </c>
      <c r="Q377" s="27">
        <f t="shared" si="76"/>
        <v>566.25</v>
      </c>
      <c r="R377" s="26" t="b">
        <f t="shared" si="77"/>
        <v>0</v>
      </c>
      <c r="S377" s="28" t="str">
        <f t="shared" si="78"/>
        <v>GROWTH</v>
      </c>
      <c r="T377" s="24">
        <v>518</v>
      </c>
      <c r="U377" s="29" t="str">
        <f t="shared" si="79"/>
        <v>May</v>
      </c>
      <c r="V377" s="24">
        <f t="shared" si="80"/>
        <v>518</v>
      </c>
      <c r="W377" s="30">
        <f t="shared" si="81"/>
        <v>756</v>
      </c>
      <c r="X377" s="31" t="b">
        <f t="shared" si="82"/>
        <v>0</v>
      </c>
      <c r="Y377" s="32" t="str">
        <f t="shared" si="83"/>
        <v>GROWTH</v>
      </c>
      <c r="Z377" s="41">
        <v>0</v>
      </c>
      <c r="AA377" s="36"/>
      <c r="AB377" s="36" t="s">
        <v>24</v>
      </c>
      <c r="AC377" s="36" t="s">
        <v>24</v>
      </c>
      <c r="AD377" s="34"/>
      <c r="AE377" s="35">
        <f>IFERROR(INDEX([1]Last6M_AvgSales_Ref!$B$2:$B$12659,MATCH(D377,[1]Last6M_AvgSales_Ref!$A$2:$A$12659,0)),"")</f>
        <v>1520.7750000000001</v>
      </c>
    </row>
    <row r="378" spans="1:31" ht="14.25" customHeight="1" x14ac:dyDescent="0.3">
      <c r="A378" s="36" t="s">
        <v>24</v>
      </c>
      <c r="B378" s="38" t="s">
        <v>752</v>
      </c>
      <c r="C378" s="38" t="s">
        <v>793</v>
      </c>
      <c r="D378" s="42">
        <v>1000003822</v>
      </c>
      <c r="E378" s="42" t="s">
        <v>794</v>
      </c>
      <c r="F378" s="43">
        <v>45310</v>
      </c>
      <c r="G378" s="22" t="str">
        <f t="shared" si="70"/>
        <v>Targeted Dealer</v>
      </c>
      <c r="H378" s="22"/>
      <c r="I378" s="23">
        <v>185</v>
      </c>
      <c r="J378" s="23">
        <f t="shared" si="71"/>
        <v>185</v>
      </c>
      <c r="K378" s="24">
        <v>63</v>
      </c>
      <c r="L378" s="24">
        <f t="shared" si="72"/>
        <v>122</v>
      </c>
      <c r="M378" s="24">
        <f t="shared" si="73"/>
        <v>34.054054054054049</v>
      </c>
      <c r="N378" s="25">
        <v>30</v>
      </c>
      <c r="O378" s="26" t="str">
        <f t="shared" si="74"/>
        <v>June</v>
      </c>
      <c r="P378" s="25">
        <f t="shared" si="75"/>
        <v>30</v>
      </c>
      <c r="Q378" s="27">
        <f t="shared" si="76"/>
        <v>33</v>
      </c>
      <c r="R378" s="26" t="b">
        <f t="shared" si="77"/>
        <v>0</v>
      </c>
      <c r="S378" s="28" t="str">
        <f t="shared" si="78"/>
        <v>GROWTH</v>
      </c>
      <c r="T378" s="24">
        <v>172</v>
      </c>
      <c r="U378" s="29" t="str">
        <f t="shared" si="79"/>
        <v>May</v>
      </c>
      <c r="V378" s="24">
        <f t="shared" si="80"/>
        <v>172</v>
      </c>
      <c r="W378" s="30">
        <f t="shared" si="81"/>
        <v>-109</v>
      </c>
      <c r="X378" s="31" t="b">
        <f t="shared" si="82"/>
        <v>0</v>
      </c>
      <c r="Y378" s="32" t="str">
        <f t="shared" si="83"/>
        <v>GROWTH</v>
      </c>
      <c r="Z378" s="41">
        <v>0</v>
      </c>
      <c r="AA378" s="36"/>
      <c r="AB378" s="36" t="s">
        <v>24</v>
      </c>
      <c r="AC378" s="36" t="s">
        <v>24</v>
      </c>
      <c r="AD378" s="34"/>
      <c r="AE378" s="35">
        <f>IFERROR(INDEX([1]Last6M_AvgSales_Ref!$B$2:$B$12659,MATCH(D378,[1]Last6M_AvgSales_Ref!$A$2:$A$12659,0)),"")</f>
        <v>74</v>
      </c>
    </row>
    <row r="379" spans="1:31" ht="14.25" customHeight="1" x14ac:dyDescent="0.3">
      <c r="A379" s="41" t="s">
        <v>24</v>
      </c>
      <c r="B379" s="44" t="s">
        <v>752</v>
      </c>
      <c r="C379" s="44" t="s">
        <v>795</v>
      </c>
      <c r="D379" s="44">
        <v>1000003908</v>
      </c>
      <c r="E379" s="44" t="s">
        <v>796</v>
      </c>
      <c r="F379" s="40">
        <v>45392</v>
      </c>
      <c r="G379" s="22" t="str">
        <f t="shared" si="70"/>
        <v>Targeted Dealer</v>
      </c>
      <c r="H379" s="22"/>
      <c r="I379" s="23">
        <v>110</v>
      </c>
      <c r="J379" s="23">
        <f t="shared" si="71"/>
        <v>110</v>
      </c>
      <c r="K379" s="24">
        <v>208</v>
      </c>
      <c r="L379" s="24">
        <f t="shared" si="72"/>
        <v>-98</v>
      </c>
      <c r="M379" s="24">
        <f t="shared" si="73"/>
        <v>189.09090909090907</v>
      </c>
      <c r="N379" s="25">
        <v>0</v>
      </c>
      <c r="O379" s="26" t="str">
        <f t="shared" si="74"/>
        <v>June</v>
      </c>
      <c r="P379" s="25">
        <f t="shared" si="75"/>
        <v>0</v>
      </c>
      <c r="Q379" s="27">
        <f t="shared" si="76"/>
        <v>208</v>
      </c>
      <c r="R379" s="26" t="b">
        <f t="shared" si="77"/>
        <v>0</v>
      </c>
      <c r="S379" s="28" t="b">
        <f t="shared" si="78"/>
        <v>0</v>
      </c>
      <c r="T379" s="24">
        <v>110</v>
      </c>
      <c r="U379" s="29" t="str">
        <f t="shared" si="79"/>
        <v>May</v>
      </c>
      <c r="V379" s="24">
        <f t="shared" si="80"/>
        <v>110</v>
      </c>
      <c r="W379" s="30">
        <f t="shared" si="81"/>
        <v>98</v>
      </c>
      <c r="X379" s="31" t="b">
        <f t="shared" si="82"/>
        <v>0</v>
      </c>
      <c r="Y379" s="32" t="str">
        <f t="shared" si="83"/>
        <v>GROWTH</v>
      </c>
      <c r="Z379" s="41">
        <v>0</v>
      </c>
      <c r="AA379" s="36"/>
      <c r="AB379" s="36" t="s">
        <v>24</v>
      </c>
      <c r="AC379" s="41" t="s">
        <v>24</v>
      </c>
      <c r="AD379" s="34"/>
      <c r="AE379" s="35">
        <f>IFERROR(INDEX([1]Last6M_AvgSales_Ref!$B$2:$B$12659,MATCH(D379,[1]Last6M_AvgSales_Ref!$A$2:$A$12659,0)),"")</f>
        <v>422.566666666667</v>
      </c>
    </row>
    <row r="380" spans="1:31" ht="14.25" customHeight="1" x14ac:dyDescent="0.3">
      <c r="A380" s="41" t="s">
        <v>24</v>
      </c>
      <c r="B380" s="44" t="s">
        <v>752</v>
      </c>
      <c r="C380" s="44" t="s">
        <v>797</v>
      </c>
      <c r="D380" s="44">
        <v>1000003935</v>
      </c>
      <c r="E380" s="44" t="s">
        <v>798</v>
      </c>
      <c r="F380" s="40">
        <v>45412</v>
      </c>
      <c r="G380" s="22" t="str">
        <f t="shared" si="70"/>
        <v>Targeted Dealer</v>
      </c>
      <c r="H380" s="22"/>
      <c r="I380" s="23">
        <v>240</v>
      </c>
      <c r="J380" s="23">
        <f t="shared" si="71"/>
        <v>240</v>
      </c>
      <c r="K380" s="24">
        <v>104</v>
      </c>
      <c r="L380" s="24">
        <f t="shared" si="72"/>
        <v>136</v>
      </c>
      <c r="M380" s="24">
        <f t="shared" si="73"/>
        <v>43.333333333333336</v>
      </c>
      <c r="N380" s="25">
        <v>73</v>
      </c>
      <c r="O380" s="26" t="str">
        <f t="shared" si="74"/>
        <v>June</v>
      </c>
      <c r="P380" s="25">
        <f t="shared" si="75"/>
        <v>73</v>
      </c>
      <c r="Q380" s="27">
        <f t="shared" si="76"/>
        <v>31</v>
      </c>
      <c r="R380" s="26" t="b">
        <f t="shared" si="77"/>
        <v>0</v>
      </c>
      <c r="S380" s="28" t="str">
        <f t="shared" si="78"/>
        <v>GROWTH</v>
      </c>
      <c r="T380" s="24">
        <v>219</v>
      </c>
      <c r="U380" s="29" t="str">
        <f t="shared" si="79"/>
        <v>May</v>
      </c>
      <c r="V380" s="24">
        <f t="shared" si="80"/>
        <v>219</v>
      </c>
      <c r="W380" s="30">
        <f t="shared" si="81"/>
        <v>-115</v>
      </c>
      <c r="X380" s="31" t="b">
        <f t="shared" si="82"/>
        <v>0</v>
      </c>
      <c r="Y380" s="32" t="str">
        <f t="shared" si="83"/>
        <v>GROWTH</v>
      </c>
      <c r="Z380" s="41">
        <v>0</v>
      </c>
      <c r="AA380" s="36"/>
      <c r="AB380" s="36" t="s">
        <v>24</v>
      </c>
      <c r="AC380" s="41" t="s">
        <v>24</v>
      </c>
      <c r="AD380" s="34"/>
      <c r="AE380" s="35">
        <f>IFERROR(INDEX([1]Last6M_AvgSales_Ref!$B$2:$B$12659,MATCH(D380,[1]Last6M_AvgSales_Ref!$A$2:$A$12659,0)),"")</f>
        <v>174.1</v>
      </c>
    </row>
    <row r="381" spans="1:31" ht="14.25" customHeight="1" x14ac:dyDescent="0.3">
      <c r="A381" s="41" t="s">
        <v>24</v>
      </c>
      <c r="B381" s="44" t="s">
        <v>752</v>
      </c>
      <c r="C381" s="44" t="s">
        <v>799</v>
      </c>
      <c r="D381" s="44">
        <v>1000004104</v>
      </c>
      <c r="E381" s="44" t="s">
        <v>800</v>
      </c>
      <c r="F381" s="40">
        <v>45534</v>
      </c>
      <c r="G381" s="22" t="str">
        <f t="shared" si="70"/>
        <v>-</v>
      </c>
      <c r="H381" s="22"/>
      <c r="I381" s="23">
        <v>0</v>
      </c>
      <c r="J381" s="23">
        <f t="shared" si="71"/>
        <v>0</v>
      </c>
      <c r="K381" s="24">
        <v>0</v>
      </c>
      <c r="L381" s="24">
        <f t="shared" si="72"/>
        <v>0</v>
      </c>
      <c r="M381" s="24" t="str">
        <f t="shared" si="73"/>
        <v>-</v>
      </c>
      <c r="N381" s="25">
        <v>0</v>
      </c>
      <c r="O381" s="26" t="str">
        <f t="shared" si="74"/>
        <v>June</v>
      </c>
      <c r="P381" s="25">
        <f t="shared" si="75"/>
        <v>0</v>
      </c>
      <c r="Q381" s="27">
        <f t="shared" si="76"/>
        <v>0</v>
      </c>
      <c r="R381" s="26" t="b">
        <f t="shared" si="77"/>
        <v>0</v>
      </c>
      <c r="S381" s="28" t="b">
        <f t="shared" si="78"/>
        <v>0</v>
      </c>
      <c r="T381" s="24">
        <v>0</v>
      </c>
      <c r="U381" s="29" t="str">
        <f t="shared" si="79"/>
        <v>May</v>
      </c>
      <c r="V381" s="24">
        <f t="shared" si="80"/>
        <v>0</v>
      </c>
      <c r="W381" s="30">
        <f t="shared" si="81"/>
        <v>0</v>
      </c>
      <c r="X381" s="31" t="b">
        <f t="shared" si="82"/>
        <v>0</v>
      </c>
      <c r="Y381" s="32" t="b">
        <f t="shared" si="83"/>
        <v>0</v>
      </c>
      <c r="Z381" s="41">
        <v>0</v>
      </c>
      <c r="AA381" s="36"/>
      <c r="AB381" s="36" t="s">
        <v>24</v>
      </c>
      <c r="AC381" s="41" t="s">
        <v>24</v>
      </c>
      <c r="AD381" s="34"/>
      <c r="AE381" s="35">
        <f>IFERROR(INDEX([1]Last6M_AvgSales_Ref!$B$2:$B$12659,MATCH(D381,[1]Last6M_AvgSales_Ref!$A$2:$A$12659,0)),"")</f>
        <v>23.3333333333333</v>
      </c>
    </row>
    <row r="382" spans="1:31" ht="14.25" customHeight="1" x14ac:dyDescent="0.3">
      <c r="A382" s="36" t="s">
        <v>24</v>
      </c>
      <c r="B382" s="38" t="s">
        <v>801</v>
      </c>
      <c r="C382" s="38" t="s">
        <v>802</v>
      </c>
      <c r="D382" s="38">
        <v>1000000630</v>
      </c>
      <c r="E382" s="39" t="s">
        <v>803</v>
      </c>
      <c r="F382" s="40">
        <v>41479</v>
      </c>
      <c r="G382" s="22" t="str">
        <f t="shared" si="70"/>
        <v>Targeted Dealer</v>
      </c>
      <c r="H382" s="22"/>
      <c r="I382" s="23">
        <v>35</v>
      </c>
      <c r="J382" s="23">
        <f t="shared" si="71"/>
        <v>35</v>
      </c>
      <c r="K382" s="24">
        <v>35</v>
      </c>
      <c r="L382" s="24">
        <f t="shared" si="72"/>
        <v>0</v>
      </c>
      <c r="M382" s="24">
        <f t="shared" si="73"/>
        <v>100</v>
      </c>
      <c r="N382" s="25">
        <v>0</v>
      </c>
      <c r="O382" s="26" t="str">
        <f t="shared" si="74"/>
        <v>June</v>
      </c>
      <c r="P382" s="25">
        <f t="shared" si="75"/>
        <v>0</v>
      </c>
      <c r="Q382" s="27">
        <f t="shared" si="76"/>
        <v>35</v>
      </c>
      <c r="R382" s="26" t="b">
        <f t="shared" si="77"/>
        <v>0</v>
      </c>
      <c r="S382" s="28" t="b">
        <f t="shared" si="78"/>
        <v>0</v>
      </c>
      <c r="T382" s="24">
        <v>0</v>
      </c>
      <c r="U382" s="29" t="str">
        <f t="shared" si="79"/>
        <v>May</v>
      </c>
      <c r="V382" s="24">
        <f t="shared" si="80"/>
        <v>0</v>
      </c>
      <c r="W382" s="30">
        <f t="shared" si="81"/>
        <v>35</v>
      </c>
      <c r="X382" s="31" t="b">
        <f t="shared" si="82"/>
        <v>0</v>
      </c>
      <c r="Y382" s="32" t="b">
        <f t="shared" si="83"/>
        <v>0</v>
      </c>
      <c r="Z382" s="41">
        <v>0</v>
      </c>
      <c r="AA382" s="36"/>
      <c r="AB382" s="36" t="s">
        <v>24</v>
      </c>
      <c r="AC382" s="36" t="s">
        <v>24</v>
      </c>
      <c r="AD382" s="34"/>
      <c r="AE382" s="35">
        <f>IFERROR(INDEX([1]Last6M_AvgSales_Ref!$B$2:$B$12659,MATCH(D382,[1]Last6M_AvgSales_Ref!$A$2:$A$12659,0)),"")</f>
        <v>29.1666666666667</v>
      </c>
    </row>
    <row r="383" spans="1:31" ht="14.25" customHeight="1" x14ac:dyDescent="0.3">
      <c r="A383" s="36" t="s">
        <v>24</v>
      </c>
      <c r="B383" s="38" t="s">
        <v>801</v>
      </c>
      <c r="C383" s="38" t="s">
        <v>804</v>
      </c>
      <c r="D383" s="38">
        <v>1000000620</v>
      </c>
      <c r="E383" s="39" t="s">
        <v>805</v>
      </c>
      <c r="F383" s="40">
        <v>41645</v>
      </c>
      <c r="G383" s="22" t="str">
        <f t="shared" si="70"/>
        <v>Targeted Dealer</v>
      </c>
      <c r="H383" s="22"/>
      <c r="I383" s="23">
        <v>315</v>
      </c>
      <c r="J383" s="23">
        <f t="shared" si="71"/>
        <v>315</v>
      </c>
      <c r="K383" s="24">
        <v>648</v>
      </c>
      <c r="L383" s="24">
        <f t="shared" si="72"/>
        <v>-333</v>
      </c>
      <c r="M383" s="24">
        <f t="shared" si="73"/>
        <v>205.71428571428572</v>
      </c>
      <c r="N383" s="25">
        <v>240</v>
      </c>
      <c r="O383" s="26" t="str">
        <f t="shared" si="74"/>
        <v>June</v>
      </c>
      <c r="P383" s="25">
        <f t="shared" si="75"/>
        <v>240</v>
      </c>
      <c r="Q383" s="27">
        <f t="shared" si="76"/>
        <v>408</v>
      </c>
      <c r="R383" s="26" t="b">
        <f t="shared" si="77"/>
        <v>0</v>
      </c>
      <c r="S383" s="28" t="str">
        <f t="shared" si="78"/>
        <v>GROWTH</v>
      </c>
      <c r="T383" s="24">
        <v>320</v>
      </c>
      <c r="U383" s="29" t="str">
        <f t="shared" si="79"/>
        <v>May</v>
      </c>
      <c r="V383" s="24">
        <f t="shared" si="80"/>
        <v>320</v>
      </c>
      <c r="W383" s="30">
        <f t="shared" si="81"/>
        <v>328</v>
      </c>
      <c r="X383" s="31" t="b">
        <f t="shared" si="82"/>
        <v>0</v>
      </c>
      <c r="Y383" s="32" t="str">
        <f t="shared" si="83"/>
        <v>GROWTH</v>
      </c>
      <c r="Z383" s="41">
        <v>0</v>
      </c>
      <c r="AA383" s="36"/>
      <c r="AB383" s="36" t="s">
        <v>24</v>
      </c>
      <c r="AC383" s="36" t="s">
        <v>24</v>
      </c>
      <c r="AD383" s="34"/>
      <c r="AE383" s="35">
        <f>IFERROR(INDEX([1]Last6M_AvgSales_Ref!$B$2:$B$12659,MATCH(D383,[1]Last6M_AvgSales_Ref!$A$2:$A$12659,0)),"")</f>
        <v>351.66666666666703</v>
      </c>
    </row>
    <row r="384" spans="1:31" ht="14.25" customHeight="1" x14ac:dyDescent="0.3">
      <c r="A384" s="36" t="s">
        <v>24</v>
      </c>
      <c r="B384" s="38" t="s">
        <v>801</v>
      </c>
      <c r="C384" s="38" t="s">
        <v>806</v>
      </c>
      <c r="D384" s="38">
        <v>1000000624</v>
      </c>
      <c r="E384" s="39" t="s">
        <v>807</v>
      </c>
      <c r="F384" s="40">
        <v>41766</v>
      </c>
      <c r="G384" s="22" t="str">
        <f t="shared" si="70"/>
        <v>-</v>
      </c>
      <c r="H384" s="22"/>
      <c r="I384" s="23">
        <v>0</v>
      </c>
      <c r="J384" s="23">
        <f t="shared" si="71"/>
        <v>0</v>
      </c>
      <c r="K384" s="24">
        <v>0</v>
      </c>
      <c r="L384" s="24">
        <f t="shared" si="72"/>
        <v>0</v>
      </c>
      <c r="M384" s="24" t="str">
        <f t="shared" si="73"/>
        <v>-</v>
      </c>
      <c r="N384" s="25">
        <v>0</v>
      </c>
      <c r="O384" s="26" t="str">
        <f t="shared" si="74"/>
        <v>June</v>
      </c>
      <c r="P384" s="25">
        <f t="shared" si="75"/>
        <v>0</v>
      </c>
      <c r="Q384" s="27">
        <f t="shared" si="76"/>
        <v>0</v>
      </c>
      <c r="R384" s="26" t="b">
        <f t="shared" si="77"/>
        <v>0</v>
      </c>
      <c r="S384" s="28" t="b">
        <f t="shared" si="78"/>
        <v>0</v>
      </c>
      <c r="T384" s="24">
        <v>595</v>
      </c>
      <c r="U384" s="29" t="str">
        <f t="shared" si="79"/>
        <v>May</v>
      </c>
      <c r="V384" s="24">
        <f t="shared" si="80"/>
        <v>595</v>
      </c>
      <c r="W384" s="30">
        <f t="shared" si="81"/>
        <v>-595</v>
      </c>
      <c r="X384" s="31" t="b">
        <f t="shared" si="82"/>
        <v>0</v>
      </c>
      <c r="Y384" s="32" t="str">
        <f t="shared" si="83"/>
        <v>GROWTH</v>
      </c>
      <c r="Z384" s="41">
        <v>0</v>
      </c>
      <c r="AA384" s="36"/>
      <c r="AB384" s="36" t="s">
        <v>24</v>
      </c>
      <c r="AC384" s="36" t="s">
        <v>24</v>
      </c>
      <c r="AD384" s="34"/>
      <c r="AE384" s="35">
        <f>IFERROR(INDEX([1]Last6M_AvgSales_Ref!$B$2:$B$12659,MATCH(D384,[1]Last6M_AvgSales_Ref!$A$2:$A$12659,0)),"")</f>
        <v>627.42499999999995</v>
      </c>
    </row>
    <row r="385" spans="1:31" ht="14.25" customHeight="1" x14ac:dyDescent="0.3">
      <c r="A385" s="36" t="s">
        <v>24</v>
      </c>
      <c r="B385" s="38" t="s">
        <v>801</v>
      </c>
      <c r="C385" s="38" t="s">
        <v>808</v>
      </c>
      <c r="D385" s="38">
        <v>1000000631</v>
      </c>
      <c r="E385" s="39" t="s">
        <v>809</v>
      </c>
      <c r="F385" s="40">
        <v>41892</v>
      </c>
      <c r="G385" s="22" t="str">
        <f t="shared" si="70"/>
        <v>Targeted Dealer</v>
      </c>
      <c r="H385" s="22"/>
      <c r="I385" s="23">
        <v>900</v>
      </c>
      <c r="J385" s="23">
        <f t="shared" si="71"/>
        <v>900</v>
      </c>
      <c r="K385" s="24">
        <v>1010</v>
      </c>
      <c r="L385" s="24">
        <f t="shared" si="72"/>
        <v>-110</v>
      </c>
      <c r="M385" s="24">
        <f t="shared" si="73"/>
        <v>112.22222222222223</v>
      </c>
      <c r="N385" s="25">
        <v>625</v>
      </c>
      <c r="O385" s="26" t="str">
        <f t="shared" si="74"/>
        <v>June</v>
      </c>
      <c r="P385" s="25">
        <f t="shared" si="75"/>
        <v>625</v>
      </c>
      <c r="Q385" s="27">
        <f t="shared" si="76"/>
        <v>385</v>
      </c>
      <c r="R385" s="26" t="b">
        <f t="shared" si="77"/>
        <v>0</v>
      </c>
      <c r="S385" s="28" t="str">
        <f t="shared" si="78"/>
        <v>GROWTH</v>
      </c>
      <c r="T385" s="24">
        <v>840</v>
      </c>
      <c r="U385" s="29" t="str">
        <f t="shared" si="79"/>
        <v>May</v>
      </c>
      <c r="V385" s="24">
        <f t="shared" si="80"/>
        <v>840</v>
      </c>
      <c r="W385" s="30">
        <f t="shared" si="81"/>
        <v>170</v>
      </c>
      <c r="X385" s="31" t="b">
        <f t="shared" si="82"/>
        <v>0</v>
      </c>
      <c r="Y385" s="32" t="str">
        <f t="shared" si="83"/>
        <v>GROWTH</v>
      </c>
      <c r="Z385" s="41">
        <v>0</v>
      </c>
      <c r="AA385" s="36"/>
      <c r="AB385" s="36" t="s">
        <v>24</v>
      </c>
      <c r="AC385" s="36" t="s">
        <v>24</v>
      </c>
      <c r="AD385" s="34"/>
      <c r="AE385" s="35">
        <f>IFERROR(INDEX([1]Last6M_AvgSales_Ref!$B$2:$B$12659,MATCH(D385,[1]Last6M_AvgSales_Ref!$A$2:$A$12659,0)),"")</f>
        <v>866.5</v>
      </c>
    </row>
    <row r="386" spans="1:31" ht="14.25" customHeight="1" x14ac:dyDescent="0.3">
      <c r="A386" s="36" t="s">
        <v>24</v>
      </c>
      <c r="B386" s="38" t="s">
        <v>801</v>
      </c>
      <c r="C386" s="38" t="s">
        <v>810</v>
      </c>
      <c r="D386" s="38">
        <v>1000000621</v>
      </c>
      <c r="E386" s="39" t="s">
        <v>811</v>
      </c>
      <c r="F386" s="40">
        <v>41913</v>
      </c>
      <c r="G386" s="22" t="str">
        <f t="shared" si="70"/>
        <v>Targeted Dealer</v>
      </c>
      <c r="H386" s="22"/>
      <c r="I386" s="23">
        <v>2105</v>
      </c>
      <c r="J386" s="23">
        <f t="shared" si="71"/>
        <v>2105</v>
      </c>
      <c r="K386" s="24">
        <v>1685.95</v>
      </c>
      <c r="L386" s="24">
        <f t="shared" si="72"/>
        <v>419.04999999999995</v>
      </c>
      <c r="M386" s="24">
        <f t="shared" si="73"/>
        <v>80.092636579572442</v>
      </c>
      <c r="N386" s="25">
        <v>1840</v>
      </c>
      <c r="O386" s="26" t="str">
        <f t="shared" si="74"/>
        <v>June</v>
      </c>
      <c r="P386" s="25">
        <f t="shared" si="75"/>
        <v>1840</v>
      </c>
      <c r="Q386" s="27">
        <f t="shared" si="76"/>
        <v>-154.04999999999995</v>
      </c>
      <c r="R386" s="26" t="b">
        <f t="shared" si="77"/>
        <v>0</v>
      </c>
      <c r="S386" s="28" t="str">
        <f t="shared" si="78"/>
        <v>GROWTH</v>
      </c>
      <c r="T386" s="24">
        <v>2477.3000000000002</v>
      </c>
      <c r="U386" s="29" t="str">
        <f t="shared" si="79"/>
        <v>May</v>
      </c>
      <c r="V386" s="24">
        <f t="shared" si="80"/>
        <v>2477.3000000000002</v>
      </c>
      <c r="W386" s="30">
        <f t="shared" si="81"/>
        <v>-791.35000000000014</v>
      </c>
      <c r="X386" s="31" t="b">
        <f t="shared" si="82"/>
        <v>0</v>
      </c>
      <c r="Y386" s="32" t="str">
        <f t="shared" si="83"/>
        <v>GROWTH</v>
      </c>
      <c r="Z386" s="41">
        <v>0</v>
      </c>
      <c r="AA386" s="36"/>
      <c r="AB386" s="36" t="s">
        <v>24</v>
      </c>
      <c r="AC386" s="36" t="s">
        <v>24</v>
      </c>
      <c r="AD386" s="34"/>
      <c r="AE386" s="35">
        <f>IFERROR(INDEX([1]Last6M_AvgSales_Ref!$B$2:$B$12659,MATCH(D386,[1]Last6M_AvgSales_Ref!$A$2:$A$12659,0)),"")</f>
        <v>3244.45</v>
      </c>
    </row>
    <row r="387" spans="1:31" ht="14.25" customHeight="1" x14ac:dyDescent="0.3">
      <c r="A387" s="36" t="s">
        <v>24</v>
      </c>
      <c r="B387" s="38" t="s">
        <v>801</v>
      </c>
      <c r="C387" s="38" t="s">
        <v>812</v>
      </c>
      <c r="D387" s="38">
        <v>1000000629</v>
      </c>
      <c r="E387" s="39" t="s">
        <v>813</v>
      </c>
      <c r="F387" s="40">
        <v>42487</v>
      </c>
      <c r="G387" s="22" t="str">
        <f t="shared" ref="G387:G450" si="84">IF(I387&gt;0,"Targeted Dealer","-")</f>
        <v>Targeted Dealer</v>
      </c>
      <c r="H387" s="22"/>
      <c r="I387" s="23">
        <v>1000</v>
      </c>
      <c r="J387" s="23">
        <f t="shared" ref="J387:J450" si="85">I387/$J$1*($J$1-$E$1)</f>
        <v>1000.0000000000001</v>
      </c>
      <c r="K387" s="24">
        <v>1260</v>
      </c>
      <c r="L387" s="24">
        <f t="shared" ref="L387:L450" si="86">I387-K387</f>
        <v>-260</v>
      </c>
      <c r="M387" s="24">
        <f t="shared" ref="M387:M450" si="87">IFERROR((K387/J387%),"-")</f>
        <v>125.99999999999997</v>
      </c>
      <c r="N387" s="25">
        <v>825</v>
      </c>
      <c r="O387" s="26" t="str">
        <f t="shared" ref="O387:O450" si="88">IF(F387&lt;=$P$2,"June","")</f>
        <v>June</v>
      </c>
      <c r="P387" s="25">
        <f t="shared" ref="P387:P450" si="89">N387</f>
        <v>825</v>
      </c>
      <c r="Q387" s="27">
        <f t="shared" ref="Q387:Q450" si="90">K387-P387</f>
        <v>435</v>
      </c>
      <c r="R387" s="26" t="b">
        <f t="shared" ref="R387:R450" si="91">IFERROR(IF(O387="May",(K387/P387-1))," ")</f>
        <v>0</v>
      </c>
      <c r="S387" s="28" t="str">
        <f t="shared" ref="S387:S450" si="92">IF(N387&gt;0,IF(O387="","-",IF(R387&lt;0%,"DEGROWTH","GROWTH")))</f>
        <v>GROWTH</v>
      </c>
      <c r="T387" s="24">
        <v>889.45</v>
      </c>
      <c r="U387" s="29" t="str">
        <f t="shared" ref="U387:U450" si="93">IF(F387&lt;=$V$2,"May","")</f>
        <v>May</v>
      </c>
      <c r="V387" s="24">
        <f t="shared" ref="V387:V450" si="94">T387</f>
        <v>889.45</v>
      </c>
      <c r="W387" s="30">
        <f t="shared" ref="W387:W450" si="95">K387-V387</f>
        <v>370.54999999999995</v>
      </c>
      <c r="X387" s="31" t="b">
        <f t="shared" ref="X387:X450" si="96">IFERROR(IF(U387="June",(K387/V387-1)),0)</f>
        <v>0</v>
      </c>
      <c r="Y387" s="32" t="str">
        <f t="shared" ref="Y387:Y450" si="97">IF(T387&gt;0,IF(U387="","-",IF(X387&lt;0%,"DEGROWTH","GROWTH")))</f>
        <v>GROWTH</v>
      </c>
      <c r="Z387" s="41">
        <v>0</v>
      </c>
      <c r="AA387" s="36"/>
      <c r="AB387" s="36" t="s">
        <v>24</v>
      </c>
      <c r="AC387" s="36" t="s">
        <v>24</v>
      </c>
      <c r="AD387" s="34"/>
      <c r="AE387" s="35">
        <f>IFERROR(INDEX([1]Last6M_AvgSales_Ref!$B$2:$B$12659,MATCH(D387,[1]Last6M_AvgSales_Ref!$A$2:$A$12659,0)),"")</f>
        <v>986</v>
      </c>
    </row>
    <row r="388" spans="1:31" ht="14.25" customHeight="1" x14ac:dyDescent="0.3">
      <c r="A388" s="36" t="s">
        <v>24</v>
      </c>
      <c r="B388" s="38" t="s">
        <v>801</v>
      </c>
      <c r="C388" s="38" t="s">
        <v>814</v>
      </c>
      <c r="D388" s="38">
        <v>1000000627</v>
      </c>
      <c r="E388" s="39" t="s">
        <v>815</v>
      </c>
      <c r="F388" s="40">
        <v>43294</v>
      </c>
      <c r="G388" s="22" t="str">
        <f t="shared" si="84"/>
        <v>Targeted Dealer</v>
      </c>
      <c r="H388" s="22"/>
      <c r="I388" s="23">
        <v>1150</v>
      </c>
      <c r="J388" s="23">
        <f t="shared" si="85"/>
        <v>1150</v>
      </c>
      <c r="K388" s="24">
        <v>1565</v>
      </c>
      <c r="L388" s="24">
        <f t="shared" si="86"/>
        <v>-415</v>
      </c>
      <c r="M388" s="24">
        <f t="shared" si="87"/>
        <v>136.08695652173913</v>
      </c>
      <c r="N388" s="25">
        <v>1165</v>
      </c>
      <c r="O388" s="26" t="str">
        <f t="shared" si="88"/>
        <v>June</v>
      </c>
      <c r="P388" s="25">
        <f t="shared" si="89"/>
        <v>1165</v>
      </c>
      <c r="Q388" s="27">
        <f t="shared" si="90"/>
        <v>400</v>
      </c>
      <c r="R388" s="26" t="b">
        <f t="shared" si="91"/>
        <v>0</v>
      </c>
      <c r="S388" s="28" t="str">
        <f t="shared" si="92"/>
        <v>GROWTH</v>
      </c>
      <c r="T388" s="24">
        <v>1133.5999999999999</v>
      </c>
      <c r="U388" s="29" t="str">
        <f t="shared" si="93"/>
        <v>May</v>
      </c>
      <c r="V388" s="24">
        <f t="shared" si="94"/>
        <v>1133.5999999999999</v>
      </c>
      <c r="W388" s="30">
        <f t="shared" si="95"/>
        <v>431.40000000000009</v>
      </c>
      <c r="X388" s="31" t="b">
        <f t="shared" si="96"/>
        <v>0</v>
      </c>
      <c r="Y388" s="32" t="str">
        <f t="shared" si="97"/>
        <v>GROWTH</v>
      </c>
      <c r="Z388" s="41">
        <v>0</v>
      </c>
      <c r="AA388" s="36"/>
      <c r="AB388" s="36" t="s">
        <v>24</v>
      </c>
      <c r="AC388" s="36" t="s">
        <v>24</v>
      </c>
      <c r="AD388" s="34"/>
      <c r="AE388" s="35">
        <f>IFERROR(INDEX([1]Last6M_AvgSales_Ref!$B$2:$B$12659,MATCH(D388,[1]Last6M_AvgSales_Ref!$A$2:$A$12659,0)),"")</f>
        <v>1326.9166666666699</v>
      </c>
    </row>
    <row r="389" spans="1:31" ht="14.25" customHeight="1" x14ac:dyDescent="0.3">
      <c r="A389" s="36" t="s">
        <v>24</v>
      </c>
      <c r="B389" s="38" t="s">
        <v>801</v>
      </c>
      <c r="C389" s="38" t="s">
        <v>816</v>
      </c>
      <c r="D389" s="38">
        <v>1000001020</v>
      </c>
      <c r="E389" s="39" t="s">
        <v>817</v>
      </c>
      <c r="F389" s="40">
        <v>43601</v>
      </c>
      <c r="G389" s="22" t="str">
        <f t="shared" si="84"/>
        <v>-</v>
      </c>
      <c r="H389" s="22"/>
      <c r="I389" s="23">
        <v>0</v>
      </c>
      <c r="J389" s="23">
        <f t="shared" si="85"/>
        <v>0</v>
      </c>
      <c r="K389" s="24">
        <v>0</v>
      </c>
      <c r="L389" s="24">
        <f t="shared" si="86"/>
        <v>0</v>
      </c>
      <c r="M389" s="24" t="str">
        <f t="shared" si="87"/>
        <v>-</v>
      </c>
      <c r="N389" s="25">
        <v>0</v>
      </c>
      <c r="O389" s="26" t="str">
        <f t="shared" si="88"/>
        <v>June</v>
      </c>
      <c r="P389" s="25">
        <f t="shared" si="89"/>
        <v>0</v>
      </c>
      <c r="Q389" s="27">
        <f t="shared" si="90"/>
        <v>0</v>
      </c>
      <c r="R389" s="26" t="b">
        <f t="shared" si="91"/>
        <v>0</v>
      </c>
      <c r="S389" s="28" t="b">
        <f t="shared" si="92"/>
        <v>0</v>
      </c>
      <c r="T389" s="24">
        <v>70</v>
      </c>
      <c r="U389" s="29" t="str">
        <f t="shared" si="93"/>
        <v>May</v>
      </c>
      <c r="V389" s="24">
        <f t="shared" si="94"/>
        <v>70</v>
      </c>
      <c r="W389" s="30">
        <f t="shared" si="95"/>
        <v>-70</v>
      </c>
      <c r="X389" s="31" t="b">
        <f t="shared" si="96"/>
        <v>0</v>
      </c>
      <c r="Y389" s="32" t="str">
        <f t="shared" si="97"/>
        <v>GROWTH</v>
      </c>
      <c r="Z389" s="41">
        <v>0</v>
      </c>
      <c r="AA389" s="36"/>
      <c r="AB389" s="36" t="s">
        <v>24</v>
      </c>
      <c r="AC389" s="36" t="s">
        <v>24</v>
      </c>
      <c r="AD389" s="34"/>
      <c r="AE389" s="35">
        <f>IFERROR(INDEX([1]Last6M_AvgSales_Ref!$B$2:$B$12659,MATCH(D389,[1]Last6M_AvgSales_Ref!$A$2:$A$12659,0)),"")</f>
        <v>15</v>
      </c>
    </row>
    <row r="390" spans="1:31" ht="14.25" customHeight="1" x14ac:dyDescent="0.3">
      <c r="A390" s="36" t="s">
        <v>24</v>
      </c>
      <c r="B390" s="38" t="s">
        <v>801</v>
      </c>
      <c r="C390" s="38" t="s">
        <v>818</v>
      </c>
      <c r="D390" s="38">
        <v>1000001017</v>
      </c>
      <c r="E390" s="39" t="s">
        <v>819</v>
      </c>
      <c r="F390" s="40">
        <v>43629</v>
      </c>
      <c r="G390" s="22" t="str">
        <f t="shared" si="84"/>
        <v>Targeted Dealer</v>
      </c>
      <c r="H390" s="22"/>
      <c r="I390" s="23">
        <v>1300</v>
      </c>
      <c r="J390" s="23">
        <f t="shared" si="85"/>
        <v>1300</v>
      </c>
      <c r="K390" s="24">
        <v>715.05</v>
      </c>
      <c r="L390" s="24">
        <f t="shared" si="86"/>
        <v>584.95000000000005</v>
      </c>
      <c r="M390" s="24">
        <f t="shared" si="87"/>
        <v>55.003846153846148</v>
      </c>
      <c r="N390" s="25">
        <v>335</v>
      </c>
      <c r="O390" s="26" t="str">
        <f t="shared" si="88"/>
        <v>June</v>
      </c>
      <c r="P390" s="25">
        <f t="shared" si="89"/>
        <v>335</v>
      </c>
      <c r="Q390" s="27">
        <f t="shared" si="90"/>
        <v>380.04999999999995</v>
      </c>
      <c r="R390" s="26" t="b">
        <f t="shared" si="91"/>
        <v>0</v>
      </c>
      <c r="S390" s="28" t="str">
        <f t="shared" si="92"/>
        <v>GROWTH</v>
      </c>
      <c r="T390" s="24">
        <v>1047.9000000000001</v>
      </c>
      <c r="U390" s="29" t="str">
        <f t="shared" si="93"/>
        <v>May</v>
      </c>
      <c r="V390" s="24">
        <f t="shared" si="94"/>
        <v>1047.9000000000001</v>
      </c>
      <c r="W390" s="30">
        <f t="shared" si="95"/>
        <v>-332.85000000000014</v>
      </c>
      <c r="X390" s="31" t="b">
        <f t="shared" si="96"/>
        <v>0</v>
      </c>
      <c r="Y390" s="32" t="str">
        <f t="shared" si="97"/>
        <v>GROWTH</v>
      </c>
      <c r="Z390" s="41">
        <v>0</v>
      </c>
      <c r="AA390" s="36"/>
      <c r="AB390" s="36" t="s">
        <v>24</v>
      </c>
      <c r="AC390" s="36" t="s">
        <v>24</v>
      </c>
      <c r="AD390" s="34"/>
      <c r="AE390" s="35">
        <f>IFERROR(INDEX([1]Last6M_AvgSales_Ref!$B$2:$B$12659,MATCH(D390,[1]Last6M_AvgSales_Ref!$A$2:$A$12659,0)),"")</f>
        <v>1948.375</v>
      </c>
    </row>
    <row r="391" spans="1:31" ht="14.25" customHeight="1" x14ac:dyDescent="0.3">
      <c r="A391" s="36" t="s">
        <v>24</v>
      </c>
      <c r="B391" s="38" t="s">
        <v>801</v>
      </c>
      <c r="C391" s="38" t="s">
        <v>820</v>
      </c>
      <c r="D391" s="38">
        <v>1000001016</v>
      </c>
      <c r="E391" s="39" t="s">
        <v>821</v>
      </c>
      <c r="F391" s="40">
        <v>43715</v>
      </c>
      <c r="G391" s="22" t="str">
        <f t="shared" si="84"/>
        <v>Targeted Dealer</v>
      </c>
      <c r="H391" s="22"/>
      <c r="I391" s="23">
        <v>300</v>
      </c>
      <c r="J391" s="23">
        <f t="shared" si="85"/>
        <v>300</v>
      </c>
      <c r="K391" s="24">
        <v>200</v>
      </c>
      <c r="L391" s="24">
        <f t="shared" si="86"/>
        <v>100</v>
      </c>
      <c r="M391" s="24">
        <f t="shared" si="87"/>
        <v>66.666666666666671</v>
      </c>
      <c r="N391" s="25">
        <v>240</v>
      </c>
      <c r="O391" s="26" t="str">
        <f t="shared" si="88"/>
        <v>June</v>
      </c>
      <c r="P391" s="25">
        <f t="shared" si="89"/>
        <v>240</v>
      </c>
      <c r="Q391" s="27">
        <f t="shared" si="90"/>
        <v>-40</v>
      </c>
      <c r="R391" s="26" t="b">
        <f t="shared" si="91"/>
        <v>0</v>
      </c>
      <c r="S391" s="28" t="str">
        <f t="shared" si="92"/>
        <v>GROWTH</v>
      </c>
      <c r="T391" s="24">
        <v>640</v>
      </c>
      <c r="U391" s="29" t="str">
        <f t="shared" si="93"/>
        <v>May</v>
      </c>
      <c r="V391" s="24">
        <f t="shared" si="94"/>
        <v>640</v>
      </c>
      <c r="W391" s="30">
        <f t="shared" si="95"/>
        <v>-440</v>
      </c>
      <c r="X391" s="31" t="b">
        <f t="shared" si="96"/>
        <v>0</v>
      </c>
      <c r="Y391" s="32" t="str">
        <f t="shared" si="97"/>
        <v>GROWTH</v>
      </c>
      <c r="Z391" s="41">
        <v>0</v>
      </c>
      <c r="AA391" s="36"/>
      <c r="AB391" s="36" t="s">
        <v>24</v>
      </c>
      <c r="AC391" s="36" t="s">
        <v>24</v>
      </c>
      <c r="AD391" s="34"/>
      <c r="AE391" s="35">
        <f>IFERROR(INDEX([1]Last6M_AvgSales_Ref!$B$2:$B$12659,MATCH(D391,[1]Last6M_AvgSales_Ref!$A$2:$A$12659,0)),"")</f>
        <v>245</v>
      </c>
    </row>
    <row r="392" spans="1:31" ht="14.25" customHeight="1" x14ac:dyDescent="0.3">
      <c r="A392" s="36" t="s">
        <v>24</v>
      </c>
      <c r="B392" s="38" t="s">
        <v>801</v>
      </c>
      <c r="C392" s="38" t="s">
        <v>822</v>
      </c>
      <c r="D392" s="38">
        <v>1000001014</v>
      </c>
      <c r="E392" s="39" t="s">
        <v>823</v>
      </c>
      <c r="F392" s="40">
        <v>43806</v>
      </c>
      <c r="G392" s="22" t="str">
        <f t="shared" si="84"/>
        <v>Targeted Dealer</v>
      </c>
      <c r="H392" s="22"/>
      <c r="I392" s="23">
        <v>1350</v>
      </c>
      <c r="J392" s="23">
        <f t="shared" si="85"/>
        <v>1350</v>
      </c>
      <c r="K392" s="24">
        <v>1812.5</v>
      </c>
      <c r="L392" s="24">
        <f t="shared" si="86"/>
        <v>-462.5</v>
      </c>
      <c r="M392" s="24">
        <f t="shared" si="87"/>
        <v>134.25925925925927</v>
      </c>
      <c r="N392" s="25">
        <v>560</v>
      </c>
      <c r="O392" s="26" t="str">
        <f t="shared" si="88"/>
        <v>June</v>
      </c>
      <c r="P392" s="25">
        <f t="shared" si="89"/>
        <v>560</v>
      </c>
      <c r="Q392" s="27">
        <f t="shared" si="90"/>
        <v>1252.5</v>
      </c>
      <c r="R392" s="26" t="b">
        <f t="shared" si="91"/>
        <v>0</v>
      </c>
      <c r="S392" s="28" t="str">
        <f t="shared" si="92"/>
        <v>GROWTH</v>
      </c>
      <c r="T392" s="24">
        <v>1610</v>
      </c>
      <c r="U392" s="29" t="str">
        <f t="shared" si="93"/>
        <v>May</v>
      </c>
      <c r="V392" s="24">
        <f t="shared" si="94"/>
        <v>1610</v>
      </c>
      <c r="W392" s="30">
        <f t="shared" si="95"/>
        <v>202.5</v>
      </c>
      <c r="X392" s="31" t="b">
        <f t="shared" si="96"/>
        <v>0</v>
      </c>
      <c r="Y392" s="32" t="str">
        <f t="shared" si="97"/>
        <v>GROWTH</v>
      </c>
      <c r="Z392" s="41">
        <v>0</v>
      </c>
      <c r="AA392" s="36"/>
      <c r="AB392" s="36" t="s">
        <v>24</v>
      </c>
      <c r="AC392" s="36" t="s">
        <v>24</v>
      </c>
      <c r="AD392" s="34"/>
      <c r="AE392" s="35">
        <f>IFERROR(INDEX([1]Last6M_AvgSales_Ref!$B$2:$B$12659,MATCH(D392,[1]Last6M_AvgSales_Ref!$A$2:$A$12659,0)),"")</f>
        <v>1606.24166666667</v>
      </c>
    </row>
    <row r="393" spans="1:31" ht="14.25" customHeight="1" x14ac:dyDescent="0.3">
      <c r="A393" s="36" t="s">
        <v>24</v>
      </c>
      <c r="B393" s="38" t="s">
        <v>801</v>
      </c>
      <c r="C393" s="38" t="s">
        <v>824</v>
      </c>
      <c r="D393" s="38">
        <v>1000001025</v>
      </c>
      <c r="E393" s="39" t="s">
        <v>825</v>
      </c>
      <c r="F393" s="40">
        <v>44092</v>
      </c>
      <c r="G393" s="22" t="str">
        <f t="shared" si="84"/>
        <v>Targeted Dealer</v>
      </c>
      <c r="H393" s="22"/>
      <c r="I393" s="23">
        <v>1350</v>
      </c>
      <c r="J393" s="23">
        <f t="shared" si="85"/>
        <v>1350</v>
      </c>
      <c r="K393" s="24">
        <v>1810</v>
      </c>
      <c r="L393" s="24">
        <f t="shared" si="86"/>
        <v>-460</v>
      </c>
      <c r="M393" s="24">
        <f t="shared" si="87"/>
        <v>134.07407407407408</v>
      </c>
      <c r="N393" s="25">
        <v>1400</v>
      </c>
      <c r="O393" s="26" t="str">
        <f t="shared" si="88"/>
        <v>June</v>
      </c>
      <c r="P393" s="25">
        <f t="shared" si="89"/>
        <v>1400</v>
      </c>
      <c r="Q393" s="27">
        <f t="shared" si="90"/>
        <v>410</v>
      </c>
      <c r="R393" s="26" t="b">
        <f t="shared" si="91"/>
        <v>0</v>
      </c>
      <c r="S393" s="28" t="str">
        <f t="shared" si="92"/>
        <v>GROWTH</v>
      </c>
      <c r="T393" s="24">
        <v>937</v>
      </c>
      <c r="U393" s="29" t="str">
        <f t="shared" si="93"/>
        <v>May</v>
      </c>
      <c r="V393" s="24">
        <f t="shared" si="94"/>
        <v>937</v>
      </c>
      <c r="W393" s="30">
        <f t="shared" si="95"/>
        <v>873</v>
      </c>
      <c r="X393" s="31" t="b">
        <f t="shared" si="96"/>
        <v>0</v>
      </c>
      <c r="Y393" s="32" t="str">
        <f t="shared" si="97"/>
        <v>GROWTH</v>
      </c>
      <c r="Z393" s="41">
        <v>0</v>
      </c>
      <c r="AA393" s="36"/>
      <c r="AB393" s="36" t="s">
        <v>24</v>
      </c>
      <c r="AC393" s="36" t="s">
        <v>24</v>
      </c>
      <c r="AD393" s="34"/>
      <c r="AE393" s="35">
        <f>IFERROR(INDEX([1]Last6M_AvgSales_Ref!$B$2:$B$12659,MATCH(D393,[1]Last6M_AvgSales_Ref!$A$2:$A$12659,0)),"")</f>
        <v>1225.8416666666701</v>
      </c>
    </row>
    <row r="394" spans="1:31" ht="14.25" customHeight="1" x14ac:dyDescent="0.3">
      <c r="A394" s="36" t="s">
        <v>24</v>
      </c>
      <c r="B394" s="38" t="s">
        <v>801</v>
      </c>
      <c r="C394" s="38" t="s">
        <v>826</v>
      </c>
      <c r="D394" s="38">
        <v>1000001027</v>
      </c>
      <c r="E394" s="39" t="s">
        <v>827</v>
      </c>
      <c r="F394" s="40">
        <v>44459</v>
      </c>
      <c r="G394" s="22" t="str">
        <f t="shared" si="84"/>
        <v>Targeted Dealer</v>
      </c>
      <c r="H394" s="22"/>
      <c r="I394" s="23">
        <v>175</v>
      </c>
      <c r="J394" s="23">
        <f t="shared" si="85"/>
        <v>175</v>
      </c>
      <c r="K394" s="24">
        <v>175</v>
      </c>
      <c r="L394" s="24">
        <f t="shared" si="86"/>
        <v>0</v>
      </c>
      <c r="M394" s="24">
        <f t="shared" si="87"/>
        <v>100</v>
      </c>
      <c r="N394" s="25">
        <v>140</v>
      </c>
      <c r="O394" s="26" t="str">
        <f t="shared" si="88"/>
        <v>June</v>
      </c>
      <c r="P394" s="25">
        <f t="shared" si="89"/>
        <v>140</v>
      </c>
      <c r="Q394" s="27">
        <f t="shared" si="90"/>
        <v>35</v>
      </c>
      <c r="R394" s="26" t="b">
        <f t="shared" si="91"/>
        <v>0</v>
      </c>
      <c r="S394" s="28" t="str">
        <f t="shared" si="92"/>
        <v>GROWTH</v>
      </c>
      <c r="T394" s="24">
        <v>210</v>
      </c>
      <c r="U394" s="29" t="str">
        <f t="shared" si="93"/>
        <v>May</v>
      </c>
      <c r="V394" s="24">
        <f t="shared" si="94"/>
        <v>210</v>
      </c>
      <c r="W394" s="30">
        <f t="shared" si="95"/>
        <v>-35</v>
      </c>
      <c r="X394" s="31" t="b">
        <f t="shared" si="96"/>
        <v>0</v>
      </c>
      <c r="Y394" s="32" t="str">
        <f t="shared" si="97"/>
        <v>GROWTH</v>
      </c>
      <c r="Z394" s="41">
        <v>0</v>
      </c>
      <c r="AA394" s="36"/>
      <c r="AB394" s="36" t="s">
        <v>24</v>
      </c>
      <c r="AC394" s="36" t="s">
        <v>24</v>
      </c>
      <c r="AD394" s="34"/>
      <c r="AE394" s="35">
        <f>IFERROR(INDEX([1]Last6M_AvgSales_Ref!$B$2:$B$12659,MATCH(D394,[1]Last6M_AvgSales_Ref!$A$2:$A$12659,0)),"")</f>
        <v>134.166666666667</v>
      </c>
    </row>
    <row r="395" spans="1:31" ht="14.25" customHeight="1" x14ac:dyDescent="0.3">
      <c r="A395" s="36" t="s">
        <v>24</v>
      </c>
      <c r="B395" s="38" t="s">
        <v>801</v>
      </c>
      <c r="C395" s="38" t="s">
        <v>828</v>
      </c>
      <c r="D395" s="38">
        <v>1000001018</v>
      </c>
      <c r="E395" s="39" t="s">
        <v>829</v>
      </c>
      <c r="F395" s="40">
        <v>44464</v>
      </c>
      <c r="G395" s="22" t="str">
        <f t="shared" si="84"/>
        <v>-</v>
      </c>
      <c r="H395" s="22"/>
      <c r="I395" s="23">
        <v>0</v>
      </c>
      <c r="J395" s="23">
        <f t="shared" si="85"/>
        <v>0</v>
      </c>
      <c r="K395" s="24">
        <v>0</v>
      </c>
      <c r="L395" s="24">
        <f t="shared" si="86"/>
        <v>0</v>
      </c>
      <c r="M395" s="24" t="str">
        <f t="shared" si="87"/>
        <v>-</v>
      </c>
      <c r="N395" s="25">
        <v>0</v>
      </c>
      <c r="O395" s="26" t="str">
        <f t="shared" si="88"/>
        <v>June</v>
      </c>
      <c r="P395" s="25">
        <f t="shared" si="89"/>
        <v>0</v>
      </c>
      <c r="Q395" s="27">
        <f t="shared" si="90"/>
        <v>0</v>
      </c>
      <c r="R395" s="26" t="b">
        <f t="shared" si="91"/>
        <v>0</v>
      </c>
      <c r="S395" s="28" t="b">
        <f t="shared" si="92"/>
        <v>0</v>
      </c>
      <c r="T395" s="24">
        <v>85</v>
      </c>
      <c r="U395" s="29" t="str">
        <f t="shared" si="93"/>
        <v>May</v>
      </c>
      <c r="V395" s="24">
        <f t="shared" si="94"/>
        <v>85</v>
      </c>
      <c r="W395" s="30">
        <f t="shared" si="95"/>
        <v>-85</v>
      </c>
      <c r="X395" s="31" t="b">
        <f t="shared" si="96"/>
        <v>0</v>
      </c>
      <c r="Y395" s="32" t="str">
        <f t="shared" si="97"/>
        <v>GROWTH</v>
      </c>
      <c r="Z395" s="41">
        <v>0</v>
      </c>
      <c r="AA395" s="36"/>
      <c r="AB395" s="36" t="s">
        <v>24</v>
      </c>
      <c r="AC395" s="36" t="s">
        <v>24</v>
      </c>
      <c r="AD395" s="34"/>
      <c r="AE395" s="35">
        <f>IFERROR(INDEX([1]Last6M_AvgSales_Ref!$B$2:$B$12659,MATCH(D395,[1]Last6M_AvgSales_Ref!$A$2:$A$12659,0)),"")</f>
        <v>56.6666666666667</v>
      </c>
    </row>
    <row r="396" spans="1:31" ht="14.25" customHeight="1" x14ac:dyDescent="0.3">
      <c r="A396" s="36" t="s">
        <v>24</v>
      </c>
      <c r="B396" s="38" t="s">
        <v>801</v>
      </c>
      <c r="C396" s="38" t="s">
        <v>830</v>
      </c>
      <c r="D396" s="38">
        <v>1000001024</v>
      </c>
      <c r="E396" s="39" t="s">
        <v>831</v>
      </c>
      <c r="F396" s="40">
        <v>44467</v>
      </c>
      <c r="G396" s="22" t="str">
        <f t="shared" si="84"/>
        <v>Targeted Dealer</v>
      </c>
      <c r="H396" s="22"/>
      <c r="I396" s="23">
        <v>70</v>
      </c>
      <c r="J396" s="23">
        <f t="shared" si="85"/>
        <v>70</v>
      </c>
      <c r="K396" s="24">
        <v>0</v>
      </c>
      <c r="L396" s="24">
        <f t="shared" si="86"/>
        <v>70</v>
      </c>
      <c r="M396" s="24">
        <f t="shared" si="87"/>
        <v>0</v>
      </c>
      <c r="N396" s="25">
        <v>0</v>
      </c>
      <c r="O396" s="26" t="str">
        <f t="shared" si="88"/>
        <v>June</v>
      </c>
      <c r="P396" s="25">
        <f t="shared" si="89"/>
        <v>0</v>
      </c>
      <c r="Q396" s="27">
        <f t="shared" si="90"/>
        <v>0</v>
      </c>
      <c r="R396" s="26" t="b">
        <f t="shared" si="91"/>
        <v>0</v>
      </c>
      <c r="S396" s="28" t="b">
        <f t="shared" si="92"/>
        <v>0</v>
      </c>
      <c r="T396" s="24">
        <v>245</v>
      </c>
      <c r="U396" s="29" t="str">
        <f t="shared" si="93"/>
        <v>May</v>
      </c>
      <c r="V396" s="24">
        <f t="shared" si="94"/>
        <v>245</v>
      </c>
      <c r="W396" s="30">
        <f t="shared" si="95"/>
        <v>-245</v>
      </c>
      <c r="X396" s="31" t="b">
        <f t="shared" si="96"/>
        <v>0</v>
      </c>
      <c r="Y396" s="32" t="str">
        <f t="shared" si="97"/>
        <v>GROWTH</v>
      </c>
      <c r="Z396" s="41">
        <v>0</v>
      </c>
      <c r="AA396" s="36"/>
      <c r="AB396" s="36" t="s">
        <v>24</v>
      </c>
      <c r="AC396" s="36" t="s">
        <v>24</v>
      </c>
      <c r="AD396" s="34"/>
      <c r="AE396" s="35">
        <f>IFERROR(INDEX([1]Last6M_AvgSales_Ref!$B$2:$B$12659,MATCH(D396,[1]Last6M_AvgSales_Ref!$A$2:$A$12659,0)),"")</f>
        <v>125.833333333333</v>
      </c>
    </row>
    <row r="397" spans="1:31" ht="14.25" customHeight="1" x14ac:dyDescent="0.3">
      <c r="A397" s="36" t="s">
        <v>24</v>
      </c>
      <c r="B397" s="38" t="s">
        <v>801</v>
      </c>
      <c r="C397" s="38" t="s">
        <v>832</v>
      </c>
      <c r="D397" s="38">
        <v>1000003100</v>
      </c>
      <c r="E397" s="38" t="s">
        <v>833</v>
      </c>
      <c r="F397" s="40">
        <v>44873</v>
      </c>
      <c r="G397" s="22" t="str">
        <f t="shared" si="84"/>
        <v>Targeted Dealer</v>
      </c>
      <c r="H397" s="22"/>
      <c r="I397" s="23">
        <v>815</v>
      </c>
      <c r="J397" s="23">
        <f t="shared" si="85"/>
        <v>815</v>
      </c>
      <c r="K397" s="24">
        <v>1255.05</v>
      </c>
      <c r="L397" s="24">
        <f t="shared" si="86"/>
        <v>-440.04999999999995</v>
      </c>
      <c r="M397" s="24">
        <f t="shared" si="87"/>
        <v>153.99386503067484</v>
      </c>
      <c r="N397" s="25">
        <v>490</v>
      </c>
      <c r="O397" s="26" t="str">
        <f t="shared" si="88"/>
        <v>June</v>
      </c>
      <c r="P397" s="25">
        <f t="shared" si="89"/>
        <v>490</v>
      </c>
      <c r="Q397" s="27">
        <f t="shared" si="90"/>
        <v>765.05</v>
      </c>
      <c r="R397" s="26" t="b">
        <f t="shared" si="91"/>
        <v>0</v>
      </c>
      <c r="S397" s="28" t="str">
        <f t="shared" si="92"/>
        <v>GROWTH</v>
      </c>
      <c r="T397" s="24">
        <v>611</v>
      </c>
      <c r="U397" s="29" t="str">
        <f t="shared" si="93"/>
        <v>May</v>
      </c>
      <c r="V397" s="24">
        <f t="shared" si="94"/>
        <v>611</v>
      </c>
      <c r="W397" s="30">
        <f t="shared" si="95"/>
        <v>644.04999999999995</v>
      </c>
      <c r="X397" s="31" t="b">
        <f t="shared" si="96"/>
        <v>0</v>
      </c>
      <c r="Y397" s="32" t="str">
        <f t="shared" si="97"/>
        <v>GROWTH</v>
      </c>
      <c r="Z397" s="41">
        <v>0</v>
      </c>
      <c r="AA397" s="36"/>
      <c r="AB397" s="36" t="s">
        <v>24</v>
      </c>
      <c r="AC397" s="36" t="s">
        <v>24</v>
      </c>
      <c r="AD397" s="34"/>
      <c r="AE397" s="35">
        <f>IFERROR(INDEX([1]Last6M_AvgSales_Ref!$B$2:$B$12659,MATCH(D397,[1]Last6M_AvgSales_Ref!$A$2:$A$12659,0)),"")</f>
        <v>792.88333333333298</v>
      </c>
    </row>
    <row r="398" spans="1:31" ht="14.25" customHeight="1" x14ac:dyDescent="0.3">
      <c r="A398" s="36" t="s">
        <v>24</v>
      </c>
      <c r="B398" s="38" t="s">
        <v>801</v>
      </c>
      <c r="C398" s="38" t="s">
        <v>834</v>
      </c>
      <c r="D398" s="38">
        <v>1000003445</v>
      </c>
      <c r="E398" s="38" t="s">
        <v>835</v>
      </c>
      <c r="F398" s="40">
        <v>45008</v>
      </c>
      <c r="G398" s="22" t="str">
        <f t="shared" si="84"/>
        <v>Targeted Dealer</v>
      </c>
      <c r="H398" s="22"/>
      <c r="I398" s="23">
        <v>650</v>
      </c>
      <c r="J398" s="23">
        <f t="shared" si="85"/>
        <v>650</v>
      </c>
      <c r="K398" s="24">
        <v>1050</v>
      </c>
      <c r="L398" s="24">
        <f t="shared" si="86"/>
        <v>-400</v>
      </c>
      <c r="M398" s="24">
        <f t="shared" si="87"/>
        <v>161.53846153846155</v>
      </c>
      <c r="N398" s="25">
        <v>665</v>
      </c>
      <c r="O398" s="26" t="str">
        <f t="shared" si="88"/>
        <v>June</v>
      </c>
      <c r="P398" s="25">
        <f t="shared" si="89"/>
        <v>665</v>
      </c>
      <c r="Q398" s="27">
        <f t="shared" si="90"/>
        <v>385</v>
      </c>
      <c r="R398" s="26" t="b">
        <f t="shared" si="91"/>
        <v>0</v>
      </c>
      <c r="S398" s="28" t="str">
        <f t="shared" si="92"/>
        <v>GROWTH</v>
      </c>
      <c r="T398" s="24">
        <v>630</v>
      </c>
      <c r="U398" s="29" t="str">
        <f t="shared" si="93"/>
        <v>May</v>
      </c>
      <c r="V398" s="24">
        <f t="shared" si="94"/>
        <v>630</v>
      </c>
      <c r="W398" s="30">
        <f t="shared" si="95"/>
        <v>420</v>
      </c>
      <c r="X398" s="31" t="b">
        <f t="shared" si="96"/>
        <v>0</v>
      </c>
      <c r="Y398" s="32" t="str">
        <f t="shared" si="97"/>
        <v>GROWTH</v>
      </c>
      <c r="Z398" s="41">
        <v>0</v>
      </c>
      <c r="AA398" s="36"/>
      <c r="AB398" s="36" t="s">
        <v>24</v>
      </c>
      <c r="AC398" s="36" t="s">
        <v>24</v>
      </c>
      <c r="AD398" s="34"/>
      <c r="AE398" s="35">
        <f>IFERROR(INDEX([1]Last6M_AvgSales_Ref!$B$2:$B$12659,MATCH(D398,[1]Last6M_AvgSales_Ref!$A$2:$A$12659,0)),"")</f>
        <v>549.16666666666697</v>
      </c>
    </row>
    <row r="399" spans="1:31" ht="14.25" customHeight="1" x14ac:dyDescent="0.3">
      <c r="A399" s="36" t="s">
        <v>24</v>
      </c>
      <c r="B399" s="38" t="s">
        <v>801</v>
      </c>
      <c r="C399" s="38" t="s">
        <v>836</v>
      </c>
      <c r="D399" s="38">
        <v>1000003489</v>
      </c>
      <c r="E399" s="38" t="s">
        <v>837</v>
      </c>
      <c r="F399" s="40">
        <v>45042</v>
      </c>
      <c r="G399" s="22" t="str">
        <f t="shared" si="84"/>
        <v>Targeted Dealer</v>
      </c>
      <c r="H399" s="22"/>
      <c r="I399" s="23">
        <v>140</v>
      </c>
      <c r="J399" s="23">
        <f t="shared" si="85"/>
        <v>140</v>
      </c>
      <c r="K399" s="24">
        <v>182.75</v>
      </c>
      <c r="L399" s="24">
        <f t="shared" si="86"/>
        <v>-42.75</v>
      </c>
      <c r="M399" s="24">
        <f t="shared" si="87"/>
        <v>130.53571428571431</v>
      </c>
      <c r="N399" s="25">
        <v>140</v>
      </c>
      <c r="O399" s="26" t="str">
        <f t="shared" si="88"/>
        <v>June</v>
      </c>
      <c r="P399" s="25">
        <f t="shared" si="89"/>
        <v>140</v>
      </c>
      <c r="Q399" s="27">
        <f t="shared" si="90"/>
        <v>42.75</v>
      </c>
      <c r="R399" s="26" t="b">
        <f t="shared" si="91"/>
        <v>0</v>
      </c>
      <c r="S399" s="28" t="str">
        <f t="shared" si="92"/>
        <v>GROWTH</v>
      </c>
      <c r="T399" s="24">
        <v>105</v>
      </c>
      <c r="U399" s="29" t="str">
        <f t="shared" si="93"/>
        <v>May</v>
      </c>
      <c r="V399" s="24">
        <f t="shared" si="94"/>
        <v>105</v>
      </c>
      <c r="W399" s="30">
        <f t="shared" si="95"/>
        <v>77.75</v>
      </c>
      <c r="X399" s="31" t="b">
        <f t="shared" si="96"/>
        <v>0</v>
      </c>
      <c r="Y399" s="32" t="str">
        <f t="shared" si="97"/>
        <v>GROWTH</v>
      </c>
      <c r="Z399" s="41">
        <v>0</v>
      </c>
      <c r="AA399" s="36"/>
      <c r="AB399" s="36" t="s">
        <v>24</v>
      </c>
      <c r="AC399" s="36" t="s">
        <v>24</v>
      </c>
      <c r="AD399" s="34"/>
      <c r="AE399" s="35">
        <f>IFERROR(INDEX([1]Last6M_AvgSales_Ref!$B$2:$B$12659,MATCH(D399,[1]Last6M_AvgSales_Ref!$A$2:$A$12659,0)),"")</f>
        <v>129.166666666667</v>
      </c>
    </row>
    <row r="400" spans="1:31" ht="14.25" customHeight="1" x14ac:dyDescent="0.3">
      <c r="A400" s="36" t="s">
        <v>24</v>
      </c>
      <c r="B400" s="38" t="s">
        <v>801</v>
      </c>
      <c r="C400" s="38" t="s">
        <v>838</v>
      </c>
      <c r="D400" s="38">
        <v>1000003698</v>
      </c>
      <c r="E400" s="38" t="s">
        <v>839</v>
      </c>
      <c r="F400" s="40">
        <v>45162</v>
      </c>
      <c r="G400" s="22" t="str">
        <f t="shared" si="84"/>
        <v>Targeted Dealer</v>
      </c>
      <c r="H400" s="22"/>
      <c r="I400" s="23">
        <v>255</v>
      </c>
      <c r="J400" s="23">
        <f t="shared" si="85"/>
        <v>255</v>
      </c>
      <c r="K400" s="24">
        <v>137.5</v>
      </c>
      <c r="L400" s="24">
        <f t="shared" si="86"/>
        <v>117.5</v>
      </c>
      <c r="M400" s="24">
        <f t="shared" si="87"/>
        <v>53.921568627450981</v>
      </c>
      <c r="N400" s="25">
        <v>105</v>
      </c>
      <c r="O400" s="26" t="str">
        <f t="shared" si="88"/>
        <v>June</v>
      </c>
      <c r="P400" s="25">
        <f t="shared" si="89"/>
        <v>105</v>
      </c>
      <c r="Q400" s="27">
        <f t="shared" si="90"/>
        <v>32.5</v>
      </c>
      <c r="R400" s="26" t="b">
        <f t="shared" si="91"/>
        <v>0</v>
      </c>
      <c r="S400" s="28" t="str">
        <f t="shared" si="92"/>
        <v>GROWTH</v>
      </c>
      <c r="T400" s="24">
        <v>262.39999999999998</v>
      </c>
      <c r="U400" s="29" t="str">
        <f t="shared" si="93"/>
        <v>May</v>
      </c>
      <c r="V400" s="24">
        <f t="shared" si="94"/>
        <v>262.39999999999998</v>
      </c>
      <c r="W400" s="30">
        <f t="shared" si="95"/>
        <v>-124.89999999999998</v>
      </c>
      <c r="X400" s="31" t="b">
        <f t="shared" si="96"/>
        <v>0</v>
      </c>
      <c r="Y400" s="32" t="str">
        <f t="shared" si="97"/>
        <v>GROWTH</v>
      </c>
      <c r="Z400" s="41">
        <v>0</v>
      </c>
      <c r="AA400" s="36"/>
      <c r="AB400" s="36" t="s">
        <v>24</v>
      </c>
      <c r="AC400" s="36" t="s">
        <v>24</v>
      </c>
      <c r="AD400" s="34"/>
      <c r="AE400" s="35">
        <f>IFERROR(INDEX([1]Last6M_AvgSales_Ref!$B$2:$B$12659,MATCH(D400,[1]Last6M_AvgSales_Ref!$A$2:$A$12659,0)),"")</f>
        <v>296.86666666666702</v>
      </c>
    </row>
    <row r="401" spans="1:31" ht="14.25" customHeight="1" x14ac:dyDescent="0.3">
      <c r="A401" s="36" t="s">
        <v>24</v>
      </c>
      <c r="B401" s="38" t="s">
        <v>801</v>
      </c>
      <c r="C401" s="38" t="s">
        <v>840</v>
      </c>
      <c r="D401" s="38">
        <v>1000003762</v>
      </c>
      <c r="E401" s="38" t="s">
        <v>841</v>
      </c>
      <c r="F401" s="40">
        <v>45252</v>
      </c>
      <c r="G401" s="22" t="str">
        <f t="shared" si="84"/>
        <v>Targeted Dealer</v>
      </c>
      <c r="H401" s="22"/>
      <c r="I401" s="23">
        <v>35</v>
      </c>
      <c r="J401" s="23">
        <f t="shared" si="85"/>
        <v>35</v>
      </c>
      <c r="K401" s="24">
        <v>0</v>
      </c>
      <c r="L401" s="24">
        <f t="shared" si="86"/>
        <v>35</v>
      </c>
      <c r="M401" s="24">
        <f t="shared" si="87"/>
        <v>0</v>
      </c>
      <c r="N401" s="25">
        <v>0</v>
      </c>
      <c r="O401" s="26" t="str">
        <f t="shared" si="88"/>
        <v>June</v>
      </c>
      <c r="P401" s="25">
        <f t="shared" si="89"/>
        <v>0</v>
      </c>
      <c r="Q401" s="27">
        <f t="shared" si="90"/>
        <v>0</v>
      </c>
      <c r="R401" s="26" t="b">
        <f t="shared" si="91"/>
        <v>0</v>
      </c>
      <c r="S401" s="28" t="b">
        <f t="shared" si="92"/>
        <v>0</v>
      </c>
      <c r="T401" s="24">
        <v>70</v>
      </c>
      <c r="U401" s="29" t="str">
        <f t="shared" si="93"/>
        <v>May</v>
      </c>
      <c r="V401" s="24">
        <f t="shared" si="94"/>
        <v>70</v>
      </c>
      <c r="W401" s="30">
        <f t="shared" si="95"/>
        <v>-70</v>
      </c>
      <c r="X401" s="31" t="b">
        <f t="shared" si="96"/>
        <v>0</v>
      </c>
      <c r="Y401" s="32" t="str">
        <f t="shared" si="97"/>
        <v>GROWTH</v>
      </c>
      <c r="Z401" s="41">
        <v>0</v>
      </c>
      <c r="AA401" s="36"/>
      <c r="AB401" s="36" t="s">
        <v>24</v>
      </c>
      <c r="AC401" s="36" t="s">
        <v>24</v>
      </c>
      <c r="AD401" s="34"/>
      <c r="AE401" s="35">
        <f>IFERROR(INDEX([1]Last6M_AvgSales_Ref!$B$2:$B$12659,MATCH(D401,[1]Last6M_AvgSales_Ref!$A$2:$A$12659,0)),"")</f>
        <v>41.674999999999997</v>
      </c>
    </row>
    <row r="402" spans="1:31" ht="14.25" customHeight="1" x14ac:dyDescent="0.3">
      <c r="A402" s="41" t="s">
        <v>24</v>
      </c>
      <c r="B402" s="44" t="s">
        <v>801</v>
      </c>
      <c r="C402" s="44" t="s">
        <v>842</v>
      </c>
      <c r="D402" s="44">
        <v>1000003924</v>
      </c>
      <c r="E402" s="44" t="s">
        <v>843</v>
      </c>
      <c r="F402" s="40">
        <v>45412</v>
      </c>
      <c r="G402" s="22" t="str">
        <f t="shared" si="84"/>
        <v>Targeted Dealer</v>
      </c>
      <c r="H402" s="22"/>
      <c r="I402" s="23">
        <v>795</v>
      </c>
      <c r="J402" s="23">
        <f t="shared" si="85"/>
        <v>795</v>
      </c>
      <c r="K402" s="24">
        <v>1021.8</v>
      </c>
      <c r="L402" s="24">
        <f t="shared" si="86"/>
        <v>-226.79999999999995</v>
      </c>
      <c r="M402" s="24">
        <f t="shared" si="87"/>
        <v>128.52830188679243</v>
      </c>
      <c r="N402" s="25">
        <v>745.3</v>
      </c>
      <c r="O402" s="26" t="str">
        <f t="shared" si="88"/>
        <v>June</v>
      </c>
      <c r="P402" s="25">
        <f t="shared" si="89"/>
        <v>745.3</v>
      </c>
      <c r="Q402" s="27">
        <f t="shared" si="90"/>
        <v>276.5</v>
      </c>
      <c r="R402" s="26" t="b">
        <f t="shared" si="91"/>
        <v>0</v>
      </c>
      <c r="S402" s="28" t="str">
        <f t="shared" si="92"/>
        <v>GROWTH</v>
      </c>
      <c r="T402" s="24">
        <v>772</v>
      </c>
      <c r="U402" s="29" t="str">
        <f t="shared" si="93"/>
        <v>May</v>
      </c>
      <c r="V402" s="24">
        <f t="shared" si="94"/>
        <v>772</v>
      </c>
      <c r="W402" s="30">
        <f t="shared" si="95"/>
        <v>249.79999999999995</v>
      </c>
      <c r="X402" s="31" t="b">
        <f t="shared" si="96"/>
        <v>0</v>
      </c>
      <c r="Y402" s="32" t="str">
        <f t="shared" si="97"/>
        <v>GROWTH</v>
      </c>
      <c r="Z402" s="41">
        <v>0</v>
      </c>
      <c r="AA402" s="36"/>
      <c r="AB402" s="36" t="s">
        <v>24</v>
      </c>
      <c r="AC402" s="41" t="s">
        <v>24</v>
      </c>
      <c r="AD402" s="34"/>
      <c r="AE402" s="35">
        <f>IFERROR(INDEX([1]Last6M_AvgSales_Ref!$B$2:$B$12659,MATCH(D402,[1]Last6M_AvgSales_Ref!$A$2:$A$12659,0)),"")</f>
        <v>943.97500000000002</v>
      </c>
    </row>
    <row r="403" spans="1:31" ht="14.25" customHeight="1" x14ac:dyDescent="0.3">
      <c r="A403" s="41" t="s">
        <v>24</v>
      </c>
      <c r="B403" s="44" t="s">
        <v>801</v>
      </c>
      <c r="C403" s="44" t="s">
        <v>844</v>
      </c>
      <c r="D403" s="44">
        <v>1000003997</v>
      </c>
      <c r="E403" s="44" t="s">
        <v>845</v>
      </c>
      <c r="F403" s="40">
        <v>45448</v>
      </c>
      <c r="G403" s="22" t="str">
        <f t="shared" si="84"/>
        <v>Targeted Dealer</v>
      </c>
      <c r="H403" s="22"/>
      <c r="I403" s="23">
        <v>35</v>
      </c>
      <c r="J403" s="23">
        <f t="shared" si="85"/>
        <v>35</v>
      </c>
      <c r="K403" s="24">
        <v>35</v>
      </c>
      <c r="L403" s="24">
        <f t="shared" si="86"/>
        <v>0</v>
      </c>
      <c r="M403" s="24">
        <f t="shared" si="87"/>
        <v>100</v>
      </c>
      <c r="N403" s="25">
        <v>50</v>
      </c>
      <c r="O403" s="26" t="str">
        <f t="shared" si="88"/>
        <v>June</v>
      </c>
      <c r="P403" s="25">
        <f t="shared" si="89"/>
        <v>50</v>
      </c>
      <c r="Q403" s="27">
        <f t="shared" si="90"/>
        <v>-15</v>
      </c>
      <c r="R403" s="26" t="b">
        <f t="shared" si="91"/>
        <v>0</v>
      </c>
      <c r="S403" s="28" t="str">
        <f t="shared" si="92"/>
        <v>GROWTH</v>
      </c>
      <c r="T403" s="24">
        <v>606.5</v>
      </c>
      <c r="U403" s="29" t="str">
        <f t="shared" si="93"/>
        <v>May</v>
      </c>
      <c r="V403" s="24">
        <f t="shared" si="94"/>
        <v>606.5</v>
      </c>
      <c r="W403" s="30">
        <f t="shared" si="95"/>
        <v>-571.5</v>
      </c>
      <c r="X403" s="31" t="b">
        <f t="shared" si="96"/>
        <v>0</v>
      </c>
      <c r="Y403" s="32" t="str">
        <f t="shared" si="97"/>
        <v>GROWTH</v>
      </c>
      <c r="Z403" s="41">
        <v>0</v>
      </c>
      <c r="AA403" s="36"/>
      <c r="AB403" s="36" t="s">
        <v>24</v>
      </c>
      <c r="AC403" s="41" t="s">
        <v>24</v>
      </c>
      <c r="AD403" s="34"/>
      <c r="AE403" s="35">
        <f>IFERROR(INDEX([1]Last6M_AvgSales_Ref!$B$2:$B$12659,MATCH(D403,[1]Last6M_AvgSales_Ref!$A$2:$A$12659,0)),"")</f>
        <v>437.86666666666702</v>
      </c>
    </row>
    <row r="404" spans="1:31" ht="14.25" customHeight="1" x14ac:dyDescent="0.3">
      <c r="A404" s="41" t="s">
        <v>24</v>
      </c>
      <c r="B404" s="44" t="s">
        <v>801</v>
      </c>
      <c r="C404" s="44" t="s">
        <v>846</v>
      </c>
      <c r="D404" s="44">
        <v>1000004020</v>
      </c>
      <c r="E404" s="44" t="s">
        <v>847</v>
      </c>
      <c r="F404" s="40">
        <v>45469</v>
      </c>
      <c r="G404" s="22" t="str">
        <f t="shared" si="84"/>
        <v>Targeted Dealer</v>
      </c>
      <c r="H404" s="22"/>
      <c r="I404" s="23">
        <v>1555</v>
      </c>
      <c r="J404" s="23">
        <f t="shared" si="85"/>
        <v>1555</v>
      </c>
      <c r="K404" s="24">
        <v>3005</v>
      </c>
      <c r="L404" s="24">
        <f t="shared" si="86"/>
        <v>-1450</v>
      </c>
      <c r="M404" s="24">
        <f t="shared" si="87"/>
        <v>193.24758842443728</v>
      </c>
      <c r="N404" s="25">
        <v>1580.45</v>
      </c>
      <c r="O404" s="26" t="str">
        <f t="shared" si="88"/>
        <v>June</v>
      </c>
      <c r="P404" s="25">
        <f t="shared" si="89"/>
        <v>1580.45</v>
      </c>
      <c r="Q404" s="27">
        <f t="shared" si="90"/>
        <v>1424.55</v>
      </c>
      <c r="R404" s="26" t="b">
        <f t="shared" si="91"/>
        <v>0</v>
      </c>
      <c r="S404" s="28" t="str">
        <f t="shared" si="92"/>
        <v>GROWTH</v>
      </c>
      <c r="T404" s="24">
        <v>1163</v>
      </c>
      <c r="U404" s="29" t="str">
        <f t="shared" si="93"/>
        <v>May</v>
      </c>
      <c r="V404" s="24">
        <f t="shared" si="94"/>
        <v>1163</v>
      </c>
      <c r="W404" s="30">
        <f t="shared" si="95"/>
        <v>1842</v>
      </c>
      <c r="X404" s="31" t="b">
        <f t="shared" si="96"/>
        <v>0</v>
      </c>
      <c r="Y404" s="32" t="str">
        <f t="shared" si="97"/>
        <v>GROWTH</v>
      </c>
      <c r="Z404" s="41">
        <v>0</v>
      </c>
      <c r="AA404" s="36"/>
      <c r="AB404" s="36" t="s">
        <v>24</v>
      </c>
      <c r="AC404" s="41" t="s">
        <v>24</v>
      </c>
      <c r="AD404" s="34"/>
      <c r="AE404" s="35">
        <f>IFERROR(INDEX([1]Last6M_AvgSales_Ref!$B$2:$B$12659,MATCH(D404,[1]Last6M_AvgSales_Ref!$A$2:$A$12659,0)),"")</f>
        <v>2003.45</v>
      </c>
    </row>
    <row r="405" spans="1:31" ht="14.25" customHeight="1" x14ac:dyDescent="0.3">
      <c r="A405" s="36" t="s">
        <v>848</v>
      </c>
      <c r="B405" s="38" t="s">
        <v>849</v>
      </c>
      <c r="C405" s="38" t="s">
        <v>850</v>
      </c>
      <c r="D405" s="38">
        <v>1000000281</v>
      </c>
      <c r="E405" s="39" t="s">
        <v>851</v>
      </c>
      <c r="F405" s="40">
        <v>38435</v>
      </c>
      <c r="G405" s="22" t="str">
        <f t="shared" si="84"/>
        <v>Targeted Dealer</v>
      </c>
      <c r="H405" s="22"/>
      <c r="I405" s="23">
        <v>4760</v>
      </c>
      <c r="J405" s="23">
        <f t="shared" si="85"/>
        <v>4760</v>
      </c>
      <c r="K405" s="24">
        <v>3612.5</v>
      </c>
      <c r="L405" s="24">
        <f t="shared" si="86"/>
        <v>1147.5</v>
      </c>
      <c r="M405" s="24">
        <f t="shared" si="87"/>
        <v>75.892857142857139</v>
      </c>
      <c r="N405" s="25">
        <v>2849</v>
      </c>
      <c r="O405" s="26" t="str">
        <f t="shared" si="88"/>
        <v>June</v>
      </c>
      <c r="P405" s="25">
        <f t="shared" si="89"/>
        <v>2849</v>
      </c>
      <c r="Q405" s="27">
        <f t="shared" si="90"/>
        <v>763.5</v>
      </c>
      <c r="R405" s="26" t="b">
        <f t="shared" si="91"/>
        <v>0</v>
      </c>
      <c r="S405" s="28" t="str">
        <f t="shared" si="92"/>
        <v>GROWTH</v>
      </c>
      <c r="T405" s="24">
        <v>2368</v>
      </c>
      <c r="U405" s="29" t="str">
        <f t="shared" si="93"/>
        <v>May</v>
      </c>
      <c r="V405" s="24">
        <f t="shared" si="94"/>
        <v>2368</v>
      </c>
      <c r="W405" s="30">
        <f t="shared" si="95"/>
        <v>1244.5</v>
      </c>
      <c r="X405" s="31" t="b">
        <f t="shared" si="96"/>
        <v>0</v>
      </c>
      <c r="Y405" s="32" t="str">
        <f t="shared" si="97"/>
        <v>GROWTH</v>
      </c>
      <c r="Z405" s="41">
        <v>0</v>
      </c>
      <c r="AA405" s="36"/>
      <c r="AB405" s="36" t="s">
        <v>24</v>
      </c>
      <c r="AC405" s="36" t="s">
        <v>848</v>
      </c>
      <c r="AD405" s="34"/>
      <c r="AE405" s="35">
        <f>IFERROR(INDEX([1]Last6M_AvgSales_Ref!$B$2:$B$12659,MATCH(D405,[1]Last6M_AvgSales_Ref!$A$2:$A$12659,0)),"")</f>
        <v>3064.4166666666702</v>
      </c>
    </row>
    <row r="406" spans="1:31" ht="14.25" customHeight="1" x14ac:dyDescent="0.3">
      <c r="A406" s="41" t="s">
        <v>848</v>
      </c>
      <c r="B406" s="44" t="s">
        <v>849</v>
      </c>
      <c r="C406" s="44" t="s">
        <v>852</v>
      </c>
      <c r="D406" s="44">
        <v>1000003989</v>
      </c>
      <c r="E406" s="44" t="s">
        <v>853</v>
      </c>
      <c r="F406" s="40">
        <v>45443</v>
      </c>
      <c r="G406" s="22" t="str">
        <f t="shared" si="84"/>
        <v>Targeted Dealer</v>
      </c>
      <c r="H406" s="22"/>
      <c r="I406" s="23">
        <v>60</v>
      </c>
      <c r="J406" s="23">
        <f t="shared" si="85"/>
        <v>60</v>
      </c>
      <c r="K406" s="24">
        <v>23.5</v>
      </c>
      <c r="L406" s="24">
        <f t="shared" si="86"/>
        <v>36.5</v>
      </c>
      <c r="M406" s="24">
        <f t="shared" si="87"/>
        <v>39.166666666666671</v>
      </c>
      <c r="N406" s="25">
        <v>25</v>
      </c>
      <c r="O406" s="26" t="str">
        <f t="shared" si="88"/>
        <v>June</v>
      </c>
      <c r="P406" s="25">
        <f t="shared" si="89"/>
        <v>25</v>
      </c>
      <c r="Q406" s="27">
        <f t="shared" si="90"/>
        <v>-1.5</v>
      </c>
      <c r="R406" s="26" t="b">
        <f t="shared" si="91"/>
        <v>0</v>
      </c>
      <c r="S406" s="28" t="str">
        <f t="shared" si="92"/>
        <v>GROWTH</v>
      </c>
      <c r="T406" s="24">
        <v>30</v>
      </c>
      <c r="U406" s="29" t="str">
        <f t="shared" si="93"/>
        <v>May</v>
      </c>
      <c r="V406" s="24">
        <f t="shared" si="94"/>
        <v>30</v>
      </c>
      <c r="W406" s="30">
        <f t="shared" si="95"/>
        <v>-6.5</v>
      </c>
      <c r="X406" s="31" t="b">
        <f t="shared" si="96"/>
        <v>0</v>
      </c>
      <c r="Y406" s="32" t="str">
        <f t="shared" si="97"/>
        <v>GROWTH</v>
      </c>
      <c r="Z406" s="41">
        <v>0</v>
      </c>
      <c r="AA406" s="36"/>
      <c r="AB406" s="36" t="s">
        <v>24</v>
      </c>
      <c r="AC406" s="41" t="s">
        <v>848</v>
      </c>
      <c r="AD406" s="34"/>
      <c r="AE406" s="35">
        <f>IFERROR(INDEX([1]Last6M_AvgSales_Ref!$B$2:$B$12659,MATCH(D406,[1]Last6M_AvgSales_Ref!$A$2:$A$12659,0)),"")</f>
        <v>35.3333333333333</v>
      </c>
    </row>
    <row r="407" spans="1:31" ht="14.25" customHeight="1" x14ac:dyDescent="0.3">
      <c r="A407" s="36" t="s">
        <v>848</v>
      </c>
      <c r="B407" s="38" t="s">
        <v>849</v>
      </c>
      <c r="C407" s="38" t="s">
        <v>854</v>
      </c>
      <c r="D407" s="38">
        <v>1000000283</v>
      </c>
      <c r="E407" s="39" t="s">
        <v>855</v>
      </c>
      <c r="F407" s="40">
        <v>41541</v>
      </c>
      <c r="G407" s="22" t="str">
        <f t="shared" si="84"/>
        <v>Targeted Dealer</v>
      </c>
      <c r="H407" s="22"/>
      <c r="I407" s="23">
        <v>1520</v>
      </c>
      <c r="J407" s="23">
        <f t="shared" si="85"/>
        <v>1520</v>
      </c>
      <c r="K407" s="24">
        <v>995</v>
      </c>
      <c r="L407" s="24">
        <f t="shared" si="86"/>
        <v>525</v>
      </c>
      <c r="M407" s="24">
        <f t="shared" si="87"/>
        <v>65.46052631578948</v>
      </c>
      <c r="N407" s="25">
        <v>875.5</v>
      </c>
      <c r="O407" s="26" t="str">
        <f t="shared" si="88"/>
        <v>June</v>
      </c>
      <c r="P407" s="25">
        <f t="shared" si="89"/>
        <v>875.5</v>
      </c>
      <c r="Q407" s="27">
        <f t="shared" si="90"/>
        <v>119.5</v>
      </c>
      <c r="R407" s="26" t="b">
        <f t="shared" si="91"/>
        <v>0</v>
      </c>
      <c r="S407" s="28" t="str">
        <f t="shared" si="92"/>
        <v>GROWTH</v>
      </c>
      <c r="T407" s="24">
        <v>748.5</v>
      </c>
      <c r="U407" s="29" t="str">
        <f t="shared" si="93"/>
        <v>May</v>
      </c>
      <c r="V407" s="24">
        <f t="shared" si="94"/>
        <v>748.5</v>
      </c>
      <c r="W407" s="30">
        <f t="shared" si="95"/>
        <v>246.5</v>
      </c>
      <c r="X407" s="31" t="b">
        <f t="shared" si="96"/>
        <v>0</v>
      </c>
      <c r="Y407" s="32" t="str">
        <f t="shared" si="97"/>
        <v>GROWTH</v>
      </c>
      <c r="Z407" s="41">
        <v>0</v>
      </c>
      <c r="AA407" s="36"/>
      <c r="AB407" s="36" t="s">
        <v>24</v>
      </c>
      <c r="AC407" s="36" t="s">
        <v>848</v>
      </c>
      <c r="AD407" s="34"/>
      <c r="AE407" s="35">
        <f>IFERROR(INDEX([1]Last6M_AvgSales_Ref!$B$2:$B$12659,MATCH(D407,[1]Last6M_AvgSales_Ref!$A$2:$A$12659,0)),"")</f>
        <v>1038.2166666666701</v>
      </c>
    </row>
    <row r="408" spans="1:31" ht="14.25" customHeight="1" x14ac:dyDescent="0.3">
      <c r="A408" s="36" t="s">
        <v>848</v>
      </c>
      <c r="B408" s="38" t="s">
        <v>849</v>
      </c>
      <c r="C408" s="38" t="s">
        <v>856</v>
      </c>
      <c r="D408" s="38">
        <v>1000000284</v>
      </c>
      <c r="E408" s="39" t="s">
        <v>857</v>
      </c>
      <c r="F408" s="40">
        <v>42795</v>
      </c>
      <c r="G408" s="22" t="str">
        <f t="shared" si="84"/>
        <v>Targeted Dealer</v>
      </c>
      <c r="H408" s="22"/>
      <c r="I408" s="23">
        <v>190</v>
      </c>
      <c r="J408" s="23">
        <f t="shared" si="85"/>
        <v>190</v>
      </c>
      <c r="K408" s="24">
        <v>96.5</v>
      </c>
      <c r="L408" s="24">
        <f t="shared" si="86"/>
        <v>93.5</v>
      </c>
      <c r="M408" s="24">
        <f t="shared" si="87"/>
        <v>50.789473684210527</v>
      </c>
      <c r="N408" s="25">
        <v>103.5</v>
      </c>
      <c r="O408" s="26" t="str">
        <f t="shared" si="88"/>
        <v>June</v>
      </c>
      <c r="P408" s="25">
        <f t="shared" si="89"/>
        <v>103.5</v>
      </c>
      <c r="Q408" s="27">
        <f t="shared" si="90"/>
        <v>-7</v>
      </c>
      <c r="R408" s="26" t="b">
        <f t="shared" si="91"/>
        <v>0</v>
      </c>
      <c r="S408" s="28" t="str">
        <f t="shared" si="92"/>
        <v>GROWTH</v>
      </c>
      <c r="T408" s="24">
        <v>84</v>
      </c>
      <c r="U408" s="29" t="str">
        <f t="shared" si="93"/>
        <v>May</v>
      </c>
      <c r="V408" s="24">
        <f t="shared" si="94"/>
        <v>84</v>
      </c>
      <c r="W408" s="30">
        <f t="shared" si="95"/>
        <v>12.5</v>
      </c>
      <c r="X408" s="31" t="b">
        <f t="shared" si="96"/>
        <v>0</v>
      </c>
      <c r="Y408" s="32" t="str">
        <f t="shared" si="97"/>
        <v>GROWTH</v>
      </c>
      <c r="Z408" s="41">
        <v>0</v>
      </c>
      <c r="AA408" s="36"/>
      <c r="AB408" s="36" t="s">
        <v>24</v>
      </c>
      <c r="AC408" s="36" t="s">
        <v>848</v>
      </c>
      <c r="AD408" s="34"/>
      <c r="AE408" s="35">
        <f>IFERROR(INDEX([1]Last6M_AvgSales_Ref!$B$2:$B$12659,MATCH(D408,[1]Last6M_AvgSales_Ref!$A$2:$A$12659,0)),"")</f>
        <v>118.75</v>
      </c>
    </row>
    <row r="409" spans="1:31" ht="14.25" customHeight="1" x14ac:dyDescent="0.3">
      <c r="A409" s="36" t="s">
        <v>848</v>
      </c>
      <c r="B409" s="38" t="s">
        <v>849</v>
      </c>
      <c r="C409" s="38" t="s">
        <v>858</v>
      </c>
      <c r="D409" s="38">
        <v>1000000285</v>
      </c>
      <c r="E409" s="39" t="s">
        <v>859</v>
      </c>
      <c r="F409" s="40">
        <v>39226</v>
      </c>
      <c r="G409" s="22" t="str">
        <f t="shared" si="84"/>
        <v>Targeted Dealer</v>
      </c>
      <c r="H409" s="22"/>
      <c r="I409" s="23">
        <v>320</v>
      </c>
      <c r="J409" s="23">
        <f t="shared" si="85"/>
        <v>320</v>
      </c>
      <c r="K409" s="24">
        <v>143.5</v>
      </c>
      <c r="L409" s="24">
        <f t="shared" si="86"/>
        <v>176.5</v>
      </c>
      <c r="M409" s="24">
        <f t="shared" si="87"/>
        <v>44.84375</v>
      </c>
      <c r="N409" s="25">
        <v>160.5</v>
      </c>
      <c r="O409" s="26" t="str">
        <f t="shared" si="88"/>
        <v>June</v>
      </c>
      <c r="P409" s="25">
        <f t="shared" si="89"/>
        <v>160.5</v>
      </c>
      <c r="Q409" s="27">
        <f t="shared" si="90"/>
        <v>-17</v>
      </c>
      <c r="R409" s="26" t="b">
        <f t="shared" si="91"/>
        <v>0</v>
      </c>
      <c r="S409" s="28" t="str">
        <f t="shared" si="92"/>
        <v>GROWTH</v>
      </c>
      <c r="T409" s="24">
        <v>200</v>
      </c>
      <c r="U409" s="29" t="str">
        <f t="shared" si="93"/>
        <v>May</v>
      </c>
      <c r="V409" s="24">
        <f t="shared" si="94"/>
        <v>200</v>
      </c>
      <c r="W409" s="30">
        <f t="shared" si="95"/>
        <v>-56.5</v>
      </c>
      <c r="X409" s="31" t="b">
        <f t="shared" si="96"/>
        <v>0</v>
      </c>
      <c r="Y409" s="32" t="str">
        <f t="shared" si="97"/>
        <v>GROWTH</v>
      </c>
      <c r="Z409" s="41">
        <v>0</v>
      </c>
      <c r="AA409" s="36"/>
      <c r="AB409" s="36" t="s">
        <v>24</v>
      </c>
      <c r="AC409" s="36" t="s">
        <v>848</v>
      </c>
      <c r="AD409" s="34"/>
      <c r="AE409" s="35">
        <f>IFERROR(INDEX([1]Last6M_AvgSales_Ref!$B$2:$B$12659,MATCH(D409,[1]Last6M_AvgSales_Ref!$A$2:$A$12659,0)),"")</f>
        <v>151.583333333333</v>
      </c>
    </row>
    <row r="410" spans="1:31" ht="14.25" customHeight="1" x14ac:dyDescent="0.3">
      <c r="A410" s="36" t="s">
        <v>848</v>
      </c>
      <c r="B410" s="38" t="s">
        <v>849</v>
      </c>
      <c r="C410" s="38" t="s">
        <v>860</v>
      </c>
      <c r="D410" s="38">
        <v>1000003402</v>
      </c>
      <c r="E410" s="38" t="s">
        <v>861</v>
      </c>
      <c r="F410" s="40">
        <v>44985</v>
      </c>
      <c r="G410" s="22" t="str">
        <f t="shared" si="84"/>
        <v>Targeted Dealer</v>
      </c>
      <c r="H410" s="22"/>
      <c r="I410" s="23">
        <v>62</v>
      </c>
      <c r="J410" s="23">
        <f t="shared" si="85"/>
        <v>62.000000000000007</v>
      </c>
      <c r="K410" s="24">
        <v>52</v>
      </c>
      <c r="L410" s="24">
        <f t="shared" si="86"/>
        <v>10</v>
      </c>
      <c r="M410" s="24">
        <f t="shared" si="87"/>
        <v>83.870967741935473</v>
      </c>
      <c r="N410" s="25">
        <v>39</v>
      </c>
      <c r="O410" s="26" t="str">
        <f t="shared" si="88"/>
        <v>June</v>
      </c>
      <c r="P410" s="25">
        <f t="shared" si="89"/>
        <v>39</v>
      </c>
      <c r="Q410" s="27">
        <f t="shared" si="90"/>
        <v>13</v>
      </c>
      <c r="R410" s="26" t="b">
        <f t="shared" si="91"/>
        <v>0</v>
      </c>
      <c r="S410" s="28" t="str">
        <f t="shared" si="92"/>
        <v>GROWTH</v>
      </c>
      <c r="T410" s="24">
        <v>0</v>
      </c>
      <c r="U410" s="29" t="str">
        <f t="shared" si="93"/>
        <v>May</v>
      </c>
      <c r="V410" s="24">
        <f t="shared" si="94"/>
        <v>0</v>
      </c>
      <c r="W410" s="30">
        <f t="shared" si="95"/>
        <v>52</v>
      </c>
      <c r="X410" s="31" t="b">
        <f t="shared" si="96"/>
        <v>0</v>
      </c>
      <c r="Y410" s="32" t="b">
        <f t="shared" si="97"/>
        <v>0</v>
      </c>
      <c r="Z410" s="41">
        <v>0</v>
      </c>
      <c r="AA410" s="36"/>
      <c r="AB410" s="36" t="s">
        <v>24</v>
      </c>
      <c r="AC410" s="36" t="s">
        <v>848</v>
      </c>
      <c r="AD410" s="34"/>
      <c r="AE410" s="35">
        <f>IFERROR(INDEX([1]Last6M_AvgSales_Ref!$B$2:$B$12659,MATCH(D410,[1]Last6M_AvgSales_Ref!$A$2:$A$12659,0)),"")</f>
        <v>10.75</v>
      </c>
    </row>
    <row r="411" spans="1:31" ht="14.25" customHeight="1" x14ac:dyDescent="0.3">
      <c r="A411" s="36" t="s">
        <v>848</v>
      </c>
      <c r="B411" s="38" t="s">
        <v>849</v>
      </c>
      <c r="C411" s="38" t="s">
        <v>862</v>
      </c>
      <c r="D411" s="38">
        <v>1000003805</v>
      </c>
      <c r="E411" s="38" t="s">
        <v>861</v>
      </c>
      <c r="F411" s="40">
        <v>45288</v>
      </c>
      <c r="G411" s="22" t="str">
        <f t="shared" si="84"/>
        <v>Targeted Dealer</v>
      </c>
      <c r="H411" s="22"/>
      <c r="I411" s="23">
        <v>52</v>
      </c>
      <c r="J411" s="23">
        <f t="shared" si="85"/>
        <v>52</v>
      </c>
      <c r="K411" s="24">
        <v>13</v>
      </c>
      <c r="L411" s="24">
        <f t="shared" si="86"/>
        <v>39</v>
      </c>
      <c r="M411" s="24">
        <f t="shared" si="87"/>
        <v>25</v>
      </c>
      <c r="N411" s="25">
        <v>12.5</v>
      </c>
      <c r="O411" s="26" t="str">
        <f t="shared" si="88"/>
        <v>June</v>
      </c>
      <c r="P411" s="25">
        <f t="shared" si="89"/>
        <v>12.5</v>
      </c>
      <c r="Q411" s="27">
        <f t="shared" si="90"/>
        <v>0.5</v>
      </c>
      <c r="R411" s="26" t="b">
        <f t="shared" si="91"/>
        <v>0</v>
      </c>
      <c r="S411" s="28" t="str">
        <f t="shared" si="92"/>
        <v>GROWTH</v>
      </c>
      <c r="T411" s="24">
        <v>26</v>
      </c>
      <c r="U411" s="29" t="str">
        <f t="shared" si="93"/>
        <v>May</v>
      </c>
      <c r="V411" s="24">
        <f t="shared" si="94"/>
        <v>26</v>
      </c>
      <c r="W411" s="30">
        <f t="shared" si="95"/>
        <v>-13</v>
      </c>
      <c r="X411" s="31" t="b">
        <f t="shared" si="96"/>
        <v>0</v>
      </c>
      <c r="Y411" s="32" t="str">
        <f t="shared" si="97"/>
        <v>GROWTH</v>
      </c>
      <c r="Z411" s="41">
        <v>0</v>
      </c>
      <c r="AA411" s="36"/>
      <c r="AB411" s="36" t="s">
        <v>24</v>
      </c>
      <c r="AC411" s="36" t="s">
        <v>848</v>
      </c>
      <c r="AD411" s="34"/>
      <c r="AE411" s="35">
        <f>IFERROR(INDEX([1]Last6M_AvgSales_Ref!$B$2:$B$12659,MATCH(D411,[1]Last6M_AvgSales_Ref!$A$2:$A$12659,0)),"")</f>
        <v>16.8333333333333</v>
      </c>
    </row>
    <row r="412" spans="1:31" ht="14.25" customHeight="1" x14ac:dyDescent="0.3">
      <c r="A412" s="36" t="s">
        <v>848</v>
      </c>
      <c r="B412" s="38" t="s">
        <v>849</v>
      </c>
      <c r="C412" s="38" t="s">
        <v>863</v>
      </c>
      <c r="D412" s="38">
        <v>1000000286</v>
      </c>
      <c r="E412" s="39" t="s">
        <v>864</v>
      </c>
      <c r="F412" s="40">
        <v>43173</v>
      </c>
      <c r="G412" s="22" t="str">
        <f t="shared" si="84"/>
        <v>Targeted Dealer</v>
      </c>
      <c r="H412" s="22"/>
      <c r="I412" s="23">
        <v>300</v>
      </c>
      <c r="J412" s="23">
        <f t="shared" si="85"/>
        <v>300</v>
      </c>
      <c r="K412" s="24">
        <v>186</v>
      </c>
      <c r="L412" s="24">
        <f t="shared" si="86"/>
        <v>114</v>
      </c>
      <c r="M412" s="24">
        <f t="shared" si="87"/>
        <v>62</v>
      </c>
      <c r="N412" s="25">
        <v>185.5</v>
      </c>
      <c r="O412" s="26" t="str">
        <f t="shared" si="88"/>
        <v>June</v>
      </c>
      <c r="P412" s="25">
        <f t="shared" si="89"/>
        <v>185.5</v>
      </c>
      <c r="Q412" s="27">
        <f t="shared" si="90"/>
        <v>0.5</v>
      </c>
      <c r="R412" s="26" t="b">
        <f t="shared" si="91"/>
        <v>0</v>
      </c>
      <c r="S412" s="28" t="str">
        <f t="shared" si="92"/>
        <v>GROWTH</v>
      </c>
      <c r="T412" s="24">
        <v>146.5</v>
      </c>
      <c r="U412" s="29" t="str">
        <f t="shared" si="93"/>
        <v>May</v>
      </c>
      <c r="V412" s="24">
        <f t="shared" si="94"/>
        <v>146.5</v>
      </c>
      <c r="W412" s="30">
        <f t="shared" si="95"/>
        <v>39.5</v>
      </c>
      <c r="X412" s="31" t="b">
        <f t="shared" si="96"/>
        <v>0</v>
      </c>
      <c r="Y412" s="32" t="str">
        <f t="shared" si="97"/>
        <v>GROWTH</v>
      </c>
      <c r="Z412" s="41">
        <v>0</v>
      </c>
      <c r="AA412" s="36"/>
      <c r="AB412" s="36" t="s">
        <v>24</v>
      </c>
      <c r="AC412" s="36" t="s">
        <v>848</v>
      </c>
      <c r="AD412" s="34"/>
      <c r="AE412" s="35">
        <f>IFERROR(INDEX([1]Last6M_AvgSales_Ref!$B$2:$B$12659,MATCH(D412,[1]Last6M_AvgSales_Ref!$A$2:$A$12659,0)),"")</f>
        <v>163.36666666666699</v>
      </c>
    </row>
    <row r="413" spans="1:31" ht="14.25" customHeight="1" x14ac:dyDescent="0.3">
      <c r="A413" s="36" t="s">
        <v>848</v>
      </c>
      <c r="B413" s="38" t="s">
        <v>849</v>
      </c>
      <c r="C413" s="38" t="s">
        <v>865</v>
      </c>
      <c r="D413" s="38">
        <v>1000000287</v>
      </c>
      <c r="E413" s="39" t="s">
        <v>866</v>
      </c>
      <c r="F413" s="40">
        <v>41802</v>
      </c>
      <c r="G413" s="22" t="str">
        <f t="shared" si="84"/>
        <v>Targeted Dealer</v>
      </c>
      <c r="H413" s="22"/>
      <c r="I413" s="23">
        <v>420</v>
      </c>
      <c r="J413" s="23">
        <f t="shared" si="85"/>
        <v>420</v>
      </c>
      <c r="K413" s="24">
        <v>208</v>
      </c>
      <c r="L413" s="24">
        <f t="shared" si="86"/>
        <v>212</v>
      </c>
      <c r="M413" s="24">
        <f t="shared" si="87"/>
        <v>49.523809523809518</v>
      </c>
      <c r="N413" s="25">
        <v>182</v>
      </c>
      <c r="O413" s="26" t="str">
        <f t="shared" si="88"/>
        <v>June</v>
      </c>
      <c r="P413" s="25">
        <f t="shared" si="89"/>
        <v>182</v>
      </c>
      <c r="Q413" s="27">
        <f t="shared" si="90"/>
        <v>26</v>
      </c>
      <c r="R413" s="26" t="b">
        <f t="shared" si="91"/>
        <v>0</v>
      </c>
      <c r="S413" s="28" t="str">
        <f t="shared" si="92"/>
        <v>GROWTH</v>
      </c>
      <c r="T413" s="24">
        <v>206</v>
      </c>
      <c r="U413" s="29" t="str">
        <f t="shared" si="93"/>
        <v>May</v>
      </c>
      <c r="V413" s="24">
        <f t="shared" si="94"/>
        <v>206</v>
      </c>
      <c r="W413" s="30">
        <f t="shared" si="95"/>
        <v>2</v>
      </c>
      <c r="X413" s="31" t="b">
        <f t="shared" si="96"/>
        <v>0</v>
      </c>
      <c r="Y413" s="32" t="str">
        <f t="shared" si="97"/>
        <v>GROWTH</v>
      </c>
      <c r="Z413" s="41">
        <v>0</v>
      </c>
      <c r="AA413" s="36"/>
      <c r="AB413" s="36" t="s">
        <v>24</v>
      </c>
      <c r="AC413" s="36" t="s">
        <v>848</v>
      </c>
      <c r="AD413" s="34"/>
      <c r="AE413" s="35">
        <f>IFERROR(INDEX([1]Last6M_AvgSales_Ref!$B$2:$B$12659,MATCH(D413,[1]Last6M_AvgSales_Ref!$A$2:$A$12659,0)),"")</f>
        <v>232.083333333333</v>
      </c>
    </row>
    <row r="414" spans="1:31" ht="14.25" customHeight="1" x14ac:dyDescent="0.3">
      <c r="A414" s="36" t="s">
        <v>848</v>
      </c>
      <c r="B414" s="38" t="s">
        <v>849</v>
      </c>
      <c r="C414" s="38" t="s">
        <v>867</v>
      </c>
      <c r="D414" s="38">
        <v>1000003483</v>
      </c>
      <c r="E414" s="38" t="s">
        <v>868</v>
      </c>
      <c r="F414" s="40">
        <v>45021</v>
      </c>
      <c r="G414" s="22" t="str">
        <f t="shared" si="84"/>
        <v>Targeted Dealer</v>
      </c>
      <c r="H414" s="22"/>
      <c r="I414" s="23">
        <v>90</v>
      </c>
      <c r="J414" s="23">
        <f t="shared" si="85"/>
        <v>90</v>
      </c>
      <c r="K414" s="24">
        <v>7</v>
      </c>
      <c r="L414" s="24">
        <f t="shared" si="86"/>
        <v>83</v>
      </c>
      <c r="M414" s="24">
        <f t="shared" si="87"/>
        <v>7.7777777777777777</v>
      </c>
      <c r="N414" s="25">
        <v>7</v>
      </c>
      <c r="O414" s="26" t="str">
        <f t="shared" si="88"/>
        <v>June</v>
      </c>
      <c r="P414" s="25">
        <f t="shared" si="89"/>
        <v>7</v>
      </c>
      <c r="Q414" s="27">
        <f t="shared" si="90"/>
        <v>0</v>
      </c>
      <c r="R414" s="26" t="b">
        <f t="shared" si="91"/>
        <v>0</v>
      </c>
      <c r="S414" s="28" t="str">
        <f t="shared" si="92"/>
        <v>GROWTH</v>
      </c>
      <c r="T414" s="24">
        <v>10</v>
      </c>
      <c r="U414" s="29" t="str">
        <f t="shared" si="93"/>
        <v>May</v>
      </c>
      <c r="V414" s="24">
        <f t="shared" si="94"/>
        <v>10</v>
      </c>
      <c r="W414" s="30">
        <f t="shared" si="95"/>
        <v>-3</v>
      </c>
      <c r="X414" s="31" t="b">
        <f t="shared" si="96"/>
        <v>0</v>
      </c>
      <c r="Y414" s="32" t="str">
        <f t="shared" si="97"/>
        <v>GROWTH</v>
      </c>
      <c r="Z414" s="41">
        <v>0</v>
      </c>
      <c r="AA414" s="36"/>
      <c r="AB414" s="36" t="s">
        <v>24</v>
      </c>
      <c r="AC414" s="36" t="s">
        <v>848</v>
      </c>
      <c r="AD414" s="34"/>
      <c r="AE414" s="35">
        <f>IFERROR(INDEX([1]Last6M_AvgSales_Ref!$B$2:$B$12659,MATCH(D414,[1]Last6M_AvgSales_Ref!$A$2:$A$12659,0)),"")</f>
        <v>21</v>
      </c>
    </row>
    <row r="415" spans="1:31" ht="14.25" customHeight="1" x14ac:dyDescent="0.3">
      <c r="A415" s="36" t="s">
        <v>848</v>
      </c>
      <c r="B415" s="38" t="s">
        <v>849</v>
      </c>
      <c r="C415" s="38" t="s">
        <v>869</v>
      </c>
      <c r="D415" s="38">
        <v>1000002621</v>
      </c>
      <c r="E415" s="39" t="s">
        <v>870</v>
      </c>
      <c r="F415" s="40">
        <v>44628</v>
      </c>
      <c r="G415" s="22" t="str">
        <f t="shared" si="84"/>
        <v>Targeted Dealer</v>
      </c>
      <c r="H415" s="22"/>
      <c r="I415" s="23">
        <v>240</v>
      </c>
      <c r="J415" s="23">
        <f t="shared" si="85"/>
        <v>240</v>
      </c>
      <c r="K415" s="24">
        <v>181.5</v>
      </c>
      <c r="L415" s="24">
        <f t="shared" si="86"/>
        <v>58.5</v>
      </c>
      <c r="M415" s="24">
        <f t="shared" si="87"/>
        <v>75.625</v>
      </c>
      <c r="N415" s="25">
        <v>169</v>
      </c>
      <c r="O415" s="26" t="str">
        <f t="shared" si="88"/>
        <v>June</v>
      </c>
      <c r="P415" s="25">
        <f t="shared" si="89"/>
        <v>169</v>
      </c>
      <c r="Q415" s="27">
        <f t="shared" si="90"/>
        <v>12.5</v>
      </c>
      <c r="R415" s="26" t="b">
        <f t="shared" si="91"/>
        <v>0</v>
      </c>
      <c r="S415" s="28" t="str">
        <f t="shared" si="92"/>
        <v>GROWTH</v>
      </c>
      <c r="T415" s="24">
        <v>117</v>
      </c>
      <c r="U415" s="29" t="str">
        <f t="shared" si="93"/>
        <v>May</v>
      </c>
      <c r="V415" s="24">
        <f t="shared" si="94"/>
        <v>117</v>
      </c>
      <c r="W415" s="30">
        <f t="shared" si="95"/>
        <v>64.5</v>
      </c>
      <c r="X415" s="31" t="b">
        <f t="shared" si="96"/>
        <v>0</v>
      </c>
      <c r="Y415" s="32" t="str">
        <f t="shared" si="97"/>
        <v>GROWTH</v>
      </c>
      <c r="Z415" s="41">
        <v>0</v>
      </c>
      <c r="AA415" s="36"/>
      <c r="AB415" s="36" t="s">
        <v>24</v>
      </c>
      <c r="AC415" s="36" t="s">
        <v>848</v>
      </c>
      <c r="AD415" s="34"/>
      <c r="AE415" s="35">
        <f>IFERROR(INDEX([1]Last6M_AvgSales_Ref!$B$2:$B$12659,MATCH(D415,[1]Last6M_AvgSales_Ref!$A$2:$A$12659,0)),"")</f>
        <v>155.433333333333</v>
      </c>
    </row>
    <row r="416" spans="1:31" ht="14.25" customHeight="1" x14ac:dyDescent="0.3">
      <c r="A416" s="36" t="s">
        <v>848</v>
      </c>
      <c r="B416" s="38" t="s">
        <v>849</v>
      </c>
      <c r="C416" s="38" t="s">
        <v>871</v>
      </c>
      <c r="D416" s="38">
        <v>1000003615</v>
      </c>
      <c r="E416" s="38" t="s">
        <v>872</v>
      </c>
      <c r="F416" s="40">
        <v>45107</v>
      </c>
      <c r="G416" s="22" t="str">
        <f t="shared" si="84"/>
        <v>Targeted Dealer</v>
      </c>
      <c r="H416" s="22"/>
      <c r="I416" s="23">
        <v>78</v>
      </c>
      <c r="J416" s="23">
        <f t="shared" si="85"/>
        <v>78</v>
      </c>
      <c r="K416" s="24">
        <v>13</v>
      </c>
      <c r="L416" s="24">
        <f t="shared" si="86"/>
        <v>65</v>
      </c>
      <c r="M416" s="24">
        <f t="shared" si="87"/>
        <v>16.666666666666668</v>
      </c>
      <c r="N416" s="25">
        <v>26</v>
      </c>
      <c r="O416" s="26" t="str">
        <f t="shared" si="88"/>
        <v>June</v>
      </c>
      <c r="P416" s="25">
        <f t="shared" si="89"/>
        <v>26</v>
      </c>
      <c r="Q416" s="27">
        <f t="shared" si="90"/>
        <v>-13</v>
      </c>
      <c r="R416" s="26" t="b">
        <f t="shared" si="91"/>
        <v>0</v>
      </c>
      <c r="S416" s="28" t="str">
        <f t="shared" si="92"/>
        <v>GROWTH</v>
      </c>
      <c r="T416" s="24">
        <v>39</v>
      </c>
      <c r="U416" s="29" t="str">
        <f t="shared" si="93"/>
        <v>May</v>
      </c>
      <c r="V416" s="24">
        <f t="shared" si="94"/>
        <v>39</v>
      </c>
      <c r="W416" s="30">
        <f t="shared" si="95"/>
        <v>-26</v>
      </c>
      <c r="X416" s="31" t="b">
        <f t="shared" si="96"/>
        <v>0</v>
      </c>
      <c r="Y416" s="32" t="str">
        <f t="shared" si="97"/>
        <v>GROWTH</v>
      </c>
      <c r="Z416" s="41">
        <v>0</v>
      </c>
      <c r="AA416" s="36"/>
      <c r="AB416" s="36" t="s">
        <v>24</v>
      </c>
      <c r="AC416" s="36" t="s">
        <v>848</v>
      </c>
      <c r="AD416" s="34"/>
      <c r="AE416" s="35">
        <f>IFERROR(INDEX([1]Last6M_AvgSales_Ref!$B$2:$B$12659,MATCH(D416,[1]Last6M_AvgSales_Ref!$A$2:$A$12659,0)),"")</f>
        <v>29.9166666666667</v>
      </c>
    </row>
    <row r="417" spans="1:31" ht="14.25" customHeight="1" x14ac:dyDescent="0.3">
      <c r="A417" s="36" t="s">
        <v>848</v>
      </c>
      <c r="B417" s="38" t="s">
        <v>849</v>
      </c>
      <c r="C417" s="38" t="s">
        <v>873</v>
      </c>
      <c r="D417" s="38">
        <v>1000003799</v>
      </c>
      <c r="E417" s="38" t="s">
        <v>874</v>
      </c>
      <c r="F417" s="40">
        <v>45283</v>
      </c>
      <c r="G417" s="22" t="str">
        <f t="shared" si="84"/>
        <v>Targeted Dealer</v>
      </c>
      <c r="H417" s="22"/>
      <c r="I417" s="23">
        <v>160</v>
      </c>
      <c r="J417" s="23">
        <f t="shared" si="85"/>
        <v>160</v>
      </c>
      <c r="K417" s="24">
        <v>74</v>
      </c>
      <c r="L417" s="24">
        <f t="shared" si="86"/>
        <v>86</v>
      </c>
      <c r="M417" s="24">
        <f t="shared" si="87"/>
        <v>46.25</v>
      </c>
      <c r="N417" s="25">
        <v>100</v>
      </c>
      <c r="O417" s="26" t="str">
        <f t="shared" si="88"/>
        <v>June</v>
      </c>
      <c r="P417" s="25">
        <f t="shared" si="89"/>
        <v>100</v>
      </c>
      <c r="Q417" s="27">
        <f t="shared" si="90"/>
        <v>-26</v>
      </c>
      <c r="R417" s="26" t="b">
        <f t="shared" si="91"/>
        <v>0</v>
      </c>
      <c r="S417" s="28" t="str">
        <f t="shared" si="92"/>
        <v>GROWTH</v>
      </c>
      <c r="T417" s="24">
        <v>78</v>
      </c>
      <c r="U417" s="29" t="str">
        <f t="shared" si="93"/>
        <v>May</v>
      </c>
      <c r="V417" s="24">
        <f t="shared" si="94"/>
        <v>78</v>
      </c>
      <c r="W417" s="30">
        <f t="shared" si="95"/>
        <v>-4</v>
      </c>
      <c r="X417" s="31" t="b">
        <f t="shared" si="96"/>
        <v>0</v>
      </c>
      <c r="Y417" s="32" t="str">
        <f t="shared" si="97"/>
        <v>GROWTH</v>
      </c>
      <c r="Z417" s="41">
        <v>0</v>
      </c>
      <c r="AA417" s="36"/>
      <c r="AB417" s="36" t="s">
        <v>24</v>
      </c>
      <c r="AC417" s="36" t="s">
        <v>848</v>
      </c>
      <c r="AD417" s="34"/>
      <c r="AE417" s="35">
        <f>IFERROR(INDEX([1]Last6M_AvgSales_Ref!$B$2:$B$12659,MATCH(D417,[1]Last6M_AvgSales_Ref!$A$2:$A$12659,0)),"")</f>
        <v>55.4166666666667</v>
      </c>
    </row>
    <row r="418" spans="1:31" ht="14.25" customHeight="1" x14ac:dyDescent="0.3">
      <c r="A418" s="41" t="s">
        <v>848</v>
      </c>
      <c r="B418" s="44" t="s">
        <v>849</v>
      </c>
      <c r="C418" s="44" t="s">
        <v>875</v>
      </c>
      <c r="D418" s="44">
        <v>1000003846</v>
      </c>
      <c r="E418" s="44" t="s">
        <v>876</v>
      </c>
      <c r="F418" s="45">
        <v>45322</v>
      </c>
      <c r="G418" s="22" t="str">
        <f t="shared" si="84"/>
        <v>Targeted Dealer</v>
      </c>
      <c r="H418" s="22"/>
      <c r="I418" s="23">
        <v>320</v>
      </c>
      <c r="J418" s="23">
        <f t="shared" si="85"/>
        <v>320</v>
      </c>
      <c r="K418" s="24">
        <v>311</v>
      </c>
      <c r="L418" s="24">
        <f t="shared" si="86"/>
        <v>9</v>
      </c>
      <c r="M418" s="24">
        <f t="shared" si="87"/>
        <v>97.1875</v>
      </c>
      <c r="N418" s="25">
        <v>208</v>
      </c>
      <c r="O418" s="26" t="str">
        <f t="shared" si="88"/>
        <v>June</v>
      </c>
      <c r="P418" s="25">
        <f t="shared" si="89"/>
        <v>208</v>
      </c>
      <c r="Q418" s="27">
        <f t="shared" si="90"/>
        <v>103</v>
      </c>
      <c r="R418" s="26" t="b">
        <f t="shared" si="91"/>
        <v>0</v>
      </c>
      <c r="S418" s="28" t="str">
        <f t="shared" si="92"/>
        <v>GROWTH</v>
      </c>
      <c r="T418" s="24">
        <v>142.5</v>
      </c>
      <c r="U418" s="29" t="str">
        <f t="shared" si="93"/>
        <v>May</v>
      </c>
      <c r="V418" s="24">
        <f t="shared" si="94"/>
        <v>142.5</v>
      </c>
      <c r="W418" s="30">
        <f t="shared" si="95"/>
        <v>168.5</v>
      </c>
      <c r="X418" s="31" t="b">
        <f t="shared" si="96"/>
        <v>0</v>
      </c>
      <c r="Y418" s="32" t="str">
        <f t="shared" si="97"/>
        <v>GROWTH</v>
      </c>
      <c r="Z418" s="41">
        <v>0</v>
      </c>
      <c r="AA418" s="36"/>
      <c r="AB418" s="36" t="s">
        <v>24</v>
      </c>
      <c r="AC418" s="41" t="s">
        <v>848</v>
      </c>
      <c r="AD418" s="34"/>
      <c r="AE418" s="35">
        <f>IFERROR(INDEX([1]Last6M_AvgSales_Ref!$B$2:$B$12659,MATCH(D418,[1]Last6M_AvgSales_Ref!$A$2:$A$12659,0)),"")</f>
        <v>316.33333333333297</v>
      </c>
    </row>
    <row r="419" spans="1:31" ht="14.25" customHeight="1" x14ac:dyDescent="0.3">
      <c r="A419" s="36" t="s">
        <v>848</v>
      </c>
      <c r="B419" s="38" t="s">
        <v>849</v>
      </c>
      <c r="C419" s="38" t="s">
        <v>877</v>
      </c>
      <c r="D419" s="38">
        <v>1000000288</v>
      </c>
      <c r="E419" s="39" t="s">
        <v>878</v>
      </c>
      <c r="F419" s="40">
        <v>39398</v>
      </c>
      <c r="G419" s="22" t="str">
        <f t="shared" si="84"/>
        <v>Targeted Dealer</v>
      </c>
      <c r="H419" s="22"/>
      <c r="I419" s="23">
        <v>208</v>
      </c>
      <c r="J419" s="23">
        <f t="shared" si="85"/>
        <v>208</v>
      </c>
      <c r="K419" s="24">
        <v>91</v>
      </c>
      <c r="L419" s="24">
        <f t="shared" si="86"/>
        <v>117</v>
      </c>
      <c r="M419" s="24">
        <f t="shared" si="87"/>
        <v>43.75</v>
      </c>
      <c r="N419" s="25">
        <v>130</v>
      </c>
      <c r="O419" s="26" t="str">
        <f t="shared" si="88"/>
        <v>June</v>
      </c>
      <c r="P419" s="25">
        <f t="shared" si="89"/>
        <v>130</v>
      </c>
      <c r="Q419" s="27">
        <f t="shared" si="90"/>
        <v>-39</v>
      </c>
      <c r="R419" s="26" t="b">
        <f t="shared" si="91"/>
        <v>0</v>
      </c>
      <c r="S419" s="28" t="str">
        <f t="shared" si="92"/>
        <v>GROWTH</v>
      </c>
      <c r="T419" s="24">
        <v>104</v>
      </c>
      <c r="U419" s="29" t="str">
        <f t="shared" si="93"/>
        <v>May</v>
      </c>
      <c r="V419" s="24">
        <f t="shared" si="94"/>
        <v>104</v>
      </c>
      <c r="W419" s="30">
        <f t="shared" si="95"/>
        <v>-13</v>
      </c>
      <c r="X419" s="31" t="b">
        <f t="shared" si="96"/>
        <v>0</v>
      </c>
      <c r="Y419" s="32" t="str">
        <f t="shared" si="97"/>
        <v>GROWTH</v>
      </c>
      <c r="Z419" s="41">
        <v>0</v>
      </c>
      <c r="AA419" s="36"/>
      <c r="AB419" s="36" t="s">
        <v>24</v>
      </c>
      <c r="AC419" s="36" t="s">
        <v>848</v>
      </c>
      <c r="AD419" s="34"/>
      <c r="AE419" s="35">
        <f>IFERROR(INDEX([1]Last6M_AvgSales_Ref!$B$2:$B$12659,MATCH(D419,[1]Last6M_AvgSales_Ref!$A$2:$A$12659,0)),"")</f>
        <v>116.083333333333</v>
      </c>
    </row>
    <row r="420" spans="1:31" ht="14.25" customHeight="1" x14ac:dyDescent="0.3">
      <c r="A420" s="36" t="s">
        <v>848</v>
      </c>
      <c r="B420" s="38" t="s">
        <v>849</v>
      </c>
      <c r="C420" s="38" t="s">
        <v>879</v>
      </c>
      <c r="D420" s="38">
        <v>1000000290</v>
      </c>
      <c r="E420" s="39" t="s">
        <v>880</v>
      </c>
      <c r="F420" s="40">
        <v>43540</v>
      </c>
      <c r="G420" s="22" t="str">
        <f t="shared" si="84"/>
        <v>Targeted Dealer</v>
      </c>
      <c r="H420" s="22"/>
      <c r="I420" s="23">
        <v>40</v>
      </c>
      <c r="J420" s="23">
        <f t="shared" si="85"/>
        <v>40</v>
      </c>
      <c r="K420" s="24">
        <v>3.5</v>
      </c>
      <c r="L420" s="24">
        <f t="shared" si="86"/>
        <v>36.5</v>
      </c>
      <c r="M420" s="24">
        <f t="shared" si="87"/>
        <v>8.75</v>
      </c>
      <c r="N420" s="25">
        <v>14</v>
      </c>
      <c r="O420" s="26" t="str">
        <f t="shared" si="88"/>
        <v>June</v>
      </c>
      <c r="P420" s="25">
        <f t="shared" si="89"/>
        <v>14</v>
      </c>
      <c r="Q420" s="27">
        <f t="shared" si="90"/>
        <v>-10.5</v>
      </c>
      <c r="R420" s="26" t="b">
        <f t="shared" si="91"/>
        <v>0</v>
      </c>
      <c r="S420" s="28" t="str">
        <f t="shared" si="92"/>
        <v>GROWTH</v>
      </c>
      <c r="T420" s="24">
        <v>16.5</v>
      </c>
      <c r="U420" s="29" t="str">
        <f t="shared" si="93"/>
        <v>May</v>
      </c>
      <c r="V420" s="24">
        <f t="shared" si="94"/>
        <v>16.5</v>
      </c>
      <c r="W420" s="30">
        <f t="shared" si="95"/>
        <v>-13</v>
      </c>
      <c r="X420" s="31" t="b">
        <f t="shared" si="96"/>
        <v>0</v>
      </c>
      <c r="Y420" s="32" t="str">
        <f t="shared" si="97"/>
        <v>GROWTH</v>
      </c>
      <c r="Z420" s="41">
        <v>0</v>
      </c>
      <c r="AA420" s="36"/>
      <c r="AB420" s="36" t="s">
        <v>24</v>
      </c>
      <c r="AC420" s="36" t="s">
        <v>848</v>
      </c>
      <c r="AD420" s="34"/>
      <c r="AE420" s="35">
        <f>IFERROR(INDEX([1]Last6M_AvgSales_Ref!$B$2:$B$12659,MATCH(D420,[1]Last6M_AvgSales_Ref!$A$2:$A$12659,0)),"")</f>
        <v>5.0833333333333304</v>
      </c>
    </row>
    <row r="421" spans="1:31" ht="14.25" customHeight="1" x14ac:dyDescent="0.3">
      <c r="A421" s="36" t="s">
        <v>848</v>
      </c>
      <c r="B421" s="38" t="s">
        <v>849</v>
      </c>
      <c r="C421" s="38" t="s">
        <v>881</v>
      </c>
      <c r="D421" s="38">
        <v>1000003815</v>
      </c>
      <c r="E421" s="38" t="s">
        <v>882</v>
      </c>
      <c r="F421" s="43">
        <v>45291</v>
      </c>
      <c r="G421" s="22" t="str">
        <f t="shared" si="84"/>
        <v>Targeted Dealer</v>
      </c>
      <c r="H421" s="22"/>
      <c r="I421" s="23">
        <v>800</v>
      </c>
      <c r="J421" s="23">
        <f t="shared" si="85"/>
        <v>800</v>
      </c>
      <c r="K421" s="24">
        <v>428.5</v>
      </c>
      <c r="L421" s="24">
        <f t="shared" si="86"/>
        <v>371.5</v>
      </c>
      <c r="M421" s="24">
        <f t="shared" si="87"/>
        <v>53.5625</v>
      </c>
      <c r="N421" s="25">
        <v>299</v>
      </c>
      <c r="O421" s="26" t="str">
        <f t="shared" si="88"/>
        <v>June</v>
      </c>
      <c r="P421" s="25">
        <f t="shared" si="89"/>
        <v>299</v>
      </c>
      <c r="Q421" s="27">
        <f t="shared" si="90"/>
        <v>129.5</v>
      </c>
      <c r="R421" s="26" t="b">
        <f t="shared" si="91"/>
        <v>0</v>
      </c>
      <c r="S421" s="28" t="str">
        <f t="shared" si="92"/>
        <v>GROWTH</v>
      </c>
      <c r="T421" s="24">
        <v>450.25</v>
      </c>
      <c r="U421" s="29" t="str">
        <f t="shared" si="93"/>
        <v>May</v>
      </c>
      <c r="V421" s="24">
        <f t="shared" si="94"/>
        <v>450.25</v>
      </c>
      <c r="W421" s="30">
        <f t="shared" si="95"/>
        <v>-21.75</v>
      </c>
      <c r="X421" s="31" t="b">
        <f t="shared" si="96"/>
        <v>0</v>
      </c>
      <c r="Y421" s="32" t="str">
        <f t="shared" si="97"/>
        <v>GROWTH</v>
      </c>
      <c r="Z421" s="41">
        <v>0</v>
      </c>
      <c r="AA421" s="36"/>
      <c r="AB421" s="36" t="s">
        <v>24</v>
      </c>
      <c r="AC421" s="36" t="s">
        <v>848</v>
      </c>
      <c r="AD421" s="34"/>
      <c r="AE421" s="35">
        <f>IFERROR(INDEX([1]Last6M_AvgSales_Ref!$B$2:$B$12659,MATCH(D421,[1]Last6M_AvgSales_Ref!$A$2:$A$12659,0)),"")</f>
        <v>437.5</v>
      </c>
    </row>
    <row r="422" spans="1:31" ht="14.25" customHeight="1" x14ac:dyDescent="0.3">
      <c r="A422" s="36" t="s">
        <v>848</v>
      </c>
      <c r="B422" s="38" t="s">
        <v>849</v>
      </c>
      <c r="C422" s="38" t="s">
        <v>883</v>
      </c>
      <c r="D422" s="38">
        <v>1000000291</v>
      </c>
      <c r="E422" s="39" t="s">
        <v>884</v>
      </c>
      <c r="F422" s="40">
        <v>41097</v>
      </c>
      <c r="G422" s="22" t="str">
        <f t="shared" si="84"/>
        <v>Targeted Dealer</v>
      </c>
      <c r="H422" s="22"/>
      <c r="I422" s="23">
        <v>26</v>
      </c>
      <c r="J422" s="23">
        <f t="shared" si="85"/>
        <v>26</v>
      </c>
      <c r="K422" s="24">
        <v>0</v>
      </c>
      <c r="L422" s="24">
        <f t="shared" si="86"/>
        <v>26</v>
      </c>
      <c r="M422" s="24">
        <f t="shared" si="87"/>
        <v>0</v>
      </c>
      <c r="N422" s="25">
        <v>3.5</v>
      </c>
      <c r="O422" s="26" t="str">
        <f t="shared" si="88"/>
        <v>June</v>
      </c>
      <c r="P422" s="25">
        <f t="shared" si="89"/>
        <v>3.5</v>
      </c>
      <c r="Q422" s="27">
        <f t="shared" si="90"/>
        <v>-3.5</v>
      </c>
      <c r="R422" s="26" t="b">
        <f t="shared" si="91"/>
        <v>0</v>
      </c>
      <c r="S422" s="28" t="str">
        <f t="shared" si="92"/>
        <v>GROWTH</v>
      </c>
      <c r="T422" s="24">
        <v>12.5</v>
      </c>
      <c r="U422" s="29" t="str">
        <f t="shared" si="93"/>
        <v>May</v>
      </c>
      <c r="V422" s="24">
        <f t="shared" si="94"/>
        <v>12.5</v>
      </c>
      <c r="W422" s="30">
        <f t="shared" si="95"/>
        <v>-12.5</v>
      </c>
      <c r="X422" s="31" t="b">
        <f t="shared" si="96"/>
        <v>0</v>
      </c>
      <c r="Y422" s="32" t="str">
        <f t="shared" si="97"/>
        <v>GROWTH</v>
      </c>
      <c r="Z422" s="41">
        <v>0</v>
      </c>
      <c r="AA422" s="36"/>
      <c r="AB422" s="36" t="s">
        <v>24</v>
      </c>
      <c r="AC422" s="36" t="s">
        <v>848</v>
      </c>
      <c r="AD422" s="34"/>
      <c r="AE422" s="35">
        <f>IFERROR(INDEX([1]Last6M_AvgSales_Ref!$B$2:$B$12659,MATCH(D422,[1]Last6M_AvgSales_Ref!$A$2:$A$12659,0)),"")</f>
        <v>17.25</v>
      </c>
    </row>
    <row r="423" spans="1:31" ht="14.25" customHeight="1" x14ac:dyDescent="0.3">
      <c r="A423" s="36" t="s">
        <v>848</v>
      </c>
      <c r="B423" s="38" t="s">
        <v>849</v>
      </c>
      <c r="C423" s="38" t="s">
        <v>885</v>
      </c>
      <c r="D423" s="38">
        <v>1000002763</v>
      </c>
      <c r="E423" s="39" t="s">
        <v>886</v>
      </c>
      <c r="F423" s="40">
        <v>44711</v>
      </c>
      <c r="G423" s="22" t="str">
        <f t="shared" si="84"/>
        <v>Targeted Dealer</v>
      </c>
      <c r="H423" s="22"/>
      <c r="I423" s="23">
        <v>78</v>
      </c>
      <c r="J423" s="23">
        <f t="shared" si="85"/>
        <v>78</v>
      </c>
      <c r="K423" s="24">
        <v>15.5</v>
      </c>
      <c r="L423" s="24">
        <f t="shared" si="86"/>
        <v>62.5</v>
      </c>
      <c r="M423" s="24">
        <f t="shared" si="87"/>
        <v>19.871794871794872</v>
      </c>
      <c r="N423" s="25">
        <v>8.5</v>
      </c>
      <c r="O423" s="26" t="str">
        <f t="shared" si="88"/>
        <v>June</v>
      </c>
      <c r="P423" s="25">
        <f t="shared" si="89"/>
        <v>8.5</v>
      </c>
      <c r="Q423" s="27">
        <f t="shared" si="90"/>
        <v>7</v>
      </c>
      <c r="R423" s="26" t="b">
        <f t="shared" si="91"/>
        <v>0</v>
      </c>
      <c r="S423" s="28" t="str">
        <f t="shared" si="92"/>
        <v>GROWTH</v>
      </c>
      <c r="T423" s="24">
        <v>53.75</v>
      </c>
      <c r="U423" s="29" t="str">
        <f t="shared" si="93"/>
        <v>May</v>
      </c>
      <c r="V423" s="24">
        <f t="shared" si="94"/>
        <v>53.75</v>
      </c>
      <c r="W423" s="30">
        <f t="shared" si="95"/>
        <v>-38.25</v>
      </c>
      <c r="X423" s="31" t="b">
        <f t="shared" si="96"/>
        <v>0</v>
      </c>
      <c r="Y423" s="32" t="str">
        <f t="shared" si="97"/>
        <v>GROWTH</v>
      </c>
      <c r="Z423" s="41">
        <v>0</v>
      </c>
      <c r="AA423" s="36"/>
      <c r="AB423" s="36" t="s">
        <v>24</v>
      </c>
      <c r="AC423" s="36" t="s">
        <v>848</v>
      </c>
      <c r="AD423" s="34"/>
      <c r="AE423" s="35">
        <f>IFERROR(INDEX([1]Last6M_AvgSales_Ref!$B$2:$B$12659,MATCH(D423,[1]Last6M_AvgSales_Ref!$A$2:$A$12659,0)),"")</f>
        <v>37.4166666666667</v>
      </c>
    </row>
    <row r="424" spans="1:31" ht="14.25" customHeight="1" x14ac:dyDescent="0.3">
      <c r="A424" s="41" t="s">
        <v>848</v>
      </c>
      <c r="B424" s="44" t="s">
        <v>849</v>
      </c>
      <c r="C424" s="44" t="s">
        <v>887</v>
      </c>
      <c r="D424" s="44">
        <v>1000003975</v>
      </c>
      <c r="E424" s="44" t="s">
        <v>888</v>
      </c>
      <c r="F424" s="40">
        <v>45430</v>
      </c>
      <c r="G424" s="22" t="str">
        <f t="shared" si="84"/>
        <v>Targeted Dealer</v>
      </c>
      <c r="H424" s="22"/>
      <c r="I424" s="23">
        <v>60</v>
      </c>
      <c r="J424" s="23">
        <f t="shared" si="85"/>
        <v>60</v>
      </c>
      <c r="K424" s="24">
        <v>85</v>
      </c>
      <c r="L424" s="24">
        <f t="shared" si="86"/>
        <v>-25</v>
      </c>
      <c r="M424" s="24">
        <f t="shared" si="87"/>
        <v>141.66666666666669</v>
      </c>
      <c r="N424" s="25">
        <v>65</v>
      </c>
      <c r="O424" s="26" t="str">
        <f t="shared" si="88"/>
        <v>June</v>
      </c>
      <c r="P424" s="25">
        <f t="shared" si="89"/>
        <v>65</v>
      </c>
      <c r="Q424" s="27">
        <f t="shared" si="90"/>
        <v>20</v>
      </c>
      <c r="R424" s="26" t="b">
        <f t="shared" si="91"/>
        <v>0</v>
      </c>
      <c r="S424" s="28" t="str">
        <f t="shared" si="92"/>
        <v>GROWTH</v>
      </c>
      <c r="T424" s="24">
        <v>26</v>
      </c>
      <c r="U424" s="29" t="str">
        <f t="shared" si="93"/>
        <v>May</v>
      </c>
      <c r="V424" s="24">
        <f t="shared" si="94"/>
        <v>26</v>
      </c>
      <c r="W424" s="30">
        <f t="shared" si="95"/>
        <v>59</v>
      </c>
      <c r="X424" s="31" t="b">
        <f t="shared" si="96"/>
        <v>0</v>
      </c>
      <c r="Y424" s="32" t="str">
        <f t="shared" si="97"/>
        <v>GROWTH</v>
      </c>
      <c r="Z424" s="41">
        <v>0</v>
      </c>
      <c r="AA424" s="36"/>
      <c r="AB424" s="36" t="s">
        <v>24</v>
      </c>
      <c r="AC424" s="41" t="s">
        <v>848</v>
      </c>
      <c r="AD424" s="34"/>
      <c r="AE424" s="35">
        <f>IFERROR(INDEX([1]Last6M_AvgSales_Ref!$B$2:$B$12659,MATCH(D424,[1]Last6M_AvgSales_Ref!$A$2:$A$12659,0)),"")</f>
        <v>47.4166666666667</v>
      </c>
    </row>
    <row r="425" spans="1:31" ht="14.25" customHeight="1" x14ac:dyDescent="0.3">
      <c r="A425" s="36" t="s">
        <v>848</v>
      </c>
      <c r="B425" s="38" t="s">
        <v>849</v>
      </c>
      <c r="C425" s="38" t="s">
        <v>889</v>
      </c>
      <c r="D425" s="38">
        <v>1000003642</v>
      </c>
      <c r="E425" s="38" t="s">
        <v>890</v>
      </c>
      <c r="F425" s="40">
        <v>45118</v>
      </c>
      <c r="G425" s="22" t="str">
        <f t="shared" si="84"/>
        <v>Targeted Dealer</v>
      </c>
      <c r="H425" s="22"/>
      <c r="I425" s="23">
        <v>360</v>
      </c>
      <c r="J425" s="23">
        <f t="shared" si="85"/>
        <v>360</v>
      </c>
      <c r="K425" s="24">
        <v>272.5</v>
      </c>
      <c r="L425" s="24">
        <f t="shared" si="86"/>
        <v>87.5</v>
      </c>
      <c r="M425" s="24">
        <f t="shared" si="87"/>
        <v>75.694444444444443</v>
      </c>
      <c r="N425" s="25">
        <v>221</v>
      </c>
      <c r="O425" s="26" t="str">
        <f t="shared" si="88"/>
        <v>June</v>
      </c>
      <c r="P425" s="25">
        <f t="shared" si="89"/>
        <v>221</v>
      </c>
      <c r="Q425" s="27">
        <f t="shared" si="90"/>
        <v>51.5</v>
      </c>
      <c r="R425" s="26" t="b">
        <f t="shared" si="91"/>
        <v>0</v>
      </c>
      <c r="S425" s="28" t="str">
        <f t="shared" si="92"/>
        <v>GROWTH</v>
      </c>
      <c r="T425" s="24">
        <v>162.5</v>
      </c>
      <c r="U425" s="29" t="str">
        <f t="shared" si="93"/>
        <v>May</v>
      </c>
      <c r="V425" s="24">
        <f t="shared" si="94"/>
        <v>162.5</v>
      </c>
      <c r="W425" s="30">
        <f t="shared" si="95"/>
        <v>110</v>
      </c>
      <c r="X425" s="31" t="b">
        <f t="shared" si="96"/>
        <v>0</v>
      </c>
      <c r="Y425" s="32" t="str">
        <f t="shared" si="97"/>
        <v>GROWTH</v>
      </c>
      <c r="Z425" s="41">
        <v>0</v>
      </c>
      <c r="AA425" s="36"/>
      <c r="AB425" s="36" t="s">
        <v>24</v>
      </c>
      <c r="AC425" s="36" t="s">
        <v>848</v>
      </c>
      <c r="AD425" s="34"/>
      <c r="AE425" s="35">
        <f>IFERROR(INDEX([1]Last6M_AvgSales_Ref!$B$2:$B$12659,MATCH(D425,[1]Last6M_AvgSales_Ref!$A$2:$A$12659,0)),"")</f>
        <v>238.5</v>
      </c>
    </row>
    <row r="426" spans="1:31" ht="14.25" customHeight="1" x14ac:dyDescent="0.3">
      <c r="A426" s="36" t="s">
        <v>848</v>
      </c>
      <c r="B426" s="38" t="s">
        <v>849</v>
      </c>
      <c r="C426" s="38" t="s">
        <v>891</v>
      </c>
      <c r="D426" s="38">
        <v>1000000292</v>
      </c>
      <c r="E426" s="39" t="s">
        <v>892</v>
      </c>
      <c r="F426" s="40">
        <v>38941</v>
      </c>
      <c r="G426" s="22" t="str">
        <f t="shared" si="84"/>
        <v>Targeted Dealer</v>
      </c>
      <c r="H426" s="22"/>
      <c r="I426" s="23">
        <v>1460</v>
      </c>
      <c r="J426" s="23">
        <f t="shared" si="85"/>
        <v>1460</v>
      </c>
      <c r="K426" s="24">
        <v>796</v>
      </c>
      <c r="L426" s="24">
        <f t="shared" si="86"/>
        <v>664</v>
      </c>
      <c r="M426" s="24">
        <f t="shared" si="87"/>
        <v>54.520547945205479</v>
      </c>
      <c r="N426" s="25">
        <v>648.5</v>
      </c>
      <c r="O426" s="26" t="str">
        <f t="shared" si="88"/>
        <v>June</v>
      </c>
      <c r="P426" s="25">
        <f t="shared" si="89"/>
        <v>648.5</v>
      </c>
      <c r="Q426" s="27">
        <f t="shared" si="90"/>
        <v>147.5</v>
      </c>
      <c r="R426" s="26" t="b">
        <f t="shared" si="91"/>
        <v>0</v>
      </c>
      <c r="S426" s="28" t="str">
        <f t="shared" si="92"/>
        <v>GROWTH</v>
      </c>
      <c r="T426" s="24">
        <v>689.5</v>
      </c>
      <c r="U426" s="29" t="str">
        <f t="shared" si="93"/>
        <v>May</v>
      </c>
      <c r="V426" s="24">
        <f t="shared" si="94"/>
        <v>689.5</v>
      </c>
      <c r="W426" s="30">
        <f t="shared" si="95"/>
        <v>106.5</v>
      </c>
      <c r="X426" s="31" t="b">
        <f t="shared" si="96"/>
        <v>0</v>
      </c>
      <c r="Y426" s="32" t="str">
        <f t="shared" si="97"/>
        <v>GROWTH</v>
      </c>
      <c r="Z426" s="41">
        <v>0</v>
      </c>
      <c r="AA426" s="36"/>
      <c r="AB426" s="36" t="s">
        <v>24</v>
      </c>
      <c r="AC426" s="36" t="s">
        <v>848</v>
      </c>
      <c r="AD426" s="34"/>
      <c r="AE426" s="35">
        <f>IFERROR(INDEX([1]Last6M_AvgSales_Ref!$B$2:$B$12659,MATCH(D426,[1]Last6M_AvgSales_Ref!$A$2:$A$12659,0)),"")</f>
        <v>861.91666666666697</v>
      </c>
    </row>
    <row r="427" spans="1:31" ht="14.25" customHeight="1" x14ac:dyDescent="0.3">
      <c r="A427" s="36" t="s">
        <v>848</v>
      </c>
      <c r="B427" s="38" t="s">
        <v>849</v>
      </c>
      <c r="C427" s="38" t="s">
        <v>893</v>
      </c>
      <c r="D427" s="38">
        <v>1000003294</v>
      </c>
      <c r="E427" s="38" t="s">
        <v>894</v>
      </c>
      <c r="F427" s="40">
        <v>44953</v>
      </c>
      <c r="G427" s="22" t="str">
        <f t="shared" si="84"/>
        <v>Targeted Dealer</v>
      </c>
      <c r="H427" s="22"/>
      <c r="I427" s="23">
        <v>340</v>
      </c>
      <c r="J427" s="23">
        <f t="shared" si="85"/>
        <v>340</v>
      </c>
      <c r="K427" s="24">
        <v>214</v>
      </c>
      <c r="L427" s="24">
        <f t="shared" si="86"/>
        <v>126</v>
      </c>
      <c r="M427" s="24">
        <f t="shared" si="87"/>
        <v>62.941176470588239</v>
      </c>
      <c r="N427" s="25">
        <v>194.5</v>
      </c>
      <c r="O427" s="26" t="str">
        <f t="shared" si="88"/>
        <v>June</v>
      </c>
      <c r="P427" s="25">
        <f t="shared" si="89"/>
        <v>194.5</v>
      </c>
      <c r="Q427" s="27">
        <f t="shared" si="90"/>
        <v>19.5</v>
      </c>
      <c r="R427" s="26" t="b">
        <f t="shared" si="91"/>
        <v>0</v>
      </c>
      <c r="S427" s="28" t="str">
        <f t="shared" si="92"/>
        <v>GROWTH</v>
      </c>
      <c r="T427" s="24">
        <v>154.5</v>
      </c>
      <c r="U427" s="29" t="str">
        <f t="shared" si="93"/>
        <v>May</v>
      </c>
      <c r="V427" s="24">
        <f t="shared" si="94"/>
        <v>154.5</v>
      </c>
      <c r="W427" s="30">
        <f t="shared" si="95"/>
        <v>59.5</v>
      </c>
      <c r="X427" s="31" t="b">
        <f t="shared" si="96"/>
        <v>0</v>
      </c>
      <c r="Y427" s="32" t="str">
        <f t="shared" si="97"/>
        <v>GROWTH</v>
      </c>
      <c r="Z427" s="41">
        <v>0</v>
      </c>
      <c r="AA427" s="36"/>
      <c r="AB427" s="36" t="s">
        <v>24</v>
      </c>
      <c r="AC427" s="36" t="s">
        <v>848</v>
      </c>
      <c r="AD427" s="34"/>
      <c r="AE427" s="35">
        <f>IFERROR(INDEX([1]Last6M_AvgSales_Ref!$B$2:$B$12659,MATCH(D427,[1]Last6M_AvgSales_Ref!$A$2:$A$12659,0)),"")</f>
        <v>178</v>
      </c>
    </row>
    <row r="428" spans="1:31" ht="14.25" customHeight="1" x14ac:dyDescent="0.3">
      <c r="A428" s="36" t="s">
        <v>848</v>
      </c>
      <c r="B428" s="38" t="s">
        <v>849</v>
      </c>
      <c r="C428" s="38" t="s">
        <v>895</v>
      </c>
      <c r="D428" s="38">
        <v>1000000294</v>
      </c>
      <c r="E428" s="39" t="s">
        <v>896</v>
      </c>
      <c r="F428" s="40">
        <v>42762</v>
      </c>
      <c r="G428" s="22" t="str">
        <f t="shared" si="84"/>
        <v>-</v>
      </c>
      <c r="H428" s="22"/>
      <c r="I428" s="23">
        <v>0</v>
      </c>
      <c r="J428" s="23">
        <f t="shared" si="85"/>
        <v>0</v>
      </c>
      <c r="K428" s="24">
        <v>0</v>
      </c>
      <c r="L428" s="24">
        <f t="shared" si="86"/>
        <v>0</v>
      </c>
      <c r="M428" s="24" t="str">
        <f t="shared" si="87"/>
        <v>-</v>
      </c>
      <c r="N428" s="25">
        <v>0</v>
      </c>
      <c r="O428" s="26" t="str">
        <f t="shared" si="88"/>
        <v>June</v>
      </c>
      <c r="P428" s="25">
        <f t="shared" si="89"/>
        <v>0</v>
      </c>
      <c r="Q428" s="27">
        <f t="shared" si="90"/>
        <v>0</v>
      </c>
      <c r="R428" s="26" t="b">
        <f t="shared" si="91"/>
        <v>0</v>
      </c>
      <c r="S428" s="28" t="b">
        <f t="shared" si="92"/>
        <v>0</v>
      </c>
      <c r="T428" s="24">
        <v>585</v>
      </c>
      <c r="U428" s="29" t="str">
        <f t="shared" si="93"/>
        <v>May</v>
      </c>
      <c r="V428" s="24">
        <f t="shared" si="94"/>
        <v>585</v>
      </c>
      <c r="W428" s="30">
        <f t="shared" si="95"/>
        <v>-585</v>
      </c>
      <c r="X428" s="31" t="b">
        <f t="shared" si="96"/>
        <v>0</v>
      </c>
      <c r="Y428" s="32" t="str">
        <f t="shared" si="97"/>
        <v>GROWTH</v>
      </c>
      <c r="Z428" s="41">
        <v>0</v>
      </c>
      <c r="AA428" s="36"/>
      <c r="AB428" s="36" t="s">
        <v>24</v>
      </c>
      <c r="AC428" s="36" t="s">
        <v>848</v>
      </c>
      <c r="AD428" s="34"/>
      <c r="AE428" s="35">
        <f>IFERROR(INDEX([1]Last6M_AvgSales_Ref!$B$2:$B$12659,MATCH(D428,[1]Last6M_AvgSales_Ref!$A$2:$A$12659,0)),"")</f>
        <v>169.65833333333299</v>
      </c>
    </row>
    <row r="429" spans="1:31" ht="14.25" customHeight="1" x14ac:dyDescent="0.3">
      <c r="A429" s="36" t="s">
        <v>848</v>
      </c>
      <c r="B429" s="38" t="s">
        <v>849</v>
      </c>
      <c r="C429" s="38" t="s">
        <v>897</v>
      </c>
      <c r="D429" s="38">
        <v>1000003802</v>
      </c>
      <c r="E429" s="38" t="s">
        <v>898</v>
      </c>
      <c r="F429" s="40">
        <v>45283</v>
      </c>
      <c r="G429" s="22" t="str">
        <f t="shared" si="84"/>
        <v>Targeted Dealer</v>
      </c>
      <c r="H429" s="22"/>
      <c r="I429" s="23">
        <v>240</v>
      </c>
      <c r="J429" s="23">
        <f t="shared" si="85"/>
        <v>240</v>
      </c>
      <c r="K429" s="24">
        <v>182</v>
      </c>
      <c r="L429" s="24">
        <f t="shared" si="86"/>
        <v>58</v>
      </c>
      <c r="M429" s="24">
        <f t="shared" si="87"/>
        <v>75.833333333333343</v>
      </c>
      <c r="N429" s="25">
        <v>195</v>
      </c>
      <c r="O429" s="26" t="str">
        <f t="shared" si="88"/>
        <v>June</v>
      </c>
      <c r="P429" s="25">
        <f t="shared" si="89"/>
        <v>195</v>
      </c>
      <c r="Q429" s="27">
        <f t="shared" si="90"/>
        <v>-13</v>
      </c>
      <c r="R429" s="26" t="b">
        <f t="shared" si="91"/>
        <v>0</v>
      </c>
      <c r="S429" s="28" t="str">
        <f t="shared" si="92"/>
        <v>GROWTH</v>
      </c>
      <c r="T429" s="24">
        <v>91</v>
      </c>
      <c r="U429" s="29" t="str">
        <f t="shared" si="93"/>
        <v>May</v>
      </c>
      <c r="V429" s="24">
        <f t="shared" si="94"/>
        <v>91</v>
      </c>
      <c r="W429" s="30">
        <f t="shared" si="95"/>
        <v>91</v>
      </c>
      <c r="X429" s="31" t="b">
        <f t="shared" si="96"/>
        <v>0</v>
      </c>
      <c r="Y429" s="32" t="str">
        <f t="shared" si="97"/>
        <v>GROWTH</v>
      </c>
      <c r="Z429" s="41">
        <v>0</v>
      </c>
      <c r="AA429" s="36"/>
      <c r="AB429" s="36" t="s">
        <v>24</v>
      </c>
      <c r="AC429" s="36" t="s">
        <v>848</v>
      </c>
      <c r="AD429" s="34"/>
      <c r="AE429" s="35">
        <f>IFERROR(INDEX([1]Last6M_AvgSales_Ref!$B$2:$B$12659,MATCH(D429,[1]Last6M_AvgSales_Ref!$A$2:$A$12659,0)),"")</f>
        <v>266.375</v>
      </c>
    </row>
    <row r="430" spans="1:31" ht="14.25" customHeight="1" x14ac:dyDescent="0.3">
      <c r="A430" s="36" t="s">
        <v>848</v>
      </c>
      <c r="B430" s="38" t="s">
        <v>849</v>
      </c>
      <c r="C430" s="38" t="s">
        <v>899</v>
      </c>
      <c r="D430" s="38">
        <v>1000000295</v>
      </c>
      <c r="E430" s="39" t="s">
        <v>900</v>
      </c>
      <c r="F430" s="40">
        <v>41092</v>
      </c>
      <c r="G430" s="22" t="str">
        <f t="shared" si="84"/>
        <v>Targeted Dealer</v>
      </c>
      <c r="H430" s="22"/>
      <c r="I430" s="23">
        <v>80</v>
      </c>
      <c r="J430" s="23">
        <f t="shared" si="85"/>
        <v>80</v>
      </c>
      <c r="K430" s="24">
        <v>51.5</v>
      </c>
      <c r="L430" s="24">
        <f t="shared" si="86"/>
        <v>28.5</v>
      </c>
      <c r="M430" s="24">
        <f t="shared" si="87"/>
        <v>64.375</v>
      </c>
      <c r="N430" s="25">
        <v>12</v>
      </c>
      <c r="O430" s="26" t="str">
        <f t="shared" si="88"/>
        <v>June</v>
      </c>
      <c r="P430" s="25">
        <f t="shared" si="89"/>
        <v>12</v>
      </c>
      <c r="Q430" s="27">
        <f t="shared" si="90"/>
        <v>39.5</v>
      </c>
      <c r="R430" s="26" t="b">
        <f t="shared" si="91"/>
        <v>0</v>
      </c>
      <c r="S430" s="28" t="str">
        <f t="shared" si="92"/>
        <v>GROWTH</v>
      </c>
      <c r="T430" s="24">
        <v>36</v>
      </c>
      <c r="U430" s="29" t="str">
        <f t="shared" si="93"/>
        <v>May</v>
      </c>
      <c r="V430" s="24">
        <f t="shared" si="94"/>
        <v>36</v>
      </c>
      <c r="W430" s="30">
        <f t="shared" si="95"/>
        <v>15.5</v>
      </c>
      <c r="X430" s="31" t="b">
        <f t="shared" si="96"/>
        <v>0</v>
      </c>
      <c r="Y430" s="32" t="str">
        <f t="shared" si="97"/>
        <v>GROWTH</v>
      </c>
      <c r="Z430" s="41">
        <v>0</v>
      </c>
      <c r="AA430" s="36"/>
      <c r="AB430" s="36" t="s">
        <v>24</v>
      </c>
      <c r="AC430" s="36" t="s">
        <v>848</v>
      </c>
      <c r="AD430" s="34"/>
      <c r="AE430" s="35">
        <f>IFERROR(INDEX([1]Last6M_AvgSales_Ref!$B$2:$B$12659,MATCH(D430,[1]Last6M_AvgSales_Ref!$A$2:$A$12659,0)),"")</f>
        <v>53.3333333333333</v>
      </c>
    </row>
    <row r="431" spans="1:31" ht="14.25" customHeight="1" x14ac:dyDescent="0.3">
      <c r="A431" s="36" t="s">
        <v>848</v>
      </c>
      <c r="B431" s="38" t="s">
        <v>849</v>
      </c>
      <c r="C431" s="38" t="s">
        <v>901</v>
      </c>
      <c r="D431" s="38">
        <v>1000000297</v>
      </c>
      <c r="E431" s="39" t="s">
        <v>902</v>
      </c>
      <c r="F431" s="40">
        <v>43805</v>
      </c>
      <c r="G431" s="22" t="str">
        <f t="shared" si="84"/>
        <v>Targeted Dealer</v>
      </c>
      <c r="H431" s="22"/>
      <c r="I431" s="23">
        <v>80</v>
      </c>
      <c r="J431" s="23">
        <f t="shared" si="85"/>
        <v>80</v>
      </c>
      <c r="K431" s="24">
        <v>68</v>
      </c>
      <c r="L431" s="24">
        <f t="shared" si="86"/>
        <v>12</v>
      </c>
      <c r="M431" s="24">
        <f t="shared" si="87"/>
        <v>85</v>
      </c>
      <c r="N431" s="25">
        <v>44.5</v>
      </c>
      <c r="O431" s="26" t="str">
        <f t="shared" si="88"/>
        <v>June</v>
      </c>
      <c r="P431" s="25">
        <f t="shared" si="89"/>
        <v>44.5</v>
      </c>
      <c r="Q431" s="27">
        <f t="shared" si="90"/>
        <v>23.5</v>
      </c>
      <c r="R431" s="26" t="b">
        <f t="shared" si="91"/>
        <v>0</v>
      </c>
      <c r="S431" s="28" t="str">
        <f t="shared" si="92"/>
        <v>GROWTH</v>
      </c>
      <c r="T431" s="24">
        <v>26</v>
      </c>
      <c r="U431" s="29" t="str">
        <f t="shared" si="93"/>
        <v>May</v>
      </c>
      <c r="V431" s="24">
        <f t="shared" si="94"/>
        <v>26</v>
      </c>
      <c r="W431" s="30">
        <f t="shared" si="95"/>
        <v>42</v>
      </c>
      <c r="X431" s="31" t="b">
        <f t="shared" si="96"/>
        <v>0</v>
      </c>
      <c r="Y431" s="32" t="str">
        <f t="shared" si="97"/>
        <v>GROWTH</v>
      </c>
      <c r="Z431" s="41">
        <v>0</v>
      </c>
      <c r="AA431" s="36"/>
      <c r="AB431" s="36" t="s">
        <v>24</v>
      </c>
      <c r="AC431" s="36" t="s">
        <v>848</v>
      </c>
      <c r="AD431" s="34"/>
      <c r="AE431" s="35">
        <f>IFERROR(INDEX([1]Last6M_AvgSales_Ref!$B$2:$B$12659,MATCH(D431,[1]Last6M_AvgSales_Ref!$A$2:$A$12659,0)),"")</f>
        <v>101.083333333333</v>
      </c>
    </row>
    <row r="432" spans="1:31" ht="14.25" customHeight="1" x14ac:dyDescent="0.3">
      <c r="A432" s="36" t="s">
        <v>848</v>
      </c>
      <c r="B432" s="38" t="s">
        <v>849</v>
      </c>
      <c r="C432" s="38" t="s">
        <v>903</v>
      </c>
      <c r="D432" s="38">
        <v>1000000298</v>
      </c>
      <c r="E432" s="39" t="s">
        <v>904</v>
      </c>
      <c r="F432" s="40">
        <v>42826</v>
      </c>
      <c r="G432" s="22" t="str">
        <f t="shared" si="84"/>
        <v>Targeted Dealer</v>
      </c>
      <c r="H432" s="22"/>
      <c r="I432" s="23">
        <v>1820</v>
      </c>
      <c r="J432" s="23">
        <f t="shared" si="85"/>
        <v>1820</v>
      </c>
      <c r="K432" s="24">
        <v>1181</v>
      </c>
      <c r="L432" s="24">
        <f t="shared" si="86"/>
        <v>639</v>
      </c>
      <c r="M432" s="24">
        <f t="shared" si="87"/>
        <v>64.890109890109898</v>
      </c>
      <c r="N432" s="25">
        <v>1052.5</v>
      </c>
      <c r="O432" s="26" t="str">
        <f t="shared" si="88"/>
        <v>June</v>
      </c>
      <c r="P432" s="25">
        <f t="shared" si="89"/>
        <v>1052.5</v>
      </c>
      <c r="Q432" s="27">
        <f t="shared" si="90"/>
        <v>128.5</v>
      </c>
      <c r="R432" s="26" t="b">
        <f t="shared" si="91"/>
        <v>0</v>
      </c>
      <c r="S432" s="28" t="str">
        <f t="shared" si="92"/>
        <v>GROWTH</v>
      </c>
      <c r="T432" s="24">
        <v>1007</v>
      </c>
      <c r="U432" s="29" t="str">
        <f t="shared" si="93"/>
        <v>May</v>
      </c>
      <c r="V432" s="24">
        <f t="shared" si="94"/>
        <v>1007</v>
      </c>
      <c r="W432" s="30">
        <f t="shared" si="95"/>
        <v>174</v>
      </c>
      <c r="X432" s="31" t="b">
        <f t="shared" si="96"/>
        <v>0</v>
      </c>
      <c r="Y432" s="32" t="str">
        <f t="shared" si="97"/>
        <v>GROWTH</v>
      </c>
      <c r="Z432" s="41">
        <v>0</v>
      </c>
      <c r="AA432" s="36"/>
      <c r="AB432" s="36" t="s">
        <v>24</v>
      </c>
      <c r="AC432" s="36" t="s">
        <v>848</v>
      </c>
      <c r="AD432" s="34"/>
      <c r="AE432" s="35">
        <f>IFERROR(INDEX([1]Last6M_AvgSales_Ref!$B$2:$B$12659,MATCH(D432,[1]Last6M_AvgSales_Ref!$A$2:$A$12659,0)),"")</f>
        <v>1127.4166666666699</v>
      </c>
    </row>
    <row r="433" spans="1:31" ht="14.25" customHeight="1" x14ac:dyDescent="0.3">
      <c r="A433" s="36" t="s">
        <v>848</v>
      </c>
      <c r="B433" s="38" t="s">
        <v>849</v>
      </c>
      <c r="C433" s="38" t="s">
        <v>905</v>
      </c>
      <c r="D433" s="38">
        <v>1000000299</v>
      </c>
      <c r="E433" s="39" t="s">
        <v>906</v>
      </c>
      <c r="F433" s="40">
        <v>42693</v>
      </c>
      <c r="G433" s="22" t="str">
        <f t="shared" si="84"/>
        <v>Targeted Dealer</v>
      </c>
      <c r="H433" s="22"/>
      <c r="I433" s="23">
        <v>766</v>
      </c>
      <c r="J433" s="23">
        <f t="shared" si="85"/>
        <v>766</v>
      </c>
      <c r="K433" s="24">
        <v>481.2</v>
      </c>
      <c r="L433" s="24">
        <f t="shared" si="86"/>
        <v>284.8</v>
      </c>
      <c r="M433" s="24">
        <f t="shared" si="87"/>
        <v>62.819843342036549</v>
      </c>
      <c r="N433" s="25">
        <v>444</v>
      </c>
      <c r="O433" s="26" t="str">
        <f t="shared" si="88"/>
        <v>June</v>
      </c>
      <c r="P433" s="25">
        <f t="shared" si="89"/>
        <v>444</v>
      </c>
      <c r="Q433" s="27">
        <f t="shared" si="90"/>
        <v>37.199999999999989</v>
      </c>
      <c r="R433" s="26" t="b">
        <f t="shared" si="91"/>
        <v>0</v>
      </c>
      <c r="S433" s="28" t="str">
        <f t="shared" si="92"/>
        <v>GROWTH</v>
      </c>
      <c r="T433" s="24">
        <v>402.5</v>
      </c>
      <c r="U433" s="29" t="str">
        <f t="shared" si="93"/>
        <v>May</v>
      </c>
      <c r="V433" s="24">
        <f t="shared" si="94"/>
        <v>402.5</v>
      </c>
      <c r="W433" s="30">
        <f t="shared" si="95"/>
        <v>78.699999999999989</v>
      </c>
      <c r="X433" s="31" t="b">
        <f t="shared" si="96"/>
        <v>0</v>
      </c>
      <c r="Y433" s="32" t="str">
        <f t="shared" si="97"/>
        <v>GROWTH</v>
      </c>
      <c r="Z433" s="41">
        <v>0</v>
      </c>
      <c r="AA433" s="36"/>
      <c r="AB433" s="36" t="s">
        <v>24</v>
      </c>
      <c r="AC433" s="36" t="s">
        <v>848</v>
      </c>
      <c r="AD433" s="34"/>
      <c r="AE433" s="35">
        <f>IFERROR(INDEX([1]Last6M_AvgSales_Ref!$B$2:$B$12659,MATCH(D433,[1]Last6M_AvgSales_Ref!$A$2:$A$12659,0)),"")</f>
        <v>449.16666666666703</v>
      </c>
    </row>
    <row r="434" spans="1:31" ht="14.25" customHeight="1" x14ac:dyDescent="0.3">
      <c r="A434" s="36" t="s">
        <v>848</v>
      </c>
      <c r="B434" s="38" t="s">
        <v>849</v>
      </c>
      <c r="C434" s="38" t="s">
        <v>907</v>
      </c>
      <c r="D434" s="38">
        <v>1000003162</v>
      </c>
      <c r="E434" s="38" t="s">
        <v>908</v>
      </c>
      <c r="F434" s="40">
        <v>44916</v>
      </c>
      <c r="G434" s="22" t="str">
        <f t="shared" si="84"/>
        <v>Targeted Dealer</v>
      </c>
      <c r="H434" s="22"/>
      <c r="I434" s="23">
        <v>200</v>
      </c>
      <c r="J434" s="23">
        <f t="shared" si="85"/>
        <v>200</v>
      </c>
      <c r="K434" s="24">
        <v>142.5</v>
      </c>
      <c r="L434" s="24">
        <f t="shared" si="86"/>
        <v>57.5</v>
      </c>
      <c r="M434" s="24">
        <f t="shared" si="87"/>
        <v>71.25</v>
      </c>
      <c r="N434" s="25">
        <v>103.5</v>
      </c>
      <c r="O434" s="26" t="str">
        <f t="shared" si="88"/>
        <v>June</v>
      </c>
      <c r="P434" s="25">
        <f t="shared" si="89"/>
        <v>103.5</v>
      </c>
      <c r="Q434" s="27">
        <f t="shared" si="90"/>
        <v>39</v>
      </c>
      <c r="R434" s="26" t="b">
        <f t="shared" si="91"/>
        <v>0</v>
      </c>
      <c r="S434" s="28" t="str">
        <f t="shared" si="92"/>
        <v>GROWTH</v>
      </c>
      <c r="T434" s="24">
        <v>91</v>
      </c>
      <c r="U434" s="29" t="str">
        <f t="shared" si="93"/>
        <v>May</v>
      </c>
      <c r="V434" s="24">
        <f t="shared" si="94"/>
        <v>91</v>
      </c>
      <c r="W434" s="30">
        <f t="shared" si="95"/>
        <v>51.5</v>
      </c>
      <c r="X434" s="31" t="b">
        <f t="shared" si="96"/>
        <v>0</v>
      </c>
      <c r="Y434" s="32" t="str">
        <f t="shared" si="97"/>
        <v>GROWTH</v>
      </c>
      <c r="Z434" s="41">
        <v>0</v>
      </c>
      <c r="AA434" s="36"/>
      <c r="AB434" s="36" t="s">
        <v>24</v>
      </c>
      <c r="AC434" s="36" t="s">
        <v>848</v>
      </c>
      <c r="AD434" s="34"/>
      <c r="AE434" s="35">
        <f>IFERROR(INDEX([1]Last6M_AvgSales_Ref!$B$2:$B$12659,MATCH(D434,[1]Last6M_AvgSales_Ref!$A$2:$A$12659,0)),"")</f>
        <v>127</v>
      </c>
    </row>
    <row r="435" spans="1:31" ht="14.25" customHeight="1" x14ac:dyDescent="0.3">
      <c r="A435" s="36" t="s">
        <v>848</v>
      </c>
      <c r="B435" s="38" t="s">
        <v>849</v>
      </c>
      <c r="C435" s="38" t="s">
        <v>909</v>
      </c>
      <c r="D435" s="38">
        <v>1000000301</v>
      </c>
      <c r="E435" s="39" t="s">
        <v>910</v>
      </c>
      <c r="F435" s="40">
        <v>41248</v>
      </c>
      <c r="G435" s="22" t="str">
        <f t="shared" si="84"/>
        <v>Targeted Dealer</v>
      </c>
      <c r="H435" s="22"/>
      <c r="I435" s="23">
        <v>3260</v>
      </c>
      <c r="J435" s="23">
        <f t="shared" si="85"/>
        <v>3260</v>
      </c>
      <c r="K435" s="24">
        <v>1838</v>
      </c>
      <c r="L435" s="24">
        <f t="shared" si="86"/>
        <v>1422</v>
      </c>
      <c r="M435" s="24">
        <f t="shared" si="87"/>
        <v>56.380368098159508</v>
      </c>
      <c r="N435" s="25">
        <v>1851.5</v>
      </c>
      <c r="O435" s="26" t="str">
        <f t="shared" si="88"/>
        <v>June</v>
      </c>
      <c r="P435" s="25">
        <f t="shared" si="89"/>
        <v>1851.5</v>
      </c>
      <c r="Q435" s="27">
        <f t="shared" si="90"/>
        <v>-13.5</v>
      </c>
      <c r="R435" s="26" t="b">
        <f t="shared" si="91"/>
        <v>0</v>
      </c>
      <c r="S435" s="28" t="str">
        <f t="shared" si="92"/>
        <v>GROWTH</v>
      </c>
      <c r="T435" s="24">
        <v>1597</v>
      </c>
      <c r="U435" s="29" t="str">
        <f t="shared" si="93"/>
        <v>May</v>
      </c>
      <c r="V435" s="24">
        <f t="shared" si="94"/>
        <v>1597</v>
      </c>
      <c r="W435" s="30">
        <f t="shared" si="95"/>
        <v>241</v>
      </c>
      <c r="X435" s="31" t="b">
        <f t="shared" si="96"/>
        <v>0</v>
      </c>
      <c r="Y435" s="32" t="str">
        <f t="shared" si="97"/>
        <v>GROWTH</v>
      </c>
      <c r="Z435" s="41">
        <v>0</v>
      </c>
      <c r="AA435" s="36"/>
      <c r="AB435" s="36" t="s">
        <v>24</v>
      </c>
      <c r="AC435" s="36" t="s">
        <v>848</v>
      </c>
      <c r="AD435" s="34"/>
      <c r="AE435" s="35">
        <f>IFERROR(INDEX([1]Last6M_AvgSales_Ref!$B$2:$B$12659,MATCH(D435,[1]Last6M_AvgSales_Ref!$A$2:$A$12659,0)),"")</f>
        <v>2090.0833333333298</v>
      </c>
    </row>
    <row r="436" spans="1:31" ht="14.25" customHeight="1" x14ac:dyDescent="0.3">
      <c r="A436" s="36" t="s">
        <v>848</v>
      </c>
      <c r="B436" s="38" t="s">
        <v>849</v>
      </c>
      <c r="C436" s="38" t="s">
        <v>911</v>
      </c>
      <c r="D436" s="38">
        <v>1000000302</v>
      </c>
      <c r="E436" s="39" t="s">
        <v>912</v>
      </c>
      <c r="F436" s="40">
        <v>41488</v>
      </c>
      <c r="G436" s="22" t="str">
        <f t="shared" si="84"/>
        <v>Targeted Dealer</v>
      </c>
      <c r="H436" s="22"/>
      <c r="I436" s="23">
        <v>1010</v>
      </c>
      <c r="J436" s="23">
        <f t="shared" si="85"/>
        <v>1009.9999999999999</v>
      </c>
      <c r="K436" s="24">
        <v>487</v>
      </c>
      <c r="L436" s="24">
        <f t="shared" si="86"/>
        <v>523</v>
      </c>
      <c r="M436" s="24">
        <f t="shared" si="87"/>
        <v>48.21782178217822</v>
      </c>
      <c r="N436" s="25">
        <v>401</v>
      </c>
      <c r="O436" s="26" t="str">
        <f t="shared" si="88"/>
        <v>June</v>
      </c>
      <c r="P436" s="25">
        <f t="shared" si="89"/>
        <v>401</v>
      </c>
      <c r="Q436" s="27">
        <f t="shared" si="90"/>
        <v>86</v>
      </c>
      <c r="R436" s="26" t="b">
        <f t="shared" si="91"/>
        <v>0</v>
      </c>
      <c r="S436" s="28" t="str">
        <f t="shared" si="92"/>
        <v>GROWTH</v>
      </c>
      <c r="T436" s="24">
        <v>502.5</v>
      </c>
      <c r="U436" s="29" t="str">
        <f t="shared" si="93"/>
        <v>May</v>
      </c>
      <c r="V436" s="24">
        <f t="shared" si="94"/>
        <v>502.5</v>
      </c>
      <c r="W436" s="30">
        <f t="shared" si="95"/>
        <v>-15.5</v>
      </c>
      <c r="X436" s="31" t="b">
        <f t="shared" si="96"/>
        <v>0</v>
      </c>
      <c r="Y436" s="32" t="str">
        <f t="shared" si="97"/>
        <v>GROWTH</v>
      </c>
      <c r="Z436" s="41">
        <v>0</v>
      </c>
      <c r="AA436" s="36"/>
      <c r="AB436" s="36" t="s">
        <v>24</v>
      </c>
      <c r="AC436" s="36" t="s">
        <v>848</v>
      </c>
      <c r="AD436" s="34"/>
      <c r="AE436" s="35">
        <f>IFERROR(INDEX([1]Last6M_AvgSales_Ref!$B$2:$B$12659,MATCH(D436,[1]Last6M_AvgSales_Ref!$A$2:$A$12659,0)),"")</f>
        <v>444.5</v>
      </c>
    </row>
    <row r="437" spans="1:31" ht="14.25" customHeight="1" x14ac:dyDescent="0.3">
      <c r="A437" s="36" t="s">
        <v>848</v>
      </c>
      <c r="B437" s="38" t="s">
        <v>849</v>
      </c>
      <c r="C437" s="38" t="s">
        <v>913</v>
      </c>
      <c r="D437" s="38">
        <v>1000000303</v>
      </c>
      <c r="E437" s="39" t="s">
        <v>914</v>
      </c>
      <c r="F437" s="40">
        <v>38465</v>
      </c>
      <c r="G437" s="22" t="str">
        <f t="shared" si="84"/>
        <v>Targeted Dealer</v>
      </c>
      <c r="H437" s="22"/>
      <c r="I437" s="23">
        <v>22</v>
      </c>
      <c r="J437" s="23">
        <f t="shared" si="85"/>
        <v>22</v>
      </c>
      <c r="K437" s="24">
        <v>3.5</v>
      </c>
      <c r="L437" s="24">
        <f t="shared" si="86"/>
        <v>18.5</v>
      </c>
      <c r="M437" s="24">
        <f t="shared" si="87"/>
        <v>15.909090909090908</v>
      </c>
      <c r="N437" s="25">
        <v>3.5</v>
      </c>
      <c r="O437" s="26" t="str">
        <f t="shared" si="88"/>
        <v>June</v>
      </c>
      <c r="P437" s="25">
        <f t="shared" si="89"/>
        <v>3.5</v>
      </c>
      <c r="Q437" s="27">
        <f t="shared" si="90"/>
        <v>0</v>
      </c>
      <c r="R437" s="26" t="b">
        <f t="shared" si="91"/>
        <v>0</v>
      </c>
      <c r="S437" s="28" t="str">
        <f t="shared" si="92"/>
        <v>GROWTH</v>
      </c>
      <c r="T437" s="24">
        <v>7</v>
      </c>
      <c r="U437" s="29" t="str">
        <f t="shared" si="93"/>
        <v>May</v>
      </c>
      <c r="V437" s="24">
        <f t="shared" si="94"/>
        <v>7</v>
      </c>
      <c r="W437" s="30">
        <f t="shared" si="95"/>
        <v>-3.5</v>
      </c>
      <c r="X437" s="31" t="b">
        <f t="shared" si="96"/>
        <v>0</v>
      </c>
      <c r="Y437" s="32" t="str">
        <f t="shared" si="97"/>
        <v>GROWTH</v>
      </c>
      <c r="Z437" s="41">
        <v>0</v>
      </c>
      <c r="AA437" s="36"/>
      <c r="AB437" s="36" t="s">
        <v>24</v>
      </c>
      <c r="AC437" s="36" t="s">
        <v>848</v>
      </c>
      <c r="AD437" s="34"/>
      <c r="AE437" s="35">
        <f>IFERROR(INDEX([1]Last6M_AvgSales_Ref!$B$2:$B$12659,MATCH(D437,[1]Last6M_AvgSales_Ref!$A$2:$A$12659,0)),"")</f>
        <v>8.1666666666666696</v>
      </c>
    </row>
    <row r="438" spans="1:31" ht="14.25" customHeight="1" x14ac:dyDescent="0.3">
      <c r="A438" s="36" t="s">
        <v>848</v>
      </c>
      <c r="B438" s="38" t="s">
        <v>849</v>
      </c>
      <c r="C438" s="38" t="s">
        <v>915</v>
      </c>
      <c r="D438" s="38">
        <v>1000000305</v>
      </c>
      <c r="E438" s="39" t="s">
        <v>916</v>
      </c>
      <c r="F438" s="40">
        <v>41870</v>
      </c>
      <c r="G438" s="22" t="str">
        <f t="shared" si="84"/>
        <v>Targeted Dealer</v>
      </c>
      <c r="H438" s="22"/>
      <c r="I438" s="23">
        <v>800</v>
      </c>
      <c r="J438" s="23">
        <f t="shared" si="85"/>
        <v>800</v>
      </c>
      <c r="K438" s="24">
        <v>504</v>
      </c>
      <c r="L438" s="24">
        <f t="shared" si="86"/>
        <v>296</v>
      </c>
      <c r="M438" s="24">
        <f t="shared" si="87"/>
        <v>63</v>
      </c>
      <c r="N438" s="25">
        <v>436.95</v>
      </c>
      <c r="O438" s="26" t="str">
        <f t="shared" si="88"/>
        <v>June</v>
      </c>
      <c r="P438" s="25">
        <f t="shared" si="89"/>
        <v>436.95</v>
      </c>
      <c r="Q438" s="27">
        <f t="shared" si="90"/>
        <v>67.050000000000011</v>
      </c>
      <c r="R438" s="26" t="b">
        <f t="shared" si="91"/>
        <v>0</v>
      </c>
      <c r="S438" s="28" t="str">
        <f t="shared" si="92"/>
        <v>GROWTH</v>
      </c>
      <c r="T438" s="24">
        <v>400.75</v>
      </c>
      <c r="U438" s="29" t="str">
        <f t="shared" si="93"/>
        <v>May</v>
      </c>
      <c r="V438" s="24">
        <f t="shared" si="94"/>
        <v>400.75</v>
      </c>
      <c r="W438" s="30">
        <f t="shared" si="95"/>
        <v>103.25</v>
      </c>
      <c r="X438" s="31" t="b">
        <f t="shared" si="96"/>
        <v>0</v>
      </c>
      <c r="Y438" s="32" t="str">
        <f t="shared" si="97"/>
        <v>GROWTH</v>
      </c>
      <c r="Z438" s="41">
        <v>0</v>
      </c>
      <c r="AA438" s="36"/>
      <c r="AB438" s="36" t="s">
        <v>24</v>
      </c>
      <c r="AC438" s="36" t="s">
        <v>848</v>
      </c>
      <c r="AD438" s="34"/>
      <c r="AE438" s="35">
        <f>IFERROR(INDEX([1]Last6M_AvgSales_Ref!$B$2:$B$12659,MATCH(D438,[1]Last6M_AvgSales_Ref!$A$2:$A$12659,0)),"")</f>
        <v>431</v>
      </c>
    </row>
    <row r="439" spans="1:31" ht="14.25" customHeight="1" x14ac:dyDescent="0.3">
      <c r="A439" s="36" t="s">
        <v>848</v>
      </c>
      <c r="B439" s="38" t="s">
        <v>917</v>
      </c>
      <c r="C439" s="38" t="s">
        <v>918</v>
      </c>
      <c r="D439" s="38">
        <v>1000000182</v>
      </c>
      <c r="E439" s="39" t="s">
        <v>919</v>
      </c>
      <c r="F439" s="40">
        <v>38408</v>
      </c>
      <c r="G439" s="22" t="str">
        <f t="shared" si="84"/>
        <v>Targeted Dealer</v>
      </c>
      <c r="H439" s="22"/>
      <c r="I439" s="23">
        <v>40</v>
      </c>
      <c r="J439" s="23">
        <f t="shared" si="85"/>
        <v>40</v>
      </c>
      <c r="K439" s="24">
        <v>80</v>
      </c>
      <c r="L439" s="24">
        <f t="shared" si="86"/>
        <v>-40</v>
      </c>
      <c r="M439" s="24">
        <f t="shared" si="87"/>
        <v>200</v>
      </c>
      <c r="N439" s="25">
        <v>45</v>
      </c>
      <c r="O439" s="26" t="str">
        <f t="shared" si="88"/>
        <v>June</v>
      </c>
      <c r="P439" s="25">
        <f t="shared" si="89"/>
        <v>45</v>
      </c>
      <c r="Q439" s="27">
        <f t="shared" si="90"/>
        <v>35</v>
      </c>
      <c r="R439" s="26" t="b">
        <f t="shared" si="91"/>
        <v>0</v>
      </c>
      <c r="S439" s="28" t="str">
        <f t="shared" si="92"/>
        <v>GROWTH</v>
      </c>
      <c r="T439" s="24">
        <v>20</v>
      </c>
      <c r="U439" s="29" t="str">
        <f t="shared" si="93"/>
        <v>May</v>
      </c>
      <c r="V439" s="24">
        <f t="shared" si="94"/>
        <v>20</v>
      </c>
      <c r="W439" s="30">
        <f t="shared" si="95"/>
        <v>60</v>
      </c>
      <c r="X439" s="31" t="b">
        <f t="shared" si="96"/>
        <v>0</v>
      </c>
      <c r="Y439" s="32" t="str">
        <f t="shared" si="97"/>
        <v>GROWTH</v>
      </c>
      <c r="Z439" s="41">
        <v>0</v>
      </c>
      <c r="AA439" s="36"/>
      <c r="AB439" s="36" t="s">
        <v>24</v>
      </c>
      <c r="AC439" s="36" t="s">
        <v>848</v>
      </c>
      <c r="AD439" s="34"/>
      <c r="AE439" s="35">
        <f>IFERROR(INDEX([1]Last6M_AvgSales_Ref!$B$2:$B$12659,MATCH(D439,[1]Last6M_AvgSales_Ref!$A$2:$A$12659,0)),"")</f>
        <v>67.5</v>
      </c>
    </row>
    <row r="440" spans="1:31" ht="14.25" customHeight="1" x14ac:dyDescent="0.3">
      <c r="A440" s="36" t="s">
        <v>848</v>
      </c>
      <c r="B440" s="38" t="s">
        <v>917</v>
      </c>
      <c r="C440" s="38" t="s">
        <v>920</v>
      </c>
      <c r="D440" s="38">
        <v>1000000184</v>
      </c>
      <c r="E440" s="39" t="s">
        <v>921</v>
      </c>
      <c r="F440" s="40">
        <v>38408</v>
      </c>
      <c r="G440" s="22" t="str">
        <f t="shared" si="84"/>
        <v>Targeted Dealer</v>
      </c>
      <c r="H440" s="22"/>
      <c r="I440" s="23">
        <v>2040</v>
      </c>
      <c r="J440" s="23">
        <f t="shared" si="85"/>
        <v>2040</v>
      </c>
      <c r="K440" s="24">
        <v>1181.5</v>
      </c>
      <c r="L440" s="24">
        <f t="shared" si="86"/>
        <v>858.5</v>
      </c>
      <c r="M440" s="24">
        <f t="shared" si="87"/>
        <v>57.916666666666671</v>
      </c>
      <c r="N440" s="25">
        <v>1016.5</v>
      </c>
      <c r="O440" s="26" t="str">
        <f t="shared" si="88"/>
        <v>June</v>
      </c>
      <c r="P440" s="25">
        <f t="shared" si="89"/>
        <v>1016.5</v>
      </c>
      <c r="Q440" s="27">
        <f t="shared" si="90"/>
        <v>165</v>
      </c>
      <c r="R440" s="26" t="b">
        <f t="shared" si="91"/>
        <v>0</v>
      </c>
      <c r="S440" s="28" t="str">
        <f t="shared" si="92"/>
        <v>GROWTH</v>
      </c>
      <c r="T440" s="24">
        <v>999</v>
      </c>
      <c r="U440" s="29" t="str">
        <f t="shared" si="93"/>
        <v>May</v>
      </c>
      <c r="V440" s="24">
        <f t="shared" si="94"/>
        <v>999</v>
      </c>
      <c r="W440" s="30">
        <f t="shared" si="95"/>
        <v>182.5</v>
      </c>
      <c r="X440" s="31" t="b">
        <f t="shared" si="96"/>
        <v>0</v>
      </c>
      <c r="Y440" s="32" t="str">
        <f t="shared" si="97"/>
        <v>GROWTH</v>
      </c>
      <c r="Z440" s="41">
        <v>0</v>
      </c>
      <c r="AA440" s="36"/>
      <c r="AB440" s="36" t="s">
        <v>24</v>
      </c>
      <c r="AC440" s="36" t="s">
        <v>848</v>
      </c>
      <c r="AD440" s="34"/>
      <c r="AE440" s="35">
        <f>IFERROR(INDEX([1]Last6M_AvgSales_Ref!$B$2:$B$12659,MATCH(D440,[1]Last6M_AvgSales_Ref!$A$2:$A$12659,0)),"")</f>
        <v>1195.1666666666699</v>
      </c>
    </row>
    <row r="441" spans="1:31" ht="14.25" customHeight="1" x14ac:dyDescent="0.3">
      <c r="A441" s="36" t="s">
        <v>848</v>
      </c>
      <c r="B441" s="38" t="s">
        <v>917</v>
      </c>
      <c r="C441" s="38" t="s">
        <v>922</v>
      </c>
      <c r="D441" s="38">
        <v>1000000171</v>
      </c>
      <c r="E441" s="39" t="s">
        <v>923</v>
      </c>
      <c r="F441" s="40">
        <v>38750</v>
      </c>
      <c r="G441" s="22" t="str">
        <f t="shared" si="84"/>
        <v>Targeted Dealer</v>
      </c>
      <c r="H441" s="22"/>
      <c r="I441" s="23">
        <v>200</v>
      </c>
      <c r="J441" s="23">
        <f t="shared" si="85"/>
        <v>200</v>
      </c>
      <c r="K441" s="24">
        <v>93</v>
      </c>
      <c r="L441" s="24">
        <f t="shared" si="86"/>
        <v>107</v>
      </c>
      <c r="M441" s="24">
        <f t="shared" si="87"/>
        <v>46.5</v>
      </c>
      <c r="N441" s="25">
        <v>95.5</v>
      </c>
      <c r="O441" s="26" t="str">
        <f t="shared" si="88"/>
        <v>June</v>
      </c>
      <c r="P441" s="25">
        <f t="shared" si="89"/>
        <v>95.5</v>
      </c>
      <c r="Q441" s="27">
        <f t="shared" si="90"/>
        <v>-2.5</v>
      </c>
      <c r="R441" s="26" t="b">
        <f t="shared" si="91"/>
        <v>0</v>
      </c>
      <c r="S441" s="28" t="str">
        <f t="shared" si="92"/>
        <v>GROWTH</v>
      </c>
      <c r="T441" s="24">
        <v>88</v>
      </c>
      <c r="U441" s="29" t="str">
        <f t="shared" si="93"/>
        <v>May</v>
      </c>
      <c r="V441" s="24">
        <f t="shared" si="94"/>
        <v>88</v>
      </c>
      <c r="W441" s="30">
        <f t="shared" si="95"/>
        <v>5</v>
      </c>
      <c r="X441" s="31" t="b">
        <f t="shared" si="96"/>
        <v>0</v>
      </c>
      <c r="Y441" s="32" t="str">
        <f t="shared" si="97"/>
        <v>GROWTH</v>
      </c>
      <c r="Z441" s="41">
        <v>0</v>
      </c>
      <c r="AA441" s="36"/>
      <c r="AB441" s="36" t="s">
        <v>24</v>
      </c>
      <c r="AC441" s="36" t="s">
        <v>848</v>
      </c>
      <c r="AD441" s="34"/>
      <c r="AE441" s="35">
        <f>IFERROR(INDEX([1]Last6M_AvgSales_Ref!$B$2:$B$12659,MATCH(D441,[1]Last6M_AvgSales_Ref!$A$2:$A$12659,0)),"")</f>
        <v>96</v>
      </c>
    </row>
    <row r="442" spans="1:31" ht="14.25" customHeight="1" x14ac:dyDescent="0.3">
      <c r="A442" s="36" t="s">
        <v>848</v>
      </c>
      <c r="B442" s="38" t="s">
        <v>917</v>
      </c>
      <c r="C442" s="38" t="s">
        <v>924</v>
      </c>
      <c r="D442" s="38">
        <v>1000000176</v>
      </c>
      <c r="E442" s="39" t="s">
        <v>925</v>
      </c>
      <c r="F442" s="40">
        <v>38750</v>
      </c>
      <c r="G442" s="22" t="str">
        <f t="shared" si="84"/>
        <v>Targeted Dealer</v>
      </c>
      <c r="H442" s="22"/>
      <c r="I442" s="23">
        <v>24</v>
      </c>
      <c r="J442" s="23">
        <f t="shared" si="85"/>
        <v>24</v>
      </c>
      <c r="K442" s="24">
        <v>0</v>
      </c>
      <c r="L442" s="24">
        <f t="shared" si="86"/>
        <v>24</v>
      </c>
      <c r="M442" s="24">
        <f t="shared" si="87"/>
        <v>0</v>
      </c>
      <c r="N442" s="25">
        <v>0</v>
      </c>
      <c r="O442" s="26" t="str">
        <f t="shared" si="88"/>
        <v>June</v>
      </c>
      <c r="P442" s="25">
        <f t="shared" si="89"/>
        <v>0</v>
      </c>
      <c r="Q442" s="27">
        <f t="shared" si="90"/>
        <v>0</v>
      </c>
      <c r="R442" s="26" t="b">
        <f t="shared" si="91"/>
        <v>0</v>
      </c>
      <c r="S442" s="28" t="b">
        <f t="shared" si="92"/>
        <v>0</v>
      </c>
      <c r="T442" s="24">
        <v>0</v>
      </c>
      <c r="U442" s="29" t="str">
        <f t="shared" si="93"/>
        <v>May</v>
      </c>
      <c r="V442" s="24">
        <f t="shared" si="94"/>
        <v>0</v>
      </c>
      <c r="W442" s="30">
        <f t="shared" si="95"/>
        <v>0</v>
      </c>
      <c r="X442" s="31" t="b">
        <f t="shared" si="96"/>
        <v>0</v>
      </c>
      <c r="Y442" s="32" t="b">
        <f t="shared" si="97"/>
        <v>0</v>
      </c>
      <c r="Z442" s="41">
        <v>0</v>
      </c>
      <c r="AA442" s="36"/>
      <c r="AB442" s="36" t="s">
        <v>24</v>
      </c>
      <c r="AC442" s="36" t="s">
        <v>848</v>
      </c>
      <c r="AD442" s="34"/>
      <c r="AE442" s="35">
        <f>IFERROR(INDEX([1]Last6M_AvgSales_Ref!$B$2:$B$12659,MATCH(D442,[1]Last6M_AvgSales_Ref!$A$2:$A$12659,0)),"")</f>
        <v>13.6666666666667</v>
      </c>
    </row>
    <row r="443" spans="1:31" ht="14.25" customHeight="1" x14ac:dyDescent="0.3">
      <c r="A443" s="36" t="s">
        <v>848</v>
      </c>
      <c r="B443" s="38" t="s">
        <v>917</v>
      </c>
      <c r="C443" s="38" t="s">
        <v>926</v>
      </c>
      <c r="D443" s="38">
        <v>1000000185</v>
      </c>
      <c r="E443" s="39" t="s">
        <v>927</v>
      </c>
      <c r="F443" s="40">
        <v>41758</v>
      </c>
      <c r="G443" s="22" t="str">
        <f t="shared" si="84"/>
        <v>Targeted Dealer</v>
      </c>
      <c r="H443" s="22"/>
      <c r="I443" s="23">
        <v>50</v>
      </c>
      <c r="J443" s="23">
        <f t="shared" si="85"/>
        <v>50</v>
      </c>
      <c r="K443" s="24">
        <v>13</v>
      </c>
      <c r="L443" s="24">
        <f t="shared" si="86"/>
        <v>37</v>
      </c>
      <c r="M443" s="24">
        <f t="shared" si="87"/>
        <v>26</v>
      </c>
      <c r="N443" s="25">
        <v>25.5</v>
      </c>
      <c r="O443" s="26" t="str">
        <f t="shared" si="88"/>
        <v>June</v>
      </c>
      <c r="P443" s="25">
        <f t="shared" si="89"/>
        <v>25.5</v>
      </c>
      <c r="Q443" s="27">
        <f t="shared" si="90"/>
        <v>-12.5</v>
      </c>
      <c r="R443" s="26" t="b">
        <f t="shared" si="91"/>
        <v>0</v>
      </c>
      <c r="S443" s="28" t="str">
        <f t="shared" si="92"/>
        <v>GROWTH</v>
      </c>
      <c r="T443" s="24">
        <v>25</v>
      </c>
      <c r="U443" s="29" t="str">
        <f t="shared" si="93"/>
        <v>May</v>
      </c>
      <c r="V443" s="24">
        <f t="shared" si="94"/>
        <v>25</v>
      </c>
      <c r="W443" s="30">
        <f t="shared" si="95"/>
        <v>-12</v>
      </c>
      <c r="X443" s="31" t="b">
        <f t="shared" si="96"/>
        <v>0</v>
      </c>
      <c r="Y443" s="32" t="str">
        <f t="shared" si="97"/>
        <v>GROWTH</v>
      </c>
      <c r="Z443" s="41">
        <v>0</v>
      </c>
      <c r="AA443" s="36"/>
      <c r="AB443" s="36" t="s">
        <v>24</v>
      </c>
      <c r="AC443" s="36" t="s">
        <v>848</v>
      </c>
      <c r="AD443" s="34"/>
      <c r="AE443" s="35">
        <f>IFERROR(INDEX([1]Last6M_AvgSales_Ref!$B$2:$B$12659,MATCH(D443,[1]Last6M_AvgSales_Ref!$A$2:$A$12659,0)),"")</f>
        <v>27.5833333333333</v>
      </c>
    </row>
    <row r="444" spans="1:31" ht="14.25" customHeight="1" x14ac:dyDescent="0.3">
      <c r="A444" s="36" t="s">
        <v>848</v>
      </c>
      <c r="B444" s="38" t="s">
        <v>917</v>
      </c>
      <c r="C444" s="38" t="s">
        <v>928</v>
      </c>
      <c r="D444" s="38">
        <v>1000000196</v>
      </c>
      <c r="E444" s="39" t="s">
        <v>929</v>
      </c>
      <c r="F444" s="40">
        <v>41768</v>
      </c>
      <c r="G444" s="22" t="str">
        <f t="shared" si="84"/>
        <v>Targeted Dealer</v>
      </c>
      <c r="H444" s="22"/>
      <c r="I444" s="23">
        <v>50</v>
      </c>
      <c r="J444" s="23">
        <f t="shared" si="85"/>
        <v>50</v>
      </c>
      <c r="K444" s="24">
        <v>25</v>
      </c>
      <c r="L444" s="24">
        <f t="shared" si="86"/>
        <v>25</v>
      </c>
      <c r="M444" s="24">
        <f t="shared" si="87"/>
        <v>50</v>
      </c>
      <c r="N444" s="25">
        <v>12.5</v>
      </c>
      <c r="O444" s="26" t="str">
        <f t="shared" si="88"/>
        <v>June</v>
      </c>
      <c r="P444" s="25">
        <f t="shared" si="89"/>
        <v>12.5</v>
      </c>
      <c r="Q444" s="27">
        <f t="shared" si="90"/>
        <v>12.5</v>
      </c>
      <c r="R444" s="26" t="b">
        <f t="shared" si="91"/>
        <v>0</v>
      </c>
      <c r="S444" s="28" t="str">
        <f t="shared" si="92"/>
        <v>GROWTH</v>
      </c>
      <c r="T444" s="24">
        <v>25</v>
      </c>
      <c r="U444" s="29" t="str">
        <f t="shared" si="93"/>
        <v>May</v>
      </c>
      <c r="V444" s="24">
        <f t="shared" si="94"/>
        <v>25</v>
      </c>
      <c r="W444" s="30">
        <f t="shared" si="95"/>
        <v>0</v>
      </c>
      <c r="X444" s="31" t="b">
        <f t="shared" si="96"/>
        <v>0</v>
      </c>
      <c r="Y444" s="32" t="str">
        <f t="shared" si="97"/>
        <v>GROWTH</v>
      </c>
      <c r="Z444" s="41">
        <v>0</v>
      </c>
      <c r="AA444" s="36"/>
      <c r="AB444" s="36" t="s">
        <v>24</v>
      </c>
      <c r="AC444" s="36" t="s">
        <v>848</v>
      </c>
      <c r="AD444" s="34"/>
      <c r="AE444" s="35">
        <f>IFERROR(INDEX([1]Last6M_AvgSales_Ref!$B$2:$B$12659,MATCH(D444,[1]Last6M_AvgSales_Ref!$A$2:$A$12659,0)),"")</f>
        <v>23.1666666666667</v>
      </c>
    </row>
    <row r="445" spans="1:31" ht="14.25" customHeight="1" x14ac:dyDescent="0.3">
      <c r="A445" s="36" t="s">
        <v>848</v>
      </c>
      <c r="B445" s="38" t="s">
        <v>917</v>
      </c>
      <c r="C445" s="38" t="s">
        <v>930</v>
      </c>
      <c r="D445" s="38">
        <v>1000000177</v>
      </c>
      <c r="E445" s="39" t="s">
        <v>931</v>
      </c>
      <c r="F445" s="40">
        <v>41912</v>
      </c>
      <c r="G445" s="22" t="str">
        <f t="shared" si="84"/>
        <v>Targeted Dealer</v>
      </c>
      <c r="H445" s="22"/>
      <c r="I445" s="23">
        <v>800</v>
      </c>
      <c r="J445" s="23">
        <f t="shared" si="85"/>
        <v>800</v>
      </c>
      <c r="K445" s="24">
        <v>375.5</v>
      </c>
      <c r="L445" s="24">
        <f t="shared" si="86"/>
        <v>424.5</v>
      </c>
      <c r="M445" s="24">
        <f t="shared" si="87"/>
        <v>46.9375</v>
      </c>
      <c r="N445" s="25">
        <v>352.5</v>
      </c>
      <c r="O445" s="26" t="str">
        <f t="shared" si="88"/>
        <v>June</v>
      </c>
      <c r="P445" s="25">
        <f t="shared" si="89"/>
        <v>352.5</v>
      </c>
      <c r="Q445" s="27">
        <f t="shared" si="90"/>
        <v>23</v>
      </c>
      <c r="R445" s="26" t="b">
        <f t="shared" si="91"/>
        <v>0</v>
      </c>
      <c r="S445" s="28" t="str">
        <f t="shared" si="92"/>
        <v>GROWTH</v>
      </c>
      <c r="T445" s="24">
        <v>452</v>
      </c>
      <c r="U445" s="29" t="str">
        <f t="shared" si="93"/>
        <v>May</v>
      </c>
      <c r="V445" s="24">
        <f t="shared" si="94"/>
        <v>452</v>
      </c>
      <c r="W445" s="30">
        <f t="shared" si="95"/>
        <v>-76.5</v>
      </c>
      <c r="X445" s="31" t="b">
        <f t="shared" si="96"/>
        <v>0</v>
      </c>
      <c r="Y445" s="32" t="str">
        <f t="shared" si="97"/>
        <v>GROWTH</v>
      </c>
      <c r="Z445" s="41">
        <v>0</v>
      </c>
      <c r="AA445" s="36"/>
      <c r="AB445" s="36" t="s">
        <v>24</v>
      </c>
      <c r="AC445" s="36" t="s">
        <v>848</v>
      </c>
      <c r="AD445" s="34"/>
      <c r="AE445" s="35">
        <f>IFERROR(INDEX([1]Last6M_AvgSales_Ref!$B$2:$B$12659,MATCH(D445,[1]Last6M_AvgSales_Ref!$A$2:$A$12659,0)),"")</f>
        <v>390.53333333333302</v>
      </c>
    </row>
    <row r="446" spans="1:31" ht="14.25" customHeight="1" x14ac:dyDescent="0.3">
      <c r="A446" s="36" t="s">
        <v>848</v>
      </c>
      <c r="B446" s="38" t="s">
        <v>917</v>
      </c>
      <c r="C446" s="38" t="s">
        <v>932</v>
      </c>
      <c r="D446" s="38">
        <v>1000000194</v>
      </c>
      <c r="E446" s="39" t="s">
        <v>933</v>
      </c>
      <c r="F446" s="40">
        <v>42228</v>
      </c>
      <c r="G446" s="22" t="str">
        <f t="shared" si="84"/>
        <v>Targeted Dealer</v>
      </c>
      <c r="H446" s="22"/>
      <c r="I446" s="23">
        <v>530</v>
      </c>
      <c r="J446" s="23">
        <f t="shared" si="85"/>
        <v>530</v>
      </c>
      <c r="K446" s="24">
        <v>215</v>
      </c>
      <c r="L446" s="24">
        <f t="shared" si="86"/>
        <v>315</v>
      </c>
      <c r="M446" s="24">
        <f t="shared" si="87"/>
        <v>40.566037735849058</v>
      </c>
      <c r="N446" s="25">
        <v>229</v>
      </c>
      <c r="O446" s="26" t="str">
        <f t="shared" si="88"/>
        <v>June</v>
      </c>
      <c r="P446" s="25">
        <f t="shared" si="89"/>
        <v>229</v>
      </c>
      <c r="Q446" s="27">
        <f t="shared" si="90"/>
        <v>-14</v>
      </c>
      <c r="R446" s="26" t="b">
        <f t="shared" si="91"/>
        <v>0</v>
      </c>
      <c r="S446" s="28" t="str">
        <f t="shared" si="92"/>
        <v>GROWTH</v>
      </c>
      <c r="T446" s="24">
        <v>260.5</v>
      </c>
      <c r="U446" s="29" t="str">
        <f t="shared" si="93"/>
        <v>May</v>
      </c>
      <c r="V446" s="24">
        <f t="shared" si="94"/>
        <v>260.5</v>
      </c>
      <c r="W446" s="30">
        <f t="shared" si="95"/>
        <v>-45.5</v>
      </c>
      <c r="X446" s="31" t="b">
        <f t="shared" si="96"/>
        <v>0</v>
      </c>
      <c r="Y446" s="32" t="str">
        <f t="shared" si="97"/>
        <v>GROWTH</v>
      </c>
      <c r="Z446" s="41">
        <v>0</v>
      </c>
      <c r="AA446" s="36"/>
      <c r="AB446" s="36" t="s">
        <v>24</v>
      </c>
      <c r="AC446" s="36" t="s">
        <v>848</v>
      </c>
      <c r="AD446" s="34"/>
      <c r="AE446" s="35">
        <f>IFERROR(INDEX([1]Last6M_AvgSales_Ref!$B$2:$B$12659,MATCH(D446,[1]Last6M_AvgSales_Ref!$A$2:$A$12659,0)),"")</f>
        <v>312</v>
      </c>
    </row>
    <row r="447" spans="1:31" ht="14.25" customHeight="1" x14ac:dyDescent="0.3">
      <c r="A447" s="36" t="s">
        <v>848</v>
      </c>
      <c r="B447" s="38" t="s">
        <v>917</v>
      </c>
      <c r="C447" s="38" t="s">
        <v>934</v>
      </c>
      <c r="D447" s="38">
        <v>1000000189</v>
      </c>
      <c r="E447" s="39" t="s">
        <v>935</v>
      </c>
      <c r="F447" s="40">
        <v>42280</v>
      </c>
      <c r="G447" s="22" t="str">
        <f t="shared" si="84"/>
        <v>Targeted Dealer</v>
      </c>
      <c r="H447" s="22"/>
      <c r="I447" s="23">
        <v>26</v>
      </c>
      <c r="J447" s="23">
        <f t="shared" si="85"/>
        <v>26</v>
      </c>
      <c r="K447" s="24">
        <v>40</v>
      </c>
      <c r="L447" s="24">
        <f t="shared" si="86"/>
        <v>-14</v>
      </c>
      <c r="M447" s="24">
        <f t="shared" si="87"/>
        <v>153.84615384615384</v>
      </c>
      <c r="N447" s="25">
        <v>7.5</v>
      </c>
      <c r="O447" s="26" t="str">
        <f t="shared" si="88"/>
        <v>June</v>
      </c>
      <c r="P447" s="25">
        <f t="shared" si="89"/>
        <v>7.5</v>
      </c>
      <c r="Q447" s="27">
        <f t="shared" si="90"/>
        <v>32.5</v>
      </c>
      <c r="R447" s="26" t="b">
        <f t="shared" si="91"/>
        <v>0</v>
      </c>
      <c r="S447" s="28" t="str">
        <f t="shared" si="92"/>
        <v>GROWTH</v>
      </c>
      <c r="T447" s="24">
        <v>12.5</v>
      </c>
      <c r="U447" s="29" t="str">
        <f t="shared" si="93"/>
        <v>May</v>
      </c>
      <c r="V447" s="24">
        <f t="shared" si="94"/>
        <v>12.5</v>
      </c>
      <c r="W447" s="30">
        <f t="shared" si="95"/>
        <v>27.5</v>
      </c>
      <c r="X447" s="31" t="b">
        <f t="shared" si="96"/>
        <v>0</v>
      </c>
      <c r="Y447" s="32" t="str">
        <f t="shared" si="97"/>
        <v>GROWTH</v>
      </c>
      <c r="Z447" s="41">
        <v>0</v>
      </c>
      <c r="AA447" s="36"/>
      <c r="AB447" s="36" t="s">
        <v>24</v>
      </c>
      <c r="AC447" s="36" t="s">
        <v>848</v>
      </c>
      <c r="AD447" s="34"/>
      <c r="AE447" s="35">
        <f>IFERROR(INDEX([1]Last6M_AvgSales_Ref!$B$2:$B$12659,MATCH(D447,[1]Last6M_AvgSales_Ref!$A$2:$A$12659,0)),"")</f>
        <v>20.8333333333333</v>
      </c>
    </row>
    <row r="448" spans="1:31" ht="14.25" customHeight="1" x14ac:dyDescent="0.3">
      <c r="A448" s="36" t="s">
        <v>848</v>
      </c>
      <c r="B448" s="38" t="s">
        <v>917</v>
      </c>
      <c r="C448" s="38" t="s">
        <v>936</v>
      </c>
      <c r="D448" s="38">
        <v>1000000181</v>
      </c>
      <c r="E448" s="39" t="s">
        <v>937</v>
      </c>
      <c r="F448" s="40">
        <v>42889</v>
      </c>
      <c r="G448" s="22" t="str">
        <f t="shared" si="84"/>
        <v>Targeted Dealer</v>
      </c>
      <c r="H448" s="22"/>
      <c r="I448" s="23">
        <v>130</v>
      </c>
      <c r="J448" s="23">
        <f t="shared" si="85"/>
        <v>130</v>
      </c>
      <c r="K448" s="24">
        <v>97.5</v>
      </c>
      <c r="L448" s="24">
        <f t="shared" si="86"/>
        <v>32.5</v>
      </c>
      <c r="M448" s="24">
        <f t="shared" si="87"/>
        <v>75</v>
      </c>
      <c r="N448" s="25">
        <v>65</v>
      </c>
      <c r="O448" s="26" t="str">
        <f t="shared" si="88"/>
        <v>June</v>
      </c>
      <c r="P448" s="25">
        <f t="shared" si="89"/>
        <v>65</v>
      </c>
      <c r="Q448" s="27">
        <f t="shared" si="90"/>
        <v>32.5</v>
      </c>
      <c r="R448" s="26" t="b">
        <f t="shared" si="91"/>
        <v>0</v>
      </c>
      <c r="S448" s="28" t="str">
        <f t="shared" si="92"/>
        <v>GROWTH</v>
      </c>
      <c r="T448" s="24">
        <v>64</v>
      </c>
      <c r="U448" s="29" t="str">
        <f t="shared" si="93"/>
        <v>May</v>
      </c>
      <c r="V448" s="24">
        <f t="shared" si="94"/>
        <v>64</v>
      </c>
      <c r="W448" s="30">
        <f t="shared" si="95"/>
        <v>33.5</v>
      </c>
      <c r="X448" s="31" t="b">
        <f t="shared" si="96"/>
        <v>0</v>
      </c>
      <c r="Y448" s="32" t="str">
        <f t="shared" si="97"/>
        <v>GROWTH</v>
      </c>
      <c r="Z448" s="41">
        <v>0</v>
      </c>
      <c r="AA448" s="36"/>
      <c r="AB448" s="36" t="s">
        <v>24</v>
      </c>
      <c r="AC448" s="36" t="s">
        <v>848</v>
      </c>
      <c r="AD448" s="34"/>
      <c r="AE448" s="35">
        <f>IFERROR(INDEX([1]Last6M_AvgSales_Ref!$B$2:$B$12659,MATCH(D448,[1]Last6M_AvgSales_Ref!$A$2:$A$12659,0)),"")</f>
        <v>69.3333333333333</v>
      </c>
    </row>
    <row r="449" spans="1:31" ht="14.25" customHeight="1" x14ac:dyDescent="0.3">
      <c r="A449" s="36" t="s">
        <v>848</v>
      </c>
      <c r="B449" s="38" t="s">
        <v>917</v>
      </c>
      <c r="C449" s="38" t="s">
        <v>938</v>
      </c>
      <c r="D449" s="38">
        <v>1000000178</v>
      </c>
      <c r="E449" s="39" t="s">
        <v>939</v>
      </c>
      <c r="F449" s="40">
        <v>42921</v>
      </c>
      <c r="G449" s="22" t="str">
        <f t="shared" si="84"/>
        <v>-</v>
      </c>
      <c r="H449" s="22"/>
      <c r="I449" s="23">
        <v>0</v>
      </c>
      <c r="J449" s="23">
        <f t="shared" si="85"/>
        <v>0</v>
      </c>
      <c r="K449" s="24">
        <v>0</v>
      </c>
      <c r="L449" s="24">
        <f t="shared" si="86"/>
        <v>0</v>
      </c>
      <c r="M449" s="24" t="str">
        <f t="shared" si="87"/>
        <v>-</v>
      </c>
      <c r="N449" s="25">
        <v>26</v>
      </c>
      <c r="O449" s="26" t="str">
        <f t="shared" si="88"/>
        <v>June</v>
      </c>
      <c r="P449" s="25">
        <f t="shared" si="89"/>
        <v>26</v>
      </c>
      <c r="Q449" s="27">
        <f t="shared" si="90"/>
        <v>-26</v>
      </c>
      <c r="R449" s="26" t="b">
        <f t="shared" si="91"/>
        <v>0</v>
      </c>
      <c r="S449" s="28" t="str">
        <f t="shared" si="92"/>
        <v>GROWTH</v>
      </c>
      <c r="T449" s="24">
        <v>0</v>
      </c>
      <c r="U449" s="29" t="str">
        <f t="shared" si="93"/>
        <v>May</v>
      </c>
      <c r="V449" s="24">
        <f t="shared" si="94"/>
        <v>0</v>
      </c>
      <c r="W449" s="30">
        <f t="shared" si="95"/>
        <v>0</v>
      </c>
      <c r="X449" s="31" t="b">
        <f t="shared" si="96"/>
        <v>0</v>
      </c>
      <c r="Y449" s="32" t="b">
        <f t="shared" si="97"/>
        <v>0</v>
      </c>
      <c r="Z449" s="41">
        <v>0</v>
      </c>
      <c r="AA449" s="36"/>
      <c r="AB449" s="36" t="s">
        <v>24</v>
      </c>
      <c r="AC449" s="36" t="s">
        <v>848</v>
      </c>
      <c r="AD449" s="34"/>
      <c r="AE449" s="35">
        <f>IFERROR(INDEX([1]Last6M_AvgSales_Ref!$B$2:$B$12659,MATCH(D449,[1]Last6M_AvgSales_Ref!$A$2:$A$12659,0)),"")</f>
        <v>16.9166666666667</v>
      </c>
    </row>
    <row r="450" spans="1:31" ht="14.25" customHeight="1" x14ac:dyDescent="0.3">
      <c r="A450" s="36" t="s">
        <v>848</v>
      </c>
      <c r="B450" s="38" t="s">
        <v>917</v>
      </c>
      <c r="C450" s="38" t="s">
        <v>940</v>
      </c>
      <c r="D450" s="38">
        <v>1000000190</v>
      </c>
      <c r="E450" s="39" t="s">
        <v>941</v>
      </c>
      <c r="F450" s="40">
        <v>43066</v>
      </c>
      <c r="G450" s="22" t="str">
        <f t="shared" si="84"/>
        <v>Targeted Dealer</v>
      </c>
      <c r="H450" s="22"/>
      <c r="I450" s="23">
        <v>104</v>
      </c>
      <c r="J450" s="23">
        <f t="shared" si="85"/>
        <v>104</v>
      </c>
      <c r="K450" s="24">
        <v>152</v>
      </c>
      <c r="L450" s="24">
        <f t="shared" si="86"/>
        <v>-48</v>
      </c>
      <c r="M450" s="24">
        <f t="shared" si="87"/>
        <v>146.15384615384616</v>
      </c>
      <c r="N450" s="25">
        <v>72</v>
      </c>
      <c r="O450" s="26" t="str">
        <f t="shared" si="88"/>
        <v>June</v>
      </c>
      <c r="P450" s="25">
        <f t="shared" si="89"/>
        <v>72</v>
      </c>
      <c r="Q450" s="27">
        <f t="shared" si="90"/>
        <v>80</v>
      </c>
      <c r="R450" s="26" t="b">
        <f t="shared" si="91"/>
        <v>0</v>
      </c>
      <c r="S450" s="28" t="str">
        <f t="shared" si="92"/>
        <v>GROWTH</v>
      </c>
      <c r="T450" s="24">
        <v>50</v>
      </c>
      <c r="U450" s="29" t="str">
        <f t="shared" si="93"/>
        <v>May</v>
      </c>
      <c r="V450" s="24">
        <f t="shared" si="94"/>
        <v>50</v>
      </c>
      <c r="W450" s="30">
        <f t="shared" si="95"/>
        <v>102</v>
      </c>
      <c r="X450" s="31" t="b">
        <f t="shared" si="96"/>
        <v>0</v>
      </c>
      <c r="Y450" s="32" t="str">
        <f t="shared" si="97"/>
        <v>GROWTH</v>
      </c>
      <c r="Z450" s="41">
        <v>0</v>
      </c>
      <c r="AA450" s="36"/>
      <c r="AB450" s="36" t="s">
        <v>24</v>
      </c>
      <c r="AC450" s="36" t="s">
        <v>848</v>
      </c>
      <c r="AD450" s="34"/>
      <c r="AE450" s="35">
        <f>IFERROR(INDEX([1]Last6M_AvgSales_Ref!$B$2:$B$12659,MATCH(D450,[1]Last6M_AvgSales_Ref!$A$2:$A$12659,0)),"")</f>
        <v>110.5</v>
      </c>
    </row>
    <row r="451" spans="1:31" ht="14.25" customHeight="1" x14ac:dyDescent="0.3">
      <c r="A451" s="36" t="s">
        <v>848</v>
      </c>
      <c r="B451" s="38" t="s">
        <v>917</v>
      </c>
      <c r="C451" s="38" t="s">
        <v>942</v>
      </c>
      <c r="D451" s="38">
        <v>1000000168</v>
      </c>
      <c r="E451" s="39" t="s">
        <v>943</v>
      </c>
      <c r="F451" s="40">
        <v>43147</v>
      </c>
      <c r="G451" s="22" t="str">
        <f t="shared" ref="G451:G514" si="98">IF(I451&gt;0,"Targeted Dealer","-")</f>
        <v>Targeted Dealer</v>
      </c>
      <c r="H451" s="22"/>
      <c r="I451" s="23">
        <v>300</v>
      </c>
      <c r="J451" s="23">
        <f t="shared" ref="J451:J514" si="99">I451/$J$1*($J$1-$E$1)</f>
        <v>300</v>
      </c>
      <c r="K451" s="24">
        <v>206.5</v>
      </c>
      <c r="L451" s="24">
        <f t="shared" ref="L451:L514" si="100">I451-K451</f>
        <v>93.5</v>
      </c>
      <c r="M451" s="24">
        <f t="shared" ref="M451:M514" si="101">IFERROR((K451/J451%),"-")</f>
        <v>68.833333333333329</v>
      </c>
      <c r="N451" s="25">
        <v>263</v>
      </c>
      <c r="O451" s="26" t="str">
        <f t="shared" ref="O451:O514" si="102">IF(F451&lt;=$P$2,"June","")</f>
        <v>June</v>
      </c>
      <c r="P451" s="25">
        <f t="shared" ref="P451:P514" si="103">N451</f>
        <v>263</v>
      </c>
      <c r="Q451" s="27">
        <f t="shared" ref="Q451:Q514" si="104">K451-P451</f>
        <v>-56.5</v>
      </c>
      <c r="R451" s="26" t="b">
        <f t="shared" ref="R451:R514" si="105">IFERROR(IF(O451="May",(K451/P451-1))," ")</f>
        <v>0</v>
      </c>
      <c r="S451" s="28" t="str">
        <f t="shared" ref="S451:S514" si="106">IF(N451&gt;0,IF(O451="","-",IF(R451&lt;0%,"DEGROWTH","GROWTH")))</f>
        <v>GROWTH</v>
      </c>
      <c r="T451" s="24">
        <v>200</v>
      </c>
      <c r="U451" s="29" t="str">
        <f t="shared" ref="U451:U514" si="107">IF(F451&lt;=$V$2,"May","")</f>
        <v>May</v>
      </c>
      <c r="V451" s="24">
        <f t="shared" ref="V451:V514" si="108">T451</f>
        <v>200</v>
      </c>
      <c r="W451" s="30">
        <f t="shared" ref="W451:W514" si="109">K451-V451</f>
        <v>6.5</v>
      </c>
      <c r="X451" s="31" t="b">
        <f t="shared" ref="X451:X514" si="110">IFERROR(IF(U451="June",(K451/V451-1)),0)</f>
        <v>0</v>
      </c>
      <c r="Y451" s="32" t="str">
        <f t="shared" ref="Y451:Y514" si="111">IF(T451&gt;0,IF(U451="","-",IF(X451&lt;0%,"DEGROWTH","GROWTH")))</f>
        <v>GROWTH</v>
      </c>
      <c r="Z451" s="41">
        <v>0</v>
      </c>
      <c r="AA451" s="36"/>
      <c r="AB451" s="36" t="s">
        <v>24</v>
      </c>
      <c r="AC451" s="36" t="s">
        <v>848</v>
      </c>
      <c r="AD451" s="34"/>
      <c r="AE451" s="35">
        <f>IFERROR(INDEX([1]Last6M_AvgSales_Ref!$B$2:$B$12659,MATCH(D451,[1]Last6M_AvgSales_Ref!$A$2:$A$12659,0)),"")</f>
        <v>182.833333333333</v>
      </c>
    </row>
    <row r="452" spans="1:31" ht="14.25" customHeight="1" x14ac:dyDescent="0.3">
      <c r="A452" s="36" t="s">
        <v>848</v>
      </c>
      <c r="B452" s="38" t="s">
        <v>917</v>
      </c>
      <c r="C452" s="38" t="s">
        <v>944</v>
      </c>
      <c r="D452" s="38">
        <v>1000000172</v>
      </c>
      <c r="E452" s="39" t="s">
        <v>945</v>
      </c>
      <c r="F452" s="40">
        <v>43282</v>
      </c>
      <c r="G452" s="22" t="str">
        <f t="shared" si="98"/>
        <v>Targeted Dealer</v>
      </c>
      <c r="H452" s="22"/>
      <c r="I452" s="23">
        <v>1150</v>
      </c>
      <c r="J452" s="23">
        <f t="shared" si="99"/>
        <v>1150</v>
      </c>
      <c r="K452" s="24">
        <v>650</v>
      </c>
      <c r="L452" s="24">
        <f t="shared" si="100"/>
        <v>500</v>
      </c>
      <c r="M452" s="24">
        <f t="shared" si="101"/>
        <v>56.521739130434781</v>
      </c>
      <c r="N452" s="25">
        <v>520.5</v>
      </c>
      <c r="O452" s="26" t="str">
        <f t="shared" si="102"/>
        <v>June</v>
      </c>
      <c r="P452" s="25">
        <f t="shared" si="103"/>
        <v>520.5</v>
      </c>
      <c r="Q452" s="27">
        <f t="shared" si="104"/>
        <v>129.5</v>
      </c>
      <c r="R452" s="26" t="b">
        <f t="shared" si="105"/>
        <v>0</v>
      </c>
      <c r="S452" s="28" t="str">
        <f t="shared" si="106"/>
        <v>GROWTH</v>
      </c>
      <c r="T452" s="24">
        <v>571.75</v>
      </c>
      <c r="U452" s="29" t="str">
        <f t="shared" si="107"/>
        <v>May</v>
      </c>
      <c r="V452" s="24">
        <f t="shared" si="108"/>
        <v>571.75</v>
      </c>
      <c r="W452" s="30">
        <f t="shared" si="109"/>
        <v>78.25</v>
      </c>
      <c r="X452" s="31" t="b">
        <f t="shared" si="110"/>
        <v>0</v>
      </c>
      <c r="Y452" s="32" t="str">
        <f t="shared" si="111"/>
        <v>GROWTH</v>
      </c>
      <c r="Z452" s="41">
        <v>0</v>
      </c>
      <c r="AA452" s="36"/>
      <c r="AB452" s="36" t="s">
        <v>24</v>
      </c>
      <c r="AC452" s="36" t="s">
        <v>848</v>
      </c>
      <c r="AD452" s="34"/>
      <c r="AE452" s="35">
        <f>IFERROR(INDEX([1]Last6M_AvgSales_Ref!$B$2:$B$12659,MATCH(D452,[1]Last6M_AvgSales_Ref!$A$2:$A$12659,0)),"")</f>
        <v>647.88333333333298</v>
      </c>
    </row>
    <row r="453" spans="1:31" ht="14.25" customHeight="1" x14ac:dyDescent="0.3">
      <c r="A453" s="36" t="s">
        <v>848</v>
      </c>
      <c r="B453" s="38" t="s">
        <v>917</v>
      </c>
      <c r="C453" s="38" t="s">
        <v>946</v>
      </c>
      <c r="D453" s="38">
        <v>1000000195</v>
      </c>
      <c r="E453" s="39" t="s">
        <v>947</v>
      </c>
      <c r="F453" s="40">
        <v>43282</v>
      </c>
      <c r="G453" s="22" t="str">
        <f t="shared" si="98"/>
        <v>Targeted Dealer</v>
      </c>
      <c r="H453" s="22"/>
      <c r="I453" s="23">
        <v>250</v>
      </c>
      <c r="J453" s="23">
        <f t="shared" si="99"/>
        <v>250.00000000000003</v>
      </c>
      <c r="K453" s="24">
        <v>171.5</v>
      </c>
      <c r="L453" s="24">
        <f t="shared" si="100"/>
        <v>78.5</v>
      </c>
      <c r="M453" s="24">
        <f t="shared" si="101"/>
        <v>68.599999999999994</v>
      </c>
      <c r="N453" s="25">
        <v>143</v>
      </c>
      <c r="O453" s="26" t="str">
        <f t="shared" si="102"/>
        <v>June</v>
      </c>
      <c r="P453" s="25">
        <f t="shared" si="103"/>
        <v>143</v>
      </c>
      <c r="Q453" s="27">
        <f t="shared" si="104"/>
        <v>28.5</v>
      </c>
      <c r="R453" s="26" t="b">
        <f t="shared" si="105"/>
        <v>0</v>
      </c>
      <c r="S453" s="28" t="str">
        <f t="shared" si="106"/>
        <v>GROWTH</v>
      </c>
      <c r="T453" s="24">
        <v>123.5</v>
      </c>
      <c r="U453" s="29" t="str">
        <f t="shared" si="107"/>
        <v>May</v>
      </c>
      <c r="V453" s="24">
        <f t="shared" si="108"/>
        <v>123.5</v>
      </c>
      <c r="W453" s="30">
        <f t="shared" si="109"/>
        <v>48</v>
      </c>
      <c r="X453" s="31" t="b">
        <f t="shared" si="110"/>
        <v>0</v>
      </c>
      <c r="Y453" s="32" t="str">
        <f t="shared" si="111"/>
        <v>GROWTH</v>
      </c>
      <c r="Z453" s="41">
        <v>0</v>
      </c>
      <c r="AA453" s="36"/>
      <c r="AB453" s="36" t="s">
        <v>24</v>
      </c>
      <c r="AC453" s="36" t="s">
        <v>848</v>
      </c>
      <c r="AD453" s="34"/>
      <c r="AE453" s="35">
        <f>IFERROR(INDEX([1]Last6M_AvgSales_Ref!$B$2:$B$12659,MATCH(D453,[1]Last6M_AvgSales_Ref!$A$2:$A$12659,0)),"")</f>
        <v>154.166666666667</v>
      </c>
    </row>
    <row r="454" spans="1:31" ht="14.25" customHeight="1" x14ac:dyDescent="0.3">
      <c r="A454" s="36" t="s">
        <v>848</v>
      </c>
      <c r="B454" s="38" t="s">
        <v>917</v>
      </c>
      <c r="C454" s="38" t="s">
        <v>948</v>
      </c>
      <c r="D454" s="38">
        <v>1000000170</v>
      </c>
      <c r="E454" s="39" t="s">
        <v>949</v>
      </c>
      <c r="F454" s="40">
        <v>43295</v>
      </c>
      <c r="G454" s="22" t="str">
        <f t="shared" si="98"/>
        <v>Targeted Dealer</v>
      </c>
      <c r="H454" s="22"/>
      <c r="I454" s="23">
        <v>360</v>
      </c>
      <c r="J454" s="23">
        <f t="shared" si="99"/>
        <v>360</v>
      </c>
      <c r="K454" s="24">
        <v>202.5</v>
      </c>
      <c r="L454" s="24">
        <f t="shared" si="100"/>
        <v>157.5</v>
      </c>
      <c r="M454" s="24">
        <f t="shared" si="101"/>
        <v>56.25</v>
      </c>
      <c r="N454" s="25">
        <v>192.5</v>
      </c>
      <c r="O454" s="26" t="str">
        <f t="shared" si="102"/>
        <v>June</v>
      </c>
      <c r="P454" s="25">
        <f t="shared" si="103"/>
        <v>192.5</v>
      </c>
      <c r="Q454" s="27">
        <f t="shared" si="104"/>
        <v>10</v>
      </c>
      <c r="R454" s="26" t="b">
        <f t="shared" si="105"/>
        <v>0</v>
      </c>
      <c r="S454" s="28" t="str">
        <f t="shared" si="106"/>
        <v>GROWTH</v>
      </c>
      <c r="T454" s="24">
        <v>177</v>
      </c>
      <c r="U454" s="29" t="str">
        <f t="shared" si="107"/>
        <v>May</v>
      </c>
      <c r="V454" s="24">
        <f t="shared" si="108"/>
        <v>177</v>
      </c>
      <c r="W454" s="30">
        <f t="shared" si="109"/>
        <v>25.5</v>
      </c>
      <c r="X454" s="31" t="b">
        <f t="shared" si="110"/>
        <v>0</v>
      </c>
      <c r="Y454" s="32" t="str">
        <f t="shared" si="111"/>
        <v>GROWTH</v>
      </c>
      <c r="Z454" s="41">
        <v>0</v>
      </c>
      <c r="AA454" s="36"/>
      <c r="AB454" s="36" t="s">
        <v>24</v>
      </c>
      <c r="AC454" s="36" t="s">
        <v>848</v>
      </c>
      <c r="AD454" s="34"/>
      <c r="AE454" s="35">
        <f>IFERROR(INDEX([1]Last6M_AvgSales_Ref!$B$2:$B$12659,MATCH(D454,[1]Last6M_AvgSales_Ref!$A$2:$A$12659,0)),"")</f>
        <v>224.5</v>
      </c>
    </row>
    <row r="455" spans="1:31" ht="14.25" customHeight="1" x14ac:dyDescent="0.3">
      <c r="A455" s="36" t="s">
        <v>848</v>
      </c>
      <c r="B455" s="38" t="s">
        <v>917</v>
      </c>
      <c r="C455" s="38" t="s">
        <v>950</v>
      </c>
      <c r="D455" s="38">
        <v>1000000179</v>
      </c>
      <c r="E455" s="39" t="s">
        <v>951</v>
      </c>
      <c r="F455" s="40">
        <v>44208</v>
      </c>
      <c r="G455" s="22" t="str">
        <f t="shared" si="98"/>
        <v>Targeted Dealer</v>
      </c>
      <c r="H455" s="22"/>
      <c r="I455" s="23">
        <v>50</v>
      </c>
      <c r="J455" s="23">
        <f t="shared" si="99"/>
        <v>50</v>
      </c>
      <c r="K455" s="24">
        <v>131.5</v>
      </c>
      <c r="L455" s="24">
        <f t="shared" si="100"/>
        <v>-81.5</v>
      </c>
      <c r="M455" s="24">
        <f t="shared" si="101"/>
        <v>263</v>
      </c>
      <c r="N455" s="25">
        <v>88</v>
      </c>
      <c r="O455" s="26" t="str">
        <f t="shared" si="102"/>
        <v>June</v>
      </c>
      <c r="P455" s="25">
        <f t="shared" si="103"/>
        <v>88</v>
      </c>
      <c r="Q455" s="27">
        <f t="shared" si="104"/>
        <v>43.5</v>
      </c>
      <c r="R455" s="26" t="b">
        <f t="shared" si="105"/>
        <v>0</v>
      </c>
      <c r="S455" s="28" t="str">
        <f t="shared" si="106"/>
        <v>GROWTH</v>
      </c>
      <c r="T455" s="24">
        <v>20</v>
      </c>
      <c r="U455" s="29" t="str">
        <f t="shared" si="107"/>
        <v>May</v>
      </c>
      <c r="V455" s="24">
        <f t="shared" si="108"/>
        <v>20</v>
      </c>
      <c r="W455" s="30">
        <f t="shared" si="109"/>
        <v>111.5</v>
      </c>
      <c r="X455" s="31" t="b">
        <f t="shared" si="110"/>
        <v>0</v>
      </c>
      <c r="Y455" s="32" t="str">
        <f t="shared" si="111"/>
        <v>GROWTH</v>
      </c>
      <c r="Z455" s="41">
        <v>0</v>
      </c>
      <c r="AA455" s="36"/>
      <c r="AB455" s="36" t="s">
        <v>24</v>
      </c>
      <c r="AC455" s="36" t="s">
        <v>848</v>
      </c>
      <c r="AD455" s="34"/>
      <c r="AE455" s="35">
        <f>IFERROR(INDEX([1]Last6M_AvgSales_Ref!$B$2:$B$12659,MATCH(D455,[1]Last6M_AvgSales_Ref!$A$2:$A$12659,0)),"")</f>
        <v>157.25</v>
      </c>
    </row>
    <row r="456" spans="1:31" ht="14.25" customHeight="1" x14ac:dyDescent="0.3">
      <c r="A456" s="36" t="s">
        <v>848</v>
      </c>
      <c r="B456" s="38" t="s">
        <v>917</v>
      </c>
      <c r="C456" s="38" t="s">
        <v>952</v>
      </c>
      <c r="D456" s="38">
        <v>1000000183</v>
      </c>
      <c r="E456" s="39" t="s">
        <v>953</v>
      </c>
      <c r="F456" s="40">
        <v>44240</v>
      </c>
      <c r="G456" s="22" t="str">
        <f t="shared" si="98"/>
        <v>-</v>
      </c>
      <c r="H456" s="22"/>
      <c r="I456" s="23">
        <v>0</v>
      </c>
      <c r="J456" s="23">
        <f t="shared" si="99"/>
        <v>0</v>
      </c>
      <c r="K456" s="24">
        <v>0</v>
      </c>
      <c r="L456" s="24">
        <f t="shared" si="100"/>
        <v>0</v>
      </c>
      <c r="M456" s="24" t="str">
        <f t="shared" si="101"/>
        <v>-</v>
      </c>
      <c r="N456" s="25">
        <v>0</v>
      </c>
      <c r="O456" s="26" t="str">
        <f t="shared" si="102"/>
        <v>June</v>
      </c>
      <c r="P456" s="25">
        <f t="shared" si="103"/>
        <v>0</v>
      </c>
      <c r="Q456" s="27">
        <f t="shared" si="104"/>
        <v>0</v>
      </c>
      <c r="R456" s="26" t="b">
        <f t="shared" si="105"/>
        <v>0</v>
      </c>
      <c r="S456" s="28" t="b">
        <f t="shared" si="106"/>
        <v>0</v>
      </c>
      <c r="T456" s="24">
        <v>9</v>
      </c>
      <c r="U456" s="29" t="str">
        <f t="shared" si="107"/>
        <v>May</v>
      </c>
      <c r="V456" s="24">
        <f t="shared" si="108"/>
        <v>9</v>
      </c>
      <c r="W456" s="30">
        <f t="shared" si="109"/>
        <v>-9</v>
      </c>
      <c r="X456" s="31" t="b">
        <f t="shared" si="110"/>
        <v>0</v>
      </c>
      <c r="Y456" s="32" t="str">
        <f t="shared" si="111"/>
        <v>GROWTH</v>
      </c>
      <c r="Z456" s="41">
        <v>0</v>
      </c>
      <c r="AA456" s="36"/>
      <c r="AB456" s="36" t="s">
        <v>24</v>
      </c>
      <c r="AC456" s="36" t="s">
        <v>848</v>
      </c>
      <c r="AD456" s="34"/>
      <c r="AE456" s="35">
        <f>IFERROR(INDEX([1]Last6M_AvgSales_Ref!$B$2:$B$12659,MATCH(D456,[1]Last6M_AvgSales_Ref!$A$2:$A$12659,0)),"")</f>
        <v>7.1666666666666696</v>
      </c>
    </row>
    <row r="457" spans="1:31" ht="14.25" customHeight="1" x14ac:dyDescent="0.3">
      <c r="A457" s="36" t="s">
        <v>848</v>
      </c>
      <c r="B457" s="38" t="s">
        <v>917</v>
      </c>
      <c r="C457" s="38" t="s">
        <v>954</v>
      </c>
      <c r="D457" s="38">
        <v>1000000174</v>
      </c>
      <c r="E457" s="39" t="s">
        <v>955</v>
      </c>
      <c r="F457" s="40">
        <v>44441</v>
      </c>
      <c r="G457" s="22" t="str">
        <f t="shared" si="98"/>
        <v>Targeted Dealer</v>
      </c>
      <c r="H457" s="22"/>
      <c r="I457" s="23">
        <v>104</v>
      </c>
      <c r="J457" s="23">
        <f t="shared" si="99"/>
        <v>104</v>
      </c>
      <c r="K457" s="24">
        <v>85</v>
      </c>
      <c r="L457" s="24">
        <f t="shared" si="100"/>
        <v>19</v>
      </c>
      <c r="M457" s="24">
        <f t="shared" si="101"/>
        <v>81.730769230769226</v>
      </c>
      <c r="N457" s="25">
        <v>26</v>
      </c>
      <c r="O457" s="26" t="str">
        <f t="shared" si="102"/>
        <v>June</v>
      </c>
      <c r="P457" s="25">
        <f t="shared" si="103"/>
        <v>26</v>
      </c>
      <c r="Q457" s="27">
        <f t="shared" si="104"/>
        <v>59</v>
      </c>
      <c r="R457" s="26" t="b">
        <f t="shared" si="105"/>
        <v>0</v>
      </c>
      <c r="S457" s="28" t="str">
        <f t="shared" si="106"/>
        <v>GROWTH</v>
      </c>
      <c r="T457" s="24">
        <v>51</v>
      </c>
      <c r="U457" s="29" t="str">
        <f t="shared" si="107"/>
        <v>May</v>
      </c>
      <c r="V457" s="24">
        <f t="shared" si="108"/>
        <v>51</v>
      </c>
      <c r="W457" s="30">
        <f t="shared" si="109"/>
        <v>34</v>
      </c>
      <c r="X457" s="31" t="b">
        <f t="shared" si="110"/>
        <v>0</v>
      </c>
      <c r="Y457" s="32" t="str">
        <f t="shared" si="111"/>
        <v>GROWTH</v>
      </c>
      <c r="Z457" s="41">
        <v>0</v>
      </c>
      <c r="AA457" s="36"/>
      <c r="AB457" s="36" t="s">
        <v>24</v>
      </c>
      <c r="AC457" s="36" t="s">
        <v>848</v>
      </c>
      <c r="AD457" s="34"/>
      <c r="AE457" s="35">
        <f>IFERROR(INDEX([1]Last6M_AvgSales_Ref!$B$2:$B$12659,MATCH(D457,[1]Last6M_AvgSales_Ref!$A$2:$A$12659,0)),"")</f>
        <v>62.3333333333333</v>
      </c>
    </row>
    <row r="458" spans="1:31" ht="14.25" customHeight="1" x14ac:dyDescent="0.3">
      <c r="A458" s="36" t="s">
        <v>848</v>
      </c>
      <c r="B458" s="38" t="s">
        <v>917</v>
      </c>
      <c r="C458" s="38" t="s">
        <v>956</v>
      </c>
      <c r="D458" s="38">
        <v>1000002402</v>
      </c>
      <c r="E458" s="39" t="s">
        <v>957</v>
      </c>
      <c r="F458" s="40">
        <v>44559</v>
      </c>
      <c r="G458" s="22" t="str">
        <f t="shared" si="98"/>
        <v>Targeted Dealer</v>
      </c>
      <c r="H458" s="22"/>
      <c r="I458" s="23">
        <v>100</v>
      </c>
      <c r="J458" s="23">
        <f t="shared" si="99"/>
        <v>100</v>
      </c>
      <c r="K458" s="24">
        <v>62</v>
      </c>
      <c r="L458" s="24">
        <f t="shared" si="100"/>
        <v>38</v>
      </c>
      <c r="M458" s="24">
        <f t="shared" si="101"/>
        <v>62</v>
      </c>
      <c r="N458" s="25">
        <v>20</v>
      </c>
      <c r="O458" s="26" t="str">
        <f t="shared" si="102"/>
        <v>June</v>
      </c>
      <c r="P458" s="25">
        <f t="shared" si="103"/>
        <v>20</v>
      </c>
      <c r="Q458" s="27">
        <f t="shared" si="104"/>
        <v>42</v>
      </c>
      <c r="R458" s="26" t="b">
        <f t="shared" si="105"/>
        <v>0</v>
      </c>
      <c r="S458" s="28" t="str">
        <f t="shared" si="106"/>
        <v>GROWTH</v>
      </c>
      <c r="T458" s="24">
        <v>50</v>
      </c>
      <c r="U458" s="29" t="str">
        <f t="shared" si="107"/>
        <v>May</v>
      </c>
      <c r="V458" s="24">
        <f t="shared" si="108"/>
        <v>50</v>
      </c>
      <c r="W458" s="30">
        <f t="shared" si="109"/>
        <v>12</v>
      </c>
      <c r="X458" s="31" t="b">
        <f t="shared" si="110"/>
        <v>0</v>
      </c>
      <c r="Y458" s="32" t="str">
        <f t="shared" si="111"/>
        <v>GROWTH</v>
      </c>
      <c r="Z458" s="41">
        <v>0</v>
      </c>
      <c r="AA458" s="36"/>
      <c r="AB458" s="36" t="s">
        <v>24</v>
      </c>
      <c r="AC458" s="36" t="s">
        <v>848</v>
      </c>
      <c r="AD458" s="34"/>
      <c r="AE458" s="35">
        <f>IFERROR(INDEX([1]Last6M_AvgSales_Ref!$B$2:$B$12659,MATCH(D458,[1]Last6M_AvgSales_Ref!$A$2:$A$12659,0)),"")</f>
        <v>72.5</v>
      </c>
    </row>
    <row r="459" spans="1:31" ht="14.25" customHeight="1" x14ac:dyDescent="0.3">
      <c r="A459" s="36" t="s">
        <v>848</v>
      </c>
      <c r="B459" s="38" t="s">
        <v>917</v>
      </c>
      <c r="C459" s="38" t="s">
        <v>958</v>
      </c>
      <c r="D459" s="38">
        <v>1000002740</v>
      </c>
      <c r="E459" s="39" t="s">
        <v>959</v>
      </c>
      <c r="F459" s="40">
        <v>44685</v>
      </c>
      <c r="G459" s="22" t="str">
        <f t="shared" si="98"/>
        <v>Targeted Dealer</v>
      </c>
      <c r="H459" s="22"/>
      <c r="I459" s="23">
        <v>420</v>
      </c>
      <c r="J459" s="23">
        <f t="shared" si="99"/>
        <v>420</v>
      </c>
      <c r="K459" s="24">
        <v>228.5</v>
      </c>
      <c r="L459" s="24">
        <f t="shared" si="100"/>
        <v>191.5</v>
      </c>
      <c r="M459" s="24">
        <f t="shared" si="101"/>
        <v>54.404761904761905</v>
      </c>
      <c r="N459" s="25">
        <v>211.5</v>
      </c>
      <c r="O459" s="26" t="str">
        <f t="shared" si="102"/>
        <v>June</v>
      </c>
      <c r="P459" s="25">
        <f t="shared" si="103"/>
        <v>211.5</v>
      </c>
      <c r="Q459" s="27">
        <f t="shared" si="104"/>
        <v>17</v>
      </c>
      <c r="R459" s="26" t="b">
        <f t="shared" si="105"/>
        <v>0</v>
      </c>
      <c r="S459" s="28" t="str">
        <f t="shared" si="106"/>
        <v>GROWTH</v>
      </c>
      <c r="T459" s="24">
        <v>207.5</v>
      </c>
      <c r="U459" s="29" t="str">
        <f t="shared" si="107"/>
        <v>May</v>
      </c>
      <c r="V459" s="24">
        <f t="shared" si="108"/>
        <v>207.5</v>
      </c>
      <c r="W459" s="30">
        <f t="shared" si="109"/>
        <v>21</v>
      </c>
      <c r="X459" s="31" t="b">
        <f t="shared" si="110"/>
        <v>0</v>
      </c>
      <c r="Y459" s="32" t="str">
        <f t="shared" si="111"/>
        <v>GROWTH</v>
      </c>
      <c r="Z459" s="41">
        <v>0</v>
      </c>
      <c r="AA459" s="36"/>
      <c r="AB459" s="36" t="s">
        <v>24</v>
      </c>
      <c r="AC459" s="36" t="s">
        <v>848</v>
      </c>
      <c r="AD459" s="34"/>
      <c r="AE459" s="35">
        <f>IFERROR(INDEX([1]Last6M_AvgSales_Ref!$B$2:$B$12659,MATCH(D459,[1]Last6M_AvgSales_Ref!$A$2:$A$12659,0)),"")</f>
        <v>244.75</v>
      </c>
    </row>
    <row r="460" spans="1:31" ht="14.25" customHeight="1" x14ac:dyDescent="0.3">
      <c r="A460" s="36" t="s">
        <v>848</v>
      </c>
      <c r="B460" s="38" t="s">
        <v>917</v>
      </c>
      <c r="C460" s="38" t="s">
        <v>960</v>
      </c>
      <c r="D460" s="38">
        <v>1000002820</v>
      </c>
      <c r="E460" s="39" t="s">
        <v>961</v>
      </c>
      <c r="F460" s="40">
        <v>44737</v>
      </c>
      <c r="G460" s="22" t="str">
        <f t="shared" si="98"/>
        <v>Targeted Dealer</v>
      </c>
      <c r="H460" s="22"/>
      <c r="I460" s="23">
        <v>280</v>
      </c>
      <c r="J460" s="23">
        <f t="shared" si="99"/>
        <v>280</v>
      </c>
      <c r="K460" s="24">
        <v>112</v>
      </c>
      <c r="L460" s="24">
        <f t="shared" si="100"/>
        <v>168</v>
      </c>
      <c r="M460" s="24">
        <f t="shared" si="101"/>
        <v>40</v>
      </c>
      <c r="N460" s="25">
        <v>100</v>
      </c>
      <c r="O460" s="26" t="str">
        <f t="shared" si="102"/>
        <v>June</v>
      </c>
      <c r="P460" s="25">
        <f t="shared" si="103"/>
        <v>100</v>
      </c>
      <c r="Q460" s="27">
        <f t="shared" si="104"/>
        <v>12</v>
      </c>
      <c r="R460" s="26" t="b">
        <f t="shared" si="105"/>
        <v>0</v>
      </c>
      <c r="S460" s="28" t="str">
        <f t="shared" si="106"/>
        <v>GROWTH</v>
      </c>
      <c r="T460" s="24">
        <v>132.5</v>
      </c>
      <c r="U460" s="29" t="str">
        <f t="shared" si="107"/>
        <v>May</v>
      </c>
      <c r="V460" s="24">
        <f t="shared" si="108"/>
        <v>132.5</v>
      </c>
      <c r="W460" s="30">
        <f t="shared" si="109"/>
        <v>-20.5</v>
      </c>
      <c r="X460" s="31" t="b">
        <f t="shared" si="110"/>
        <v>0</v>
      </c>
      <c r="Y460" s="32" t="str">
        <f t="shared" si="111"/>
        <v>GROWTH</v>
      </c>
      <c r="Z460" s="41">
        <v>0</v>
      </c>
      <c r="AA460" s="36"/>
      <c r="AB460" s="36" t="s">
        <v>24</v>
      </c>
      <c r="AC460" s="36" t="s">
        <v>848</v>
      </c>
      <c r="AD460" s="34"/>
      <c r="AE460" s="35">
        <f>IFERROR(INDEX([1]Last6M_AvgSales_Ref!$B$2:$B$12659,MATCH(D460,[1]Last6M_AvgSales_Ref!$A$2:$A$12659,0)),"")</f>
        <v>127.416666666667</v>
      </c>
    </row>
    <row r="461" spans="1:31" ht="14.25" customHeight="1" x14ac:dyDescent="0.3">
      <c r="A461" s="36" t="s">
        <v>848</v>
      </c>
      <c r="B461" s="38" t="s">
        <v>917</v>
      </c>
      <c r="C461" s="38" t="s">
        <v>962</v>
      </c>
      <c r="D461" s="38">
        <v>1000003497</v>
      </c>
      <c r="E461" s="38" t="s">
        <v>963</v>
      </c>
      <c r="F461" s="40">
        <v>44804</v>
      </c>
      <c r="G461" s="22" t="str">
        <f t="shared" si="98"/>
        <v>Targeted Dealer</v>
      </c>
      <c r="H461" s="22"/>
      <c r="I461" s="23">
        <v>26</v>
      </c>
      <c r="J461" s="23">
        <f t="shared" si="99"/>
        <v>26</v>
      </c>
      <c r="K461" s="24">
        <v>26</v>
      </c>
      <c r="L461" s="24">
        <f t="shared" si="100"/>
        <v>0</v>
      </c>
      <c r="M461" s="24">
        <f t="shared" si="101"/>
        <v>100</v>
      </c>
      <c r="N461" s="25">
        <v>13</v>
      </c>
      <c r="O461" s="26" t="str">
        <f t="shared" si="102"/>
        <v>June</v>
      </c>
      <c r="P461" s="25">
        <f t="shared" si="103"/>
        <v>13</v>
      </c>
      <c r="Q461" s="27">
        <f t="shared" si="104"/>
        <v>13</v>
      </c>
      <c r="R461" s="26" t="b">
        <f t="shared" si="105"/>
        <v>0</v>
      </c>
      <c r="S461" s="28" t="str">
        <f t="shared" si="106"/>
        <v>GROWTH</v>
      </c>
      <c r="T461" s="24">
        <v>12.5</v>
      </c>
      <c r="U461" s="29" t="str">
        <f t="shared" si="107"/>
        <v>May</v>
      </c>
      <c r="V461" s="24">
        <f t="shared" si="108"/>
        <v>12.5</v>
      </c>
      <c r="W461" s="30">
        <f t="shared" si="109"/>
        <v>13.5</v>
      </c>
      <c r="X461" s="31" t="b">
        <f t="shared" si="110"/>
        <v>0</v>
      </c>
      <c r="Y461" s="32" t="str">
        <f t="shared" si="111"/>
        <v>GROWTH</v>
      </c>
      <c r="Z461" s="41">
        <v>0</v>
      </c>
      <c r="AA461" s="36"/>
      <c r="AB461" s="36" t="s">
        <v>24</v>
      </c>
      <c r="AC461" s="36" t="s">
        <v>848</v>
      </c>
      <c r="AD461" s="34"/>
      <c r="AE461" s="35">
        <f>IFERROR(INDEX([1]Last6M_AvgSales_Ref!$B$2:$B$12659,MATCH(D461,[1]Last6M_AvgSales_Ref!$A$2:$A$12659,0)),"")</f>
        <v>19.3333333333333</v>
      </c>
    </row>
    <row r="462" spans="1:31" ht="14.25" customHeight="1" x14ac:dyDescent="0.3">
      <c r="A462" s="36" t="s">
        <v>848</v>
      </c>
      <c r="B462" s="38" t="s">
        <v>917</v>
      </c>
      <c r="C462" s="38" t="s">
        <v>964</v>
      </c>
      <c r="D462" s="38">
        <v>1000003116</v>
      </c>
      <c r="E462" s="38" t="s">
        <v>965</v>
      </c>
      <c r="F462" s="40">
        <v>44893</v>
      </c>
      <c r="G462" s="22" t="str">
        <f t="shared" si="98"/>
        <v>Targeted Dealer</v>
      </c>
      <c r="H462" s="22"/>
      <c r="I462" s="23">
        <v>30</v>
      </c>
      <c r="J462" s="23">
        <f t="shared" si="99"/>
        <v>30</v>
      </c>
      <c r="K462" s="24">
        <v>13</v>
      </c>
      <c r="L462" s="24">
        <f t="shared" si="100"/>
        <v>17</v>
      </c>
      <c r="M462" s="24">
        <f t="shared" si="101"/>
        <v>43.333333333333336</v>
      </c>
      <c r="N462" s="25">
        <v>0</v>
      </c>
      <c r="O462" s="26" t="str">
        <f t="shared" si="102"/>
        <v>June</v>
      </c>
      <c r="P462" s="25">
        <f t="shared" si="103"/>
        <v>0</v>
      </c>
      <c r="Q462" s="27">
        <f t="shared" si="104"/>
        <v>13</v>
      </c>
      <c r="R462" s="26" t="b">
        <f t="shared" si="105"/>
        <v>0</v>
      </c>
      <c r="S462" s="28" t="b">
        <f t="shared" si="106"/>
        <v>0</v>
      </c>
      <c r="T462" s="24">
        <v>10</v>
      </c>
      <c r="U462" s="29" t="str">
        <f t="shared" si="107"/>
        <v>May</v>
      </c>
      <c r="V462" s="24">
        <f t="shared" si="108"/>
        <v>10</v>
      </c>
      <c r="W462" s="30">
        <f t="shared" si="109"/>
        <v>3</v>
      </c>
      <c r="X462" s="31" t="b">
        <f t="shared" si="110"/>
        <v>0</v>
      </c>
      <c r="Y462" s="32" t="str">
        <f t="shared" si="111"/>
        <v>GROWTH</v>
      </c>
      <c r="Z462" s="41">
        <v>0</v>
      </c>
      <c r="AA462" s="36"/>
      <c r="AB462" s="36" t="s">
        <v>24</v>
      </c>
      <c r="AC462" s="36" t="s">
        <v>848</v>
      </c>
      <c r="AD462" s="34"/>
      <c r="AE462" s="35">
        <f>IFERROR(INDEX([1]Last6M_AvgSales_Ref!$B$2:$B$12659,MATCH(D462,[1]Last6M_AvgSales_Ref!$A$2:$A$12659,0)),"")</f>
        <v>13.8333333333333</v>
      </c>
    </row>
    <row r="463" spans="1:31" ht="14.25" customHeight="1" x14ac:dyDescent="0.3">
      <c r="A463" s="36" t="s">
        <v>848</v>
      </c>
      <c r="B463" s="38" t="s">
        <v>917</v>
      </c>
      <c r="C463" s="38" t="s">
        <v>966</v>
      </c>
      <c r="D463" s="38">
        <v>1000003191</v>
      </c>
      <c r="E463" s="38" t="s">
        <v>967</v>
      </c>
      <c r="F463" s="40">
        <v>44924</v>
      </c>
      <c r="G463" s="22" t="str">
        <f t="shared" si="98"/>
        <v>Targeted Dealer</v>
      </c>
      <c r="H463" s="22"/>
      <c r="I463" s="23">
        <v>50</v>
      </c>
      <c r="J463" s="23">
        <f t="shared" si="99"/>
        <v>50</v>
      </c>
      <c r="K463" s="24">
        <v>13</v>
      </c>
      <c r="L463" s="24">
        <f t="shared" si="100"/>
        <v>37</v>
      </c>
      <c r="M463" s="24">
        <f t="shared" si="101"/>
        <v>26</v>
      </c>
      <c r="N463" s="25">
        <v>0</v>
      </c>
      <c r="O463" s="26" t="str">
        <f t="shared" si="102"/>
        <v>June</v>
      </c>
      <c r="P463" s="25">
        <f t="shared" si="103"/>
        <v>0</v>
      </c>
      <c r="Q463" s="27">
        <f t="shared" si="104"/>
        <v>13</v>
      </c>
      <c r="R463" s="26" t="b">
        <f t="shared" si="105"/>
        <v>0</v>
      </c>
      <c r="S463" s="28" t="b">
        <f t="shared" si="106"/>
        <v>0</v>
      </c>
      <c r="T463" s="24">
        <v>24.5</v>
      </c>
      <c r="U463" s="29" t="str">
        <f t="shared" si="107"/>
        <v>May</v>
      </c>
      <c r="V463" s="24">
        <f t="shared" si="108"/>
        <v>24.5</v>
      </c>
      <c r="W463" s="30">
        <f t="shared" si="109"/>
        <v>-11.5</v>
      </c>
      <c r="X463" s="31" t="b">
        <f t="shared" si="110"/>
        <v>0</v>
      </c>
      <c r="Y463" s="32" t="str">
        <f t="shared" si="111"/>
        <v>GROWTH</v>
      </c>
      <c r="Z463" s="41">
        <v>0</v>
      </c>
      <c r="AA463" s="36"/>
      <c r="AB463" s="36" t="s">
        <v>24</v>
      </c>
      <c r="AC463" s="36" t="s">
        <v>848</v>
      </c>
      <c r="AD463" s="34"/>
      <c r="AE463" s="35">
        <f>IFERROR(INDEX([1]Last6M_AvgSales_Ref!$B$2:$B$12659,MATCH(D463,[1]Last6M_AvgSales_Ref!$A$2:$A$12659,0)),"")</f>
        <v>14.9166666666667</v>
      </c>
    </row>
    <row r="464" spans="1:31" ht="14.25" customHeight="1" x14ac:dyDescent="0.3">
      <c r="A464" s="36" t="s">
        <v>848</v>
      </c>
      <c r="B464" s="38" t="s">
        <v>917</v>
      </c>
      <c r="C464" s="38" t="s">
        <v>968</v>
      </c>
      <c r="D464" s="38">
        <v>1000003325</v>
      </c>
      <c r="E464" s="38" t="s">
        <v>969</v>
      </c>
      <c r="F464" s="40">
        <v>44966</v>
      </c>
      <c r="G464" s="22" t="str">
        <f t="shared" si="98"/>
        <v>Targeted Dealer</v>
      </c>
      <c r="H464" s="22"/>
      <c r="I464" s="23">
        <v>180</v>
      </c>
      <c r="J464" s="23">
        <f t="shared" si="99"/>
        <v>180</v>
      </c>
      <c r="K464" s="24">
        <v>120</v>
      </c>
      <c r="L464" s="24">
        <f t="shared" si="100"/>
        <v>60</v>
      </c>
      <c r="M464" s="24">
        <f t="shared" si="101"/>
        <v>66.666666666666671</v>
      </c>
      <c r="N464" s="25">
        <v>95</v>
      </c>
      <c r="O464" s="26" t="str">
        <f t="shared" si="102"/>
        <v>June</v>
      </c>
      <c r="P464" s="25">
        <f t="shared" si="103"/>
        <v>95</v>
      </c>
      <c r="Q464" s="27">
        <f t="shared" si="104"/>
        <v>25</v>
      </c>
      <c r="R464" s="26" t="b">
        <f t="shared" si="105"/>
        <v>0</v>
      </c>
      <c r="S464" s="28" t="str">
        <f t="shared" si="106"/>
        <v>GROWTH</v>
      </c>
      <c r="T464" s="24">
        <v>90</v>
      </c>
      <c r="U464" s="29" t="str">
        <f t="shared" si="107"/>
        <v>May</v>
      </c>
      <c r="V464" s="24">
        <f t="shared" si="108"/>
        <v>90</v>
      </c>
      <c r="W464" s="30">
        <f t="shared" si="109"/>
        <v>30</v>
      </c>
      <c r="X464" s="31" t="b">
        <f t="shared" si="110"/>
        <v>0</v>
      </c>
      <c r="Y464" s="32" t="str">
        <f t="shared" si="111"/>
        <v>GROWTH</v>
      </c>
      <c r="Z464" s="41">
        <v>0</v>
      </c>
      <c r="AA464" s="36"/>
      <c r="AB464" s="36" t="s">
        <v>24</v>
      </c>
      <c r="AC464" s="36" t="s">
        <v>848</v>
      </c>
      <c r="AD464" s="34"/>
      <c r="AE464" s="35">
        <f>IFERROR(INDEX([1]Last6M_AvgSales_Ref!$B$2:$B$12659,MATCH(D464,[1]Last6M_AvgSales_Ref!$A$2:$A$12659,0)),"")</f>
        <v>126.666666666667</v>
      </c>
    </row>
    <row r="465" spans="1:31" ht="14.25" customHeight="1" x14ac:dyDescent="0.3">
      <c r="A465" s="36" t="s">
        <v>848</v>
      </c>
      <c r="B465" s="38" t="s">
        <v>917</v>
      </c>
      <c r="C465" s="38" t="s">
        <v>970</v>
      </c>
      <c r="D465" s="38">
        <v>1000003407</v>
      </c>
      <c r="E465" s="38" t="s">
        <v>971</v>
      </c>
      <c r="F465" s="40">
        <v>44991</v>
      </c>
      <c r="G465" s="22" t="str">
        <f t="shared" si="98"/>
        <v>Targeted Dealer</v>
      </c>
      <c r="H465" s="22"/>
      <c r="I465" s="23">
        <v>284</v>
      </c>
      <c r="J465" s="23">
        <f t="shared" si="99"/>
        <v>284</v>
      </c>
      <c r="K465" s="24">
        <v>128</v>
      </c>
      <c r="L465" s="24">
        <f t="shared" si="100"/>
        <v>156</v>
      </c>
      <c r="M465" s="24">
        <f t="shared" si="101"/>
        <v>45.070422535211272</v>
      </c>
      <c r="N465" s="25">
        <v>75.5</v>
      </c>
      <c r="O465" s="26" t="str">
        <f t="shared" si="102"/>
        <v>June</v>
      </c>
      <c r="P465" s="25">
        <f t="shared" si="103"/>
        <v>75.5</v>
      </c>
      <c r="Q465" s="27">
        <f t="shared" si="104"/>
        <v>52.5</v>
      </c>
      <c r="R465" s="26" t="b">
        <f t="shared" si="105"/>
        <v>0</v>
      </c>
      <c r="S465" s="28" t="str">
        <f t="shared" si="106"/>
        <v>GROWTH</v>
      </c>
      <c r="T465" s="24">
        <v>141</v>
      </c>
      <c r="U465" s="29" t="str">
        <f t="shared" si="107"/>
        <v>May</v>
      </c>
      <c r="V465" s="24">
        <f t="shared" si="108"/>
        <v>141</v>
      </c>
      <c r="W465" s="30">
        <f t="shared" si="109"/>
        <v>-13</v>
      </c>
      <c r="X465" s="31" t="b">
        <f t="shared" si="110"/>
        <v>0</v>
      </c>
      <c r="Y465" s="32" t="str">
        <f t="shared" si="111"/>
        <v>GROWTH</v>
      </c>
      <c r="Z465" s="41">
        <v>0</v>
      </c>
      <c r="AA465" s="36"/>
      <c r="AB465" s="36" t="s">
        <v>24</v>
      </c>
      <c r="AC465" s="36" t="s">
        <v>848</v>
      </c>
      <c r="AD465" s="34"/>
      <c r="AE465" s="35">
        <f>IFERROR(INDEX([1]Last6M_AvgSales_Ref!$B$2:$B$12659,MATCH(D465,[1]Last6M_AvgSales_Ref!$A$2:$A$12659,0)),"")</f>
        <v>108.5</v>
      </c>
    </row>
    <row r="466" spans="1:31" ht="14.25" customHeight="1" x14ac:dyDescent="0.3">
      <c r="A466" s="36" t="s">
        <v>848</v>
      </c>
      <c r="B466" s="38" t="s">
        <v>917</v>
      </c>
      <c r="C466" s="38" t="s">
        <v>972</v>
      </c>
      <c r="D466" s="38">
        <v>1000003598</v>
      </c>
      <c r="E466" s="38" t="s">
        <v>973</v>
      </c>
      <c r="F466" s="40">
        <v>45100</v>
      </c>
      <c r="G466" s="22" t="str">
        <f t="shared" si="98"/>
        <v>Targeted Dealer</v>
      </c>
      <c r="H466" s="22"/>
      <c r="I466" s="23">
        <v>210</v>
      </c>
      <c r="J466" s="23">
        <f t="shared" si="99"/>
        <v>210</v>
      </c>
      <c r="K466" s="24">
        <v>113</v>
      </c>
      <c r="L466" s="24">
        <f t="shared" si="100"/>
        <v>97</v>
      </c>
      <c r="M466" s="24">
        <f t="shared" si="101"/>
        <v>53.80952380952381</v>
      </c>
      <c r="N466" s="25">
        <v>105</v>
      </c>
      <c r="O466" s="26" t="str">
        <f t="shared" si="102"/>
        <v>June</v>
      </c>
      <c r="P466" s="25">
        <f t="shared" si="103"/>
        <v>105</v>
      </c>
      <c r="Q466" s="27">
        <f t="shared" si="104"/>
        <v>8</v>
      </c>
      <c r="R466" s="26" t="b">
        <f t="shared" si="105"/>
        <v>0</v>
      </c>
      <c r="S466" s="28" t="str">
        <f t="shared" si="106"/>
        <v>GROWTH</v>
      </c>
      <c r="T466" s="24">
        <v>103</v>
      </c>
      <c r="U466" s="29" t="str">
        <f t="shared" si="107"/>
        <v>May</v>
      </c>
      <c r="V466" s="24">
        <f t="shared" si="108"/>
        <v>103</v>
      </c>
      <c r="W466" s="30">
        <f t="shared" si="109"/>
        <v>10</v>
      </c>
      <c r="X466" s="31" t="b">
        <f t="shared" si="110"/>
        <v>0</v>
      </c>
      <c r="Y466" s="32" t="str">
        <f t="shared" si="111"/>
        <v>GROWTH</v>
      </c>
      <c r="Z466" s="41">
        <v>0</v>
      </c>
      <c r="AA466" s="36"/>
      <c r="AB466" s="36" t="s">
        <v>24</v>
      </c>
      <c r="AC466" s="36" t="s">
        <v>848</v>
      </c>
      <c r="AD466" s="34"/>
      <c r="AE466" s="35">
        <f>IFERROR(INDEX([1]Last6M_AvgSales_Ref!$B$2:$B$12659,MATCH(D466,[1]Last6M_AvgSales_Ref!$A$2:$A$12659,0)),"")</f>
        <v>145.583333333333</v>
      </c>
    </row>
    <row r="467" spans="1:31" ht="14.25" customHeight="1" x14ac:dyDescent="0.3">
      <c r="A467" s="36" t="s">
        <v>848</v>
      </c>
      <c r="B467" s="38" t="s">
        <v>917</v>
      </c>
      <c r="C467" s="38" t="s">
        <v>974</v>
      </c>
      <c r="D467" s="38">
        <v>1000003806</v>
      </c>
      <c r="E467" s="38" t="s">
        <v>898</v>
      </c>
      <c r="F467" s="40">
        <v>45288</v>
      </c>
      <c r="G467" s="22" t="str">
        <f t="shared" si="98"/>
        <v>Targeted Dealer</v>
      </c>
      <c r="H467" s="22"/>
      <c r="I467" s="23">
        <v>100</v>
      </c>
      <c r="J467" s="23">
        <f t="shared" si="99"/>
        <v>100</v>
      </c>
      <c r="K467" s="24">
        <v>62</v>
      </c>
      <c r="L467" s="24">
        <f t="shared" si="100"/>
        <v>38</v>
      </c>
      <c r="M467" s="24">
        <f t="shared" si="101"/>
        <v>62</v>
      </c>
      <c r="N467" s="25">
        <v>37.5</v>
      </c>
      <c r="O467" s="26" t="str">
        <f t="shared" si="102"/>
        <v>June</v>
      </c>
      <c r="P467" s="25">
        <f t="shared" si="103"/>
        <v>37.5</v>
      </c>
      <c r="Q467" s="27">
        <f t="shared" si="104"/>
        <v>24.5</v>
      </c>
      <c r="R467" s="26" t="b">
        <f t="shared" si="105"/>
        <v>0</v>
      </c>
      <c r="S467" s="28" t="str">
        <f t="shared" si="106"/>
        <v>GROWTH</v>
      </c>
      <c r="T467" s="24">
        <v>50</v>
      </c>
      <c r="U467" s="29" t="str">
        <f t="shared" si="107"/>
        <v>May</v>
      </c>
      <c r="V467" s="24">
        <f t="shared" si="108"/>
        <v>50</v>
      </c>
      <c r="W467" s="30">
        <f t="shared" si="109"/>
        <v>12</v>
      </c>
      <c r="X467" s="31" t="b">
        <f t="shared" si="110"/>
        <v>0</v>
      </c>
      <c r="Y467" s="32" t="str">
        <f t="shared" si="111"/>
        <v>GROWTH</v>
      </c>
      <c r="Z467" s="41">
        <v>0</v>
      </c>
      <c r="AA467" s="36"/>
      <c r="AB467" s="36" t="s">
        <v>24</v>
      </c>
      <c r="AC467" s="36" t="s">
        <v>848</v>
      </c>
      <c r="AD467" s="34"/>
      <c r="AE467" s="35">
        <f>IFERROR(INDEX([1]Last6M_AvgSales_Ref!$B$2:$B$12659,MATCH(D467,[1]Last6M_AvgSales_Ref!$A$2:$A$12659,0)),"")</f>
        <v>41.8333333333333</v>
      </c>
    </row>
    <row r="468" spans="1:31" ht="14.25" customHeight="1" x14ac:dyDescent="0.3">
      <c r="A468" s="41" t="s">
        <v>848</v>
      </c>
      <c r="B468" s="44" t="s">
        <v>917</v>
      </c>
      <c r="C468" s="44" t="s">
        <v>975</v>
      </c>
      <c r="D468" s="44">
        <v>1000003845</v>
      </c>
      <c r="E468" s="44" t="s">
        <v>976</v>
      </c>
      <c r="F468" s="45">
        <v>45322</v>
      </c>
      <c r="G468" s="22" t="str">
        <f t="shared" si="98"/>
        <v>Targeted Dealer</v>
      </c>
      <c r="H468" s="22"/>
      <c r="I468" s="23">
        <v>150</v>
      </c>
      <c r="J468" s="23">
        <f t="shared" si="99"/>
        <v>150</v>
      </c>
      <c r="K468" s="24">
        <v>175</v>
      </c>
      <c r="L468" s="24">
        <f t="shared" si="100"/>
        <v>-25</v>
      </c>
      <c r="M468" s="24">
        <f t="shared" si="101"/>
        <v>116.66666666666667</v>
      </c>
      <c r="N468" s="25">
        <v>125</v>
      </c>
      <c r="O468" s="26" t="str">
        <f t="shared" si="102"/>
        <v>June</v>
      </c>
      <c r="P468" s="25">
        <f t="shared" si="103"/>
        <v>125</v>
      </c>
      <c r="Q468" s="27">
        <f t="shared" si="104"/>
        <v>50</v>
      </c>
      <c r="R468" s="26" t="b">
        <f t="shared" si="105"/>
        <v>0</v>
      </c>
      <c r="S468" s="28" t="str">
        <f t="shared" si="106"/>
        <v>GROWTH</v>
      </c>
      <c r="T468" s="24">
        <v>71.5</v>
      </c>
      <c r="U468" s="29" t="str">
        <f t="shared" si="107"/>
        <v>May</v>
      </c>
      <c r="V468" s="24">
        <f t="shared" si="108"/>
        <v>71.5</v>
      </c>
      <c r="W468" s="30">
        <f t="shared" si="109"/>
        <v>103.5</v>
      </c>
      <c r="X468" s="31" t="b">
        <f t="shared" si="110"/>
        <v>0</v>
      </c>
      <c r="Y468" s="32" t="str">
        <f t="shared" si="111"/>
        <v>GROWTH</v>
      </c>
      <c r="Z468" s="41">
        <v>0</v>
      </c>
      <c r="AA468" s="36"/>
      <c r="AB468" s="36" t="s">
        <v>24</v>
      </c>
      <c r="AC468" s="41" t="s">
        <v>848</v>
      </c>
      <c r="AD468" s="34"/>
      <c r="AE468" s="35">
        <f>IFERROR(INDEX([1]Last6M_AvgSales_Ref!$B$2:$B$12659,MATCH(D468,[1]Last6M_AvgSales_Ref!$A$2:$A$12659,0)),"")</f>
        <v>133.416666666667</v>
      </c>
    </row>
    <row r="469" spans="1:31" ht="14.25" customHeight="1" x14ac:dyDescent="0.3">
      <c r="A469" s="41" t="s">
        <v>848</v>
      </c>
      <c r="B469" s="44" t="s">
        <v>917</v>
      </c>
      <c r="C469" s="44" t="s">
        <v>977</v>
      </c>
      <c r="D469" s="44">
        <v>1000003852</v>
      </c>
      <c r="E469" s="44" t="s">
        <v>978</v>
      </c>
      <c r="F469" s="40">
        <v>45335</v>
      </c>
      <c r="G469" s="22" t="str">
        <f t="shared" si="98"/>
        <v>Targeted Dealer</v>
      </c>
      <c r="H469" s="22"/>
      <c r="I469" s="23">
        <v>420</v>
      </c>
      <c r="J469" s="23">
        <f t="shared" si="99"/>
        <v>420</v>
      </c>
      <c r="K469" s="24">
        <v>189.5</v>
      </c>
      <c r="L469" s="24">
        <f t="shared" si="100"/>
        <v>230.5</v>
      </c>
      <c r="M469" s="24">
        <f t="shared" si="101"/>
        <v>45.11904761904762</v>
      </c>
      <c r="N469" s="25">
        <v>182</v>
      </c>
      <c r="O469" s="26" t="str">
        <f t="shared" si="102"/>
        <v>June</v>
      </c>
      <c r="P469" s="25">
        <f t="shared" si="103"/>
        <v>182</v>
      </c>
      <c r="Q469" s="27">
        <f t="shared" si="104"/>
        <v>7.5</v>
      </c>
      <c r="R469" s="26" t="b">
        <f t="shared" si="105"/>
        <v>0</v>
      </c>
      <c r="S469" s="28" t="str">
        <f t="shared" si="106"/>
        <v>GROWTH</v>
      </c>
      <c r="T469" s="24">
        <v>201</v>
      </c>
      <c r="U469" s="29" t="str">
        <f t="shared" si="107"/>
        <v>May</v>
      </c>
      <c r="V469" s="24">
        <f t="shared" si="108"/>
        <v>201</v>
      </c>
      <c r="W469" s="30">
        <f t="shared" si="109"/>
        <v>-11.5</v>
      </c>
      <c r="X469" s="31" t="b">
        <f t="shared" si="110"/>
        <v>0</v>
      </c>
      <c r="Y469" s="32" t="str">
        <f t="shared" si="111"/>
        <v>GROWTH</v>
      </c>
      <c r="Z469" s="41">
        <v>0</v>
      </c>
      <c r="AA469" s="36"/>
      <c r="AB469" s="36" t="s">
        <v>24</v>
      </c>
      <c r="AC469" s="41" t="s">
        <v>848</v>
      </c>
      <c r="AD469" s="34"/>
      <c r="AE469" s="35">
        <f>IFERROR(INDEX([1]Last6M_AvgSales_Ref!$B$2:$B$12659,MATCH(D469,[1]Last6M_AvgSales_Ref!$A$2:$A$12659,0)),"")</f>
        <v>217.166666666667</v>
      </c>
    </row>
    <row r="470" spans="1:31" ht="14.25" customHeight="1" x14ac:dyDescent="0.3">
      <c r="A470" s="41" t="s">
        <v>848</v>
      </c>
      <c r="B470" s="44" t="s">
        <v>917</v>
      </c>
      <c r="C470" s="44" t="s">
        <v>979</v>
      </c>
      <c r="D470" s="44">
        <v>1000003854</v>
      </c>
      <c r="E470" s="44" t="s">
        <v>980</v>
      </c>
      <c r="F470" s="40">
        <v>45339</v>
      </c>
      <c r="G470" s="22" t="str">
        <f t="shared" si="98"/>
        <v>Targeted Dealer</v>
      </c>
      <c r="H470" s="22"/>
      <c r="I470" s="23">
        <v>200</v>
      </c>
      <c r="J470" s="23">
        <f t="shared" si="99"/>
        <v>200</v>
      </c>
      <c r="K470" s="24">
        <v>259</v>
      </c>
      <c r="L470" s="24">
        <f t="shared" si="100"/>
        <v>-59</v>
      </c>
      <c r="M470" s="24">
        <f t="shared" si="101"/>
        <v>129.5</v>
      </c>
      <c r="N470" s="25">
        <v>205.5</v>
      </c>
      <c r="O470" s="26" t="str">
        <f t="shared" si="102"/>
        <v>June</v>
      </c>
      <c r="P470" s="25">
        <f t="shared" si="103"/>
        <v>205.5</v>
      </c>
      <c r="Q470" s="27">
        <f t="shared" si="104"/>
        <v>53.5</v>
      </c>
      <c r="R470" s="26" t="b">
        <f t="shared" si="105"/>
        <v>0</v>
      </c>
      <c r="S470" s="28" t="str">
        <f t="shared" si="106"/>
        <v>GROWTH</v>
      </c>
      <c r="T470" s="24">
        <v>75</v>
      </c>
      <c r="U470" s="29" t="str">
        <f t="shared" si="107"/>
        <v>May</v>
      </c>
      <c r="V470" s="24">
        <f t="shared" si="108"/>
        <v>75</v>
      </c>
      <c r="W470" s="30">
        <f t="shared" si="109"/>
        <v>184</v>
      </c>
      <c r="X470" s="31" t="b">
        <f t="shared" si="110"/>
        <v>0</v>
      </c>
      <c r="Y470" s="32" t="str">
        <f t="shared" si="111"/>
        <v>GROWTH</v>
      </c>
      <c r="Z470" s="41">
        <v>0</v>
      </c>
      <c r="AA470" s="36"/>
      <c r="AB470" s="36" t="s">
        <v>24</v>
      </c>
      <c r="AC470" s="41" t="s">
        <v>848</v>
      </c>
      <c r="AD470" s="34"/>
      <c r="AE470" s="35">
        <f>IFERROR(INDEX([1]Last6M_AvgSales_Ref!$B$2:$B$12659,MATCH(D470,[1]Last6M_AvgSales_Ref!$A$2:$A$12659,0)),"")</f>
        <v>203.083333333333</v>
      </c>
    </row>
    <row r="471" spans="1:31" ht="14.25" customHeight="1" x14ac:dyDescent="0.3">
      <c r="A471" s="41" t="s">
        <v>848</v>
      </c>
      <c r="B471" s="44" t="s">
        <v>917</v>
      </c>
      <c r="C471" s="44" t="s">
        <v>981</v>
      </c>
      <c r="D471" s="44">
        <v>1000003855</v>
      </c>
      <c r="E471" s="44" t="s">
        <v>982</v>
      </c>
      <c r="F471" s="40">
        <v>45339</v>
      </c>
      <c r="G471" s="22" t="str">
        <f t="shared" si="98"/>
        <v>Targeted Dealer</v>
      </c>
      <c r="H471" s="22"/>
      <c r="I471" s="23">
        <v>230</v>
      </c>
      <c r="J471" s="23">
        <f t="shared" si="99"/>
        <v>230</v>
      </c>
      <c r="K471" s="24">
        <v>83</v>
      </c>
      <c r="L471" s="24">
        <f t="shared" si="100"/>
        <v>147</v>
      </c>
      <c r="M471" s="24">
        <f t="shared" si="101"/>
        <v>36.086956521739133</v>
      </c>
      <c r="N471" s="25">
        <v>110</v>
      </c>
      <c r="O471" s="26" t="str">
        <f t="shared" si="102"/>
        <v>June</v>
      </c>
      <c r="P471" s="25">
        <f t="shared" si="103"/>
        <v>110</v>
      </c>
      <c r="Q471" s="27">
        <f t="shared" si="104"/>
        <v>-27</v>
      </c>
      <c r="R471" s="26" t="b">
        <f t="shared" si="105"/>
        <v>0</v>
      </c>
      <c r="S471" s="28" t="str">
        <f t="shared" si="106"/>
        <v>GROWTH</v>
      </c>
      <c r="T471" s="24">
        <v>111.5</v>
      </c>
      <c r="U471" s="29" t="str">
        <f t="shared" si="107"/>
        <v>May</v>
      </c>
      <c r="V471" s="24">
        <f t="shared" si="108"/>
        <v>111.5</v>
      </c>
      <c r="W471" s="30">
        <f t="shared" si="109"/>
        <v>-28.5</v>
      </c>
      <c r="X471" s="31" t="b">
        <f t="shared" si="110"/>
        <v>0</v>
      </c>
      <c r="Y471" s="32" t="str">
        <f t="shared" si="111"/>
        <v>GROWTH</v>
      </c>
      <c r="Z471" s="41">
        <v>0</v>
      </c>
      <c r="AA471" s="36"/>
      <c r="AB471" s="36" t="s">
        <v>24</v>
      </c>
      <c r="AC471" s="41" t="s">
        <v>848</v>
      </c>
      <c r="AD471" s="34"/>
      <c r="AE471" s="35">
        <f>IFERROR(INDEX([1]Last6M_AvgSales_Ref!$B$2:$B$12659,MATCH(D471,[1]Last6M_AvgSales_Ref!$A$2:$A$12659,0)),"")</f>
        <v>93.75</v>
      </c>
    </row>
    <row r="472" spans="1:31" ht="14.25" customHeight="1" x14ac:dyDescent="0.3">
      <c r="A472" s="41" t="s">
        <v>848</v>
      </c>
      <c r="B472" s="44" t="s">
        <v>917</v>
      </c>
      <c r="C472" s="44" t="s">
        <v>983</v>
      </c>
      <c r="D472" s="44">
        <v>1000003890</v>
      </c>
      <c r="E472" s="44" t="s">
        <v>984</v>
      </c>
      <c r="F472" s="40">
        <v>45371</v>
      </c>
      <c r="G472" s="22" t="str">
        <f t="shared" si="98"/>
        <v>Targeted Dealer</v>
      </c>
      <c r="H472" s="22"/>
      <c r="I472" s="23">
        <v>2060</v>
      </c>
      <c r="J472" s="23">
        <f t="shared" si="99"/>
        <v>2060</v>
      </c>
      <c r="K472" s="24">
        <v>1076.4000000000001</v>
      </c>
      <c r="L472" s="24">
        <f t="shared" si="100"/>
        <v>983.59999999999991</v>
      </c>
      <c r="M472" s="24">
        <f t="shared" si="101"/>
        <v>52.252427184466022</v>
      </c>
      <c r="N472" s="25">
        <v>1025.05</v>
      </c>
      <c r="O472" s="26" t="str">
        <f t="shared" si="102"/>
        <v>June</v>
      </c>
      <c r="P472" s="25">
        <f t="shared" si="103"/>
        <v>1025.05</v>
      </c>
      <c r="Q472" s="27">
        <f t="shared" si="104"/>
        <v>51.350000000000136</v>
      </c>
      <c r="R472" s="26" t="b">
        <f t="shared" si="105"/>
        <v>0</v>
      </c>
      <c r="S472" s="28" t="str">
        <f t="shared" si="106"/>
        <v>GROWTH</v>
      </c>
      <c r="T472" s="24">
        <v>1023.7</v>
      </c>
      <c r="U472" s="29" t="str">
        <f t="shared" si="107"/>
        <v>May</v>
      </c>
      <c r="V472" s="24">
        <f t="shared" si="108"/>
        <v>1023.7</v>
      </c>
      <c r="W472" s="30">
        <f t="shared" si="109"/>
        <v>52.700000000000045</v>
      </c>
      <c r="X472" s="31" t="b">
        <f t="shared" si="110"/>
        <v>0</v>
      </c>
      <c r="Y472" s="32" t="str">
        <f t="shared" si="111"/>
        <v>GROWTH</v>
      </c>
      <c r="Z472" s="41">
        <v>0</v>
      </c>
      <c r="AA472" s="36"/>
      <c r="AB472" s="36" t="s">
        <v>24</v>
      </c>
      <c r="AC472" s="41" t="s">
        <v>848</v>
      </c>
      <c r="AD472" s="34"/>
      <c r="AE472" s="35">
        <f>IFERROR(INDEX([1]Last6M_AvgSales_Ref!$B$2:$B$12659,MATCH(D472,[1]Last6M_AvgSales_Ref!$A$2:$A$12659,0)),"")</f>
        <v>1171.4166666666699</v>
      </c>
    </row>
    <row r="473" spans="1:31" ht="14.25" customHeight="1" x14ac:dyDescent="0.3">
      <c r="A473" s="41" t="s">
        <v>848</v>
      </c>
      <c r="B473" s="44" t="s">
        <v>917</v>
      </c>
      <c r="C473" s="44" t="s">
        <v>985</v>
      </c>
      <c r="D473" s="44">
        <v>1000003968</v>
      </c>
      <c r="E473" s="44" t="s">
        <v>986</v>
      </c>
      <c r="F473" s="40">
        <v>45439</v>
      </c>
      <c r="G473" s="22" t="str">
        <f t="shared" si="98"/>
        <v>Targeted Dealer</v>
      </c>
      <c r="H473" s="22"/>
      <c r="I473" s="23">
        <v>80</v>
      </c>
      <c r="J473" s="23">
        <f t="shared" si="99"/>
        <v>80</v>
      </c>
      <c r="K473" s="24">
        <v>87.5</v>
      </c>
      <c r="L473" s="24">
        <f t="shared" si="100"/>
        <v>-7.5</v>
      </c>
      <c r="M473" s="24">
        <f t="shared" si="101"/>
        <v>109.375</v>
      </c>
      <c r="N473" s="25">
        <v>87.5</v>
      </c>
      <c r="O473" s="26" t="str">
        <f t="shared" si="102"/>
        <v>June</v>
      </c>
      <c r="P473" s="25">
        <f t="shared" si="103"/>
        <v>87.5</v>
      </c>
      <c r="Q473" s="27">
        <f t="shared" si="104"/>
        <v>0</v>
      </c>
      <c r="R473" s="26" t="b">
        <f t="shared" si="105"/>
        <v>0</v>
      </c>
      <c r="S473" s="28" t="str">
        <f t="shared" si="106"/>
        <v>GROWTH</v>
      </c>
      <c r="T473" s="24">
        <v>37.5</v>
      </c>
      <c r="U473" s="29" t="str">
        <f t="shared" si="107"/>
        <v>May</v>
      </c>
      <c r="V473" s="24">
        <f t="shared" si="108"/>
        <v>37.5</v>
      </c>
      <c r="W473" s="30">
        <f t="shared" si="109"/>
        <v>50</v>
      </c>
      <c r="X473" s="31" t="b">
        <f t="shared" si="110"/>
        <v>0</v>
      </c>
      <c r="Y473" s="32" t="str">
        <f t="shared" si="111"/>
        <v>GROWTH</v>
      </c>
      <c r="Z473" s="41">
        <v>0</v>
      </c>
      <c r="AA473" s="36"/>
      <c r="AB473" s="36" t="s">
        <v>24</v>
      </c>
      <c r="AC473" s="41" t="s">
        <v>848</v>
      </c>
      <c r="AD473" s="34"/>
      <c r="AE473" s="35">
        <f>IFERROR(INDEX([1]Last6M_AvgSales_Ref!$B$2:$B$12659,MATCH(D473,[1]Last6M_AvgSales_Ref!$A$2:$A$12659,0)),"")</f>
        <v>82.75</v>
      </c>
    </row>
    <row r="474" spans="1:31" ht="14.25" customHeight="1" x14ac:dyDescent="0.3">
      <c r="A474" s="41" t="s">
        <v>848</v>
      </c>
      <c r="B474" s="44" t="s">
        <v>917</v>
      </c>
      <c r="C474" s="44" t="s">
        <v>987</v>
      </c>
      <c r="D474" s="44">
        <v>1000003969</v>
      </c>
      <c r="E474" s="44" t="s">
        <v>971</v>
      </c>
      <c r="F474" s="40">
        <v>45439</v>
      </c>
      <c r="G474" s="22" t="str">
        <f t="shared" si="98"/>
        <v>Targeted Dealer</v>
      </c>
      <c r="H474" s="22"/>
      <c r="I474" s="23">
        <v>80</v>
      </c>
      <c r="J474" s="23">
        <f t="shared" si="99"/>
        <v>80</v>
      </c>
      <c r="K474" s="24">
        <v>62.5</v>
      </c>
      <c r="L474" s="24">
        <f t="shared" si="100"/>
        <v>17.5</v>
      </c>
      <c r="M474" s="24">
        <f t="shared" si="101"/>
        <v>78.125</v>
      </c>
      <c r="N474" s="25">
        <v>37.5</v>
      </c>
      <c r="O474" s="26" t="str">
        <f t="shared" si="102"/>
        <v>June</v>
      </c>
      <c r="P474" s="25">
        <f t="shared" si="103"/>
        <v>37.5</v>
      </c>
      <c r="Q474" s="27">
        <f t="shared" si="104"/>
        <v>25</v>
      </c>
      <c r="R474" s="26" t="b">
        <f t="shared" si="105"/>
        <v>0</v>
      </c>
      <c r="S474" s="28" t="str">
        <f t="shared" si="106"/>
        <v>GROWTH</v>
      </c>
      <c r="T474" s="24">
        <v>37.5</v>
      </c>
      <c r="U474" s="29" t="str">
        <f t="shared" si="107"/>
        <v>May</v>
      </c>
      <c r="V474" s="24">
        <f t="shared" si="108"/>
        <v>37.5</v>
      </c>
      <c r="W474" s="30">
        <f t="shared" si="109"/>
        <v>25</v>
      </c>
      <c r="X474" s="31" t="b">
        <f t="shared" si="110"/>
        <v>0</v>
      </c>
      <c r="Y474" s="32" t="str">
        <f t="shared" si="111"/>
        <v>GROWTH</v>
      </c>
      <c r="Z474" s="41">
        <v>0</v>
      </c>
      <c r="AA474" s="36"/>
      <c r="AB474" s="36" t="s">
        <v>24</v>
      </c>
      <c r="AC474" s="41" t="s">
        <v>848</v>
      </c>
      <c r="AD474" s="34"/>
      <c r="AE474" s="35">
        <f>IFERROR(INDEX([1]Last6M_AvgSales_Ref!$B$2:$B$12659,MATCH(D474,[1]Last6M_AvgSales_Ref!$A$2:$A$12659,0)),"")</f>
        <v>66.75</v>
      </c>
    </row>
    <row r="475" spans="1:31" ht="14.25" customHeight="1" x14ac:dyDescent="0.3">
      <c r="A475" s="41" t="s">
        <v>848</v>
      </c>
      <c r="B475" s="44" t="s">
        <v>917</v>
      </c>
      <c r="C475" s="44" t="s">
        <v>988</v>
      </c>
      <c r="D475" s="44">
        <v>1000003999</v>
      </c>
      <c r="E475" s="44" t="s">
        <v>989</v>
      </c>
      <c r="F475" s="40">
        <v>45449</v>
      </c>
      <c r="G475" s="22" t="str">
        <f t="shared" si="98"/>
        <v>Targeted Dealer</v>
      </c>
      <c r="H475" s="22"/>
      <c r="I475" s="23">
        <v>50</v>
      </c>
      <c r="J475" s="23">
        <f t="shared" si="99"/>
        <v>50</v>
      </c>
      <c r="K475" s="24">
        <v>32.5</v>
      </c>
      <c r="L475" s="24">
        <f t="shared" si="100"/>
        <v>17.5</v>
      </c>
      <c r="M475" s="24">
        <f t="shared" si="101"/>
        <v>65</v>
      </c>
      <c r="N475" s="25">
        <v>25.5</v>
      </c>
      <c r="O475" s="26" t="str">
        <f t="shared" si="102"/>
        <v>June</v>
      </c>
      <c r="P475" s="25">
        <f t="shared" si="103"/>
        <v>25.5</v>
      </c>
      <c r="Q475" s="27">
        <f t="shared" si="104"/>
        <v>7</v>
      </c>
      <c r="R475" s="26" t="b">
        <f t="shared" si="105"/>
        <v>0</v>
      </c>
      <c r="S475" s="28" t="str">
        <f t="shared" si="106"/>
        <v>GROWTH</v>
      </c>
      <c r="T475" s="24">
        <v>25</v>
      </c>
      <c r="U475" s="29" t="str">
        <f t="shared" si="107"/>
        <v>May</v>
      </c>
      <c r="V475" s="24">
        <f t="shared" si="108"/>
        <v>25</v>
      </c>
      <c r="W475" s="30">
        <f t="shared" si="109"/>
        <v>7.5</v>
      </c>
      <c r="X475" s="31" t="b">
        <f t="shared" si="110"/>
        <v>0</v>
      </c>
      <c r="Y475" s="32" t="str">
        <f t="shared" si="111"/>
        <v>GROWTH</v>
      </c>
      <c r="Z475" s="41">
        <v>0</v>
      </c>
      <c r="AA475" s="36"/>
      <c r="AB475" s="36" t="s">
        <v>24</v>
      </c>
      <c r="AC475" s="41" t="s">
        <v>848</v>
      </c>
      <c r="AD475" s="34"/>
      <c r="AE475" s="35">
        <f>IFERROR(INDEX([1]Last6M_AvgSales_Ref!$B$2:$B$12659,MATCH(D475,[1]Last6M_AvgSales_Ref!$A$2:$A$12659,0)),"")</f>
        <v>26.5833333333333</v>
      </c>
    </row>
    <row r="476" spans="1:31" ht="14.25" customHeight="1" x14ac:dyDescent="0.3">
      <c r="A476" s="41" t="s">
        <v>848</v>
      </c>
      <c r="B476" s="44" t="s">
        <v>917</v>
      </c>
      <c r="C476" s="44" t="s">
        <v>990</v>
      </c>
      <c r="D476" s="44">
        <v>1000004022</v>
      </c>
      <c r="E476" s="44" t="s">
        <v>991</v>
      </c>
      <c r="F476" s="40">
        <v>45472</v>
      </c>
      <c r="G476" s="22" t="str">
        <f t="shared" si="98"/>
        <v>Targeted Dealer</v>
      </c>
      <c r="H476" s="22"/>
      <c r="I476" s="23">
        <v>20</v>
      </c>
      <c r="J476" s="23">
        <f t="shared" si="99"/>
        <v>20</v>
      </c>
      <c r="K476" s="24">
        <v>0</v>
      </c>
      <c r="L476" s="24">
        <f t="shared" si="100"/>
        <v>20</v>
      </c>
      <c r="M476" s="24">
        <f t="shared" si="101"/>
        <v>0</v>
      </c>
      <c r="N476" s="25">
        <v>0</v>
      </c>
      <c r="O476" s="26" t="str">
        <f t="shared" si="102"/>
        <v>June</v>
      </c>
      <c r="P476" s="25">
        <f t="shared" si="103"/>
        <v>0</v>
      </c>
      <c r="Q476" s="27">
        <f t="shared" si="104"/>
        <v>0</v>
      </c>
      <c r="R476" s="26" t="b">
        <f t="shared" si="105"/>
        <v>0</v>
      </c>
      <c r="S476" s="28" t="b">
        <f t="shared" si="106"/>
        <v>0</v>
      </c>
      <c r="T476" s="24">
        <v>32</v>
      </c>
      <c r="U476" s="29" t="str">
        <f t="shared" si="107"/>
        <v>May</v>
      </c>
      <c r="V476" s="24">
        <f t="shared" si="108"/>
        <v>32</v>
      </c>
      <c r="W476" s="30">
        <f t="shared" si="109"/>
        <v>-32</v>
      </c>
      <c r="X476" s="31" t="b">
        <f t="shared" si="110"/>
        <v>0</v>
      </c>
      <c r="Y476" s="32" t="str">
        <f t="shared" si="111"/>
        <v>GROWTH</v>
      </c>
      <c r="Z476" s="41">
        <v>0</v>
      </c>
      <c r="AA476" s="36"/>
      <c r="AB476" s="36" t="s">
        <v>24</v>
      </c>
      <c r="AC476" s="41" t="s">
        <v>848</v>
      </c>
      <c r="AD476" s="34"/>
      <c r="AE476" s="35">
        <f>IFERROR(INDEX([1]Last6M_AvgSales_Ref!$B$2:$B$12659,MATCH(D476,[1]Last6M_AvgSales_Ref!$A$2:$A$12659,0)),"")</f>
        <v>10.4166666666667</v>
      </c>
    </row>
    <row r="477" spans="1:31" ht="14.25" customHeight="1" x14ac:dyDescent="0.3">
      <c r="A477" s="41" t="s">
        <v>848</v>
      </c>
      <c r="B477" s="44" t="s">
        <v>917</v>
      </c>
      <c r="C477" s="44" t="s">
        <v>992</v>
      </c>
      <c r="D477" s="44">
        <v>1000004052</v>
      </c>
      <c r="E477" s="44" t="s">
        <v>993</v>
      </c>
      <c r="F477" s="40">
        <v>45497</v>
      </c>
      <c r="G477" s="22" t="str">
        <f t="shared" si="98"/>
        <v>Targeted Dealer</v>
      </c>
      <c r="H477" s="22"/>
      <c r="I477" s="23">
        <v>80</v>
      </c>
      <c r="J477" s="23">
        <f t="shared" si="99"/>
        <v>80</v>
      </c>
      <c r="K477" s="24">
        <v>79</v>
      </c>
      <c r="L477" s="24">
        <f t="shared" si="100"/>
        <v>1</v>
      </c>
      <c r="M477" s="24">
        <f t="shared" si="101"/>
        <v>98.75</v>
      </c>
      <c r="N477" s="25">
        <v>58.5</v>
      </c>
      <c r="O477" s="26" t="str">
        <f t="shared" si="102"/>
        <v>June</v>
      </c>
      <c r="P477" s="25">
        <f t="shared" si="103"/>
        <v>58.5</v>
      </c>
      <c r="Q477" s="27">
        <f t="shared" si="104"/>
        <v>20.5</v>
      </c>
      <c r="R477" s="26" t="b">
        <f t="shared" si="105"/>
        <v>0</v>
      </c>
      <c r="S477" s="28" t="str">
        <f t="shared" si="106"/>
        <v>GROWTH</v>
      </c>
      <c r="T477" s="24">
        <v>37.5</v>
      </c>
      <c r="U477" s="29" t="str">
        <f t="shared" si="107"/>
        <v>May</v>
      </c>
      <c r="V477" s="24">
        <f t="shared" si="108"/>
        <v>37.5</v>
      </c>
      <c r="W477" s="30">
        <f t="shared" si="109"/>
        <v>41.5</v>
      </c>
      <c r="X477" s="31" t="b">
        <f t="shared" si="110"/>
        <v>0</v>
      </c>
      <c r="Y477" s="32" t="str">
        <f t="shared" si="111"/>
        <v>GROWTH</v>
      </c>
      <c r="Z477" s="41">
        <v>0</v>
      </c>
      <c r="AA477" s="36"/>
      <c r="AB477" s="36" t="s">
        <v>24</v>
      </c>
      <c r="AC477" s="41" t="s">
        <v>848</v>
      </c>
      <c r="AD477" s="34"/>
      <c r="AE477" s="35">
        <f>IFERROR(INDEX([1]Last6M_AvgSales_Ref!$B$2:$B$12659,MATCH(D477,[1]Last6M_AvgSales_Ref!$A$2:$A$12659,0)),"")</f>
        <v>61.0833333333333</v>
      </c>
    </row>
    <row r="478" spans="1:31" ht="14.25" customHeight="1" x14ac:dyDescent="0.3">
      <c r="A478" s="41" t="s">
        <v>848</v>
      </c>
      <c r="B478" s="44" t="s">
        <v>917</v>
      </c>
      <c r="C478" s="44" t="s">
        <v>994</v>
      </c>
      <c r="D478" s="44">
        <v>1000004105</v>
      </c>
      <c r="E478" s="44" t="s">
        <v>995</v>
      </c>
      <c r="F478" s="47">
        <v>45535</v>
      </c>
      <c r="G478" s="22" t="str">
        <f t="shared" si="98"/>
        <v>Targeted Dealer</v>
      </c>
      <c r="H478" s="22"/>
      <c r="I478" s="23">
        <v>50</v>
      </c>
      <c r="J478" s="23">
        <f t="shared" si="99"/>
        <v>50</v>
      </c>
      <c r="K478" s="24">
        <v>37.5</v>
      </c>
      <c r="L478" s="24">
        <f t="shared" si="100"/>
        <v>12.5</v>
      </c>
      <c r="M478" s="24">
        <f t="shared" si="101"/>
        <v>75</v>
      </c>
      <c r="N478" s="25">
        <v>12.5</v>
      </c>
      <c r="O478" s="26" t="str">
        <f t="shared" si="102"/>
        <v>June</v>
      </c>
      <c r="P478" s="25">
        <f t="shared" si="103"/>
        <v>12.5</v>
      </c>
      <c r="Q478" s="27">
        <f t="shared" si="104"/>
        <v>25</v>
      </c>
      <c r="R478" s="26" t="b">
        <f t="shared" si="105"/>
        <v>0</v>
      </c>
      <c r="S478" s="28" t="str">
        <f t="shared" si="106"/>
        <v>GROWTH</v>
      </c>
      <c r="T478" s="24">
        <v>25</v>
      </c>
      <c r="U478" s="29" t="str">
        <f t="shared" si="107"/>
        <v>May</v>
      </c>
      <c r="V478" s="24">
        <f t="shared" si="108"/>
        <v>25</v>
      </c>
      <c r="W478" s="30">
        <f t="shared" si="109"/>
        <v>12.5</v>
      </c>
      <c r="X478" s="31" t="b">
        <f t="shared" si="110"/>
        <v>0</v>
      </c>
      <c r="Y478" s="32" t="str">
        <f t="shared" si="111"/>
        <v>GROWTH</v>
      </c>
      <c r="Z478" s="41">
        <v>0</v>
      </c>
      <c r="AA478" s="36"/>
      <c r="AB478" s="36" t="s">
        <v>24</v>
      </c>
      <c r="AC478" s="41" t="s">
        <v>848</v>
      </c>
      <c r="AD478" s="34"/>
      <c r="AE478" s="35">
        <f>IFERROR(INDEX([1]Last6M_AvgSales_Ref!$B$2:$B$12659,MATCH(D478,[1]Last6M_AvgSales_Ref!$A$2:$A$12659,0)),"")</f>
        <v>24.3333333333333</v>
      </c>
    </row>
    <row r="479" spans="1:31" ht="14.25" customHeight="1" x14ac:dyDescent="0.3">
      <c r="A479" s="36" t="s">
        <v>848</v>
      </c>
      <c r="B479" s="38" t="s">
        <v>996</v>
      </c>
      <c r="C479" s="38" t="s">
        <v>997</v>
      </c>
      <c r="D479" s="38">
        <v>1000000368</v>
      </c>
      <c r="E479" s="39" t="s">
        <v>998</v>
      </c>
      <c r="F479" s="40">
        <v>38386</v>
      </c>
      <c r="G479" s="22" t="str">
        <f t="shared" si="98"/>
        <v>Targeted Dealer</v>
      </c>
      <c r="H479" s="22"/>
      <c r="I479" s="23">
        <v>200</v>
      </c>
      <c r="J479" s="23">
        <f t="shared" si="99"/>
        <v>200</v>
      </c>
      <c r="K479" s="24">
        <v>221.5</v>
      </c>
      <c r="L479" s="24">
        <f t="shared" si="100"/>
        <v>-21.5</v>
      </c>
      <c r="M479" s="24">
        <f t="shared" si="101"/>
        <v>110.75</v>
      </c>
      <c r="N479" s="25">
        <v>151.5</v>
      </c>
      <c r="O479" s="26" t="str">
        <f t="shared" si="102"/>
        <v>June</v>
      </c>
      <c r="P479" s="25">
        <f t="shared" si="103"/>
        <v>151.5</v>
      </c>
      <c r="Q479" s="27">
        <f t="shared" si="104"/>
        <v>70</v>
      </c>
      <c r="R479" s="26" t="b">
        <f t="shared" si="105"/>
        <v>0</v>
      </c>
      <c r="S479" s="28" t="str">
        <f t="shared" si="106"/>
        <v>GROWTH</v>
      </c>
      <c r="T479" s="24">
        <v>157</v>
      </c>
      <c r="U479" s="29" t="str">
        <f t="shared" si="107"/>
        <v>May</v>
      </c>
      <c r="V479" s="24">
        <f t="shared" si="108"/>
        <v>157</v>
      </c>
      <c r="W479" s="30">
        <f t="shared" si="109"/>
        <v>64.5</v>
      </c>
      <c r="X479" s="31" t="b">
        <f t="shared" si="110"/>
        <v>0</v>
      </c>
      <c r="Y479" s="32" t="str">
        <f t="shared" si="111"/>
        <v>GROWTH</v>
      </c>
      <c r="Z479" s="41">
        <v>0</v>
      </c>
      <c r="AA479" s="36"/>
      <c r="AB479" s="36" t="s">
        <v>24</v>
      </c>
      <c r="AC479" s="36" t="s">
        <v>848</v>
      </c>
      <c r="AD479" s="34"/>
      <c r="AE479" s="35">
        <f>IFERROR(INDEX([1]Last6M_AvgSales_Ref!$B$2:$B$12659,MATCH(D479,[1]Last6M_AvgSales_Ref!$A$2:$A$12659,0)),"")</f>
        <v>250.666666666667</v>
      </c>
    </row>
    <row r="480" spans="1:31" ht="14.25" customHeight="1" x14ac:dyDescent="0.3">
      <c r="A480" s="36" t="s">
        <v>848</v>
      </c>
      <c r="B480" s="38" t="s">
        <v>996</v>
      </c>
      <c r="C480" s="38" t="s">
        <v>999</v>
      </c>
      <c r="D480" s="38">
        <v>1000000370</v>
      </c>
      <c r="E480" s="39" t="s">
        <v>1000</v>
      </c>
      <c r="F480" s="40">
        <v>39073</v>
      </c>
      <c r="G480" s="22" t="str">
        <f t="shared" si="98"/>
        <v>Targeted Dealer</v>
      </c>
      <c r="H480" s="22"/>
      <c r="I480" s="23">
        <v>40</v>
      </c>
      <c r="J480" s="23">
        <f t="shared" si="99"/>
        <v>40</v>
      </c>
      <c r="K480" s="24">
        <v>35</v>
      </c>
      <c r="L480" s="24">
        <f t="shared" si="100"/>
        <v>5</v>
      </c>
      <c r="M480" s="24">
        <f t="shared" si="101"/>
        <v>87.5</v>
      </c>
      <c r="N480" s="25">
        <v>18.5</v>
      </c>
      <c r="O480" s="26" t="str">
        <f t="shared" si="102"/>
        <v>June</v>
      </c>
      <c r="P480" s="25">
        <f t="shared" si="103"/>
        <v>18.5</v>
      </c>
      <c r="Q480" s="27">
        <f t="shared" si="104"/>
        <v>16.5</v>
      </c>
      <c r="R480" s="26" t="b">
        <f t="shared" si="105"/>
        <v>0</v>
      </c>
      <c r="S480" s="28" t="str">
        <f t="shared" si="106"/>
        <v>GROWTH</v>
      </c>
      <c r="T480" s="24">
        <v>10.5</v>
      </c>
      <c r="U480" s="29" t="str">
        <f t="shared" si="107"/>
        <v>May</v>
      </c>
      <c r="V480" s="24">
        <f t="shared" si="108"/>
        <v>10.5</v>
      </c>
      <c r="W480" s="30">
        <f t="shared" si="109"/>
        <v>24.5</v>
      </c>
      <c r="X480" s="31" t="b">
        <f t="shared" si="110"/>
        <v>0</v>
      </c>
      <c r="Y480" s="32" t="str">
        <f t="shared" si="111"/>
        <v>GROWTH</v>
      </c>
      <c r="Z480" s="41">
        <v>0</v>
      </c>
      <c r="AA480" s="36"/>
      <c r="AB480" s="36" t="s">
        <v>24</v>
      </c>
      <c r="AC480" s="36" t="s">
        <v>848</v>
      </c>
      <c r="AD480" s="34"/>
      <c r="AE480" s="35">
        <f>IFERROR(INDEX([1]Last6M_AvgSales_Ref!$B$2:$B$12659,MATCH(D480,[1]Last6M_AvgSales_Ref!$A$2:$A$12659,0)),"")</f>
        <v>16.75</v>
      </c>
    </row>
    <row r="481" spans="1:31" ht="14.25" customHeight="1" x14ac:dyDescent="0.3">
      <c r="A481" s="36" t="s">
        <v>848</v>
      </c>
      <c r="B481" s="38" t="s">
        <v>996</v>
      </c>
      <c r="C481" s="38" t="s">
        <v>1001</v>
      </c>
      <c r="D481" s="38">
        <v>1000000364</v>
      </c>
      <c r="E481" s="39" t="s">
        <v>1002</v>
      </c>
      <c r="F481" s="40">
        <v>39312</v>
      </c>
      <c r="G481" s="22" t="str">
        <f t="shared" si="98"/>
        <v>-</v>
      </c>
      <c r="H481" s="22"/>
      <c r="I481" s="23">
        <v>0</v>
      </c>
      <c r="J481" s="23">
        <f t="shared" si="99"/>
        <v>0</v>
      </c>
      <c r="K481" s="24">
        <v>0</v>
      </c>
      <c r="L481" s="24">
        <f t="shared" si="100"/>
        <v>0</v>
      </c>
      <c r="M481" s="24" t="str">
        <f t="shared" si="101"/>
        <v>-</v>
      </c>
      <c r="N481" s="25">
        <v>0</v>
      </c>
      <c r="O481" s="26" t="str">
        <f t="shared" si="102"/>
        <v>June</v>
      </c>
      <c r="P481" s="25">
        <f t="shared" si="103"/>
        <v>0</v>
      </c>
      <c r="Q481" s="27">
        <f t="shared" si="104"/>
        <v>0</v>
      </c>
      <c r="R481" s="26" t="b">
        <f t="shared" si="105"/>
        <v>0</v>
      </c>
      <c r="S481" s="28" t="b">
        <f t="shared" si="106"/>
        <v>0</v>
      </c>
      <c r="T481" s="24">
        <v>0</v>
      </c>
      <c r="U481" s="29" t="str">
        <f t="shared" si="107"/>
        <v>May</v>
      </c>
      <c r="V481" s="24">
        <f t="shared" si="108"/>
        <v>0</v>
      </c>
      <c r="W481" s="30">
        <f t="shared" si="109"/>
        <v>0</v>
      </c>
      <c r="X481" s="31" t="b">
        <f t="shared" si="110"/>
        <v>0</v>
      </c>
      <c r="Y481" s="32" t="b">
        <f t="shared" si="111"/>
        <v>0</v>
      </c>
      <c r="Z481" s="41">
        <v>0</v>
      </c>
      <c r="AA481" s="36"/>
      <c r="AB481" s="36" t="s">
        <v>24</v>
      </c>
      <c r="AC481" s="36" t="s">
        <v>848</v>
      </c>
      <c r="AD481" s="34"/>
      <c r="AE481" s="35">
        <f>IFERROR(INDEX([1]Last6M_AvgSales_Ref!$B$2:$B$12659,MATCH(D481,[1]Last6M_AvgSales_Ref!$A$2:$A$12659,0)),"")</f>
        <v>1.75</v>
      </c>
    </row>
    <row r="482" spans="1:31" ht="14.25" customHeight="1" x14ac:dyDescent="0.3">
      <c r="A482" s="36" t="s">
        <v>848</v>
      </c>
      <c r="B482" s="38" t="s">
        <v>996</v>
      </c>
      <c r="C482" s="38" t="s">
        <v>1003</v>
      </c>
      <c r="D482" s="38">
        <v>1000000337</v>
      </c>
      <c r="E482" s="39" t="s">
        <v>1004</v>
      </c>
      <c r="F482" s="40">
        <v>39402</v>
      </c>
      <c r="G482" s="22" t="str">
        <f t="shared" si="98"/>
        <v>Targeted Dealer</v>
      </c>
      <c r="H482" s="22"/>
      <c r="I482" s="23">
        <v>100</v>
      </c>
      <c r="J482" s="23">
        <f t="shared" si="99"/>
        <v>100</v>
      </c>
      <c r="K482" s="24">
        <v>80</v>
      </c>
      <c r="L482" s="24">
        <f t="shared" si="100"/>
        <v>20</v>
      </c>
      <c r="M482" s="24">
        <f t="shared" si="101"/>
        <v>80</v>
      </c>
      <c r="N482" s="25">
        <v>36.5</v>
      </c>
      <c r="O482" s="26" t="str">
        <f t="shared" si="102"/>
        <v>June</v>
      </c>
      <c r="P482" s="25">
        <f t="shared" si="103"/>
        <v>36.5</v>
      </c>
      <c r="Q482" s="27">
        <f t="shared" si="104"/>
        <v>43.5</v>
      </c>
      <c r="R482" s="26" t="b">
        <f t="shared" si="105"/>
        <v>0</v>
      </c>
      <c r="S482" s="28" t="str">
        <f t="shared" si="106"/>
        <v>GROWTH</v>
      </c>
      <c r="T482" s="24">
        <v>23</v>
      </c>
      <c r="U482" s="29" t="str">
        <f t="shared" si="107"/>
        <v>May</v>
      </c>
      <c r="V482" s="24">
        <f t="shared" si="108"/>
        <v>23</v>
      </c>
      <c r="W482" s="30">
        <f t="shared" si="109"/>
        <v>57</v>
      </c>
      <c r="X482" s="31" t="b">
        <f t="shared" si="110"/>
        <v>0</v>
      </c>
      <c r="Y482" s="32" t="str">
        <f t="shared" si="111"/>
        <v>GROWTH</v>
      </c>
      <c r="Z482" s="41">
        <v>0</v>
      </c>
      <c r="AA482" s="36"/>
      <c r="AB482" s="36" t="s">
        <v>24</v>
      </c>
      <c r="AC482" s="36" t="s">
        <v>848</v>
      </c>
      <c r="AD482" s="34"/>
      <c r="AE482" s="35">
        <f>IFERROR(INDEX([1]Last6M_AvgSales_Ref!$B$2:$B$12659,MATCH(D482,[1]Last6M_AvgSales_Ref!$A$2:$A$12659,0)),"")</f>
        <v>66.3333333333333</v>
      </c>
    </row>
    <row r="483" spans="1:31" ht="14.25" customHeight="1" x14ac:dyDescent="0.3">
      <c r="A483" s="36" t="s">
        <v>848</v>
      </c>
      <c r="B483" s="38" t="s">
        <v>996</v>
      </c>
      <c r="C483" s="38" t="s">
        <v>1005</v>
      </c>
      <c r="D483" s="38">
        <v>1000000360</v>
      </c>
      <c r="E483" s="39" t="s">
        <v>1006</v>
      </c>
      <c r="F483" s="40">
        <v>39743</v>
      </c>
      <c r="G483" s="22" t="str">
        <f t="shared" si="98"/>
        <v>Targeted Dealer</v>
      </c>
      <c r="H483" s="22"/>
      <c r="I483" s="23">
        <v>2500</v>
      </c>
      <c r="J483" s="23">
        <f t="shared" si="99"/>
        <v>2500</v>
      </c>
      <c r="K483" s="24">
        <v>1816.25</v>
      </c>
      <c r="L483" s="24">
        <f t="shared" si="100"/>
        <v>683.75</v>
      </c>
      <c r="M483" s="24">
        <f t="shared" si="101"/>
        <v>72.650000000000006</v>
      </c>
      <c r="N483" s="25">
        <v>1578.5</v>
      </c>
      <c r="O483" s="26" t="str">
        <f t="shared" si="102"/>
        <v>June</v>
      </c>
      <c r="P483" s="25">
        <f t="shared" si="103"/>
        <v>1578.5</v>
      </c>
      <c r="Q483" s="27">
        <f t="shared" si="104"/>
        <v>237.75</v>
      </c>
      <c r="R483" s="26" t="b">
        <f t="shared" si="105"/>
        <v>0</v>
      </c>
      <c r="S483" s="28" t="str">
        <f t="shared" si="106"/>
        <v>GROWTH</v>
      </c>
      <c r="T483" s="24">
        <v>1026.75</v>
      </c>
      <c r="U483" s="29" t="str">
        <f t="shared" si="107"/>
        <v>May</v>
      </c>
      <c r="V483" s="24">
        <f t="shared" si="108"/>
        <v>1026.75</v>
      </c>
      <c r="W483" s="30">
        <f t="shared" si="109"/>
        <v>789.5</v>
      </c>
      <c r="X483" s="31" t="b">
        <f t="shared" si="110"/>
        <v>0</v>
      </c>
      <c r="Y483" s="32" t="str">
        <f t="shared" si="111"/>
        <v>GROWTH</v>
      </c>
      <c r="Z483" s="41">
        <v>0</v>
      </c>
      <c r="AA483" s="36"/>
      <c r="AB483" s="36" t="s">
        <v>24</v>
      </c>
      <c r="AC483" s="36" t="s">
        <v>848</v>
      </c>
      <c r="AD483" s="34"/>
      <c r="AE483" s="35">
        <f>IFERROR(INDEX([1]Last6M_AvgSales_Ref!$B$2:$B$12659,MATCH(D483,[1]Last6M_AvgSales_Ref!$A$2:$A$12659,0)),"")</f>
        <v>1560.2916666666699</v>
      </c>
    </row>
    <row r="484" spans="1:31" ht="14.25" customHeight="1" x14ac:dyDescent="0.3">
      <c r="A484" s="36" t="s">
        <v>848</v>
      </c>
      <c r="B484" s="38" t="s">
        <v>996</v>
      </c>
      <c r="C484" s="38" t="s">
        <v>1007</v>
      </c>
      <c r="D484" s="38">
        <v>1000000358</v>
      </c>
      <c r="E484" s="39" t="s">
        <v>1008</v>
      </c>
      <c r="F484" s="40">
        <v>39933</v>
      </c>
      <c r="G484" s="22" t="str">
        <f t="shared" si="98"/>
        <v>Targeted Dealer</v>
      </c>
      <c r="H484" s="22"/>
      <c r="I484" s="23">
        <v>240</v>
      </c>
      <c r="J484" s="23">
        <f t="shared" si="99"/>
        <v>240</v>
      </c>
      <c r="K484" s="24">
        <v>87.25</v>
      </c>
      <c r="L484" s="24">
        <f t="shared" si="100"/>
        <v>152.75</v>
      </c>
      <c r="M484" s="24">
        <f t="shared" si="101"/>
        <v>36.354166666666671</v>
      </c>
      <c r="N484" s="25">
        <v>58</v>
      </c>
      <c r="O484" s="26" t="str">
        <f t="shared" si="102"/>
        <v>June</v>
      </c>
      <c r="P484" s="25">
        <f t="shared" si="103"/>
        <v>58</v>
      </c>
      <c r="Q484" s="27">
        <f t="shared" si="104"/>
        <v>29.25</v>
      </c>
      <c r="R484" s="26" t="b">
        <f t="shared" si="105"/>
        <v>0</v>
      </c>
      <c r="S484" s="28" t="str">
        <f t="shared" si="106"/>
        <v>GROWTH</v>
      </c>
      <c r="T484" s="24">
        <v>107</v>
      </c>
      <c r="U484" s="29" t="str">
        <f t="shared" si="107"/>
        <v>May</v>
      </c>
      <c r="V484" s="24">
        <f t="shared" si="108"/>
        <v>107</v>
      </c>
      <c r="W484" s="30">
        <f t="shared" si="109"/>
        <v>-19.75</v>
      </c>
      <c r="X484" s="31" t="b">
        <f t="shared" si="110"/>
        <v>0</v>
      </c>
      <c r="Y484" s="32" t="str">
        <f t="shared" si="111"/>
        <v>GROWTH</v>
      </c>
      <c r="Z484" s="41">
        <v>0</v>
      </c>
      <c r="AA484" s="36"/>
      <c r="AB484" s="36" t="s">
        <v>24</v>
      </c>
      <c r="AC484" s="36" t="s">
        <v>848</v>
      </c>
      <c r="AD484" s="34"/>
      <c r="AE484" s="35">
        <f>IFERROR(INDEX([1]Last6M_AvgSales_Ref!$B$2:$B$12659,MATCH(D484,[1]Last6M_AvgSales_Ref!$A$2:$A$12659,0)),"")</f>
        <v>151.71666666666701</v>
      </c>
    </row>
    <row r="485" spans="1:31" ht="14.25" customHeight="1" x14ac:dyDescent="0.3">
      <c r="A485" s="36" t="s">
        <v>848</v>
      </c>
      <c r="B485" s="38" t="s">
        <v>996</v>
      </c>
      <c r="C485" s="38" t="s">
        <v>1009</v>
      </c>
      <c r="D485" s="38">
        <v>1000000351</v>
      </c>
      <c r="E485" s="39" t="s">
        <v>1010</v>
      </c>
      <c r="F485" s="40">
        <v>40371</v>
      </c>
      <c r="G485" s="22" t="str">
        <f t="shared" si="98"/>
        <v>Targeted Dealer</v>
      </c>
      <c r="H485" s="22"/>
      <c r="I485" s="23">
        <v>20</v>
      </c>
      <c r="J485" s="23">
        <f t="shared" si="99"/>
        <v>20</v>
      </c>
      <c r="K485" s="24">
        <v>25.5</v>
      </c>
      <c r="L485" s="24">
        <f t="shared" si="100"/>
        <v>-5.5</v>
      </c>
      <c r="M485" s="24">
        <f t="shared" si="101"/>
        <v>127.5</v>
      </c>
      <c r="N485" s="25">
        <v>21</v>
      </c>
      <c r="O485" s="26" t="str">
        <f t="shared" si="102"/>
        <v>June</v>
      </c>
      <c r="P485" s="25">
        <f t="shared" si="103"/>
        <v>21</v>
      </c>
      <c r="Q485" s="27">
        <f t="shared" si="104"/>
        <v>4.5</v>
      </c>
      <c r="R485" s="26" t="b">
        <f t="shared" si="105"/>
        <v>0</v>
      </c>
      <c r="S485" s="28" t="str">
        <f t="shared" si="106"/>
        <v>GROWTH</v>
      </c>
      <c r="T485" s="24">
        <v>0</v>
      </c>
      <c r="U485" s="29" t="str">
        <f t="shared" si="107"/>
        <v>May</v>
      </c>
      <c r="V485" s="24">
        <f t="shared" si="108"/>
        <v>0</v>
      </c>
      <c r="W485" s="30">
        <f t="shared" si="109"/>
        <v>25.5</v>
      </c>
      <c r="X485" s="31" t="b">
        <f t="shared" si="110"/>
        <v>0</v>
      </c>
      <c r="Y485" s="32" t="b">
        <f t="shared" si="111"/>
        <v>0</v>
      </c>
      <c r="Z485" s="41">
        <v>0</v>
      </c>
      <c r="AA485" s="36"/>
      <c r="AB485" s="36" t="s">
        <v>24</v>
      </c>
      <c r="AC485" s="36" t="s">
        <v>848</v>
      </c>
      <c r="AD485" s="34"/>
      <c r="AE485" s="35">
        <f>IFERROR(INDEX([1]Last6M_AvgSales_Ref!$B$2:$B$12659,MATCH(D485,[1]Last6M_AvgSales_Ref!$A$2:$A$12659,0)),"")</f>
        <v>19.9166666666667</v>
      </c>
    </row>
    <row r="486" spans="1:31" ht="14.25" customHeight="1" x14ac:dyDescent="0.3">
      <c r="A486" s="36" t="s">
        <v>848</v>
      </c>
      <c r="B486" s="38" t="s">
        <v>996</v>
      </c>
      <c r="C486" s="38" t="s">
        <v>1011</v>
      </c>
      <c r="D486" s="38">
        <v>1000000328</v>
      </c>
      <c r="E486" s="39" t="s">
        <v>1012</v>
      </c>
      <c r="F486" s="40">
        <v>40408</v>
      </c>
      <c r="G486" s="22" t="str">
        <f t="shared" si="98"/>
        <v>Targeted Dealer</v>
      </c>
      <c r="H486" s="22"/>
      <c r="I486" s="23">
        <v>40</v>
      </c>
      <c r="J486" s="23">
        <f t="shared" si="99"/>
        <v>40</v>
      </c>
      <c r="K486" s="24">
        <v>0</v>
      </c>
      <c r="L486" s="24">
        <f t="shared" si="100"/>
        <v>40</v>
      </c>
      <c r="M486" s="24">
        <f t="shared" si="101"/>
        <v>0</v>
      </c>
      <c r="N486" s="25">
        <v>6</v>
      </c>
      <c r="O486" s="26" t="str">
        <f t="shared" si="102"/>
        <v>June</v>
      </c>
      <c r="P486" s="25">
        <f t="shared" si="103"/>
        <v>6</v>
      </c>
      <c r="Q486" s="27">
        <f t="shared" si="104"/>
        <v>-6</v>
      </c>
      <c r="R486" s="26" t="b">
        <f t="shared" si="105"/>
        <v>0</v>
      </c>
      <c r="S486" s="28" t="str">
        <f t="shared" si="106"/>
        <v>GROWTH</v>
      </c>
      <c r="T486" s="24">
        <v>2</v>
      </c>
      <c r="U486" s="29" t="str">
        <f t="shared" si="107"/>
        <v>May</v>
      </c>
      <c r="V486" s="24">
        <f t="shared" si="108"/>
        <v>2</v>
      </c>
      <c r="W486" s="30">
        <f t="shared" si="109"/>
        <v>-2</v>
      </c>
      <c r="X486" s="31" t="b">
        <f t="shared" si="110"/>
        <v>0</v>
      </c>
      <c r="Y486" s="32" t="str">
        <f t="shared" si="111"/>
        <v>GROWTH</v>
      </c>
      <c r="Z486" s="41">
        <v>0</v>
      </c>
      <c r="AA486" s="36"/>
      <c r="AB486" s="36" t="s">
        <v>24</v>
      </c>
      <c r="AC486" s="36" t="s">
        <v>848</v>
      </c>
      <c r="AD486" s="34"/>
      <c r="AE486" s="35">
        <f>IFERROR(INDEX([1]Last6M_AvgSales_Ref!$B$2:$B$12659,MATCH(D486,[1]Last6M_AvgSales_Ref!$A$2:$A$12659,0)),"")</f>
        <v>19.6666666666667</v>
      </c>
    </row>
    <row r="487" spans="1:31" ht="14.25" customHeight="1" x14ac:dyDescent="0.3">
      <c r="A487" s="36" t="s">
        <v>848</v>
      </c>
      <c r="B487" s="38" t="s">
        <v>996</v>
      </c>
      <c r="C487" s="38" t="s">
        <v>1013</v>
      </c>
      <c r="D487" s="38">
        <v>1000000312</v>
      </c>
      <c r="E487" s="39" t="s">
        <v>1014</v>
      </c>
      <c r="F487" s="40">
        <v>40560</v>
      </c>
      <c r="G487" s="22" t="str">
        <f t="shared" si="98"/>
        <v>Targeted Dealer</v>
      </c>
      <c r="H487" s="22"/>
      <c r="I487" s="23">
        <v>80</v>
      </c>
      <c r="J487" s="23">
        <f t="shared" si="99"/>
        <v>80</v>
      </c>
      <c r="K487" s="24">
        <v>40</v>
      </c>
      <c r="L487" s="24">
        <f t="shared" si="100"/>
        <v>40</v>
      </c>
      <c r="M487" s="24">
        <f t="shared" si="101"/>
        <v>50</v>
      </c>
      <c r="N487" s="25">
        <v>40</v>
      </c>
      <c r="O487" s="26" t="str">
        <f t="shared" si="102"/>
        <v>June</v>
      </c>
      <c r="P487" s="25">
        <f t="shared" si="103"/>
        <v>40</v>
      </c>
      <c r="Q487" s="27">
        <f t="shared" si="104"/>
        <v>0</v>
      </c>
      <c r="R487" s="26" t="b">
        <f t="shared" si="105"/>
        <v>0</v>
      </c>
      <c r="S487" s="28" t="str">
        <f t="shared" si="106"/>
        <v>GROWTH</v>
      </c>
      <c r="T487" s="24">
        <v>51.5</v>
      </c>
      <c r="U487" s="29" t="str">
        <f t="shared" si="107"/>
        <v>May</v>
      </c>
      <c r="V487" s="24">
        <f t="shared" si="108"/>
        <v>51.5</v>
      </c>
      <c r="W487" s="30">
        <f t="shared" si="109"/>
        <v>-11.5</v>
      </c>
      <c r="X487" s="31" t="b">
        <f t="shared" si="110"/>
        <v>0</v>
      </c>
      <c r="Y487" s="32" t="str">
        <f t="shared" si="111"/>
        <v>GROWTH</v>
      </c>
      <c r="Z487" s="41">
        <v>0</v>
      </c>
      <c r="AA487" s="36"/>
      <c r="AB487" s="36" t="s">
        <v>24</v>
      </c>
      <c r="AC487" s="36" t="s">
        <v>848</v>
      </c>
      <c r="AD487" s="34"/>
      <c r="AE487" s="35">
        <f>IFERROR(INDEX([1]Last6M_AvgSales_Ref!$B$2:$B$12659,MATCH(D487,[1]Last6M_AvgSales_Ref!$A$2:$A$12659,0)),"")</f>
        <v>40.75</v>
      </c>
    </row>
    <row r="488" spans="1:31" ht="14.25" customHeight="1" x14ac:dyDescent="0.3">
      <c r="A488" s="36" t="s">
        <v>848</v>
      </c>
      <c r="B488" s="38" t="s">
        <v>996</v>
      </c>
      <c r="C488" s="38" t="s">
        <v>1015</v>
      </c>
      <c r="D488" s="38">
        <v>1000000359</v>
      </c>
      <c r="E488" s="39" t="s">
        <v>1016</v>
      </c>
      <c r="F488" s="40">
        <v>40740</v>
      </c>
      <c r="G488" s="22" t="str">
        <f t="shared" si="98"/>
        <v>Targeted Dealer</v>
      </c>
      <c r="H488" s="22"/>
      <c r="I488" s="23">
        <v>120</v>
      </c>
      <c r="J488" s="23">
        <f t="shared" si="99"/>
        <v>120</v>
      </c>
      <c r="K488" s="24">
        <v>78.5</v>
      </c>
      <c r="L488" s="24">
        <f t="shared" si="100"/>
        <v>41.5</v>
      </c>
      <c r="M488" s="24">
        <f t="shared" si="101"/>
        <v>65.416666666666671</v>
      </c>
      <c r="N488" s="25">
        <v>34</v>
      </c>
      <c r="O488" s="26" t="str">
        <f t="shared" si="102"/>
        <v>June</v>
      </c>
      <c r="P488" s="25">
        <f t="shared" si="103"/>
        <v>34</v>
      </c>
      <c r="Q488" s="27">
        <f t="shared" si="104"/>
        <v>44.5</v>
      </c>
      <c r="R488" s="26" t="b">
        <f t="shared" si="105"/>
        <v>0</v>
      </c>
      <c r="S488" s="28" t="str">
        <f t="shared" si="106"/>
        <v>GROWTH</v>
      </c>
      <c r="T488" s="24">
        <v>83.5</v>
      </c>
      <c r="U488" s="29" t="str">
        <f t="shared" si="107"/>
        <v>May</v>
      </c>
      <c r="V488" s="24">
        <f t="shared" si="108"/>
        <v>83.5</v>
      </c>
      <c r="W488" s="30">
        <f t="shared" si="109"/>
        <v>-5</v>
      </c>
      <c r="X488" s="31" t="b">
        <f t="shared" si="110"/>
        <v>0</v>
      </c>
      <c r="Y488" s="32" t="str">
        <f t="shared" si="111"/>
        <v>GROWTH</v>
      </c>
      <c r="Z488" s="41">
        <v>0</v>
      </c>
      <c r="AA488" s="36"/>
      <c r="AB488" s="36" t="s">
        <v>24</v>
      </c>
      <c r="AC488" s="36" t="s">
        <v>848</v>
      </c>
      <c r="AD488" s="34"/>
      <c r="AE488" s="35">
        <f>IFERROR(INDEX([1]Last6M_AvgSales_Ref!$B$2:$B$12659,MATCH(D488,[1]Last6M_AvgSales_Ref!$A$2:$A$12659,0)),"")</f>
        <v>83.4166666666667</v>
      </c>
    </row>
    <row r="489" spans="1:31" ht="14.25" customHeight="1" x14ac:dyDescent="0.3">
      <c r="A489" s="36" t="s">
        <v>848</v>
      </c>
      <c r="B489" s="38" t="s">
        <v>996</v>
      </c>
      <c r="C489" s="38" t="s">
        <v>1017</v>
      </c>
      <c r="D489" s="38">
        <v>1000000336</v>
      </c>
      <c r="E489" s="39" t="s">
        <v>1018</v>
      </c>
      <c r="F489" s="40">
        <v>41018</v>
      </c>
      <c r="G489" s="22" t="str">
        <f t="shared" si="98"/>
        <v>-</v>
      </c>
      <c r="H489" s="22"/>
      <c r="I489" s="23">
        <v>0</v>
      </c>
      <c r="J489" s="23">
        <f t="shared" si="99"/>
        <v>0</v>
      </c>
      <c r="K489" s="24">
        <v>3.5</v>
      </c>
      <c r="L489" s="24">
        <f t="shared" si="100"/>
        <v>-3.5</v>
      </c>
      <c r="M489" s="24" t="str">
        <f t="shared" si="101"/>
        <v>-</v>
      </c>
      <c r="N489" s="25">
        <v>3.5</v>
      </c>
      <c r="O489" s="26" t="str">
        <f t="shared" si="102"/>
        <v>June</v>
      </c>
      <c r="P489" s="25">
        <f t="shared" si="103"/>
        <v>3.5</v>
      </c>
      <c r="Q489" s="27">
        <f t="shared" si="104"/>
        <v>0</v>
      </c>
      <c r="R489" s="26" t="b">
        <f t="shared" si="105"/>
        <v>0</v>
      </c>
      <c r="S489" s="28" t="str">
        <f t="shared" si="106"/>
        <v>GROWTH</v>
      </c>
      <c r="T489" s="24">
        <v>0</v>
      </c>
      <c r="U489" s="29" t="str">
        <f t="shared" si="107"/>
        <v>May</v>
      </c>
      <c r="V489" s="24">
        <f t="shared" si="108"/>
        <v>0</v>
      </c>
      <c r="W489" s="30">
        <f t="shared" si="109"/>
        <v>3.5</v>
      </c>
      <c r="X489" s="31" t="b">
        <f t="shared" si="110"/>
        <v>0</v>
      </c>
      <c r="Y489" s="32" t="b">
        <f t="shared" si="111"/>
        <v>0</v>
      </c>
      <c r="Z489" s="41">
        <v>0</v>
      </c>
      <c r="AA489" s="36"/>
      <c r="AB489" s="36" t="s">
        <v>24</v>
      </c>
      <c r="AC489" s="36" t="s">
        <v>848</v>
      </c>
      <c r="AD489" s="34"/>
      <c r="AE489" s="35">
        <f>IFERROR(INDEX([1]Last6M_AvgSales_Ref!$B$2:$B$12659,MATCH(D489,[1]Last6M_AvgSales_Ref!$A$2:$A$12659,0)),"")</f>
        <v>9.3333333333333304</v>
      </c>
    </row>
    <row r="490" spans="1:31" ht="14.25" customHeight="1" x14ac:dyDescent="0.3">
      <c r="A490" s="36" t="s">
        <v>848</v>
      </c>
      <c r="B490" s="38" t="s">
        <v>996</v>
      </c>
      <c r="C490" s="38" t="s">
        <v>1019</v>
      </c>
      <c r="D490" s="38">
        <v>1000000326</v>
      </c>
      <c r="E490" s="39" t="s">
        <v>1020</v>
      </c>
      <c r="F490" s="40">
        <v>42032</v>
      </c>
      <c r="G490" s="22" t="str">
        <f t="shared" si="98"/>
        <v>-</v>
      </c>
      <c r="H490" s="22"/>
      <c r="I490" s="23">
        <v>0</v>
      </c>
      <c r="J490" s="23">
        <f t="shared" si="99"/>
        <v>0</v>
      </c>
      <c r="K490" s="24">
        <v>0</v>
      </c>
      <c r="L490" s="24">
        <f t="shared" si="100"/>
        <v>0</v>
      </c>
      <c r="M490" s="24" t="str">
        <f t="shared" si="101"/>
        <v>-</v>
      </c>
      <c r="N490" s="25">
        <v>0</v>
      </c>
      <c r="O490" s="26" t="str">
        <f t="shared" si="102"/>
        <v>June</v>
      </c>
      <c r="P490" s="25">
        <f t="shared" si="103"/>
        <v>0</v>
      </c>
      <c r="Q490" s="27">
        <f t="shared" si="104"/>
        <v>0</v>
      </c>
      <c r="R490" s="26" t="b">
        <f t="shared" si="105"/>
        <v>0</v>
      </c>
      <c r="S490" s="28" t="b">
        <f t="shared" si="106"/>
        <v>0</v>
      </c>
      <c r="T490" s="24">
        <v>0</v>
      </c>
      <c r="U490" s="29" t="str">
        <f t="shared" si="107"/>
        <v>May</v>
      </c>
      <c r="V490" s="24">
        <f t="shared" si="108"/>
        <v>0</v>
      </c>
      <c r="W490" s="30">
        <f t="shared" si="109"/>
        <v>0</v>
      </c>
      <c r="X490" s="31" t="b">
        <f t="shared" si="110"/>
        <v>0</v>
      </c>
      <c r="Y490" s="32" t="b">
        <f t="shared" si="111"/>
        <v>0</v>
      </c>
      <c r="Z490" s="41">
        <v>0</v>
      </c>
      <c r="AA490" s="36"/>
      <c r="AB490" s="36" t="s">
        <v>24</v>
      </c>
      <c r="AC490" s="36" t="s">
        <v>848</v>
      </c>
      <c r="AD490" s="34"/>
      <c r="AE490" s="35">
        <f>IFERROR(INDEX([1]Last6M_AvgSales_Ref!$B$2:$B$12659,MATCH(D490,[1]Last6M_AvgSales_Ref!$A$2:$A$12659,0)),"")</f>
        <v>3.5</v>
      </c>
    </row>
    <row r="491" spans="1:31" ht="14.25" customHeight="1" x14ac:dyDescent="0.3">
      <c r="A491" s="36" t="s">
        <v>848</v>
      </c>
      <c r="B491" s="38" t="s">
        <v>996</v>
      </c>
      <c r="C491" s="38" t="s">
        <v>1021</v>
      </c>
      <c r="D491" s="38">
        <v>1000000311</v>
      </c>
      <c r="E491" s="39" t="s">
        <v>1022</v>
      </c>
      <c r="F491" s="40">
        <v>42135</v>
      </c>
      <c r="G491" s="22" t="str">
        <f t="shared" si="98"/>
        <v>Targeted Dealer</v>
      </c>
      <c r="H491" s="22"/>
      <c r="I491" s="23">
        <v>1320</v>
      </c>
      <c r="J491" s="23">
        <f t="shared" si="99"/>
        <v>1320</v>
      </c>
      <c r="K491" s="24">
        <v>1029.25</v>
      </c>
      <c r="L491" s="24">
        <f t="shared" si="100"/>
        <v>290.75</v>
      </c>
      <c r="M491" s="24">
        <f t="shared" si="101"/>
        <v>77.973484848484858</v>
      </c>
      <c r="N491" s="25">
        <v>870.5</v>
      </c>
      <c r="O491" s="26" t="str">
        <f t="shared" si="102"/>
        <v>June</v>
      </c>
      <c r="P491" s="25">
        <f t="shared" si="103"/>
        <v>870.5</v>
      </c>
      <c r="Q491" s="27">
        <f t="shared" si="104"/>
        <v>158.75</v>
      </c>
      <c r="R491" s="26" t="b">
        <f t="shared" si="105"/>
        <v>0</v>
      </c>
      <c r="S491" s="28" t="str">
        <f t="shared" si="106"/>
        <v>GROWTH</v>
      </c>
      <c r="T491" s="24">
        <v>594.75</v>
      </c>
      <c r="U491" s="29" t="str">
        <f t="shared" si="107"/>
        <v>May</v>
      </c>
      <c r="V491" s="24">
        <f t="shared" si="108"/>
        <v>594.75</v>
      </c>
      <c r="W491" s="30">
        <f t="shared" si="109"/>
        <v>434.5</v>
      </c>
      <c r="X491" s="31" t="b">
        <f t="shared" si="110"/>
        <v>0</v>
      </c>
      <c r="Y491" s="32" t="str">
        <f t="shared" si="111"/>
        <v>GROWTH</v>
      </c>
      <c r="Z491" s="41">
        <v>0</v>
      </c>
      <c r="AA491" s="36"/>
      <c r="AB491" s="36" t="s">
        <v>24</v>
      </c>
      <c r="AC491" s="36" t="s">
        <v>848</v>
      </c>
      <c r="AD491" s="34"/>
      <c r="AE491" s="35">
        <f>IFERROR(INDEX([1]Last6M_AvgSales_Ref!$B$2:$B$12659,MATCH(D491,[1]Last6M_AvgSales_Ref!$A$2:$A$12659,0)),"")</f>
        <v>786.58333333333303</v>
      </c>
    </row>
    <row r="492" spans="1:31" ht="14.25" customHeight="1" x14ac:dyDescent="0.3">
      <c r="A492" s="36" t="s">
        <v>848</v>
      </c>
      <c r="B492" s="38" t="s">
        <v>996</v>
      </c>
      <c r="C492" s="38" t="s">
        <v>1023</v>
      </c>
      <c r="D492" s="38">
        <v>1000000313</v>
      </c>
      <c r="E492" s="39" t="s">
        <v>1024</v>
      </c>
      <c r="F492" s="40">
        <v>42759</v>
      </c>
      <c r="G492" s="22" t="str">
        <f t="shared" si="98"/>
        <v>Targeted Dealer</v>
      </c>
      <c r="H492" s="22"/>
      <c r="I492" s="23">
        <v>180</v>
      </c>
      <c r="J492" s="23">
        <f t="shared" si="99"/>
        <v>180</v>
      </c>
      <c r="K492" s="24">
        <v>111</v>
      </c>
      <c r="L492" s="24">
        <f t="shared" si="100"/>
        <v>69</v>
      </c>
      <c r="M492" s="24">
        <f t="shared" si="101"/>
        <v>61.666666666666664</v>
      </c>
      <c r="N492" s="25">
        <v>131.5</v>
      </c>
      <c r="O492" s="26" t="str">
        <f t="shared" si="102"/>
        <v>June</v>
      </c>
      <c r="P492" s="25">
        <f t="shared" si="103"/>
        <v>131.5</v>
      </c>
      <c r="Q492" s="27">
        <f t="shared" si="104"/>
        <v>-20.5</v>
      </c>
      <c r="R492" s="26" t="b">
        <f t="shared" si="105"/>
        <v>0</v>
      </c>
      <c r="S492" s="28" t="str">
        <f t="shared" si="106"/>
        <v>GROWTH</v>
      </c>
      <c r="T492" s="24">
        <v>87.25</v>
      </c>
      <c r="U492" s="29" t="str">
        <f t="shared" si="107"/>
        <v>May</v>
      </c>
      <c r="V492" s="24">
        <f t="shared" si="108"/>
        <v>87.25</v>
      </c>
      <c r="W492" s="30">
        <f t="shared" si="109"/>
        <v>23.75</v>
      </c>
      <c r="X492" s="31" t="b">
        <f t="shared" si="110"/>
        <v>0</v>
      </c>
      <c r="Y492" s="32" t="str">
        <f t="shared" si="111"/>
        <v>GROWTH</v>
      </c>
      <c r="Z492" s="41">
        <v>0</v>
      </c>
      <c r="AA492" s="36"/>
      <c r="AB492" s="36" t="s">
        <v>24</v>
      </c>
      <c r="AC492" s="36" t="s">
        <v>848</v>
      </c>
      <c r="AD492" s="34"/>
      <c r="AE492" s="35">
        <f>IFERROR(INDEX([1]Last6M_AvgSales_Ref!$B$2:$B$12659,MATCH(D492,[1]Last6M_AvgSales_Ref!$A$2:$A$12659,0)),"")</f>
        <v>111</v>
      </c>
    </row>
    <row r="493" spans="1:31" ht="14.25" customHeight="1" x14ac:dyDescent="0.3">
      <c r="A493" s="36" t="s">
        <v>848</v>
      </c>
      <c r="B493" s="38" t="s">
        <v>996</v>
      </c>
      <c r="C493" s="38" t="s">
        <v>1025</v>
      </c>
      <c r="D493" s="38">
        <v>1000000355</v>
      </c>
      <c r="E493" s="39" t="s">
        <v>1026</v>
      </c>
      <c r="F493" s="40">
        <v>42908</v>
      </c>
      <c r="G493" s="22" t="str">
        <f t="shared" si="98"/>
        <v>Targeted Dealer</v>
      </c>
      <c r="H493" s="22"/>
      <c r="I493" s="23">
        <v>240</v>
      </c>
      <c r="J493" s="23">
        <f t="shared" si="99"/>
        <v>240</v>
      </c>
      <c r="K493" s="24">
        <v>117</v>
      </c>
      <c r="L493" s="24">
        <f t="shared" si="100"/>
        <v>123</v>
      </c>
      <c r="M493" s="24">
        <f t="shared" si="101"/>
        <v>48.75</v>
      </c>
      <c r="N493" s="25">
        <v>98.5</v>
      </c>
      <c r="O493" s="26" t="str">
        <f t="shared" si="102"/>
        <v>June</v>
      </c>
      <c r="P493" s="25">
        <f t="shared" si="103"/>
        <v>98.5</v>
      </c>
      <c r="Q493" s="27">
        <f t="shared" si="104"/>
        <v>18.5</v>
      </c>
      <c r="R493" s="26" t="b">
        <f t="shared" si="105"/>
        <v>0</v>
      </c>
      <c r="S493" s="28" t="str">
        <f t="shared" si="106"/>
        <v>GROWTH</v>
      </c>
      <c r="T493" s="24">
        <v>44</v>
      </c>
      <c r="U493" s="29" t="str">
        <f t="shared" si="107"/>
        <v>May</v>
      </c>
      <c r="V493" s="24">
        <f t="shared" si="108"/>
        <v>44</v>
      </c>
      <c r="W493" s="30">
        <f t="shared" si="109"/>
        <v>73</v>
      </c>
      <c r="X493" s="31" t="b">
        <f t="shared" si="110"/>
        <v>0</v>
      </c>
      <c r="Y493" s="32" t="str">
        <f t="shared" si="111"/>
        <v>GROWTH</v>
      </c>
      <c r="Z493" s="41">
        <v>0</v>
      </c>
      <c r="AA493" s="36"/>
      <c r="AB493" s="36" t="s">
        <v>24</v>
      </c>
      <c r="AC493" s="36" t="s">
        <v>848</v>
      </c>
      <c r="AD493" s="34"/>
      <c r="AE493" s="35">
        <f>IFERROR(INDEX([1]Last6M_AvgSales_Ref!$B$2:$B$12659,MATCH(D493,[1]Last6M_AvgSales_Ref!$A$2:$A$12659,0)),"")</f>
        <v>112.791666666667</v>
      </c>
    </row>
    <row r="494" spans="1:31" ht="14.25" customHeight="1" x14ac:dyDescent="0.3">
      <c r="A494" s="36" t="s">
        <v>848</v>
      </c>
      <c r="B494" s="38" t="s">
        <v>996</v>
      </c>
      <c r="C494" s="38" t="s">
        <v>1027</v>
      </c>
      <c r="D494" s="38">
        <v>1000000315</v>
      </c>
      <c r="E494" s="39" t="s">
        <v>1028</v>
      </c>
      <c r="F494" s="40">
        <v>43112</v>
      </c>
      <c r="G494" s="22" t="str">
        <f t="shared" si="98"/>
        <v>Targeted Dealer</v>
      </c>
      <c r="H494" s="22"/>
      <c r="I494" s="23">
        <v>80</v>
      </c>
      <c r="J494" s="23">
        <f t="shared" si="99"/>
        <v>80</v>
      </c>
      <c r="K494" s="24">
        <v>45</v>
      </c>
      <c r="L494" s="24">
        <f t="shared" si="100"/>
        <v>35</v>
      </c>
      <c r="M494" s="24">
        <f t="shared" si="101"/>
        <v>56.25</v>
      </c>
      <c r="N494" s="25">
        <v>0</v>
      </c>
      <c r="O494" s="26" t="str">
        <f t="shared" si="102"/>
        <v>June</v>
      </c>
      <c r="P494" s="25">
        <f t="shared" si="103"/>
        <v>0</v>
      </c>
      <c r="Q494" s="27">
        <f t="shared" si="104"/>
        <v>45</v>
      </c>
      <c r="R494" s="26" t="b">
        <f t="shared" si="105"/>
        <v>0</v>
      </c>
      <c r="S494" s="28" t="b">
        <f t="shared" si="106"/>
        <v>0</v>
      </c>
      <c r="T494" s="24">
        <v>22</v>
      </c>
      <c r="U494" s="29" t="str">
        <f t="shared" si="107"/>
        <v>May</v>
      </c>
      <c r="V494" s="24">
        <f t="shared" si="108"/>
        <v>22</v>
      </c>
      <c r="W494" s="30">
        <f t="shared" si="109"/>
        <v>23</v>
      </c>
      <c r="X494" s="31" t="b">
        <f t="shared" si="110"/>
        <v>0</v>
      </c>
      <c r="Y494" s="32" t="str">
        <f t="shared" si="111"/>
        <v>GROWTH</v>
      </c>
      <c r="Z494" s="41">
        <v>0</v>
      </c>
      <c r="AA494" s="36"/>
      <c r="AB494" s="36" t="s">
        <v>24</v>
      </c>
      <c r="AC494" s="36" t="s">
        <v>848</v>
      </c>
      <c r="AD494" s="34"/>
      <c r="AE494" s="35">
        <f>IFERROR(INDEX([1]Last6M_AvgSales_Ref!$B$2:$B$12659,MATCH(D494,[1]Last6M_AvgSales_Ref!$A$2:$A$12659,0)),"")</f>
        <v>34.5</v>
      </c>
    </row>
    <row r="495" spans="1:31" ht="14.25" customHeight="1" x14ac:dyDescent="0.3">
      <c r="A495" s="36" t="s">
        <v>848</v>
      </c>
      <c r="B495" s="38" t="s">
        <v>996</v>
      </c>
      <c r="C495" s="38" t="s">
        <v>1029</v>
      </c>
      <c r="D495" s="38">
        <v>1000000346</v>
      </c>
      <c r="E495" s="39" t="s">
        <v>1030</v>
      </c>
      <c r="F495" s="40">
        <v>43237</v>
      </c>
      <c r="G495" s="22" t="str">
        <f t="shared" si="98"/>
        <v>Targeted Dealer</v>
      </c>
      <c r="H495" s="22"/>
      <c r="I495" s="23">
        <v>20</v>
      </c>
      <c r="J495" s="23">
        <f t="shared" si="99"/>
        <v>20</v>
      </c>
      <c r="K495" s="24">
        <v>7</v>
      </c>
      <c r="L495" s="24">
        <f t="shared" si="100"/>
        <v>13</v>
      </c>
      <c r="M495" s="24">
        <f t="shared" si="101"/>
        <v>35</v>
      </c>
      <c r="N495" s="25">
        <v>28</v>
      </c>
      <c r="O495" s="26" t="str">
        <f t="shared" si="102"/>
        <v>June</v>
      </c>
      <c r="P495" s="25">
        <f t="shared" si="103"/>
        <v>28</v>
      </c>
      <c r="Q495" s="27">
        <f t="shared" si="104"/>
        <v>-21</v>
      </c>
      <c r="R495" s="26" t="b">
        <f t="shared" si="105"/>
        <v>0</v>
      </c>
      <c r="S495" s="28" t="str">
        <f t="shared" si="106"/>
        <v>GROWTH</v>
      </c>
      <c r="T495" s="24">
        <v>3.5</v>
      </c>
      <c r="U495" s="29" t="str">
        <f t="shared" si="107"/>
        <v>May</v>
      </c>
      <c r="V495" s="24">
        <f t="shared" si="108"/>
        <v>3.5</v>
      </c>
      <c r="W495" s="30">
        <f t="shared" si="109"/>
        <v>3.5</v>
      </c>
      <c r="X495" s="31" t="b">
        <f t="shared" si="110"/>
        <v>0</v>
      </c>
      <c r="Y495" s="32" t="str">
        <f t="shared" si="111"/>
        <v>GROWTH</v>
      </c>
      <c r="Z495" s="41">
        <v>0</v>
      </c>
      <c r="AA495" s="36"/>
      <c r="AB495" s="36" t="s">
        <v>24</v>
      </c>
      <c r="AC495" s="36" t="s">
        <v>848</v>
      </c>
      <c r="AD495" s="34"/>
      <c r="AE495" s="35">
        <f>IFERROR(INDEX([1]Last6M_AvgSales_Ref!$B$2:$B$12659,MATCH(D495,[1]Last6M_AvgSales_Ref!$A$2:$A$12659,0)),"")</f>
        <v>15.4166666666667</v>
      </c>
    </row>
    <row r="496" spans="1:31" ht="14.25" customHeight="1" x14ac:dyDescent="0.3">
      <c r="A496" s="36" t="s">
        <v>848</v>
      </c>
      <c r="B496" s="38" t="s">
        <v>996</v>
      </c>
      <c r="C496" s="38" t="s">
        <v>1031</v>
      </c>
      <c r="D496" s="38">
        <v>1000000365</v>
      </c>
      <c r="E496" s="39" t="s">
        <v>1032</v>
      </c>
      <c r="F496" s="40">
        <v>43256</v>
      </c>
      <c r="G496" s="22" t="str">
        <f t="shared" si="98"/>
        <v>Targeted Dealer</v>
      </c>
      <c r="H496" s="22"/>
      <c r="I496" s="23">
        <v>100</v>
      </c>
      <c r="J496" s="23">
        <f t="shared" si="99"/>
        <v>100</v>
      </c>
      <c r="K496" s="24">
        <v>111.5</v>
      </c>
      <c r="L496" s="24">
        <f t="shared" si="100"/>
        <v>-11.5</v>
      </c>
      <c r="M496" s="24">
        <f t="shared" si="101"/>
        <v>111.5</v>
      </c>
      <c r="N496" s="25">
        <v>63</v>
      </c>
      <c r="O496" s="26" t="str">
        <f t="shared" si="102"/>
        <v>June</v>
      </c>
      <c r="P496" s="25">
        <f t="shared" si="103"/>
        <v>63</v>
      </c>
      <c r="Q496" s="27">
        <f t="shared" si="104"/>
        <v>48.5</v>
      </c>
      <c r="R496" s="26" t="b">
        <f t="shared" si="105"/>
        <v>0</v>
      </c>
      <c r="S496" s="28" t="str">
        <f t="shared" si="106"/>
        <v>GROWTH</v>
      </c>
      <c r="T496" s="24">
        <v>3.5</v>
      </c>
      <c r="U496" s="29" t="str">
        <f t="shared" si="107"/>
        <v>May</v>
      </c>
      <c r="V496" s="24">
        <f t="shared" si="108"/>
        <v>3.5</v>
      </c>
      <c r="W496" s="30">
        <f t="shared" si="109"/>
        <v>108</v>
      </c>
      <c r="X496" s="31" t="b">
        <f t="shared" si="110"/>
        <v>0</v>
      </c>
      <c r="Y496" s="32" t="str">
        <f t="shared" si="111"/>
        <v>GROWTH</v>
      </c>
      <c r="Z496" s="41">
        <v>0</v>
      </c>
      <c r="AA496" s="36"/>
      <c r="AB496" s="36" t="s">
        <v>24</v>
      </c>
      <c r="AC496" s="36" t="s">
        <v>848</v>
      </c>
      <c r="AD496" s="34"/>
      <c r="AE496" s="35">
        <f>IFERROR(INDEX([1]Last6M_AvgSales_Ref!$B$2:$B$12659,MATCH(D496,[1]Last6M_AvgSales_Ref!$A$2:$A$12659,0)),"")</f>
        <v>6.5833333333333304</v>
      </c>
    </row>
    <row r="497" spans="1:31" ht="14.25" customHeight="1" x14ac:dyDescent="0.3">
      <c r="A497" s="36" t="s">
        <v>848</v>
      </c>
      <c r="B497" s="38" t="s">
        <v>996</v>
      </c>
      <c r="C497" s="38" t="s">
        <v>1033</v>
      </c>
      <c r="D497" s="38">
        <v>1000000331</v>
      </c>
      <c r="E497" s="39" t="s">
        <v>1034</v>
      </c>
      <c r="F497" s="40">
        <v>43333</v>
      </c>
      <c r="G497" s="22" t="str">
        <f t="shared" si="98"/>
        <v>Targeted Dealer</v>
      </c>
      <c r="H497" s="22"/>
      <c r="I497" s="23">
        <v>40</v>
      </c>
      <c r="J497" s="23">
        <f t="shared" si="99"/>
        <v>40</v>
      </c>
      <c r="K497" s="24">
        <v>28</v>
      </c>
      <c r="L497" s="24">
        <f t="shared" si="100"/>
        <v>12</v>
      </c>
      <c r="M497" s="24">
        <f t="shared" si="101"/>
        <v>70</v>
      </c>
      <c r="N497" s="25">
        <v>36</v>
      </c>
      <c r="O497" s="26" t="str">
        <f t="shared" si="102"/>
        <v>June</v>
      </c>
      <c r="P497" s="25">
        <f t="shared" si="103"/>
        <v>36</v>
      </c>
      <c r="Q497" s="27">
        <f t="shared" si="104"/>
        <v>-8</v>
      </c>
      <c r="R497" s="26" t="b">
        <f t="shared" si="105"/>
        <v>0</v>
      </c>
      <c r="S497" s="28" t="str">
        <f t="shared" si="106"/>
        <v>GROWTH</v>
      </c>
      <c r="T497" s="24">
        <v>35</v>
      </c>
      <c r="U497" s="29" t="str">
        <f t="shared" si="107"/>
        <v>May</v>
      </c>
      <c r="V497" s="24">
        <f t="shared" si="108"/>
        <v>35</v>
      </c>
      <c r="W497" s="30">
        <f t="shared" si="109"/>
        <v>-7</v>
      </c>
      <c r="X497" s="31" t="b">
        <f t="shared" si="110"/>
        <v>0</v>
      </c>
      <c r="Y497" s="32" t="str">
        <f t="shared" si="111"/>
        <v>GROWTH</v>
      </c>
      <c r="Z497" s="41">
        <v>0</v>
      </c>
      <c r="AA497" s="36"/>
      <c r="AB497" s="36" t="s">
        <v>24</v>
      </c>
      <c r="AC497" s="36" t="s">
        <v>848</v>
      </c>
      <c r="AD497" s="34"/>
      <c r="AE497" s="35">
        <f>IFERROR(INDEX([1]Last6M_AvgSales_Ref!$B$2:$B$12659,MATCH(D497,[1]Last6M_AvgSales_Ref!$A$2:$A$12659,0)),"")</f>
        <v>22.3333333333333</v>
      </c>
    </row>
    <row r="498" spans="1:31" ht="14.25" customHeight="1" x14ac:dyDescent="0.3">
      <c r="A498" s="36" t="s">
        <v>848</v>
      </c>
      <c r="B498" s="38" t="s">
        <v>996</v>
      </c>
      <c r="C498" s="38" t="s">
        <v>1035</v>
      </c>
      <c r="D498" s="38">
        <v>1000000338</v>
      </c>
      <c r="E498" s="39" t="s">
        <v>1036</v>
      </c>
      <c r="F498" s="40">
        <v>43556</v>
      </c>
      <c r="G498" s="22" t="str">
        <f t="shared" si="98"/>
        <v>Targeted Dealer</v>
      </c>
      <c r="H498" s="22"/>
      <c r="I498" s="23">
        <v>860</v>
      </c>
      <c r="J498" s="23">
        <f t="shared" si="99"/>
        <v>860</v>
      </c>
      <c r="K498" s="24">
        <v>512.5</v>
      </c>
      <c r="L498" s="24">
        <f t="shared" si="100"/>
        <v>347.5</v>
      </c>
      <c r="M498" s="24">
        <f t="shared" si="101"/>
        <v>59.593023255813954</v>
      </c>
      <c r="N498" s="25">
        <v>504.5</v>
      </c>
      <c r="O498" s="26" t="str">
        <f t="shared" si="102"/>
        <v>June</v>
      </c>
      <c r="P498" s="25">
        <f t="shared" si="103"/>
        <v>504.5</v>
      </c>
      <c r="Q498" s="27">
        <f t="shared" si="104"/>
        <v>8</v>
      </c>
      <c r="R498" s="26" t="b">
        <f t="shared" si="105"/>
        <v>0</v>
      </c>
      <c r="S498" s="28" t="str">
        <f t="shared" si="106"/>
        <v>GROWTH</v>
      </c>
      <c r="T498" s="24">
        <v>408</v>
      </c>
      <c r="U498" s="29" t="str">
        <f t="shared" si="107"/>
        <v>May</v>
      </c>
      <c r="V498" s="24">
        <f t="shared" si="108"/>
        <v>408</v>
      </c>
      <c r="W498" s="30">
        <f t="shared" si="109"/>
        <v>104.5</v>
      </c>
      <c r="X498" s="31" t="b">
        <f t="shared" si="110"/>
        <v>0</v>
      </c>
      <c r="Y498" s="32" t="str">
        <f t="shared" si="111"/>
        <v>GROWTH</v>
      </c>
      <c r="Z498" s="41">
        <v>0</v>
      </c>
      <c r="AA498" s="36"/>
      <c r="AB498" s="36" t="s">
        <v>24</v>
      </c>
      <c r="AC498" s="36" t="s">
        <v>848</v>
      </c>
      <c r="AD498" s="34"/>
      <c r="AE498" s="35">
        <f>IFERROR(INDEX([1]Last6M_AvgSales_Ref!$B$2:$B$12659,MATCH(D498,[1]Last6M_AvgSales_Ref!$A$2:$A$12659,0)),"")</f>
        <v>555.875</v>
      </c>
    </row>
    <row r="499" spans="1:31" ht="14.25" customHeight="1" x14ac:dyDescent="0.3">
      <c r="A499" s="36" t="s">
        <v>848</v>
      </c>
      <c r="B499" s="38" t="s">
        <v>996</v>
      </c>
      <c r="C499" s="38" t="s">
        <v>1037</v>
      </c>
      <c r="D499" s="38">
        <v>1000000843</v>
      </c>
      <c r="E499" s="39" t="s">
        <v>1038</v>
      </c>
      <c r="F499" s="40">
        <v>43586</v>
      </c>
      <c r="G499" s="22" t="str">
        <f t="shared" si="98"/>
        <v>Targeted Dealer</v>
      </c>
      <c r="H499" s="22"/>
      <c r="I499" s="23">
        <v>1200</v>
      </c>
      <c r="J499" s="23">
        <f t="shared" si="99"/>
        <v>1200</v>
      </c>
      <c r="K499" s="24">
        <v>791</v>
      </c>
      <c r="L499" s="24">
        <f t="shared" si="100"/>
        <v>409</v>
      </c>
      <c r="M499" s="24">
        <f t="shared" si="101"/>
        <v>65.916666666666671</v>
      </c>
      <c r="N499" s="25">
        <v>576.5</v>
      </c>
      <c r="O499" s="26" t="str">
        <f t="shared" si="102"/>
        <v>June</v>
      </c>
      <c r="P499" s="25">
        <f t="shared" si="103"/>
        <v>576.5</v>
      </c>
      <c r="Q499" s="27">
        <f t="shared" si="104"/>
        <v>214.5</v>
      </c>
      <c r="R499" s="26" t="b">
        <f t="shared" si="105"/>
        <v>0</v>
      </c>
      <c r="S499" s="28" t="str">
        <f t="shared" si="106"/>
        <v>GROWTH</v>
      </c>
      <c r="T499" s="24">
        <v>513.6</v>
      </c>
      <c r="U499" s="29" t="str">
        <f t="shared" si="107"/>
        <v>May</v>
      </c>
      <c r="V499" s="24">
        <f t="shared" si="108"/>
        <v>513.6</v>
      </c>
      <c r="W499" s="30">
        <f t="shared" si="109"/>
        <v>277.39999999999998</v>
      </c>
      <c r="X499" s="31" t="b">
        <f t="shared" si="110"/>
        <v>0</v>
      </c>
      <c r="Y499" s="32" t="str">
        <f t="shared" si="111"/>
        <v>GROWTH</v>
      </c>
      <c r="Z499" s="41">
        <v>0</v>
      </c>
      <c r="AA499" s="36"/>
      <c r="AB499" s="36" t="s">
        <v>24</v>
      </c>
      <c r="AC499" s="36" t="s">
        <v>848</v>
      </c>
      <c r="AD499" s="34"/>
      <c r="AE499" s="35">
        <f>IFERROR(INDEX([1]Last6M_AvgSales_Ref!$B$2:$B$12659,MATCH(D499,[1]Last6M_AvgSales_Ref!$A$2:$A$12659,0)),"")</f>
        <v>1047.5250000000001</v>
      </c>
    </row>
    <row r="500" spans="1:31" ht="14.25" customHeight="1" x14ac:dyDescent="0.3">
      <c r="A500" s="36" t="s">
        <v>848</v>
      </c>
      <c r="B500" s="38" t="s">
        <v>996</v>
      </c>
      <c r="C500" s="38" t="s">
        <v>1039</v>
      </c>
      <c r="D500" s="38">
        <v>1000000333</v>
      </c>
      <c r="E500" s="39" t="s">
        <v>1040</v>
      </c>
      <c r="F500" s="40">
        <v>43654</v>
      </c>
      <c r="G500" s="22" t="str">
        <f t="shared" si="98"/>
        <v>Targeted Dealer</v>
      </c>
      <c r="H500" s="22"/>
      <c r="I500" s="23">
        <v>280</v>
      </c>
      <c r="J500" s="23">
        <f t="shared" si="99"/>
        <v>280</v>
      </c>
      <c r="K500" s="24">
        <v>140.5</v>
      </c>
      <c r="L500" s="24">
        <f t="shared" si="100"/>
        <v>139.5</v>
      </c>
      <c r="M500" s="24">
        <f t="shared" si="101"/>
        <v>50.178571428571431</v>
      </c>
      <c r="N500" s="25">
        <v>160</v>
      </c>
      <c r="O500" s="26" t="str">
        <f t="shared" si="102"/>
        <v>June</v>
      </c>
      <c r="P500" s="25">
        <f t="shared" si="103"/>
        <v>160</v>
      </c>
      <c r="Q500" s="27">
        <f t="shared" si="104"/>
        <v>-19.5</v>
      </c>
      <c r="R500" s="26" t="b">
        <f t="shared" si="105"/>
        <v>0</v>
      </c>
      <c r="S500" s="28" t="str">
        <f t="shared" si="106"/>
        <v>GROWTH</v>
      </c>
      <c r="T500" s="24">
        <v>158</v>
      </c>
      <c r="U500" s="29" t="str">
        <f t="shared" si="107"/>
        <v>May</v>
      </c>
      <c r="V500" s="24">
        <f t="shared" si="108"/>
        <v>158</v>
      </c>
      <c r="W500" s="30">
        <f t="shared" si="109"/>
        <v>-17.5</v>
      </c>
      <c r="X500" s="31" t="b">
        <f t="shared" si="110"/>
        <v>0</v>
      </c>
      <c r="Y500" s="32" t="str">
        <f t="shared" si="111"/>
        <v>GROWTH</v>
      </c>
      <c r="Z500" s="41">
        <v>0</v>
      </c>
      <c r="AA500" s="36"/>
      <c r="AB500" s="36" t="s">
        <v>24</v>
      </c>
      <c r="AC500" s="36" t="s">
        <v>848</v>
      </c>
      <c r="AD500" s="34"/>
      <c r="AE500" s="35">
        <f>IFERROR(INDEX([1]Last6M_AvgSales_Ref!$B$2:$B$12659,MATCH(D500,[1]Last6M_AvgSales_Ref!$A$2:$A$12659,0)),"")</f>
        <v>198.666666666667</v>
      </c>
    </row>
    <row r="501" spans="1:31" ht="14.25" customHeight="1" x14ac:dyDescent="0.3">
      <c r="A501" s="36" t="s">
        <v>848</v>
      </c>
      <c r="B501" s="38" t="s">
        <v>996</v>
      </c>
      <c r="C501" s="38" t="s">
        <v>1041</v>
      </c>
      <c r="D501" s="38">
        <v>1000000332</v>
      </c>
      <c r="E501" s="39" t="s">
        <v>1042</v>
      </c>
      <c r="F501" s="40">
        <v>44271</v>
      </c>
      <c r="G501" s="22" t="str">
        <f t="shared" si="98"/>
        <v>Targeted Dealer</v>
      </c>
      <c r="H501" s="22"/>
      <c r="I501" s="23">
        <v>200</v>
      </c>
      <c r="J501" s="23">
        <f t="shared" si="99"/>
        <v>200</v>
      </c>
      <c r="K501" s="24">
        <v>110</v>
      </c>
      <c r="L501" s="24">
        <f t="shared" si="100"/>
        <v>90</v>
      </c>
      <c r="M501" s="24">
        <f t="shared" si="101"/>
        <v>55</v>
      </c>
      <c r="N501" s="25">
        <v>112.5</v>
      </c>
      <c r="O501" s="26" t="str">
        <f t="shared" si="102"/>
        <v>June</v>
      </c>
      <c r="P501" s="25">
        <f t="shared" si="103"/>
        <v>112.5</v>
      </c>
      <c r="Q501" s="27">
        <f t="shared" si="104"/>
        <v>-2.5</v>
      </c>
      <c r="R501" s="26" t="b">
        <f t="shared" si="105"/>
        <v>0</v>
      </c>
      <c r="S501" s="28" t="str">
        <f t="shared" si="106"/>
        <v>GROWTH</v>
      </c>
      <c r="T501" s="24">
        <v>85.5</v>
      </c>
      <c r="U501" s="29" t="str">
        <f t="shared" si="107"/>
        <v>May</v>
      </c>
      <c r="V501" s="24">
        <f t="shared" si="108"/>
        <v>85.5</v>
      </c>
      <c r="W501" s="30">
        <f t="shared" si="109"/>
        <v>24.5</v>
      </c>
      <c r="X501" s="31" t="b">
        <f t="shared" si="110"/>
        <v>0</v>
      </c>
      <c r="Y501" s="32" t="str">
        <f t="shared" si="111"/>
        <v>GROWTH</v>
      </c>
      <c r="Z501" s="41">
        <v>0</v>
      </c>
      <c r="AA501" s="36"/>
      <c r="AB501" s="36" t="s">
        <v>24</v>
      </c>
      <c r="AC501" s="36" t="s">
        <v>848</v>
      </c>
      <c r="AD501" s="34"/>
      <c r="AE501" s="35">
        <f>IFERROR(INDEX([1]Last6M_AvgSales_Ref!$B$2:$B$12659,MATCH(D501,[1]Last6M_AvgSales_Ref!$A$2:$A$12659,0)),"")</f>
        <v>132.25</v>
      </c>
    </row>
    <row r="502" spans="1:31" ht="14.25" customHeight="1" x14ac:dyDescent="0.3">
      <c r="A502" s="36" t="s">
        <v>848</v>
      </c>
      <c r="B502" s="38" t="s">
        <v>996</v>
      </c>
      <c r="C502" s="38" t="s">
        <v>1043</v>
      </c>
      <c r="D502" s="38">
        <v>1000000842</v>
      </c>
      <c r="E502" s="39" t="s">
        <v>1044</v>
      </c>
      <c r="F502" s="40">
        <v>44419</v>
      </c>
      <c r="G502" s="22" t="str">
        <f t="shared" si="98"/>
        <v>Targeted Dealer</v>
      </c>
      <c r="H502" s="22"/>
      <c r="I502" s="23">
        <v>220</v>
      </c>
      <c r="J502" s="23">
        <f t="shared" si="99"/>
        <v>220</v>
      </c>
      <c r="K502" s="24">
        <v>122.5</v>
      </c>
      <c r="L502" s="24">
        <f t="shared" si="100"/>
        <v>97.5</v>
      </c>
      <c r="M502" s="24">
        <f t="shared" si="101"/>
        <v>55.68181818181818</v>
      </c>
      <c r="N502" s="25">
        <v>145.5</v>
      </c>
      <c r="O502" s="26" t="str">
        <f t="shared" si="102"/>
        <v>June</v>
      </c>
      <c r="P502" s="25">
        <f t="shared" si="103"/>
        <v>145.5</v>
      </c>
      <c r="Q502" s="27">
        <f t="shared" si="104"/>
        <v>-23</v>
      </c>
      <c r="R502" s="26" t="b">
        <f t="shared" si="105"/>
        <v>0</v>
      </c>
      <c r="S502" s="28" t="str">
        <f t="shared" si="106"/>
        <v>GROWTH</v>
      </c>
      <c r="T502" s="24">
        <v>93.5</v>
      </c>
      <c r="U502" s="29" t="str">
        <f t="shared" si="107"/>
        <v>May</v>
      </c>
      <c r="V502" s="24">
        <f t="shared" si="108"/>
        <v>93.5</v>
      </c>
      <c r="W502" s="30">
        <f t="shared" si="109"/>
        <v>29</v>
      </c>
      <c r="X502" s="31" t="b">
        <f t="shared" si="110"/>
        <v>0</v>
      </c>
      <c r="Y502" s="32" t="str">
        <f t="shared" si="111"/>
        <v>GROWTH</v>
      </c>
      <c r="Z502" s="41">
        <v>0</v>
      </c>
      <c r="AA502" s="36"/>
      <c r="AB502" s="36" t="s">
        <v>24</v>
      </c>
      <c r="AC502" s="36" t="s">
        <v>848</v>
      </c>
      <c r="AD502" s="34"/>
      <c r="AE502" s="35">
        <f>IFERROR(INDEX([1]Last6M_AvgSales_Ref!$B$2:$B$12659,MATCH(D502,[1]Last6M_AvgSales_Ref!$A$2:$A$12659,0)),"")</f>
        <v>131</v>
      </c>
    </row>
    <row r="503" spans="1:31" ht="14.25" customHeight="1" x14ac:dyDescent="0.3">
      <c r="A503" s="36" t="s">
        <v>848</v>
      </c>
      <c r="B503" s="38" t="s">
        <v>996</v>
      </c>
      <c r="C503" s="38" t="s">
        <v>1045</v>
      </c>
      <c r="D503" s="38">
        <v>1000002847</v>
      </c>
      <c r="E503" s="39" t="s">
        <v>1046</v>
      </c>
      <c r="F503" s="40">
        <v>44772</v>
      </c>
      <c r="G503" s="22" t="str">
        <f t="shared" si="98"/>
        <v>Targeted Dealer</v>
      </c>
      <c r="H503" s="22"/>
      <c r="I503" s="23">
        <v>1840</v>
      </c>
      <c r="J503" s="23">
        <f t="shared" si="99"/>
        <v>1840</v>
      </c>
      <c r="K503" s="24">
        <v>1554.25</v>
      </c>
      <c r="L503" s="24">
        <f t="shared" si="100"/>
        <v>285.75</v>
      </c>
      <c r="M503" s="24">
        <f t="shared" si="101"/>
        <v>84.470108695652186</v>
      </c>
      <c r="N503" s="25">
        <v>1065.3499999999999</v>
      </c>
      <c r="O503" s="26" t="str">
        <f t="shared" si="102"/>
        <v>June</v>
      </c>
      <c r="P503" s="25">
        <f t="shared" si="103"/>
        <v>1065.3499999999999</v>
      </c>
      <c r="Q503" s="27">
        <f t="shared" si="104"/>
        <v>488.90000000000009</v>
      </c>
      <c r="R503" s="26" t="b">
        <f t="shared" si="105"/>
        <v>0</v>
      </c>
      <c r="S503" s="28" t="str">
        <f t="shared" si="106"/>
        <v>GROWTH</v>
      </c>
      <c r="T503" s="24">
        <v>830</v>
      </c>
      <c r="U503" s="29" t="str">
        <f t="shared" si="107"/>
        <v>May</v>
      </c>
      <c r="V503" s="24">
        <f t="shared" si="108"/>
        <v>830</v>
      </c>
      <c r="W503" s="30">
        <f t="shared" si="109"/>
        <v>724.25</v>
      </c>
      <c r="X503" s="31" t="b">
        <f t="shared" si="110"/>
        <v>0</v>
      </c>
      <c r="Y503" s="32" t="str">
        <f t="shared" si="111"/>
        <v>GROWTH</v>
      </c>
      <c r="Z503" s="41">
        <v>0</v>
      </c>
      <c r="AA503" s="36"/>
      <c r="AB503" s="36" t="s">
        <v>24</v>
      </c>
      <c r="AC503" s="36" t="s">
        <v>848</v>
      </c>
      <c r="AD503" s="34"/>
      <c r="AE503" s="35">
        <f>IFERROR(INDEX([1]Last6M_AvgSales_Ref!$B$2:$B$12659,MATCH(D503,[1]Last6M_AvgSales_Ref!$A$2:$A$12659,0)),"")</f>
        <v>1219.3916666666701</v>
      </c>
    </row>
    <row r="504" spans="1:31" ht="14.25" customHeight="1" x14ac:dyDescent="0.3">
      <c r="A504" s="36" t="s">
        <v>848</v>
      </c>
      <c r="B504" s="38" t="s">
        <v>996</v>
      </c>
      <c r="C504" s="38" t="s">
        <v>1047</v>
      </c>
      <c r="D504" s="38">
        <v>1000002990</v>
      </c>
      <c r="E504" s="38" t="s">
        <v>1048</v>
      </c>
      <c r="F504" s="40">
        <v>44832</v>
      </c>
      <c r="G504" s="22" t="str">
        <f t="shared" si="98"/>
        <v>Targeted Dealer</v>
      </c>
      <c r="H504" s="22"/>
      <c r="I504" s="23">
        <v>100</v>
      </c>
      <c r="J504" s="23">
        <f t="shared" si="99"/>
        <v>100</v>
      </c>
      <c r="K504" s="24">
        <v>94.5</v>
      </c>
      <c r="L504" s="24">
        <f t="shared" si="100"/>
        <v>5.5</v>
      </c>
      <c r="M504" s="24">
        <f t="shared" si="101"/>
        <v>94.5</v>
      </c>
      <c r="N504" s="25">
        <v>94.5</v>
      </c>
      <c r="O504" s="26" t="str">
        <f t="shared" si="102"/>
        <v>June</v>
      </c>
      <c r="P504" s="25">
        <f t="shared" si="103"/>
        <v>94.5</v>
      </c>
      <c r="Q504" s="27">
        <f t="shared" si="104"/>
        <v>0</v>
      </c>
      <c r="R504" s="26" t="b">
        <f t="shared" si="105"/>
        <v>0</v>
      </c>
      <c r="S504" s="28" t="str">
        <f t="shared" si="106"/>
        <v>GROWTH</v>
      </c>
      <c r="T504" s="24">
        <v>27.5</v>
      </c>
      <c r="U504" s="29" t="str">
        <f t="shared" si="107"/>
        <v>May</v>
      </c>
      <c r="V504" s="24">
        <f t="shared" si="108"/>
        <v>27.5</v>
      </c>
      <c r="W504" s="30">
        <f t="shared" si="109"/>
        <v>67</v>
      </c>
      <c r="X504" s="31" t="b">
        <f t="shared" si="110"/>
        <v>0</v>
      </c>
      <c r="Y504" s="32" t="str">
        <f t="shared" si="111"/>
        <v>GROWTH</v>
      </c>
      <c r="Z504" s="41">
        <v>0</v>
      </c>
      <c r="AA504" s="36"/>
      <c r="AB504" s="36" t="s">
        <v>24</v>
      </c>
      <c r="AC504" s="36" t="s">
        <v>848</v>
      </c>
      <c r="AD504" s="34"/>
      <c r="AE504" s="35">
        <f>IFERROR(INDEX([1]Last6M_AvgSales_Ref!$B$2:$B$12659,MATCH(D504,[1]Last6M_AvgSales_Ref!$A$2:$A$12659,0)),"")</f>
        <v>47.3333333333333</v>
      </c>
    </row>
    <row r="505" spans="1:31" ht="14.25" customHeight="1" x14ac:dyDescent="0.3">
      <c r="A505" s="36" t="s">
        <v>848</v>
      </c>
      <c r="B505" s="38" t="s">
        <v>996</v>
      </c>
      <c r="C505" s="38" t="s">
        <v>1049</v>
      </c>
      <c r="D505" s="38">
        <v>1000003250</v>
      </c>
      <c r="E505" s="38" t="s">
        <v>1050</v>
      </c>
      <c r="F505" s="40">
        <v>44945</v>
      </c>
      <c r="G505" s="22" t="str">
        <f t="shared" si="98"/>
        <v>Targeted Dealer</v>
      </c>
      <c r="H505" s="22"/>
      <c r="I505" s="23">
        <v>80</v>
      </c>
      <c r="J505" s="23">
        <f t="shared" si="99"/>
        <v>80</v>
      </c>
      <c r="K505" s="24">
        <v>27</v>
      </c>
      <c r="L505" s="24">
        <f t="shared" si="100"/>
        <v>53</v>
      </c>
      <c r="M505" s="24">
        <f t="shared" si="101"/>
        <v>33.75</v>
      </c>
      <c r="N505" s="25">
        <v>3.5</v>
      </c>
      <c r="O505" s="26" t="str">
        <f t="shared" si="102"/>
        <v>June</v>
      </c>
      <c r="P505" s="25">
        <f t="shared" si="103"/>
        <v>3.5</v>
      </c>
      <c r="Q505" s="27">
        <f t="shared" si="104"/>
        <v>23.5</v>
      </c>
      <c r="R505" s="26" t="b">
        <f t="shared" si="105"/>
        <v>0</v>
      </c>
      <c r="S505" s="28" t="str">
        <f t="shared" si="106"/>
        <v>GROWTH</v>
      </c>
      <c r="T505" s="24">
        <v>13</v>
      </c>
      <c r="U505" s="29" t="str">
        <f t="shared" si="107"/>
        <v>May</v>
      </c>
      <c r="V505" s="24">
        <f t="shared" si="108"/>
        <v>13</v>
      </c>
      <c r="W505" s="30">
        <f t="shared" si="109"/>
        <v>14</v>
      </c>
      <c r="X505" s="31" t="b">
        <f t="shared" si="110"/>
        <v>0</v>
      </c>
      <c r="Y505" s="32" t="str">
        <f t="shared" si="111"/>
        <v>GROWTH</v>
      </c>
      <c r="Z505" s="41">
        <v>0</v>
      </c>
      <c r="AA505" s="36"/>
      <c r="AB505" s="36" t="s">
        <v>24</v>
      </c>
      <c r="AC505" s="36" t="s">
        <v>848</v>
      </c>
      <c r="AD505" s="34"/>
      <c r="AE505" s="35">
        <f>IFERROR(INDEX([1]Last6M_AvgSales_Ref!$B$2:$B$12659,MATCH(D505,[1]Last6M_AvgSales_Ref!$A$2:$A$12659,0)),"")</f>
        <v>7.25</v>
      </c>
    </row>
    <row r="506" spans="1:31" ht="14.25" customHeight="1" x14ac:dyDescent="0.3">
      <c r="A506" s="36" t="s">
        <v>848</v>
      </c>
      <c r="B506" s="38" t="s">
        <v>996</v>
      </c>
      <c r="C506" s="38" t="s">
        <v>1051</v>
      </c>
      <c r="D506" s="38">
        <v>1000003515</v>
      </c>
      <c r="E506" s="38" t="s">
        <v>1052</v>
      </c>
      <c r="F506" s="40">
        <v>45054</v>
      </c>
      <c r="G506" s="22" t="str">
        <f t="shared" si="98"/>
        <v>Targeted Dealer</v>
      </c>
      <c r="H506" s="22"/>
      <c r="I506" s="23">
        <v>200</v>
      </c>
      <c r="J506" s="23">
        <f t="shared" si="99"/>
        <v>200</v>
      </c>
      <c r="K506" s="24">
        <v>140.5</v>
      </c>
      <c r="L506" s="24">
        <f t="shared" si="100"/>
        <v>59.5</v>
      </c>
      <c r="M506" s="24">
        <f t="shared" si="101"/>
        <v>70.25</v>
      </c>
      <c r="N506" s="25">
        <v>133</v>
      </c>
      <c r="O506" s="26" t="str">
        <f t="shared" si="102"/>
        <v>June</v>
      </c>
      <c r="P506" s="25">
        <f t="shared" si="103"/>
        <v>133</v>
      </c>
      <c r="Q506" s="27">
        <f t="shared" si="104"/>
        <v>7.5</v>
      </c>
      <c r="R506" s="26" t="b">
        <f t="shared" si="105"/>
        <v>0</v>
      </c>
      <c r="S506" s="28" t="str">
        <f t="shared" si="106"/>
        <v>GROWTH</v>
      </c>
      <c r="T506" s="24">
        <v>71</v>
      </c>
      <c r="U506" s="29" t="str">
        <f t="shared" si="107"/>
        <v>May</v>
      </c>
      <c r="V506" s="24">
        <f t="shared" si="108"/>
        <v>71</v>
      </c>
      <c r="W506" s="30">
        <f t="shared" si="109"/>
        <v>69.5</v>
      </c>
      <c r="X506" s="31" t="b">
        <f t="shared" si="110"/>
        <v>0</v>
      </c>
      <c r="Y506" s="32" t="str">
        <f t="shared" si="111"/>
        <v>GROWTH</v>
      </c>
      <c r="Z506" s="41">
        <v>0</v>
      </c>
      <c r="AA506" s="36"/>
      <c r="AB506" s="36" t="s">
        <v>24</v>
      </c>
      <c r="AC506" s="36" t="s">
        <v>848</v>
      </c>
      <c r="AD506" s="34"/>
      <c r="AE506" s="35">
        <f>IFERROR(INDEX([1]Last6M_AvgSales_Ref!$B$2:$B$12659,MATCH(D506,[1]Last6M_AvgSales_Ref!$A$2:$A$12659,0)),"")</f>
        <v>139.166666666667</v>
      </c>
    </row>
    <row r="507" spans="1:31" ht="14.25" customHeight="1" x14ac:dyDescent="0.3">
      <c r="A507" s="36" t="s">
        <v>848</v>
      </c>
      <c r="B507" s="38" t="s">
        <v>996</v>
      </c>
      <c r="C507" s="38" t="s">
        <v>1053</v>
      </c>
      <c r="D507" s="38">
        <v>1000003592</v>
      </c>
      <c r="E507" s="38" t="s">
        <v>1054</v>
      </c>
      <c r="F507" s="40">
        <v>45080</v>
      </c>
      <c r="G507" s="22" t="str">
        <f t="shared" si="98"/>
        <v>Targeted Dealer</v>
      </c>
      <c r="H507" s="22"/>
      <c r="I507" s="23">
        <v>40</v>
      </c>
      <c r="J507" s="23">
        <f t="shared" si="99"/>
        <v>40</v>
      </c>
      <c r="K507" s="24">
        <v>0</v>
      </c>
      <c r="L507" s="24">
        <f t="shared" si="100"/>
        <v>40</v>
      </c>
      <c r="M507" s="24">
        <f t="shared" si="101"/>
        <v>0</v>
      </c>
      <c r="N507" s="25">
        <v>20.5</v>
      </c>
      <c r="O507" s="26" t="str">
        <f t="shared" si="102"/>
        <v>June</v>
      </c>
      <c r="P507" s="25">
        <f t="shared" si="103"/>
        <v>20.5</v>
      </c>
      <c r="Q507" s="27">
        <f t="shared" si="104"/>
        <v>-20.5</v>
      </c>
      <c r="R507" s="26" t="b">
        <f t="shared" si="105"/>
        <v>0</v>
      </c>
      <c r="S507" s="28" t="str">
        <f t="shared" si="106"/>
        <v>GROWTH</v>
      </c>
      <c r="T507" s="24">
        <v>3.5</v>
      </c>
      <c r="U507" s="29" t="str">
        <f t="shared" si="107"/>
        <v>May</v>
      </c>
      <c r="V507" s="24">
        <f t="shared" si="108"/>
        <v>3.5</v>
      </c>
      <c r="W507" s="30">
        <f t="shared" si="109"/>
        <v>-3.5</v>
      </c>
      <c r="X507" s="31" t="b">
        <f t="shared" si="110"/>
        <v>0</v>
      </c>
      <c r="Y507" s="32" t="str">
        <f t="shared" si="111"/>
        <v>GROWTH</v>
      </c>
      <c r="Z507" s="41">
        <v>0</v>
      </c>
      <c r="AA507" s="36"/>
      <c r="AB507" s="36" t="s">
        <v>24</v>
      </c>
      <c r="AC507" s="36" t="s">
        <v>848</v>
      </c>
      <c r="AD507" s="34"/>
      <c r="AE507" s="35">
        <f>IFERROR(INDEX([1]Last6M_AvgSales_Ref!$B$2:$B$12659,MATCH(D507,[1]Last6M_AvgSales_Ref!$A$2:$A$12659,0)),"")</f>
        <v>11.7083333333333</v>
      </c>
    </row>
    <row r="508" spans="1:31" ht="14.25" customHeight="1" x14ac:dyDescent="0.3">
      <c r="A508" s="36" t="s">
        <v>848</v>
      </c>
      <c r="B508" s="38" t="s">
        <v>996</v>
      </c>
      <c r="C508" s="38" t="s">
        <v>1055</v>
      </c>
      <c r="D508" s="38">
        <v>1000003744</v>
      </c>
      <c r="E508" s="38" t="s">
        <v>1056</v>
      </c>
      <c r="F508" s="40">
        <v>45233</v>
      </c>
      <c r="G508" s="22" t="str">
        <f t="shared" si="98"/>
        <v>Targeted Dealer</v>
      </c>
      <c r="H508" s="22"/>
      <c r="I508" s="23">
        <v>80</v>
      </c>
      <c r="J508" s="23">
        <f t="shared" si="99"/>
        <v>80</v>
      </c>
      <c r="K508" s="24">
        <v>0</v>
      </c>
      <c r="L508" s="24">
        <f t="shared" si="100"/>
        <v>80</v>
      </c>
      <c r="M508" s="24">
        <f t="shared" si="101"/>
        <v>0</v>
      </c>
      <c r="N508" s="25">
        <v>0</v>
      </c>
      <c r="O508" s="26" t="str">
        <f t="shared" si="102"/>
        <v>June</v>
      </c>
      <c r="P508" s="25">
        <f t="shared" si="103"/>
        <v>0</v>
      </c>
      <c r="Q508" s="27">
        <f t="shared" si="104"/>
        <v>0</v>
      </c>
      <c r="R508" s="26" t="b">
        <f t="shared" si="105"/>
        <v>0</v>
      </c>
      <c r="S508" s="28" t="b">
        <f t="shared" si="106"/>
        <v>0</v>
      </c>
      <c r="T508" s="24">
        <v>0</v>
      </c>
      <c r="U508" s="29" t="str">
        <f t="shared" si="107"/>
        <v>May</v>
      </c>
      <c r="V508" s="24">
        <f t="shared" si="108"/>
        <v>0</v>
      </c>
      <c r="W508" s="30">
        <f t="shared" si="109"/>
        <v>0</v>
      </c>
      <c r="X508" s="31" t="b">
        <f t="shared" si="110"/>
        <v>0</v>
      </c>
      <c r="Y508" s="32" t="b">
        <f t="shared" si="111"/>
        <v>0</v>
      </c>
      <c r="Z508" s="41">
        <v>0</v>
      </c>
      <c r="AA508" s="36"/>
      <c r="AB508" s="36" t="s">
        <v>24</v>
      </c>
      <c r="AC508" s="36" t="s">
        <v>848</v>
      </c>
      <c r="AD508" s="34"/>
      <c r="AE508" s="35">
        <f>IFERROR(INDEX([1]Last6M_AvgSales_Ref!$B$2:$B$12659,MATCH(D508,[1]Last6M_AvgSales_Ref!$A$2:$A$12659,0)),"")</f>
        <v>50</v>
      </c>
    </row>
    <row r="509" spans="1:31" ht="14.25" customHeight="1" x14ac:dyDescent="0.3">
      <c r="A509" s="41" t="s">
        <v>848</v>
      </c>
      <c r="B509" s="44" t="s">
        <v>996</v>
      </c>
      <c r="C509" s="44" t="s">
        <v>1057</v>
      </c>
      <c r="D509" s="44">
        <v>1000003901</v>
      </c>
      <c r="E509" s="44" t="s">
        <v>1058</v>
      </c>
      <c r="F509" s="40">
        <v>45382</v>
      </c>
      <c r="G509" s="22" t="str">
        <f t="shared" si="98"/>
        <v>Targeted Dealer</v>
      </c>
      <c r="H509" s="22"/>
      <c r="I509" s="23">
        <v>80</v>
      </c>
      <c r="J509" s="23">
        <f t="shared" si="99"/>
        <v>80</v>
      </c>
      <c r="K509" s="24">
        <v>170.5</v>
      </c>
      <c r="L509" s="24">
        <f t="shared" si="100"/>
        <v>-90.5</v>
      </c>
      <c r="M509" s="24">
        <f t="shared" si="101"/>
        <v>213.125</v>
      </c>
      <c r="N509" s="25">
        <v>68</v>
      </c>
      <c r="O509" s="26" t="str">
        <f t="shared" si="102"/>
        <v>June</v>
      </c>
      <c r="P509" s="25">
        <f t="shared" si="103"/>
        <v>68</v>
      </c>
      <c r="Q509" s="27">
        <f t="shared" si="104"/>
        <v>102.5</v>
      </c>
      <c r="R509" s="26" t="b">
        <f t="shared" si="105"/>
        <v>0</v>
      </c>
      <c r="S509" s="28" t="str">
        <f t="shared" si="106"/>
        <v>GROWTH</v>
      </c>
      <c r="T509" s="24">
        <v>13</v>
      </c>
      <c r="U509" s="29" t="str">
        <f t="shared" si="107"/>
        <v>May</v>
      </c>
      <c r="V509" s="24">
        <f t="shared" si="108"/>
        <v>13</v>
      </c>
      <c r="W509" s="30">
        <f t="shared" si="109"/>
        <v>157.5</v>
      </c>
      <c r="X509" s="31" t="b">
        <f t="shared" si="110"/>
        <v>0</v>
      </c>
      <c r="Y509" s="32" t="str">
        <f t="shared" si="111"/>
        <v>GROWTH</v>
      </c>
      <c r="Z509" s="41">
        <v>0</v>
      </c>
      <c r="AA509" s="36"/>
      <c r="AB509" s="36" t="s">
        <v>24</v>
      </c>
      <c r="AC509" s="41" t="s">
        <v>848</v>
      </c>
      <c r="AD509" s="34"/>
      <c r="AE509" s="35">
        <f>IFERROR(INDEX([1]Last6M_AvgSales_Ref!$B$2:$B$12659,MATCH(D509,[1]Last6M_AvgSales_Ref!$A$2:$A$12659,0)),"")</f>
        <v>55.9166666666667</v>
      </c>
    </row>
    <row r="510" spans="1:31" ht="14.25" customHeight="1" x14ac:dyDescent="0.3">
      <c r="A510" s="41" t="s">
        <v>848</v>
      </c>
      <c r="B510" s="44" t="s">
        <v>996</v>
      </c>
      <c r="C510" s="44" t="s">
        <v>1059</v>
      </c>
      <c r="D510" s="44">
        <v>1000003983</v>
      </c>
      <c r="E510" s="44" t="s">
        <v>1060</v>
      </c>
      <c r="F510" s="40">
        <v>45440</v>
      </c>
      <c r="G510" s="22" t="str">
        <f t="shared" si="98"/>
        <v>Targeted Dealer</v>
      </c>
      <c r="H510" s="22"/>
      <c r="I510" s="23">
        <v>260</v>
      </c>
      <c r="J510" s="23">
        <f t="shared" si="99"/>
        <v>260</v>
      </c>
      <c r="K510" s="24">
        <v>128.5</v>
      </c>
      <c r="L510" s="24">
        <f t="shared" si="100"/>
        <v>131.5</v>
      </c>
      <c r="M510" s="24">
        <f t="shared" si="101"/>
        <v>49.42307692307692</v>
      </c>
      <c r="N510" s="25">
        <v>177.5</v>
      </c>
      <c r="O510" s="26" t="str">
        <f t="shared" si="102"/>
        <v>June</v>
      </c>
      <c r="P510" s="25">
        <f t="shared" si="103"/>
        <v>177.5</v>
      </c>
      <c r="Q510" s="27">
        <f t="shared" si="104"/>
        <v>-49</v>
      </c>
      <c r="R510" s="26" t="b">
        <f t="shared" si="105"/>
        <v>0</v>
      </c>
      <c r="S510" s="28" t="str">
        <f t="shared" si="106"/>
        <v>GROWTH</v>
      </c>
      <c r="T510" s="24">
        <v>120.75</v>
      </c>
      <c r="U510" s="29" t="str">
        <f t="shared" si="107"/>
        <v>May</v>
      </c>
      <c r="V510" s="24">
        <f t="shared" si="108"/>
        <v>120.75</v>
      </c>
      <c r="W510" s="30">
        <f t="shared" si="109"/>
        <v>7.75</v>
      </c>
      <c r="X510" s="31" t="b">
        <f t="shared" si="110"/>
        <v>0</v>
      </c>
      <c r="Y510" s="32" t="str">
        <f t="shared" si="111"/>
        <v>GROWTH</v>
      </c>
      <c r="Z510" s="41">
        <v>0</v>
      </c>
      <c r="AA510" s="36"/>
      <c r="AB510" s="36" t="s">
        <v>24</v>
      </c>
      <c r="AC510" s="41" t="s">
        <v>848</v>
      </c>
      <c r="AD510" s="34"/>
      <c r="AE510" s="35">
        <f>IFERROR(INDEX([1]Last6M_AvgSales_Ref!$B$2:$B$12659,MATCH(D510,[1]Last6M_AvgSales_Ref!$A$2:$A$12659,0)),"")</f>
        <v>185.625</v>
      </c>
    </row>
    <row r="511" spans="1:31" ht="14.25" customHeight="1" x14ac:dyDescent="0.3">
      <c r="A511" s="41" t="s">
        <v>848</v>
      </c>
      <c r="B511" s="44" t="s">
        <v>996</v>
      </c>
      <c r="C511" s="44" t="s">
        <v>1061</v>
      </c>
      <c r="D511" s="44">
        <v>1000004023</v>
      </c>
      <c r="E511" s="44" t="s">
        <v>1062</v>
      </c>
      <c r="F511" s="40">
        <v>45472</v>
      </c>
      <c r="G511" s="22" t="str">
        <f t="shared" si="98"/>
        <v>Targeted Dealer</v>
      </c>
      <c r="H511" s="22"/>
      <c r="I511" s="23">
        <v>40</v>
      </c>
      <c r="J511" s="23">
        <f t="shared" si="99"/>
        <v>40</v>
      </c>
      <c r="K511" s="24">
        <v>31.5</v>
      </c>
      <c r="L511" s="24">
        <f t="shared" si="100"/>
        <v>8.5</v>
      </c>
      <c r="M511" s="24">
        <f t="shared" si="101"/>
        <v>78.75</v>
      </c>
      <c r="N511" s="25">
        <v>22.5</v>
      </c>
      <c r="O511" s="26" t="str">
        <f t="shared" si="102"/>
        <v>June</v>
      </c>
      <c r="P511" s="25">
        <f t="shared" si="103"/>
        <v>22.5</v>
      </c>
      <c r="Q511" s="27">
        <f t="shared" si="104"/>
        <v>9</v>
      </c>
      <c r="R511" s="26" t="b">
        <f t="shared" si="105"/>
        <v>0</v>
      </c>
      <c r="S511" s="28" t="str">
        <f t="shared" si="106"/>
        <v>GROWTH</v>
      </c>
      <c r="T511" s="24">
        <v>0</v>
      </c>
      <c r="U511" s="29" t="str">
        <f t="shared" si="107"/>
        <v>May</v>
      </c>
      <c r="V511" s="24">
        <f t="shared" si="108"/>
        <v>0</v>
      </c>
      <c r="W511" s="30">
        <f t="shared" si="109"/>
        <v>31.5</v>
      </c>
      <c r="X511" s="31" t="b">
        <f t="shared" si="110"/>
        <v>0</v>
      </c>
      <c r="Y511" s="32" t="b">
        <f t="shared" si="111"/>
        <v>0</v>
      </c>
      <c r="Z511" s="41">
        <v>0</v>
      </c>
      <c r="AA511" s="36"/>
      <c r="AB511" s="36" t="s">
        <v>24</v>
      </c>
      <c r="AC511" s="41" t="s">
        <v>848</v>
      </c>
      <c r="AD511" s="34"/>
      <c r="AE511" s="35">
        <f>IFERROR(INDEX([1]Last6M_AvgSales_Ref!$B$2:$B$12659,MATCH(D511,[1]Last6M_AvgSales_Ref!$A$2:$A$12659,0)),"")</f>
        <v>26.75</v>
      </c>
    </row>
    <row r="512" spans="1:31" ht="14.25" customHeight="1" x14ac:dyDescent="0.3">
      <c r="A512" s="41" t="s">
        <v>848</v>
      </c>
      <c r="B512" s="44" t="s">
        <v>996</v>
      </c>
      <c r="C512" s="44" t="s">
        <v>1063</v>
      </c>
      <c r="D512" s="44">
        <v>1000004085</v>
      </c>
      <c r="E512" s="44" t="s">
        <v>1064</v>
      </c>
      <c r="F512" s="40">
        <v>45518</v>
      </c>
      <c r="G512" s="22" t="str">
        <f t="shared" si="98"/>
        <v>Targeted Dealer</v>
      </c>
      <c r="H512" s="22"/>
      <c r="I512" s="23">
        <v>140</v>
      </c>
      <c r="J512" s="23">
        <f t="shared" si="99"/>
        <v>140</v>
      </c>
      <c r="K512" s="24">
        <v>134.5</v>
      </c>
      <c r="L512" s="24">
        <f t="shared" si="100"/>
        <v>5.5</v>
      </c>
      <c r="M512" s="24">
        <f t="shared" si="101"/>
        <v>96.071428571428584</v>
      </c>
      <c r="N512" s="25">
        <v>102</v>
      </c>
      <c r="O512" s="26" t="str">
        <f t="shared" si="102"/>
        <v>June</v>
      </c>
      <c r="P512" s="25">
        <f t="shared" si="103"/>
        <v>102</v>
      </c>
      <c r="Q512" s="27">
        <f t="shared" si="104"/>
        <v>32.5</v>
      </c>
      <c r="R512" s="26" t="b">
        <f t="shared" si="105"/>
        <v>0</v>
      </c>
      <c r="S512" s="28" t="str">
        <f t="shared" si="106"/>
        <v>GROWTH</v>
      </c>
      <c r="T512" s="24">
        <v>52.5</v>
      </c>
      <c r="U512" s="29" t="str">
        <f t="shared" si="107"/>
        <v>May</v>
      </c>
      <c r="V512" s="24">
        <f t="shared" si="108"/>
        <v>52.5</v>
      </c>
      <c r="W512" s="30">
        <f t="shared" si="109"/>
        <v>82</v>
      </c>
      <c r="X512" s="31" t="b">
        <f t="shared" si="110"/>
        <v>0</v>
      </c>
      <c r="Y512" s="32" t="str">
        <f t="shared" si="111"/>
        <v>GROWTH</v>
      </c>
      <c r="Z512" s="41">
        <v>0</v>
      </c>
      <c r="AA512" s="36"/>
      <c r="AB512" s="36" t="s">
        <v>24</v>
      </c>
      <c r="AC512" s="41" t="s">
        <v>848</v>
      </c>
      <c r="AD512" s="34"/>
      <c r="AE512" s="35">
        <f>IFERROR(INDEX([1]Last6M_AvgSales_Ref!$B$2:$B$12659,MATCH(D512,[1]Last6M_AvgSales_Ref!$A$2:$A$12659,0)),"")</f>
        <v>93.3333333333333</v>
      </c>
    </row>
    <row r="513" spans="1:31" ht="14.25" customHeight="1" x14ac:dyDescent="0.3">
      <c r="A513" s="36" t="s">
        <v>848</v>
      </c>
      <c r="B513" s="38" t="s">
        <v>1065</v>
      </c>
      <c r="C513" s="38" t="s">
        <v>1066</v>
      </c>
      <c r="D513" s="38">
        <v>1000000609</v>
      </c>
      <c r="E513" s="39" t="s">
        <v>1067</v>
      </c>
      <c r="F513" s="40">
        <v>38395</v>
      </c>
      <c r="G513" s="22" t="str">
        <f t="shared" si="98"/>
        <v>Targeted Dealer</v>
      </c>
      <c r="H513" s="22"/>
      <c r="I513" s="23">
        <v>40</v>
      </c>
      <c r="J513" s="23">
        <f t="shared" si="99"/>
        <v>40</v>
      </c>
      <c r="K513" s="24">
        <v>0</v>
      </c>
      <c r="L513" s="24">
        <f t="shared" si="100"/>
        <v>40</v>
      </c>
      <c r="M513" s="24">
        <f t="shared" si="101"/>
        <v>0</v>
      </c>
      <c r="N513" s="25">
        <v>0</v>
      </c>
      <c r="O513" s="26" t="str">
        <f t="shared" si="102"/>
        <v>June</v>
      </c>
      <c r="P513" s="25">
        <f t="shared" si="103"/>
        <v>0</v>
      </c>
      <c r="Q513" s="27">
        <f t="shared" si="104"/>
        <v>0</v>
      </c>
      <c r="R513" s="26" t="b">
        <f t="shared" si="105"/>
        <v>0</v>
      </c>
      <c r="S513" s="28" t="b">
        <f t="shared" si="106"/>
        <v>0</v>
      </c>
      <c r="T513" s="24">
        <v>0</v>
      </c>
      <c r="U513" s="29" t="str">
        <f t="shared" si="107"/>
        <v>May</v>
      </c>
      <c r="V513" s="24">
        <f t="shared" si="108"/>
        <v>0</v>
      </c>
      <c r="W513" s="30">
        <f t="shared" si="109"/>
        <v>0</v>
      </c>
      <c r="X513" s="31" t="b">
        <f t="shared" si="110"/>
        <v>0</v>
      </c>
      <c r="Y513" s="32" t="b">
        <f t="shared" si="111"/>
        <v>0</v>
      </c>
      <c r="Z513" s="41">
        <v>0</v>
      </c>
      <c r="AA513" s="36"/>
      <c r="AB513" s="36" t="s">
        <v>24</v>
      </c>
      <c r="AC513" s="36" t="s">
        <v>848</v>
      </c>
      <c r="AD513" s="34"/>
      <c r="AE513" s="35">
        <f>IFERROR(INDEX([1]Last6M_AvgSales_Ref!$B$2:$B$12659,MATCH(D513,[1]Last6M_AvgSales_Ref!$A$2:$A$12659,0)),"")</f>
        <v>6.6666666666666696</v>
      </c>
    </row>
    <row r="514" spans="1:31" ht="14.25" customHeight="1" x14ac:dyDescent="0.3">
      <c r="A514" s="36" t="s">
        <v>848</v>
      </c>
      <c r="B514" s="38" t="s">
        <v>1065</v>
      </c>
      <c r="C514" s="38" t="s">
        <v>1068</v>
      </c>
      <c r="D514" s="38">
        <v>1000000607</v>
      </c>
      <c r="E514" s="39" t="s">
        <v>1069</v>
      </c>
      <c r="F514" s="40">
        <v>41215</v>
      </c>
      <c r="G514" s="22" t="str">
        <f t="shared" si="98"/>
        <v>Targeted Dealer</v>
      </c>
      <c r="H514" s="22"/>
      <c r="I514" s="23">
        <v>2220</v>
      </c>
      <c r="J514" s="23">
        <f t="shared" si="99"/>
        <v>2220</v>
      </c>
      <c r="K514" s="24">
        <v>1495</v>
      </c>
      <c r="L514" s="24">
        <f t="shared" si="100"/>
        <v>725</v>
      </c>
      <c r="M514" s="24">
        <f t="shared" si="101"/>
        <v>67.342342342342349</v>
      </c>
      <c r="N514" s="25">
        <v>765</v>
      </c>
      <c r="O514" s="26" t="str">
        <f t="shared" si="102"/>
        <v>June</v>
      </c>
      <c r="P514" s="25">
        <f t="shared" si="103"/>
        <v>765</v>
      </c>
      <c r="Q514" s="27">
        <f t="shared" si="104"/>
        <v>730</v>
      </c>
      <c r="R514" s="26" t="b">
        <f t="shared" si="105"/>
        <v>0</v>
      </c>
      <c r="S514" s="28" t="str">
        <f t="shared" si="106"/>
        <v>GROWTH</v>
      </c>
      <c r="T514" s="24">
        <v>1105</v>
      </c>
      <c r="U514" s="29" t="str">
        <f t="shared" si="107"/>
        <v>May</v>
      </c>
      <c r="V514" s="24">
        <f t="shared" si="108"/>
        <v>1105</v>
      </c>
      <c r="W514" s="30">
        <f t="shared" si="109"/>
        <v>390</v>
      </c>
      <c r="X514" s="31" t="b">
        <f t="shared" si="110"/>
        <v>0</v>
      </c>
      <c r="Y514" s="32" t="str">
        <f t="shared" si="111"/>
        <v>GROWTH</v>
      </c>
      <c r="Z514" s="41">
        <v>0</v>
      </c>
      <c r="AA514" s="36"/>
      <c r="AB514" s="36" t="s">
        <v>24</v>
      </c>
      <c r="AC514" s="36" t="s">
        <v>848</v>
      </c>
      <c r="AD514" s="34"/>
      <c r="AE514" s="35">
        <f>IFERROR(INDEX([1]Last6M_AvgSales_Ref!$B$2:$B$12659,MATCH(D514,[1]Last6M_AvgSales_Ref!$A$2:$A$12659,0)),"")</f>
        <v>1141.6666666666699</v>
      </c>
    </row>
    <row r="515" spans="1:31" ht="14.25" customHeight="1" x14ac:dyDescent="0.3">
      <c r="A515" s="36" t="s">
        <v>848</v>
      </c>
      <c r="B515" s="38" t="s">
        <v>1065</v>
      </c>
      <c r="C515" s="38" t="s">
        <v>1070</v>
      </c>
      <c r="D515" s="38">
        <v>1000000611</v>
      </c>
      <c r="E515" s="39" t="s">
        <v>1071</v>
      </c>
      <c r="F515" s="40">
        <v>41261</v>
      </c>
      <c r="G515" s="22" t="str">
        <f t="shared" ref="G515:G578" si="112">IF(I515&gt;0,"Targeted Dealer","-")</f>
        <v>Targeted Dealer</v>
      </c>
      <c r="H515" s="22"/>
      <c r="I515" s="23">
        <v>370</v>
      </c>
      <c r="J515" s="23">
        <f t="shared" ref="J515:J578" si="113">I515/$J$1*($J$1-$E$1)</f>
        <v>370</v>
      </c>
      <c r="K515" s="24">
        <v>240</v>
      </c>
      <c r="L515" s="24">
        <f t="shared" ref="L515:L578" si="114">I515-K515</f>
        <v>130</v>
      </c>
      <c r="M515" s="24">
        <f t="shared" ref="M515:M578" si="115">IFERROR((K515/J515%),"-")</f>
        <v>64.864864864864856</v>
      </c>
      <c r="N515" s="25">
        <v>220</v>
      </c>
      <c r="O515" s="26" t="str">
        <f t="shared" ref="O515:O578" si="116">IF(F515&lt;=$P$2,"June","")</f>
        <v>June</v>
      </c>
      <c r="P515" s="25">
        <f t="shared" ref="P515:P578" si="117">N515</f>
        <v>220</v>
      </c>
      <c r="Q515" s="27">
        <f t="shared" ref="Q515:Q578" si="118">K515-P515</f>
        <v>20</v>
      </c>
      <c r="R515" s="26" t="b">
        <f t="shared" ref="R515:R578" si="119">IFERROR(IF(O515="May",(K515/P515-1))," ")</f>
        <v>0</v>
      </c>
      <c r="S515" s="28" t="str">
        <f t="shared" ref="S515:S578" si="120">IF(N515&gt;0,IF(O515="","-",IF(R515&lt;0%,"DEGROWTH","GROWTH")))</f>
        <v>GROWTH</v>
      </c>
      <c r="T515" s="24">
        <v>180</v>
      </c>
      <c r="U515" s="29" t="str">
        <f t="shared" ref="U515:U578" si="121">IF(F515&lt;=$V$2,"May","")</f>
        <v>May</v>
      </c>
      <c r="V515" s="24">
        <f t="shared" ref="V515:V578" si="122">T515</f>
        <v>180</v>
      </c>
      <c r="W515" s="30">
        <f t="shared" ref="W515:W578" si="123">K515-V515</f>
        <v>60</v>
      </c>
      <c r="X515" s="31" t="b">
        <f t="shared" ref="X515:X578" si="124">IFERROR(IF(U515="June",(K515/V515-1)),0)</f>
        <v>0</v>
      </c>
      <c r="Y515" s="32" t="str">
        <f t="shared" ref="Y515:Y578" si="125">IF(T515&gt;0,IF(U515="","-",IF(X515&lt;0%,"DEGROWTH","GROWTH")))</f>
        <v>GROWTH</v>
      </c>
      <c r="Z515" s="41">
        <v>0</v>
      </c>
      <c r="AA515" s="36"/>
      <c r="AB515" s="36" t="s">
        <v>24</v>
      </c>
      <c r="AC515" s="36" t="s">
        <v>848</v>
      </c>
      <c r="AD515" s="34"/>
      <c r="AE515" s="35">
        <f>IFERROR(INDEX([1]Last6M_AvgSales_Ref!$B$2:$B$12659,MATCH(D515,[1]Last6M_AvgSales_Ref!$A$2:$A$12659,0)),"")</f>
        <v>258.33333333333297</v>
      </c>
    </row>
    <row r="516" spans="1:31" ht="14.25" customHeight="1" x14ac:dyDescent="0.3">
      <c r="A516" s="36" t="s">
        <v>848</v>
      </c>
      <c r="B516" s="38" t="s">
        <v>1065</v>
      </c>
      <c r="C516" s="38" t="s">
        <v>1072</v>
      </c>
      <c r="D516" s="38">
        <v>1000000614</v>
      </c>
      <c r="E516" s="39" t="s">
        <v>1073</v>
      </c>
      <c r="F516" s="40">
        <v>41527</v>
      </c>
      <c r="G516" s="22" t="str">
        <f t="shared" si="112"/>
        <v>Targeted Dealer</v>
      </c>
      <c r="H516" s="22"/>
      <c r="I516" s="23">
        <v>1740</v>
      </c>
      <c r="J516" s="23">
        <f t="shared" si="113"/>
        <v>1740</v>
      </c>
      <c r="K516" s="24">
        <v>1240</v>
      </c>
      <c r="L516" s="24">
        <f t="shared" si="114"/>
        <v>500</v>
      </c>
      <c r="M516" s="24">
        <f t="shared" si="115"/>
        <v>71.264367816091962</v>
      </c>
      <c r="N516" s="25">
        <v>1140</v>
      </c>
      <c r="O516" s="26" t="str">
        <f t="shared" si="116"/>
        <v>June</v>
      </c>
      <c r="P516" s="25">
        <f t="shared" si="117"/>
        <v>1140</v>
      </c>
      <c r="Q516" s="27">
        <f t="shared" si="118"/>
        <v>100</v>
      </c>
      <c r="R516" s="26" t="b">
        <f t="shared" si="119"/>
        <v>0</v>
      </c>
      <c r="S516" s="28" t="str">
        <f t="shared" si="120"/>
        <v>GROWTH</v>
      </c>
      <c r="T516" s="24">
        <v>860</v>
      </c>
      <c r="U516" s="29" t="str">
        <f t="shared" si="121"/>
        <v>May</v>
      </c>
      <c r="V516" s="24">
        <f t="shared" si="122"/>
        <v>860</v>
      </c>
      <c r="W516" s="30">
        <f t="shared" si="123"/>
        <v>380</v>
      </c>
      <c r="X516" s="31" t="b">
        <f t="shared" si="124"/>
        <v>0</v>
      </c>
      <c r="Y516" s="32" t="str">
        <f t="shared" si="125"/>
        <v>GROWTH</v>
      </c>
      <c r="Z516" s="41">
        <v>0</v>
      </c>
      <c r="AA516" s="36"/>
      <c r="AB516" s="36" t="s">
        <v>24</v>
      </c>
      <c r="AC516" s="36" t="s">
        <v>848</v>
      </c>
      <c r="AD516" s="34"/>
      <c r="AE516" s="35">
        <f>IFERROR(INDEX([1]Last6M_AvgSales_Ref!$B$2:$B$12659,MATCH(D516,[1]Last6M_AvgSales_Ref!$A$2:$A$12659,0)),"")</f>
        <v>1045</v>
      </c>
    </row>
    <row r="517" spans="1:31" ht="14.25" customHeight="1" x14ac:dyDescent="0.3">
      <c r="A517" s="36" t="s">
        <v>848</v>
      </c>
      <c r="B517" s="38" t="s">
        <v>1065</v>
      </c>
      <c r="C517" s="38" t="s">
        <v>1074</v>
      </c>
      <c r="D517" s="38">
        <v>1000000605</v>
      </c>
      <c r="E517" s="39" t="s">
        <v>1075</v>
      </c>
      <c r="F517" s="40">
        <v>42627</v>
      </c>
      <c r="G517" s="22" t="str">
        <f t="shared" si="112"/>
        <v>Targeted Dealer</v>
      </c>
      <c r="H517" s="22"/>
      <c r="I517" s="23">
        <v>180</v>
      </c>
      <c r="J517" s="23">
        <f t="shared" si="113"/>
        <v>180</v>
      </c>
      <c r="K517" s="24">
        <v>100</v>
      </c>
      <c r="L517" s="24">
        <f t="shared" si="114"/>
        <v>80</v>
      </c>
      <c r="M517" s="24">
        <f t="shared" si="115"/>
        <v>55.555555555555557</v>
      </c>
      <c r="N517" s="25">
        <v>220</v>
      </c>
      <c r="O517" s="26" t="str">
        <f t="shared" si="116"/>
        <v>June</v>
      </c>
      <c r="P517" s="25">
        <f t="shared" si="117"/>
        <v>220</v>
      </c>
      <c r="Q517" s="27">
        <f t="shared" si="118"/>
        <v>-120</v>
      </c>
      <c r="R517" s="26" t="b">
        <f t="shared" si="119"/>
        <v>0</v>
      </c>
      <c r="S517" s="28" t="str">
        <f t="shared" si="120"/>
        <v>GROWTH</v>
      </c>
      <c r="T517" s="24">
        <v>80</v>
      </c>
      <c r="U517" s="29" t="str">
        <f t="shared" si="121"/>
        <v>May</v>
      </c>
      <c r="V517" s="24">
        <f t="shared" si="122"/>
        <v>80</v>
      </c>
      <c r="W517" s="30">
        <f t="shared" si="123"/>
        <v>20</v>
      </c>
      <c r="X517" s="31" t="b">
        <f t="shared" si="124"/>
        <v>0</v>
      </c>
      <c r="Y517" s="32" t="str">
        <f t="shared" si="125"/>
        <v>GROWTH</v>
      </c>
      <c r="Z517" s="41">
        <v>0</v>
      </c>
      <c r="AA517" s="36"/>
      <c r="AB517" s="36" t="s">
        <v>24</v>
      </c>
      <c r="AC517" s="36" t="s">
        <v>848</v>
      </c>
      <c r="AD517" s="34"/>
      <c r="AE517" s="35">
        <f>IFERROR(INDEX([1]Last6M_AvgSales_Ref!$B$2:$B$12659,MATCH(D517,[1]Last6M_AvgSales_Ref!$A$2:$A$12659,0)),"")</f>
        <v>133.333333333333</v>
      </c>
    </row>
    <row r="518" spans="1:31" ht="14.25" customHeight="1" x14ac:dyDescent="0.3">
      <c r="A518" s="36" t="s">
        <v>848</v>
      </c>
      <c r="B518" s="38" t="s">
        <v>1065</v>
      </c>
      <c r="C518" s="38" t="s">
        <v>1076</v>
      </c>
      <c r="D518" s="38">
        <v>1000000604</v>
      </c>
      <c r="E518" s="39" t="s">
        <v>1077</v>
      </c>
      <c r="F518" s="40">
        <v>42703</v>
      </c>
      <c r="G518" s="22" t="str">
        <f t="shared" si="112"/>
        <v>Targeted Dealer</v>
      </c>
      <c r="H518" s="22"/>
      <c r="I518" s="23">
        <v>420</v>
      </c>
      <c r="J518" s="23">
        <f t="shared" si="113"/>
        <v>420</v>
      </c>
      <c r="K518" s="24">
        <v>142.5</v>
      </c>
      <c r="L518" s="24">
        <f t="shared" si="114"/>
        <v>277.5</v>
      </c>
      <c r="M518" s="24">
        <f t="shared" si="115"/>
        <v>33.928571428571431</v>
      </c>
      <c r="N518" s="25">
        <v>180</v>
      </c>
      <c r="O518" s="26" t="str">
        <f t="shared" si="116"/>
        <v>June</v>
      </c>
      <c r="P518" s="25">
        <f t="shared" si="117"/>
        <v>180</v>
      </c>
      <c r="Q518" s="27">
        <f t="shared" si="118"/>
        <v>-37.5</v>
      </c>
      <c r="R518" s="26" t="b">
        <f t="shared" si="119"/>
        <v>0</v>
      </c>
      <c r="S518" s="28" t="str">
        <f t="shared" si="120"/>
        <v>GROWTH</v>
      </c>
      <c r="T518" s="24">
        <v>200</v>
      </c>
      <c r="U518" s="29" t="str">
        <f t="shared" si="121"/>
        <v>May</v>
      </c>
      <c r="V518" s="24">
        <f t="shared" si="122"/>
        <v>200</v>
      </c>
      <c r="W518" s="30">
        <f t="shared" si="123"/>
        <v>-57.5</v>
      </c>
      <c r="X518" s="31" t="b">
        <f t="shared" si="124"/>
        <v>0</v>
      </c>
      <c r="Y518" s="32" t="str">
        <f t="shared" si="125"/>
        <v>GROWTH</v>
      </c>
      <c r="Z518" s="41">
        <v>0</v>
      </c>
      <c r="AA518" s="36"/>
      <c r="AB518" s="36" t="s">
        <v>24</v>
      </c>
      <c r="AC518" s="36" t="s">
        <v>848</v>
      </c>
      <c r="AD518" s="34"/>
      <c r="AE518" s="35">
        <f>IFERROR(INDEX([1]Last6M_AvgSales_Ref!$B$2:$B$12659,MATCH(D518,[1]Last6M_AvgSales_Ref!$A$2:$A$12659,0)),"")</f>
        <v>140.833333333333</v>
      </c>
    </row>
    <row r="519" spans="1:31" ht="14.25" customHeight="1" x14ac:dyDescent="0.3">
      <c r="A519" s="36" t="s">
        <v>848</v>
      </c>
      <c r="B519" s="38" t="s">
        <v>1065</v>
      </c>
      <c r="C519" s="38" t="s">
        <v>1078</v>
      </c>
      <c r="D519" s="38">
        <v>1000000613</v>
      </c>
      <c r="E519" s="39" t="s">
        <v>1079</v>
      </c>
      <c r="F519" s="40">
        <v>43259</v>
      </c>
      <c r="G519" s="22" t="str">
        <f t="shared" si="112"/>
        <v>Targeted Dealer</v>
      </c>
      <c r="H519" s="22"/>
      <c r="I519" s="23">
        <v>50</v>
      </c>
      <c r="J519" s="23">
        <f t="shared" si="113"/>
        <v>50</v>
      </c>
      <c r="K519" s="24">
        <v>40</v>
      </c>
      <c r="L519" s="24">
        <f t="shared" si="114"/>
        <v>10</v>
      </c>
      <c r="M519" s="24">
        <f t="shared" si="115"/>
        <v>80</v>
      </c>
      <c r="N519" s="25">
        <v>40</v>
      </c>
      <c r="O519" s="26" t="str">
        <f t="shared" si="116"/>
        <v>June</v>
      </c>
      <c r="P519" s="25">
        <f t="shared" si="117"/>
        <v>40</v>
      </c>
      <c r="Q519" s="27">
        <f t="shared" si="118"/>
        <v>0</v>
      </c>
      <c r="R519" s="26" t="b">
        <f t="shared" si="119"/>
        <v>0</v>
      </c>
      <c r="S519" s="28" t="str">
        <f t="shared" si="120"/>
        <v>GROWTH</v>
      </c>
      <c r="T519" s="24">
        <v>40</v>
      </c>
      <c r="U519" s="29" t="str">
        <f t="shared" si="121"/>
        <v>May</v>
      </c>
      <c r="V519" s="24">
        <f t="shared" si="122"/>
        <v>40</v>
      </c>
      <c r="W519" s="30">
        <f t="shared" si="123"/>
        <v>0</v>
      </c>
      <c r="X519" s="31" t="b">
        <f t="shared" si="124"/>
        <v>0</v>
      </c>
      <c r="Y519" s="32" t="str">
        <f t="shared" si="125"/>
        <v>GROWTH</v>
      </c>
      <c r="Z519" s="41">
        <v>0</v>
      </c>
      <c r="AA519" s="36"/>
      <c r="AB519" s="36" t="s">
        <v>24</v>
      </c>
      <c r="AC519" s="36" t="s">
        <v>848</v>
      </c>
      <c r="AD519" s="34"/>
      <c r="AE519" s="35">
        <f>IFERROR(INDEX([1]Last6M_AvgSales_Ref!$B$2:$B$12659,MATCH(D519,[1]Last6M_AvgSales_Ref!$A$2:$A$12659,0)),"")</f>
        <v>33.3333333333333</v>
      </c>
    </row>
    <row r="520" spans="1:31" ht="14.25" customHeight="1" x14ac:dyDescent="0.3">
      <c r="A520" s="36" t="s">
        <v>848</v>
      </c>
      <c r="B520" s="38" t="s">
        <v>1065</v>
      </c>
      <c r="C520" s="38" t="s">
        <v>1080</v>
      </c>
      <c r="D520" s="38">
        <v>1000002753</v>
      </c>
      <c r="E520" s="39" t="s">
        <v>1081</v>
      </c>
      <c r="F520" s="40">
        <v>44700</v>
      </c>
      <c r="G520" s="22" t="str">
        <f t="shared" si="112"/>
        <v>Targeted Dealer</v>
      </c>
      <c r="H520" s="22"/>
      <c r="I520" s="23">
        <v>90</v>
      </c>
      <c r="J520" s="23">
        <f t="shared" si="113"/>
        <v>90</v>
      </c>
      <c r="K520" s="24">
        <v>110</v>
      </c>
      <c r="L520" s="24">
        <f t="shared" si="114"/>
        <v>-20</v>
      </c>
      <c r="M520" s="24">
        <f t="shared" si="115"/>
        <v>122.22222222222221</v>
      </c>
      <c r="N520" s="25">
        <v>100</v>
      </c>
      <c r="O520" s="26" t="str">
        <f t="shared" si="116"/>
        <v>June</v>
      </c>
      <c r="P520" s="25">
        <f t="shared" si="117"/>
        <v>100</v>
      </c>
      <c r="Q520" s="27">
        <f t="shared" si="118"/>
        <v>10</v>
      </c>
      <c r="R520" s="26" t="b">
        <f t="shared" si="119"/>
        <v>0</v>
      </c>
      <c r="S520" s="28" t="str">
        <f t="shared" si="120"/>
        <v>GROWTH</v>
      </c>
      <c r="T520" s="24">
        <v>40</v>
      </c>
      <c r="U520" s="29" t="str">
        <f t="shared" si="121"/>
        <v>May</v>
      </c>
      <c r="V520" s="24">
        <f t="shared" si="122"/>
        <v>40</v>
      </c>
      <c r="W520" s="30">
        <f t="shared" si="123"/>
        <v>70</v>
      </c>
      <c r="X520" s="31" t="b">
        <f t="shared" si="124"/>
        <v>0</v>
      </c>
      <c r="Y520" s="32" t="str">
        <f t="shared" si="125"/>
        <v>GROWTH</v>
      </c>
      <c r="Z520" s="41">
        <v>0</v>
      </c>
      <c r="AA520" s="36"/>
      <c r="AB520" s="36" t="s">
        <v>24</v>
      </c>
      <c r="AC520" s="36" t="s">
        <v>848</v>
      </c>
      <c r="AD520" s="34"/>
      <c r="AE520" s="35">
        <f>IFERROR(INDEX([1]Last6M_AvgSales_Ref!$B$2:$B$12659,MATCH(D520,[1]Last6M_AvgSales_Ref!$A$2:$A$12659,0)),"")</f>
        <v>95</v>
      </c>
    </row>
    <row r="521" spans="1:31" ht="14.25" customHeight="1" x14ac:dyDescent="0.3">
      <c r="A521" s="36" t="s">
        <v>848</v>
      </c>
      <c r="B521" s="38" t="s">
        <v>1065</v>
      </c>
      <c r="C521" s="38" t="s">
        <v>1082</v>
      </c>
      <c r="D521" s="38">
        <v>1000003246</v>
      </c>
      <c r="E521" s="39" t="s">
        <v>1083</v>
      </c>
      <c r="F521" s="40">
        <v>44939</v>
      </c>
      <c r="G521" s="22" t="str">
        <f t="shared" si="112"/>
        <v>Targeted Dealer</v>
      </c>
      <c r="H521" s="22"/>
      <c r="I521" s="23">
        <v>170</v>
      </c>
      <c r="J521" s="23">
        <f t="shared" si="113"/>
        <v>170</v>
      </c>
      <c r="K521" s="24">
        <v>140</v>
      </c>
      <c r="L521" s="24">
        <f t="shared" si="114"/>
        <v>30</v>
      </c>
      <c r="M521" s="24">
        <f t="shared" si="115"/>
        <v>82.352941176470594</v>
      </c>
      <c r="N521" s="25">
        <v>440</v>
      </c>
      <c r="O521" s="26" t="str">
        <f t="shared" si="116"/>
        <v>June</v>
      </c>
      <c r="P521" s="25">
        <f t="shared" si="117"/>
        <v>440</v>
      </c>
      <c r="Q521" s="27">
        <f t="shared" si="118"/>
        <v>-300</v>
      </c>
      <c r="R521" s="26" t="b">
        <f t="shared" si="119"/>
        <v>0</v>
      </c>
      <c r="S521" s="28" t="str">
        <f t="shared" si="120"/>
        <v>GROWTH</v>
      </c>
      <c r="T521" s="24">
        <v>80</v>
      </c>
      <c r="U521" s="29" t="str">
        <f t="shared" si="121"/>
        <v>May</v>
      </c>
      <c r="V521" s="24">
        <f t="shared" si="122"/>
        <v>80</v>
      </c>
      <c r="W521" s="30">
        <f t="shared" si="123"/>
        <v>60</v>
      </c>
      <c r="X521" s="31" t="b">
        <f t="shared" si="124"/>
        <v>0</v>
      </c>
      <c r="Y521" s="32" t="str">
        <f t="shared" si="125"/>
        <v>GROWTH</v>
      </c>
      <c r="Z521" s="41">
        <v>0</v>
      </c>
      <c r="AA521" s="36"/>
      <c r="AB521" s="36" t="s">
        <v>24</v>
      </c>
      <c r="AC521" s="36" t="s">
        <v>848</v>
      </c>
      <c r="AD521" s="34"/>
      <c r="AE521" s="35">
        <f>IFERROR(INDEX([1]Last6M_AvgSales_Ref!$B$2:$B$12659,MATCH(D521,[1]Last6M_AvgSales_Ref!$A$2:$A$12659,0)),"")</f>
        <v>83.3333333333333</v>
      </c>
    </row>
    <row r="522" spans="1:31" ht="14.25" customHeight="1" x14ac:dyDescent="0.3">
      <c r="A522" s="36" t="s">
        <v>848</v>
      </c>
      <c r="B522" s="38" t="s">
        <v>1065</v>
      </c>
      <c r="C522" s="38" t="s">
        <v>1084</v>
      </c>
      <c r="D522" s="38">
        <v>1000003274</v>
      </c>
      <c r="E522" s="39" t="s">
        <v>1085</v>
      </c>
      <c r="F522" s="40">
        <v>44950</v>
      </c>
      <c r="G522" s="22" t="str">
        <f t="shared" si="112"/>
        <v>Targeted Dealer</v>
      </c>
      <c r="H522" s="22"/>
      <c r="I522" s="23">
        <v>210</v>
      </c>
      <c r="J522" s="23">
        <f t="shared" si="113"/>
        <v>210</v>
      </c>
      <c r="K522" s="24">
        <v>120</v>
      </c>
      <c r="L522" s="24">
        <f t="shared" si="114"/>
        <v>90</v>
      </c>
      <c r="M522" s="24">
        <f t="shared" si="115"/>
        <v>57.142857142857139</v>
      </c>
      <c r="N522" s="25">
        <v>140</v>
      </c>
      <c r="O522" s="26" t="str">
        <f t="shared" si="116"/>
        <v>June</v>
      </c>
      <c r="P522" s="25">
        <f t="shared" si="117"/>
        <v>140</v>
      </c>
      <c r="Q522" s="27">
        <f t="shared" si="118"/>
        <v>-20</v>
      </c>
      <c r="R522" s="26" t="b">
        <f t="shared" si="119"/>
        <v>0</v>
      </c>
      <c r="S522" s="28" t="str">
        <f t="shared" si="120"/>
        <v>GROWTH</v>
      </c>
      <c r="T522" s="24">
        <v>100</v>
      </c>
      <c r="U522" s="29" t="str">
        <f t="shared" si="121"/>
        <v>May</v>
      </c>
      <c r="V522" s="24">
        <f t="shared" si="122"/>
        <v>100</v>
      </c>
      <c r="W522" s="30">
        <f t="shared" si="123"/>
        <v>20</v>
      </c>
      <c r="X522" s="31" t="b">
        <f t="shared" si="124"/>
        <v>0</v>
      </c>
      <c r="Y522" s="32" t="str">
        <f t="shared" si="125"/>
        <v>GROWTH</v>
      </c>
      <c r="Z522" s="41">
        <v>0</v>
      </c>
      <c r="AA522" s="36"/>
      <c r="AB522" s="36" t="s">
        <v>24</v>
      </c>
      <c r="AC522" s="36" t="s">
        <v>848</v>
      </c>
      <c r="AD522" s="34"/>
      <c r="AE522" s="35">
        <f>IFERROR(INDEX([1]Last6M_AvgSales_Ref!$B$2:$B$12659,MATCH(D522,[1]Last6M_AvgSales_Ref!$A$2:$A$12659,0)),"")</f>
        <v>126.666666666667</v>
      </c>
    </row>
    <row r="523" spans="1:31" ht="14.25" customHeight="1" x14ac:dyDescent="0.3">
      <c r="A523" s="36" t="s">
        <v>848</v>
      </c>
      <c r="B523" s="38" t="s">
        <v>1065</v>
      </c>
      <c r="C523" s="38" t="s">
        <v>1086</v>
      </c>
      <c r="D523" s="38">
        <v>1000003278</v>
      </c>
      <c r="E523" s="39" t="s">
        <v>1087</v>
      </c>
      <c r="F523" s="40">
        <v>44951</v>
      </c>
      <c r="G523" s="22" t="str">
        <f t="shared" si="112"/>
        <v>Targeted Dealer</v>
      </c>
      <c r="H523" s="22"/>
      <c r="I523" s="23">
        <v>300</v>
      </c>
      <c r="J523" s="23">
        <f t="shared" si="113"/>
        <v>300</v>
      </c>
      <c r="K523" s="24">
        <v>235</v>
      </c>
      <c r="L523" s="24">
        <f t="shared" si="114"/>
        <v>65</v>
      </c>
      <c r="M523" s="24">
        <f t="shared" si="115"/>
        <v>78.333333333333329</v>
      </c>
      <c r="N523" s="25">
        <v>245</v>
      </c>
      <c r="O523" s="26" t="str">
        <f t="shared" si="116"/>
        <v>June</v>
      </c>
      <c r="P523" s="25">
        <f t="shared" si="117"/>
        <v>245</v>
      </c>
      <c r="Q523" s="27">
        <f t="shared" si="118"/>
        <v>-10</v>
      </c>
      <c r="R523" s="26" t="b">
        <f t="shared" si="119"/>
        <v>0</v>
      </c>
      <c r="S523" s="28" t="str">
        <f t="shared" si="120"/>
        <v>GROWTH</v>
      </c>
      <c r="T523" s="24">
        <v>0</v>
      </c>
      <c r="U523" s="29" t="str">
        <f t="shared" si="121"/>
        <v>May</v>
      </c>
      <c r="V523" s="24">
        <f t="shared" si="122"/>
        <v>0</v>
      </c>
      <c r="W523" s="30">
        <f t="shared" si="123"/>
        <v>235</v>
      </c>
      <c r="X523" s="31" t="b">
        <f t="shared" si="124"/>
        <v>0</v>
      </c>
      <c r="Y523" s="32" t="b">
        <f t="shared" si="125"/>
        <v>0</v>
      </c>
      <c r="Z523" s="41">
        <v>0</v>
      </c>
      <c r="AA523" s="36"/>
      <c r="AB523" s="36" t="s">
        <v>24</v>
      </c>
      <c r="AC523" s="36" t="s">
        <v>848</v>
      </c>
      <c r="AD523" s="34"/>
      <c r="AE523" s="35">
        <f>IFERROR(INDEX([1]Last6M_AvgSales_Ref!$B$2:$B$12659,MATCH(D523,[1]Last6M_AvgSales_Ref!$A$2:$A$12659,0)),"")</f>
        <v>282.5</v>
      </c>
    </row>
    <row r="524" spans="1:31" ht="14.25" customHeight="1" x14ac:dyDescent="0.3">
      <c r="A524" s="36" t="s">
        <v>848</v>
      </c>
      <c r="B524" s="38" t="s">
        <v>1065</v>
      </c>
      <c r="C524" s="38" t="s">
        <v>1088</v>
      </c>
      <c r="D524" s="38">
        <v>1000003324</v>
      </c>
      <c r="E524" s="39" t="s">
        <v>1089</v>
      </c>
      <c r="F524" s="40">
        <v>44965</v>
      </c>
      <c r="G524" s="22" t="str">
        <f t="shared" si="112"/>
        <v>Targeted Dealer</v>
      </c>
      <c r="H524" s="22"/>
      <c r="I524" s="23">
        <v>460</v>
      </c>
      <c r="J524" s="23">
        <f t="shared" si="113"/>
        <v>460</v>
      </c>
      <c r="K524" s="24">
        <v>260</v>
      </c>
      <c r="L524" s="24">
        <f t="shared" si="114"/>
        <v>200</v>
      </c>
      <c r="M524" s="24">
        <f t="shared" si="115"/>
        <v>56.521739130434788</v>
      </c>
      <c r="N524" s="25">
        <v>200</v>
      </c>
      <c r="O524" s="26" t="str">
        <f t="shared" si="116"/>
        <v>June</v>
      </c>
      <c r="P524" s="25">
        <f t="shared" si="117"/>
        <v>200</v>
      </c>
      <c r="Q524" s="27">
        <f t="shared" si="118"/>
        <v>60</v>
      </c>
      <c r="R524" s="26" t="b">
        <f t="shared" si="119"/>
        <v>0</v>
      </c>
      <c r="S524" s="28" t="str">
        <f t="shared" si="120"/>
        <v>GROWTH</v>
      </c>
      <c r="T524" s="24">
        <v>220</v>
      </c>
      <c r="U524" s="29" t="str">
        <f t="shared" si="121"/>
        <v>May</v>
      </c>
      <c r="V524" s="24">
        <f t="shared" si="122"/>
        <v>220</v>
      </c>
      <c r="W524" s="30">
        <f t="shared" si="123"/>
        <v>40</v>
      </c>
      <c r="X524" s="31" t="b">
        <f t="shared" si="124"/>
        <v>0</v>
      </c>
      <c r="Y524" s="32" t="str">
        <f t="shared" si="125"/>
        <v>GROWTH</v>
      </c>
      <c r="Z524" s="41">
        <v>0</v>
      </c>
      <c r="AA524" s="36"/>
      <c r="AB524" s="36" t="s">
        <v>24</v>
      </c>
      <c r="AC524" s="36" t="s">
        <v>848</v>
      </c>
      <c r="AD524" s="34"/>
      <c r="AE524" s="35">
        <f>IFERROR(INDEX([1]Last6M_AvgSales_Ref!$B$2:$B$12659,MATCH(D524,[1]Last6M_AvgSales_Ref!$A$2:$A$12659,0)),"")</f>
        <v>276.66666666666703</v>
      </c>
    </row>
    <row r="525" spans="1:31" ht="14.25" customHeight="1" x14ac:dyDescent="0.3">
      <c r="A525" s="41" t="s">
        <v>848</v>
      </c>
      <c r="B525" s="44" t="s">
        <v>1065</v>
      </c>
      <c r="C525" s="44" t="s">
        <v>1090</v>
      </c>
      <c r="D525" s="44">
        <v>1000003907</v>
      </c>
      <c r="E525" s="44" t="s">
        <v>1091</v>
      </c>
      <c r="F525" s="40">
        <v>45392</v>
      </c>
      <c r="G525" s="22" t="str">
        <f t="shared" si="112"/>
        <v>Targeted Dealer</v>
      </c>
      <c r="H525" s="22"/>
      <c r="I525" s="23">
        <v>1080</v>
      </c>
      <c r="J525" s="23">
        <f t="shared" si="113"/>
        <v>1080</v>
      </c>
      <c r="K525" s="24">
        <v>665</v>
      </c>
      <c r="L525" s="24">
        <f t="shared" si="114"/>
        <v>415</v>
      </c>
      <c r="M525" s="24">
        <f t="shared" si="115"/>
        <v>61.574074074074069</v>
      </c>
      <c r="N525" s="25">
        <v>169</v>
      </c>
      <c r="O525" s="26" t="str">
        <f t="shared" si="116"/>
        <v>June</v>
      </c>
      <c r="P525" s="25">
        <f t="shared" si="117"/>
        <v>169</v>
      </c>
      <c r="Q525" s="27">
        <f t="shared" si="118"/>
        <v>496</v>
      </c>
      <c r="R525" s="26" t="b">
        <f t="shared" si="119"/>
        <v>0</v>
      </c>
      <c r="S525" s="28" t="str">
        <f t="shared" si="120"/>
        <v>GROWTH</v>
      </c>
      <c r="T525" s="24">
        <v>530</v>
      </c>
      <c r="U525" s="29" t="str">
        <f t="shared" si="121"/>
        <v>May</v>
      </c>
      <c r="V525" s="24">
        <f t="shared" si="122"/>
        <v>530</v>
      </c>
      <c r="W525" s="30">
        <f t="shared" si="123"/>
        <v>135</v>
      </c>
      <c r="X525" s="31" t="b">
        <f t="shared" si="124"/>
        <v>0</v>
      </c>
      <c r="Y525" s="32" t="str">
        <f t="shared" si="125"/>
        <v>GROWTH</v>
      </c>
      <c r="Z525" s="41">
        <v>0</v>
      </c>
      <c r="AA525" s="36"/>
      <c r="AB525" s="36" t="s">
        <v>24</v>
      </c>
      <c r="AC525" s="41" t="s">
        <v>848</v>
      </c>
      <c r="AD525" s="34"/>
      <c r="AE525" s="35">
        <f>IFERROR(INDEX([1]Last6M_AvgSales_Ref!$B$2:$B$12659,MATCH(D525,[1]Last6M_AvgSales_Ref!$A$2:$A$12659,0)),"")</f>
        <v>625.83333333333303</v>
      </c>
    </row>
    <row r="526" spans="1:31" ht="14.25" customHeight="1" x14ac:dyDescent="0.3">
      <c r="A526" s="41" t="s">
        <v>848</v>
      </c>
      <c r="B526" s="44" t="s">
        <v>1065</v>
      </c>
      <c r="C526" s="44" t="s">
        <v>1092</v>
      </c>
      <c r="D526" s="44">
        <v>1000004062</v>
      </c>
      <c r="E526" s="44" t="s">
        <v>1093</v>
      </c>
      <c r="F526" s="40">
        <v>45498</v>
      </c>
      <c r="G526" s="22" t="str">
        <f t="shared" si="112"/>
        <v>Targeted Dealer</v>
      </c>
      <c r="H526" s="22"/>
      <c r="I526" s="23">
        <v>40</v>
      </c>
      <c r="J526" s="23">
        <f t="shared" si="113"/>
        <v>40</v>
      </c>
      <c r="K526" s="24">
        <v>20</v>
      </c>
      <c r="L526" s="24">
        <f t="shared" si="114"/>
        <v>20</v>
      </c>
      <c r="M526" s="24">
        <f t="shared" si="115"/>
        <v>50</v>
      </c>
      <c r="N526" s="25">
        <v>20</v>
      </c>
      <c r="O526" s="26" t="str">
        <f t="shared" si="116"/>
        <v>June</v>
      </c>
      <c r="P526" s="25">
        <f t="shared" si="117"/>
        <v>20</v>
      </c>
      <c r="Q526" s="27">
        <f t="shared" si="118"/>
        <v>0</v>
      </c>
      <c r="R526" s="26" t="b">
        <f t="shared" si="119"/>
        <v>0</v>
      </c>
      <c r="S526" s="28" t="str">
        <f t="shared" si="120"/>
        <v>GROWTH</v>
      </c>
      <c r="T526" s="24">
        <v>0</v>
      </c>
      <c r="U526" s="29" t="str">
        <f t="shared" si="121"/>
        <v>May</v>
      </c>
      <c r="V526" s="24">
        <f t="shared" si="122"/>
        <v>0</v>
      </c>
      <c r="W526" s="30">
        <f t="shared" si="123"/>
        <v>20</v>
      </c>
      <c r="X526" s="31" t="b">
        <f t="shared" si="124"/>
        <v>0</v>
      </c>
      <c r="Y526" s="32" t="b">
        <f t="shared" si="125"/>
        <v>0</v>
      </c>
      <c r="Z526" s="41">
        <v>0</v>
      </c>
      <c r="AA526" s="36"/>
      <c r="AB526" s="36" t="s">
        <v>24</v>
      </c>
      <c r="AC526" s="41" t="s">
        <v>848</v>
      </c>
      <c r="AD526" s="34"/>
      <c r="AE526" s="35">
        <f>IFERROR(INDEX([1]Last6M_AvgSales_Ref!$B$2:$B$12659,MATCH(D526,[1]Last6M_AvgSales_Ref!$A$2:$A$12659,0)),"")</f>
        <v>33.3333333333333</v>
      </c>
    </row>
    <row r="527" spans="1:31" ht="14.25" customHeight="1" x14ac:dyDescent="0.3">
      <c r="A527" s="41" t="s">
        <v>848</v>
      </c>
      <c r="B527" s="44" t="s">
        <v>1065</v>
      </c>
      <c r="C527" s="44" t="s">
        <v>1094</v>
      </c>
      <c r="D527" s="44">
        <v>1000004082</v>
      </c>
      <c r="E527" s="44" t="s">
        <v>1095</v>
      </c>
      <c r="F527" s="40">
        <v>45516</v>
      </c>
      <c r="G527" s="22" t="str">
        <f t="shared" si="112"/>
        <v>Targeted Dealer</v>
      </c>
      <c r="H527" s="22"/>
      <c r="I527" s="23">
        <v>130</v>
      </c>
      <c r="J527" s="23">
        <f t="shared" si="113"/>
        <v>130</v>
      </c>
      <c r="K527" s="24">
        <v>65</v>
      </c>
      <c r="L527" s="24">
        <f t="shared" si="114"/>
        <v>65</v>
      </c>
      <c r="M527" s="24">
        <f t="shared" si="115"/>
        <v>50</v>
      </c>
      <c r="N527" s="25">
        <v>60</v>
      </c>
      <c r="O527" s="26" t="str">
        <f t="shared" si="116"/>
        <v>June</v>
      </c>
      <c r="P527" s="25">
        <f t="shared" si="117"/>
        <v>60</v>
      </c>
      <c r="Q527" s="27">
        <f t="shared" si="118"/>
        <v>5</v>
      </c>
      <c r="R527" s="26" t="b">
        <f t="shared" si="119"/>
        <v>0</v>
      </c>
      <c r="S527" s="28" t="str">
        <f t="shared" si="120"/>
        <v>GROWTH</v>
      </c>
      <c r="T527" s="24">
        <v>60</v>
      </c>
      <c r="U527" s="29" t="str">
        <f t="shared" si="121"/>
        <v>May</v>
      </c>
      <c r="V527" s="24">
        <f t="shared" si="122"/>
        <v>60</v>
      </c>
      <c r="W527" s="30">
        <f t="shared" si="123"/>
        <v>5</v>
      </c>
      <c r="X527" s="31" t="b">
        <f t="shared" si="124"/>
        <v>0</v>
      </c>
      <c r="Y527" s="32" t="str">
        <f t="shared" si="125"/>
        <v>GROWTH</v>
      </c>
      <c r="Z527" s="41">
        <v>0</v>
      </c>
      <c r="AA527" s="36"/>
      <c r="AB527" s="36" t="s">
        <v>24</v>
      </c>
      <c r="AC527" s="41" t="s">
        <v>848</v>
      </c>
      <c r="AD527" s="34"/>
      <c r="AE527" s="35">
        <f>IFERROR(INDEX([1]Last6M_AvgSales_Ref!$B$2:$B$12659,MATCH(D527,[1]Last6M_AvgSales_Ref!$A$2:$A$12659,0)),"")</f>
        <v>66.6666666666667</v>
      </c>
    </row>
    <row r="528" spans="1:31" ht="14.25" customHeight="1" x14ac:dyDescent="0.3">
      <c r="A528" s="41" t="s">
        <v>848</v>
      </c>
      <c r="B528" s="44" t="s">
        <v>1065</v>
      </c>
      <c r="C528" s="44" t="s">
        <v>1096</v>
      </c>
      <c r="D528" s="44">
        <v>1000004086</v>
      </c>
      <c r="E528" s="44" t="s">
        <v>1097</v>
      </c>
      <c r="F528" s="40">
        <v>45518</v>
      </c>
      <c r="G528" s="22" t="str">
        <f t="shared" si="112"/>
        <v>Targeted Dealer</v>
      </c>
      <c r="H528" s="22"/>
      <c r="I528" s="23">
        <v>80</v>
      </c>
      <c r="J528" s="23">
        <f t="shared" si="113"/>
        <v>80</v>
      </c>
      <c r="K528" s="24">
        <v>60</v>
      </c>
      <c r="L528" s="24">
        <f t="shared" si="114"/>
        <v>20</v>
      </c>
      <c r="M528" s="24">
        <f t="shared" si="115"/>
        <v>75</v>
      </c>
      <c r="N528" s="25">
        <v>60</v>
      </c>
      <c r="O528" s="26" t="str">
        <f t="shared" si="116"/>
        <v>June</v>
      </c>
      <c r="P528" s="25">
        <f t="shared" si="117"/>
        <v>60</v>
      </c>
      <c r="Q528" s="27">
        <f t="shared" si="118"/>
        <v>0</v>
      </c>
      <c r="R528" s="26" t="b">
        <f t="shared" si="119"/>
        <v>0</v>
      </c>
      <c r="S528" s="28" t="str">
        <f t="shared" si="120"/>
        <v>GROWTH</v>
      </c>
      <c r="T528" s="24">
        <v>76.2</v>
      </c>
      <c r="U528" s="29" t="str">
        <f t="shared" si="121"/>
        <v>May</v>
      </c>
      <c r="V528" s="24">
        <f t="shared" si="122"/>
        <v>76.2</v>
      </c>
      <c r="W528" s="30">
        <f t="shared" si="123"/>
        <v>-16.200000000000003</v>
      </c>
      <c r="X528" s="31" t="b">
        <f t="shared" si="124"/>
        <v>0</v>
      </c>
      <c r="Y528" s="32" t="str">
        <f t="shared" si="125"/>
        <v>GROWTH</v>
      </c>
      <c r="Z528" s="41">
        <v>0</v>
      </c>
      <c r="AA528" s="36"/>
      <c r="AB528" s="36" t="s">
        <v>24</v>
      </c>
      <c r="AC528" s="41" t="s">
        <v>848</v>
      </c>
      <c r="AD528" s="34"/>
      <c r="AE528" s="35">
        <f>IFERROR(INDEX([1]Last6M_AvgSales_Ref!$B$2:$B$12659,MATCH(D528,[1]Last6M_AvgSales_Ref!$A$2:$A$12659,0)),"")</f>
        <v>53.3333333333333</v>
      </c>
    </row>
    <row r="529" spans="1:31" ht="14.25" customHeight="1" x14ac:dyDescent="0.3">
      <c r="A529" s="36" t="s">
        <v>848</v>
      </c>
      <c r="B529" s="37" t="s">
        <v>1098</v>
      </c>
      <c r="C529" s="38" t="s">
        <v>1099</v>
      </c>
      <c r="D529" s="38">
        <v>1000000481</v>
      </c>
      <c r="E529" s="39" t="s">
        <v>1100</v>
      </c>
      <c r="F529" s="40">
        <v>38789</v>
      </c>
      <c r="G529" s="22" t="str">
        <f t="shared" si="112"/>
        <v>Targeted Dealer</v>
      </c>
      <c r="H529" s="22"/>
      <c r="I529" s="23">
        <v>5000</v>
      </c>
      <c r="J529" s="23">
        <f t="shared" si="113"/>
        <v>5000</v>
      </c>
      <c r="K529" s="24">
        <v>2707.3</v>
      </c>
      <c r="L529" s="24">
        <f t="shared" si="114"/>
        <v>2292.6999999999998</v>
      </c>
      <c r="M529" s="24">
        <f t="shared" si="115"/>
        <v>54.146000000000001</v>
      </c>
      <c r="N529" s="25">
        <v>1944</v>
      </c>
      <c r="O529" s="26" t="str">
        <f t="shared" si="116"/>
        <v>June</v>
      </c>
      <c r="P529" s="25">
        <f t="shared" si="117"/>
        <v>1944</v>
      </c>
      <c r="Q529" s="27">
        <f t="shared" si="118"/>
        <v>763.30000000000018</v>
      </c>
      <c r="R529" s="26" t="b">
        <f t="shared" si="119"/>
        <v>0</v>
      </c>
      <c r="S529" s="28" t="str">
        <f t="shared" si="120"/>
        <v>GROWTH</v>
      </c>
      <c r="T529" s="24">
        <v>2640</v>
      </c>
      <c r="U529" s="29" t="str">
        <f t="shared" si="121"/>
        <v>May</v>
      </c>
      <c r="V529" s="24">
        <f t="shared" si="122"/>
        <v>2640</v>
      </c>
      <c r="W529" s="30">
        <f t="shared" si="123"/>
        <v>67.300000000000182</v>
      </c>
      <c r="X529" s="31" t="b">
        <f t="shared" si="124"/>
        <v>0</v>
      </c>
      <c r="Y529" s="32" t="str">
        <f t="shared" si="125"/>
        <v>GROWTH</v>
      </c>
      <c r="Z529" s="41">
        <v>0</v>
      </c>
      <c r="AA529" s="36"/>
      <c r="AB529" s="36" t="s">
        <v>24</v>
      </c>
      <c r="AC529" s="36" t="s">
        <v>848</v>
      </c>
      <c r="AD529" s="34"/>
      <c r="AE529" s="35">
        <f>IFERROR(INDEX([1]Last6M_AvgSales_Ref!$B$2:$B$12659,MATCH(D529,[1]Last6M_AvgSales_Ref!$A$2:$A$12659,0)),"")</f>
        <v>2484.5833333333298</v>
      </c>
    </row>
    <row r="530" spans="1:31" ht="14.25" customHeight="1" x14ac:dyDescent="0.3">
      <c r="A530" s="36" t="s">
        <v>848</v>
      </c>
      <c r="B530" s="37" t="s">
        <v>1101</v>
      </c>
      <c r="C530" s="38" t="s">
        <v>1102</v>
      </c>
      <c r="D530" s="38">
        <v>1000000512</v>
      </c>
      <c r="E530" s="39" t="s">
        <v>1103</v>
      </c>
      <c r="F530" s="40">
        <v>38841</v>
      </c>
      <c r="G530" s="22" t="str">
        <f t="shared" si="112"/>
        <v>Targeted Dealer</v>
      </c>
      <c r="H530" s="22"/>
      <c r="I530" s="23">
        <v>4000</v>
      </c>
      <c r="J530" s="23">
        <f t="shared" si="113"/>
        <v>4000.0000000000005</v>
      </c>
      <c r="K530" s="24">
        <v>1999</v>
      </c>
      <c r="L530" s="24">
        <f t="shared" si="114"/>
        <v>2001</v>
      </c>
      <c r="M530" s="24">
        <f t="shared" si="115"/>
        <v>49.974999999999994</v>
      </c>
      <c r="N530" s="25">
        <v>1799</v>
      </c>
      <c r="O530" s="26" t="str">
        <f t="shared" si="116"/>
        <v>June</v>
      </c>
      <c r="P530" s="25">
        <f t="shared" si="117"/>
        <v>1799</v>
      </c>
      <c r="Q530" s="27">
        <f t="shared" si="118"/>
        <v>200</v>
      </c>
      <c r="R530" s="26" t="b">
        <f t="shared" si="119"/>
        <v>0</v>
      </c>
      <c r="S530" s="28" t="str">
        <f t="shared" si="120"/>
        <v>GROWTH</v>
      </c>
      <c r="T530" s="24">
        <v>1988</v>
      </c>
      <c r="U530" s="29" t="str">
        <f t="shared" si="121"/>
        <v>May</v>
      </c>
      <c r="V530" s="24">
        <f t="shared" si="122"/>
        <v>1988</v>
      </c>
      <c r="W530" s="30">
        <f t="shared" si="123"/>
        <v>11</v>
      </c>
      <c r="X530" s="31" t="b">
        <f t="shared" si="124"/>
        <v>0</v>
      </c>
      <c r="Y530" s="32" t="str">
        <f t="shared" si="125"/>
        <v>GROWTH</v>
      </c>
      <c r="Z530" s="41">
        <v>0</v>
      </c>
      <c r="AA530" s="36"/>
      <c r="AB530" s="36" t="s">
        <v>24</v>
      </c>
      <c r="AC530" s="36" t="s">
        <v>848</v>
      </c>
      <c r="AD530" s="34"/>
      <c r="AE530" s="35">
        <f>IFERROR(INDEX([1]Last6M_AvgSales_Ref!$B$2:$B$12659,MATCH(D530,[1]Last6M_AvgSales_Ref!$A$2:$A$12659,0)),"")</f>
        <v>2214</v>
      </c>
    </row>
    <row r="531" spans="1:31" ht="14.25" customHeight="1" x14ac:dyDescent="0.3">
      <c r="A531" s="36" t="s">
        <v>848</v>
      </c>
      <c r="B531" s="37" t="s">
        <v>1098</v>
      </c>
      <c r="C531" s="38" t="s">
        <v>1104</v>
      </c>
      <c r="D531" s="38">
        <v>1000000514</v>
      </c>
      <c r="E531" s="39" t="s">
        <v>1105</v>
      </c>
      <c r="F531" s="40">
        <v>38856</v>
      </c>
      <c r="G531" s="22" t="str">
        <f t="shared" si="112"/>
        <v>Targeted Dealer</v>
      </c>
      <c r="H531" s="22"/>
      <c r="I531" s="23">
        <v>2500</v>
      </c>
      <c r="J531" s="23">
        <f t="shared" si="113"/>
        <v>2500</v>
      </c>
      <c r="K531" s="24">
        <v>1004.6</v>
      </c>
      <c r="L531" s="24">
        <f t="shared" si="114"/>
        <v>1495.4</v>
      </c>
      <c r="M531" s="24">
        <f t="shared" si="115"/>
        <v>40.183999999999997</v>
      </c>
      <c r="N531" s="25">
        <v>945.35</v>
      </c>
      <c r="O531" s="26" t="str">
        <f t="shared" si="116"/>
        <v>June</v>
      </c>
      <c r="P531" s="25">
        <f t="shared" si="117"/>
        <v>945.35</v>
      </c>
      <c r="Q531" s="27">
        <f t="shared" si="118"/>
        <v>59.25</v>
      </c>
      <c r="R531" s="26" t="b">
        <f t="shared" si="119"/>
        <v>0</v>
      </c>
      <c r="S531" s="28" t="str">
        <f t="shared" si="120"/>
        <v>GROWTH</v>
      </c>
      <c r="T531" s="24">
        <v>1216</v>
      </c>
      <c r="U531" s="29" t="str">
        <f t="shared" si="121"/>
        <v>May</v>
      </c>
      <c r="V531" s="24">
        <f t="shared" si="122"/>
        <v>1216</v>
      </c>
      <c r="W531" s="30">
        <f t="shared" si="123"/>
        <v>-211.39999999999998</v>
      </c>
      <c r="X531" s="31" t="b">
        <f t="shared" si="124"/>
        <v>0</v>
      </c>
      <c r="Y531" s="32" t="str">
        <f t="shared" si="125"/>
        <v>GROWTH</v>
      </c>
      <c r="Z531" s="41">
        <v>0</v>
      </c>
      <c r="AA531" s="36"/>
      <c r="AB531" s="36" t="s">
        <v>24</v>
      </c>
      <c r="AC531" s="36" t="s">
        <v>848</v>
      </c>
      <c r="AD531" s="34"/>
      <c r="AE531" s="35">
        <f>IFERROR(INDEX([1]Last6M_AvgSales_Ref!$B$2:$B$12659,MATCH(D531,[1]Last6M_AvgSales_Ref!$A$2:$A$12659,0)),"")</f>
        <v>1232</v>
      </c>
    </row>
    <row r="532" spans="1:31" ht="14.25" customHeight="1" x14ac:dyDescent="0.3">
      <c r="A532" s="36" t="s">
        <v>848</v>
      </c>
      <c r="B532" s="37" t="s">
        <v>1098</v>
      </c>
      <c r="C532" s="38" t="s">
        <v>1106</v>
      </c>
      <c r="D532" s="38">
        <v>1000000515</v>
      </c>
      <c r="E532" s="39" t="s">
        <v>1107</v>
      </c>
      <c r="F532" s="40">
        <v>39972</v>
      </c>
      <c r="G532" s="22" t="str">
        <f t="shared" si="112"/>
        <v>Targeted Dealer</v>
      </c>
      <c r="H532" s="22"/>
      <c r="I532" s="23">
        <v>500</v>
      </c>
      <c r="J532" s="23">
        <f t="shared" si="113"/>
        <v>500.00000000000006</v>
      </c>
      <c r="K532" s="24">
        <v>255</v>
      </c>
      <c r="L532" s="24">
        <f t="shared" si="114"/>
        <v>245</v>
      </c>
      <c r="M532" s="24">
        <f t="shared" si="115"/>
        <v>50.999999999999993</v>
      </c>
      <c r="N532" s="25">
        <v>176</v>
      </c>
      <c r="O532" s="26" t="str">
        <f t="shared" si="116"/>
        <v>June</v>
      </c>
      <c r="P532" s="25">
        <f t="shared" si="117"/>
        <v>176</v>
      </c>
      <c r="Q532" s="27">
        <f t="shared" si="118"/>
        <v>79</v>
      </c>
      <c r="R532" s="26" t="b">
        <f t="shared" si="119"/>
        <v>0</v>
      </c>
      <c r="S532" s="28" t="str">
        <f t="shared" si="120"/>
        <v>GROWTH</v>
      </c>
      <c r="T532" s="24">
        <v>271</v>
      </c>
      <c r="U532" s="29" t="str">
        <f t="shared" si="121"/>
        <v>May</v>
      </c>
      <c r="V532" s="24">
        <f t="shared" si="122"/>
        <v>271</v>
      </c>
      <c r="W532" s="30">
        <f t="shared" si="123"/>
        <v>-16</v>
      </c>
      <c r="X532" s="31" t="b">
        <f t="shared" si="124"/>
        <v>0</v>
      </c>
      <c r="Y532" s="32" t="str">
        <f t="shared" si="125"/>
        <v>GROWTH</v>
      </c>
      <c r="Z532" s="41">
        <v>0</v>
      </c>
      <c r="AA532" s="36"/>
      <c r="AB532" s="36" t="s">
        <v>24</v>
      </c>
      <c r="AC532" s="36" t="s">
        <v>848</v>
      </c>
      <c r="AD532" s="34"/>
      <c r="AE532" s="35">
        <f>IFERROR(INDEX([1]Last6M_AvgSales_Ref!$B$2:$B$12659,MATCH(D532,[1]Last6M_AvgSales_Ref!$A$2:$A$12659,0)),"")</f>
        <v>226.57499999999999</v>
      </c>
    </row>
    <row r="533" spans="1:31" ht="14.25" customHeight="1" x14ac:dyDescent="0.3">
      <c r="A533" s="36" t="s">
        <v>848</v>
      </c>
      <c r="B533" s="37" t="s">
        <v>1098</v>
      </c>
      <c r="C533" s="38" t="s">
        <v>1108</v>
      </c>
      <c r="D533" s="38">
        <v>1000000519</v>
      </c>
      <c r="E533" s="39" t="s">
        <v>1109</v>
      </c>
      <c r="F533" s="40">
        <v>40275</v>
      </c>
      <c r="G533" s="22" t="str">
        <f t="shared" si="112"/>
        <v>Targeted Dealer</v>
      </c>
      <c r="H533" s="22"/>
      <c r="I533" s="23">
        <v>100</v>
      </c>
      <c r="J533" s="23">
        <f t="shared" si="113"/>
        <v>100</v>
      </c>
      <c r="K533" s="24">
        <v>180</v>
      </c>
      <c r="L533" s="24">
        <f t="shared" si="114"/>
        <v>-80</v>
      </c>
      <c r="M533" s="24">
        <f t="shared" si="115"/>
        <v>180</v>
      </c>
      <c r="N533" s="25">
        <v>80</v>
      </c>
      <c r="O533" s="26" t="str">
        <f t="shared" si="116"/>
        <v>June</v>
      </c>
      <c r="P533" s="25">
        <f t="shared" si="117"/>
        <v>80</v>
      </c>
      <c r="Q533" s="27">
        <f t="shared" si="118"/>
        <v>100</v>
      </c>
      <c r="R533" s="26" t="b">
        <f t="shared" si="119"/>
        <v>0</v>
      </c>
      <c r="S533" s="28" t="str">
        <f t="shared" si="120"/>
        <v>GROWTH</v>
      </c>
      <c r="T533" s="24">
        <v>25</v>
      </c>
      <c r="U533" s="29" t="str">
        <f t="shared" si="121"/>
        <v>May</v>
      </c>
      <c r="V533" s="24">
        <f t="shared" si="122"/>
        <v>25</v>
      </c>
      <c r="W533" s="30">
        <f t="shared" si="123"/>
        <v>155</v>
      </c>
      <c r="X533" s="31" t="b">
        <f t="shared" si="124"/>
        <v>0</v>
      </c>
      <c r="Y533" s="32" t="str">
        <f t="shared" si="125"/>
        <v>GROWTH</v>
      </c>
      <c r="Z533" s="41">
        <v>0</v>
      </c>
      <c r="AA533" s="36"/>
      <c r="AB533" s="36" t="s">
        <v>24</v>
      </c>
      <c r="AC533" s="36" t="s">
        <v>848</v>
      </c>
      <c r="AD533" s="34"/>
      <c r="AE533" s="35">
        <f>IFERROR(INDEX([1]Last6M_AvgSales_Ref!$B$2:$B$12659,MATCH(D533,[1]Last6M_AvgSales_Ref!$A$2:$A$12659,0)),"")</f>
        <v>76.116666666666703</v>
      </c>
    </row>
    <row r="534" spans="1:31" ht="14.25" customHeight="1" x14ac:dyDescent="0.3">
      <c r="A534" s="36" t="s">
        <v>848</v>
      </c>
      <c r="B534" s="37" t="s">
        <v>1098</v>
      </c>
      <c r="C534" s="38" t="s">
        <v>1110</v>
      </c>
      <c r="D534" s="38">
        <v>1000000527</v>
      </c>
      <c r="E534" s="39" t="s">
        <v>1111</v>
      </c>
      <c r="F534" s="40">
        <v>40597</v>
      </c>
      <c r="G534" s="22" t="str">
        <f t="shared" si="112"/>
        <v>Targeted Dealer</v>
      </c>
      <c r="H534" s="22"/>
      <c r="I534" s="23">
        <v>2100</v>
      </c>
      <c r="J534" s="23">
        <f t="shared" si="113"/>
        <v>2100</v>
      </c>
      <c r="K534" s="24">
        <v>1058</v>
      </c>
      <c r="L534" s="24">
        <f t="shared" si="114"/>
        <v>1042</v>
      </c>
      <c r="M534" s="24">
        <f t="shared" si="115"/>
        <v>50.38095238095238</v>
      </c>
      <c r="N534" s="25">
        <v>609</v>
      </c>
      <c r="O534" s="26" t="str">
        <f t="shared" si="116"/>
        <v>June</v>
      </c>
      <c r="P534" s="25">
        <f t="shared" si="117"/>
        <v>609</v>
      </c>
      <c r="Q534" s="27">
        <f t="shared" si="118"/>
        <v>449</v>
      </c>
      <c r="R534" s="26" t="b">
        <f t="shared" si="119"/>
        <v>0</v>
      </c>
      <c r="S534" s="28" t="str">
        <f t="shared" si="120"/>
        <v>GROWTH</v>
      </c>
      <c r="T534" s="24">
        <v>1027</v>
      </c>
      <c r="U534" s="29" t="str">
        <f t="shared" si="121"/>
        <v>May</v>
      </c>
      <c r="V534" s="24">
        <f t="shared" si="122"/>
        <v>1027</v>
      </c>
      <c r="W534" s="30">
        <f t="shared" si="123"/>
        <v>31</v>
      </c>
      <c r="X534" s="31" t="b">
        <f t="shared" si="124"/>
        <v>0</v>
      </c>
      <c r="Y534" s="32" t="str">
        <f t="shared" si="125"/>
        <v>GROWTH</v>
      </c>
      <c r="Z534" s="41">
        <v>0</v>
      </c>
      <c r="AA534" s="36"/>
      <c r="AB534" s="36" t="s">
        <v>24</v>
      </c>
      <c r="AC534" s="36" t="s">
        <v>848</v>
      </c>
      <c r="AD534" s="34"/>
      <c r="AE534" s="35">
        <f>IFERROR(INDEX([1]Last6M_AvgSales_Ref!$B$2:$B$12659,MATCH(D534,[1]Last6M_AvgSales_Ref!$A$2:$A$12659,0)),"")</f>
        <v>878.91666666666697</v>
      </c>
    </row>
    <row r="535" spans="1:31" ht="14.25" customHeight="1" x14ac:dyDescent="0.3">
      <c r="A535" s="36" t="s">
        <v>848</v>
      </c>
      <c r="B535" s="37" t="s">
        <v>1098</v>
      </c>
      <c r="C535" s="38" t="s">
        <v>1112</v>
      </c>
      <c r="D535" s="38">
        <v>1000000495</v>
      </c>
      <c r="E535" s="39" t="s">
        <v>1113</v>
      </c>
      <c r="F535" s="40">
        <v>40637</v>
      </c>
      <c r="G535" s="22" t="str">
        <f t="shared" si="112"/>
        <v>Targeted Dealer</v>
      </c>
      <c r="H535" s="22"/>
      <c r="I535" s="23">
        <v>2500</v>
      </c>
      <c r="J535" s="23">
        <f t="shared" si="113"/>
        <v>2500</v>
      </c>
      <c r="K535" s="24">
        <v>929</v>
      </c>
      <c r="L535" s="24">
        <f t="shared" si="114"/>
        <v>1571</v>
      </c>
      <c r="M535" s="24">
        <f t="shared" si="115"/>
        <v>37.159999999999997</v>
      </c>
      <c r="N535" s="25">
        <v>881</v>
      </c>
      <c r="O535" s="26" t="str">
        <f t="shared" si="116"/>
        <v>June</v>
      </c>
      <c r="P535" s="25">
        <f t="shared" si="117"/>
        <v>881</v>
      </c>
      <c r="Q535" s="27">
        <f t="shared" si="118"/>
        <v>48</v>
      </c>
      <c r="R535" s="26" t="b">
        <f t="shared" si="119"/>
        <v>0</v>
      </c>
      <c r="S535" s="28" t="str">
        <f t="shared" si="120"/>
        <v>GROWTH</v>
      </c>
      <c r="T535" s="24">
        <v>1223</v>
      </c>
      <c r="U535" s="29" t="str">
        <f t="shared" si="121"/>
        <v>May</v>
      </c>
      <c r="V535" s="24">
        <f t="shared" si="122"/>
        <v>1223</v>
      </c>
      <c r="W535" s="30">
        <f t="shared" si="123"/>
        <v>-294</v>
      </c>
      <c r="X535" s="31" t="b">
        <f t="shared" si="124"/>
        <v>0</v>
      </c>
      <c r="Y535" s="32" t="str">
        <f t="shared" si="125"/>
        <v>GROWTH</v>
      </c>
      <c r="Z535" s="41">
        <v>0</v>
      </c>
      <c r="AA535" s="36"/>
      <c r="AB535" s="36" t="s">
        <v>24</v>
      </c>
      <c r="AC535" s="36" t="s">
        <v>848</v>
      </c>
      <c r="AD535" s="34"/>
      <c r="AE535" s="35">
        <f>IFERROR(INDEX([1]Last6M_AvgSales_Ref!$B$2:$B$12659,MATCH(D535,[1]Last6M_AvgSales_Ref!$A$2:$A$12659,0)),"")</f>
        <v>1033.6666666666699</v>
      </c>
    </row>
    <row r="536" spans="1:31" ht="14.25" customHeight="1" x14ac:dyDescent="0.3">
      <c r="A536" s="36" t="s">
        <v>848</v>
      </c>
      <c r="B536" s="37" t="s">
        <v>1101</v>
      </c>
      <c r="C536" s="38" t="s">
        <v>1114</v>
      </c>
      <c r="D536" s="38">
        <v>1000000487</v>
      </c>
      <c r="E536" s="39" t="s">
        <v>1115</v>
      </c>
      <c r="F536" s="40">
        <v>40836</v>
      </c>
      <c r="G536" s="22" t="str">
        <f t="shared" si="112"/>
        <v>Targeted Dealer</v>
      </c>
      <c r="H536" s="22"/>
      <c r="I536" s="23">
        <v>50</v>
      </c>
      <c r="J536" s="23">
        <f t="shared" si="113"/>
        <v>50</v>
      </c>
      <c r="K536" s="24">
        <v>13.5</v>
      </c>
      <c r="L536" s="24">
        <f t="shared" si="114"/>
        <v>36.5</v>
      </c>
      <c r="M536" s="24">
        <f t="shared" si="115"/>
        <v>27</v>
      </c>
      <c r="N536" s="25">
        <v>0</v>
      </c>
      <c r="O536" s="26" t="str">
        <f t="shared" si="116"/>
        <v>June</v>
      </c>
      <c r="P536" s="25">
        <f t="shared" si="117"/>
        <v>0</v>
      </c>
      <c r="Q536" s="27">
        <f t="shared" si="118"/>
        <v>13.5</v>
      </c>
      <c r="R536" s="26" t="b">
        <f t="shared" si="119"/>
        <v>0</v>
      </c>
      <c r="S536" s="28" t="b">
        <f t="shared" si="120"/>
        <v>0</v>
      </c>
      <c r="T536" s="24">
        <v>0</v>
      </c>
      <c r="U536" s="29" t="str">
        <f t="shared" si="121"/>
        <v>May</v>
      </c>
      <c r="V536" s="24">
        <f t="shared" si="122"/>
        <v>0</v>
      </c>
      <c r="W536" s="30">
        <f t="shared" si="123"/>
        <v>13.5</v>
      </c>
      <c r="X536" s="31" t="b">
        <f t="shared" si="124"/>
        <v>0</v>
      </c>
      <c r="Y536" s="32" t="b">
        <f t="shared" si="125"/>
        <v>0</v>
      </c>
      <c r="Z536" s="41">
        <v>0</v>
      </c>
      <c r="AA536" s="36"/>
      <c r="AB536" s="36" t="s">
        <v>24</v>
      </c>
      <c r="AC536" s="36" t="s">
        <v>848</v>
      </c>
      <c r="AD536" s="34"/>
      <c r="AE536" s="35">
        <f>IFERROR(INDEX([1]Last6M_AvgSales_Ref!$B$2:$B$12659,MATCH(D536,[1]Last6M_AvgSales_Ref!$A$2:$A$12659,0)),"")</f>
        <v>6.5</v>
      </c>
    </row>
    <row r="537" spans="1:31" ht="14.25" customHeight="1" x14ac:dyDescent="0.3">
      <c r="A537" s="36" t="s">
        <v>848</v>
      </c>
      <c r="B537" s="37" t="s">
        <v>1098</v>
      </c>
      <c r="C537" s="38" t="s">
        <v>1116</v>
      </c>
      <c r="D537" s="38">
        <v>1000000488</v>
      </c>
      <c r="E537" s="39" t="s">
        <v>1117</v>
      </c>
      <c r="F537" s="40">
        <v>40875</v>
      </c>
      <c r="G537" s="22" t="str">
        <f t="shared" si="112"/>
        <v>Targeted Dealer</v>
      </c>
      <c r="H537" s="22"/>
      <c r="I537" s="23">
        <v>1600</v>
      </c>
      <c r="J537" s="23">
        <f t="shared" si="113"/>
        <v>1600</v>
      </c>
      <c r="K537" s="24">
        <v>710</v>
      </c>
      <c r="L537" s="24">
        <f t="shared" si="114"/>
        <v>890</v>
      </c>
      <c r="M537" s="24">
        <f t="shared" si="115"/>
        <v>44.375</v>
      </c>
      <c r="N537" s="25">
        <v>650</v>
      </c>
      <c r="O537" s="26" t="str">
        <f t="shared" si="116"/>
        <v>June</v>
      </c>
      <c r="P537" s="25">
        <f t="shared" si="117"/>
        <v>650</v>
      </c>
      <c r="Q537" s="27">
        <f t="shared" si="118"/>
        <v>60</v>
      </c>
      <c r="R537" s="26" t="b">
        <f t="shared" si="119"/>
        <v>0</v>
      </c>
      <c r="S537" s="28" t="str">
        <f t="shared" si="120"/>
        <v>GROWTH</v>
      </c>
      <c r="T537" s="24">
        <v>1050</v>
      </c>
      <c r="U537" s="29" t="str">
        <f t="shared" si="121"/>
        <v>May</v>
      </c>
      <c r="V537" s="24">
        <f t="shared" si="122"/>
        <v>1050</v>
      </c>
      <c r="W537" s="30">
        <f t="shared" si="123"/>
        <v>-340</v>
      </c>
      <c r="X537" s="31" t="b">
        <f t="shared" si="124"/>
        <v>0</v>
      </c>
      <c r="Y537" s="32" t="str">
        <f t="shared" si="125"/>
        <v>GROWTH</v>
      </c>
      <c r="Z537" s="41">
        <v>0</v>
      </c>
      <c r="AA537" s="36"/>
      <c r="AB537" s="36" t="s">
        <v>24</v>
      </c>
      <c r="AC537" s="36" t="s">
        <v>848</v>
      </c>
      <c r="AD537" s="34"/>
      <c r="AE537" s="35">
        <f>IFERROR(INDEX([1]Last6M_AvgSales_Ref!$B$2:$B$12659,MATCH(D537,[1]Last6M_AvgSales_Ref!$A$2:$A$12659,0)),"")</f>
        <v>781.25</v>
      </c>
    </row>
    <row r="538" spans="1:31" ht="14.25" customHeight="1" x14ac:dyDescent="0.3">
      <c r="A538" s="36" t="s">
        <v>848</v>
      </c>
      <c r="B538" s="37" t="s">
        <v>1098</v>
      </c>
      <c r="C538" s="38" t="s">
        <v>1118</v>
      </c>
      <c r="D538" s="38">
        <v>1000000522</v>
      </c>
      <c r="E538" s="39" t="s">
        <v>1119</v>
      </c>
      <c r="F538" s="40">
        <v>40885</v>
      </c>
      <c r="G538" s="22" t="str">
        <f t="shared" si="112"/>
        <v>Targeted Dealer</v>
      </c>
      <c r="H538" s="22"/>
      <c r="I538" s="23">
        <v>3300</v>
      </c>
      <c r="J538" s="23">
        <f t="shared" si="113"/>
        <v>3300</v>
      </c>
      <c r="K538" s="24">
        <v>852</v>
      </c>
      <c r="L538" s="24">
        <f t="shared" si="114"/>
        <v>2448</v>
      </c>
      <c r="M538" s="24">
        <f t="shared" si="115"/>
        <v>25.818181818181817</v>
      </c>
      <c r="N538" s="25">
        <v>741</v>
      </c>
      <c r="O538" s="26" t="str">
        <f t="shared" si="116"/>
        <v>June</v>
      </c>
      <c r="P538" s="25">
        <f t="shared" si="117"/>
        <v>741</v>
      </c>
      <c r="Q538" s="27">
        <f t="shared" si="118"/>
        <v>111</v>
      </c>
      <c r="R538" s="26" t="b">
        <f t="shared" si="119"/>
        <v>0</v>
      </c>
      <c r="S538" s="28" t="str">
        <f t="shared" si="120"/>
        <v>GROWTH</v>
      </c>
      <c r="T538" s="24">
        <v>1613</v>
      </c>
      <c r="U538" s="29" t="str">
        <f t="shared" si="121"/>
        <v>May</v>
      </c>
      <c r="V538" s="24">
        <f t="shared" si="122"/>
        <v>1613</v>
      </c>
      <c r="W538" s="30">
        <f t="shared" si="123"/>
        <v>-761</v>
      </c>
      <c r="X538" s="31" t="b">
        <f t="shared" si="124"/>
        <v>0</v>
      </c>
      <c r="Y538" s="32" t="str">
        <f t="shared" si="125"/>
        <v>GROWTH</v>
      </c>
      <c r="Z538" s="41">
        <v>0</v>
      </c>
      <c r="AA538" s="36"/>
      <c r="AB538" s="36" t="s">
        <v>24</v>
      </c>
      <c r="AC538" s="36" t="s">
        <v>848</v>
      </c>
      <c r="AD538" s="34"/>
      <c r="AE538" s="35">
        <f>IFERROR(INDEX([1]Last6M_AvgSales_Ref!$B$2:$B$12659,MATCH(D538,[1]Last6M_AvgSales_Ref!$A$2:$A$12659,0)),"")</f>
        <v>1122.9166666666699</v>
      </c>
    </row>
    <row r="539" spans="1:31" ht="14.25" customHeight="1" x14ac:dyDescent="0.3">
      <c r="A539" s="36" t="s">
        <v>848</v>
      </c>
      <c r="B539" s="37" t="s">
        <v>1098</v>
      </c>
      <c r="C539" s="38" t="s">
        <v>1120</v>
      </c>
      <c r="D539" s="38">
        <v>1000000491</v>
      </c>
      <c r="E539" s="39" t="s">
        <v>1121</v>
      </c>
      <c r="F539" s="40">
        <v>41080</v>
      </c>
      <c r="G539" s="22" t="str">
        <f t="shared" si="112"/>
        <v>Targeted Dealer</v>
      </c>
      <c r="H539" s="22"/>
      <c r="I539" s="23">
        <v>100</v>
      </c>
      <c r="J539" s="23">
        <f t="shared" si="113"/>
        <v>100</v>
      </c>
      <c r="K539" s="24">
        <v>20</v>
      </c>
      <c r="L539" s="24">
        <f t="shared" si="114"/>
        <v>80</v>
      </c>
      <c r="M539" s="24">
        <f t="shared" si="115"/>
        <v>20</v>
      </c>
      <c r="N539" s="25">
        <v>40</v>
      </c>
      <c r="O539" s="26" t="str">
        <f t="shared" si="116"/>
        <v>June</v>
      </c>
      <c r="P539" s="25">
        <f t="shared" si="117"/>
        <v>40</v>
      </c>
      <c r="Q539" s="27">
        <f t="shared" si="118"/>
        <v>-20</v>
      </c>
      <c r="R539" s="26" t="b">
        <f t="shared" si="119"/>
        <v>0</v>
      </c>
      <c r="S539" s="28" t="str">
        <f t="shared" si="120"/>
        <v>GROWTH</v>
      </c>
      <c r="T539" s="24">
        <v>50</v>
      </c>
      <c r="U539" s="29" t="str">
        <f t="shared" si="121"/>
        <v>May</v>
      </c>
      <c r="V539" s="24">
        <f t="shared" si="122"/>
        <v>50</v>
      </c>
      <c r="W539" s="30">
        <f t="shared" si="123"/>
        <v>-30</v>
      </c>
      <c r="X539" s="31" t="b">
        <f t="shared" si="124"/>
        <v>0</v>
      </c>
      <c r="Y539" s="32" t="str">
        <f t="shared" si="125"/>
        <v>GROWTH</v>
      </c>
      <c r="Z539" s="41">
        <v>0</v>
      </c>
      <c r="AA539" s="36"/>
      <c r="AB539" s="36" t="s">
        <v>24</v>
      </c>
      <c r="AC539" s="36" t="s">
        <v>848</v>
      </c>
      <c r="AD539" s="34"/>
      <c r="AE539" s="35">
        <f>IFERROR(INDEX([1]Last6M_AvgSales_Ref!$B$2:$B$12659,MATCH(D539,[1]Last6M_AvgSales_Ref!$A$2:$A$12659,0)),"")</f>
        <v>40</v>
      </c>
    </row>
    <row r="540" spans="1:31" ht="14.25" customHeight="1" x14ac:dyDescent="0.3">
      <c r="A540" s="36" t="s">
        <v>848</v>
      </c>
      <c r="B540" s="37" t="s">
        <v>1101</v>
      </c>
      <c r="C540" s="38" t="s">
        <v>1122</v>
      </c>
      <c r="D540" s="38">
        <v>1000000499</v>
      </c>
      <c r="E540" s="39" t="s">
        <v>1123</v>
      </c>
      <c r="F540" s="40">
        <v>41109</v>
      </c>
      <c r="G540" s="22" t="str">
        <f t="shared" si="112"/>
        <v>Targeted Dealer</v>
      </c>
      <c r="H540" s="22"/>
      <c r="I540" s="23">
        <v>3200</v>
      </c>
      <c r="J540" s="23">
        <f t="shared" si="113"/>
        <v>3200</v>
      </c>
      <c r="K540" s="24">
        <v>1078</v>
      </c>
      <c r="L540" s="24">
        <f t="shared" si="114"/>
        <v>2122</v>
      </c>
      <c r="M540" s="24">
        <f t="shared" si="115"/>
        <v>33.6875</v>
      </c>
      <c r="N540" s="25">
        <v>1373.5</v>
      </c>
      <c r="O540" s="26" t="str">
        <f t="shared" si="116"/>
        <v>June</v>
      </c>
      <c r="P540" s="25">
        <f t="shared" si="117"/>
        <v>1373.5</v>
      </c>
      <c r="Q540" s="27">
        <f t="shared" si="118"/>
        <v>-295.5</v>
      </c>
      <c r="R540" s="26" t="b">
        <f t="shared" si="119"/>
        <v>0</v>
      </c>
      <c r="S540" s="28" t="str">
        <f t="shared" si="120"/>
        <v>GROWTH</v>
      </c>
      <c r="T540" s="24">
        <v>1553</v>
      </c>
      <c r="U540" s="29" t="str">
        <f t="shared" si="121"/>
        <v>May</v>
      </c>
      <c r="V540" s="24">
        <f t="shared" si="122"/>
        <v>1553</v>
      </c>
      <c r="W540" s="30">
        <f t="shared" si="123"/>
        <v>-475</v>
      </c>
      <c r="X540" s="31" t="b">
        <f t="shared" si="124"/>
        <v>0</v>
      </c>
      <c r="Y540" s="32" t="str">
        <f t="shared" si="125"/>
        <v>GROWTH</v>
      </c>
      <c r="Z540" s="41">
        <v>0</v>
      </c>
      <c r="AA540" s="36"/>
      <c r="AB540" s="36" t="s">
        <v>24</v>
      </c>
      <c r="AC540" s="36" t="s">
        <v>848</v>
      </c>
      <c r="AD540" s="34"/>
      <c r="AE540" s="35">
        <f>IFERROR(INDEX([1]Last6M_AvgSales_Ref!$B$2:$B$12659,MATCH(D540,[1]Last6M_AvgSales_Ref!$A$2:$A$12659,0)),"")</f>
        <v>1565.74166666667</v>
      </c>
    </row>
    <row r="541" spans="1:31" ht="14.25" customHeight="1" x14ac:dyDescent="0.3">
      <c r="A541" s="36" t="s">
        <v>848</v>
      </c>
      <c r="B541" s="37" t="s">
        <v>1098</v>
      </c>
      <c r="C541" s="38" t="s">
        <v>1124</v>
      </c>
      <c r="D541" s="38">
        <v>1000000490</v>
      </c>
      <c r="E541" s="39" t="s">
        <v>1125</v>
      </c>
      <c r="F541" s="40">
        <v>41234</v>
      </c>
      <c r="G541" s="22" t="str">
        <f t="shared" si="112"/>
        <v>Targeted Dealer</v>
      </c>
      <c r="H541" s="22"/>
      <c r="I541" s="23">
        <v>1150</v>
      </c>
      <c r="J541" s="23">
        <f t="shared" si="113"/>
        <v>1150</v>
      </c>
      <c r="K541" s="24">
        <v>621</v>
      </c>
      <c r="L541" s="24">
        <f t="shared" si="114"/>
        <v>529</v>
      </c>
      <c r="M541" s="24">
        <f t="shared" si="115"/>
        <v>54</v>
      </c>
      <c r="N541" s="25">
        <v>352</v>
      </c>
      <c r="O541" s="26" t="str">
        <f t="shared" si="116"/>
        <v>June</v>
      </c>
      <c r="P541" s="25">
        <f t="shared" si="117"/>
        <v>352</v>
      </c>
      <c r="Q541" s="27">
        <f t="shared" si="118"/>
        <v>269</v>
      </c>
      <c r="R541" s="26" t="b">
        <f t="shared" si="119"/>
        <v>0</v>
      </c>
      <c r="S541" s="28" t="str">
        <f t="shared" si="120"/>
        <v>GROWTH</v>
      </c>
      <c r="T541" s="24">
        <v>556.70000000000005</v>
      </c>
      <c r="U541" s="29" t="str">
        <f t="shared" si="121"/>
        <v>May</v>
      </c>
      <c r="V541" s="24">
        <f t="shared" si="122"/>
        <v>556.70000000000005</v>
      </c>
      <c r="W541" s="30">
        <f t="shared" si="123"/>
        <v>64.299999999999955</v>
      </c>
      <c r="X541" s="31" t="b">
        <f t="shared" si="124"/>
        <v>0</v>
      </c>
      <c r="Y541" s="32" t="str">
        <f t="shared" si="125"/>
        <v>GROWTH</v>
      </c>
      <c r="Z541" s="41">
        <v>0</v>
      </c>
      <c r="AA541" s="36"/>
      <c r="AB541" s="36" t="s">
        <v>24</v>
      </c>
      <c r="AC541" s="36" t="s">
        <v>848</v>
      </c>
      <c r="AD541" s="34"/>
      <c r="AE541" s="35">
        <f>IFERROR(INDEX([1]Last6M_AvgSales_Ref!$B$2:$B$12659,MATCH(D541,[1]Last6M_AvgSales_Ref!$A$2:$A$12659,0)),"")</f>
        <v>669.33333333333303</v>
      </c>
    </row>
    <row r="542" spans="1:31" ht="14.25" customHeight="1" x14ac:dyDescent="0.3">
      <c r="A542" s="36" t="s">
        <v>848</v>
      </c>
      <c r="B542" s="37" t="s">
        <v>1101</v>
      </c>
      <c r="C542" s="38" t="s">
        <v>1126</v>
      </c>
      <c r="D542" s="38">
        <v>1000000523</v>
      </c>
      <c r="E542" s="39" t="s">
        <v>1127</v>
      </c>
      <c r="F542" s="40">
        <v>41256</v>
      </c>
      <c r="G542" s="22" t="str">
        <f t="shared" si="112"/>
        <v>Targeted Dealer</v>
      </c>
      <c r="H542" s="22"/>
      <c r="I542" s="23">
        <v>40</v>
      </c>
      <c r="J542" s="23">
        <f t="shared" si="113"/>
        <v>40</v>
      </c>
      <c r="K542" s="24">
        <v>13</v>
      </c>
      <c r="L542" s="24">
        <f t="shared" si="114"/>
        <v>27</v>
      </c>
      <c r="M542" s="24">
        <f t="shared" si="115"/>
        <v>32.5</v>
      </c>
      <c r="N542" s="25">
        <v>0</v>
      </c>
      <c r="O542" s="26" t="str">
        <f t="shared" si="116"/>
        <v>June</v>
      </c>
      <c r="P542" s="25">
        <f t="shared" si="117"/>
        <v>0</v>
      </c>
      <c r="Q542" s="27">
        <f t="shared" si="118"/>
        <v>13</v>
      </c>
      <c r="R542" s="26" t="b">
        <f t="shared" si="119"/>
        <v>0</v>
      </c>
      <c r="S542" s="28" t="b">
        <f t="shared" si="120"/>
        <v>0</v>
      </c>
      <c r="T542" s="24">
        <v>12.5</v>
      </c>
      <c r="U542" s="29" t="str">
        <f t="shared" si="121"/>
        <v>May</v>
      </c>
      <c r="V542" s="24">
        <f t="shared" si="122"/>
        <v>12.5</v>
      </c>
      <c r="W542" s="30">
        <f t="shared" si="123"/>
        <v>0.5</v>
      </c>
      <c r="X542" s="31" t="b">
        <f t="shared" si="124"/>
        <v>0</v>
      </c>
      <c r="Y542" s="32" t="str">
        <f t="shared" si="125"/>
        <v>GROWTH</v>
      </c>
      <c r="Z542" s="41">
        <v>0</v>
      </c>
      <c r="AA542" s="36"/>
      <c r="AB542" s="36" t="s">
        <v>24</v>
      </c>
      <c r="AC542" s="36" t="s">
        <v>848</v>
      </c>
      <c r="AD542" s="34"/>
      <c r="AE542" s="35">
        <f>IFERROR(INDEX([1]Last6M_AvgSales_Ref!$B$2:$B$12659,MATCH(D542,[1]Last6M_AvgSales_Ref!$A$2:$A$12659,0)),"")</f>
        <v>11</v>
      </c>
    </row>
    <row r="543" spans="1:31" ht="14.25" customHeight="1" x14ac:dyDescent="0.3">
      <c r="A543" s="36" t="s">
        <v>848</v>
      </c>
      <c r="B543" s="37" t="s">
        <v>1098</v>
      </c>
      <c r="C543" s="38" t="s">
        <v>1128</v>
      </c>
      <c r="D543" s="38">
        <v>1000000497</v>
      </c>
      <c r="E543" s="39" t="s">
        <v>1129</v>
      </c>
      <c r="F543" s="40">
        <v>41297</v>
      </c>
      <c r="G543" s="22" t="str">
        <f t="shared" si="112"/>
        <v>Targeted Dealer</v>
      </c>
      <c r="H543" s="22"/>
      <c r="I543" s="23">
        <v>250</v>
      </c>
      <c r="J543" s="23">
        <f t="shared" si="113"/>
        <v>250.00000000000003</v>
      </c>
      <c r="K543" s="24">
        <v>130</v>
      </c>
      <c r="L543" s="24">
        <f t="shared" si="114"/>
        <v>120</v>
      </c>
      <c r="M543" s="24">
        <f t="shared" si="115"/>
        <v>51.999999999999993</v>
      </c>
      <c r="N543" s="25">
        <v>50</v>
      </c>
      <c r="O543" s="26" t="str">
        <f t="shared" si="116"/>
        <v>June</v>
      </c>
      <c r="P543" s="25">
        <f t="shared" si="117"/>
        <v>50</v>
      </c>
      <c r="Q543" s="27">
        <f t="shared" si="118"/>
        <v>80</v>
      </c>
      <c r="R543" s="26" t="b">
        <f t="shared" si="119"/>
        <v>0</v>
      </c>
      <c r="S543" s="28" t="str">
        <f t="shared" si="120"/>
        <v>GROWTH</v>
      </c>
      <c r="T543" s="24">
        <v>105</v>
      </c>
      <c r="U543" s="29" t="str">
        <f t="shared" si="121"/>
        <v>May</v>
      </c>
      <c r="V543" s="24">
        <f t="shared" si="122"/>
        <v>105</v>
      </c>
      <c r="W543" s="30">
        <f t="shared" si="123"/>
        <v>25</v>
      </c>
      <c r="X543" s="31" t="b">
        <f t="shared" si="124"/>
        <v>0</v>
      </c>
      <c r="Y543" s="32" t="str">
        <f t="shared" si="125"/>
        <v>GROWTH</v>
      </c>
      <c r="Z543" s="41">
        <v>0</v>
      </c>
      <c r="AA543" s="36"/>
      <c r="AB543" s="36" t="s">
        <v>24</v>
      </c>
      <c r="AC543" s="36" t="s">
        <v>848</v>
      </c>
      <c r="AD543" s="34"/>
      <c r="AE543" s="35">
        <f>IFERROR(INDEX([1]Last6M_AvgSales_Ref!$B$2:$B$12659,MATCH(D543,[1]Last6M_AvgSales_Ref!$A$2:$A$12659,0)),"")</f>
        <v>92.5833333333333</v>
      </c>
    </row>
    <row r="544" spans="1:31" ht="14.25" customHeight="1" x14ac:dyDescent="0.3">
      <c r="A544" s="36" t="s">
        <v>848</v>
      </c>
      <c r="B544" s="37" t="s">
        <v>1101</v>
      </c>
      <c r="C544" s="38" t="s">
        <v>1130</v>
      </c>
      <c r="D544" s="38">
        <v>1000000511</v>
      </c>
      <c r="E544" s="39" t="s">
        <v>1131</v>
      </c>
      <c r="F544" s="40">
        <v>41401</v>
      </c>
      <c r="G544" s="22" t="str">
        <f t="shared" si="112"/>
        <v>Targeted Dealer</v>
      </c>
      <c r="H544" s="22"/>
      <c r="I544" s="23">
        <v>290</v>
      </c>
      <c r="J544" s="23">
        <f t="shared" si="113"/>
        <v>290</v>
      </c>
      <c r="K544" s="24">
        <v>276.5</v>
      </c>
      <c r="L544" s="24">
        <f t="shared" si="114"/>
        <v>13.5</v>
      </c>
      <c r="M544" s="24">
        <f t="shared" si="115"/>
        <v>95.344827586206904</v>
      </c>
      <c r="N544" s="25">
        <v>105</v>
      </c>
      <c r="O544" s="26" t="str">
        <f t="shared" si="116"/>
        <v>June</v>
      </c>
      <c r="P544" s="25">
        <f t="shared" si="117"/>
        <v>105</v>
      </c>
      <c r="Q544" s="27">
        <f t="shared" si="118"/>
        <v>171.5</v>
      </c>
      <c r="R544" s="26" t="b">
        <f t="shared" si="119"/>
        <v>0</v>
      </c>
      <c r="S544" s="28" t="str">
        <f t="shared" si="120"/>
        <v>GROWTH</v>
      </c>
      <c r="T544" s="24">
        <v>140</v>
      </c>
      <c r="U544" s="29" t="str">
        <f t="shared" si="121"/>
        <v>May</v>
      </c>
      <c r="V544" s="24">
        <f t="shared" si="122"/>
        <v>140</v>
      </c>
      <c r="W544" s="30">
        <f t="shared" si="123"/>
        <v>136.5</v>
      </c>
      <c r="X544" s="31" t="b">
        <f t="shared" si="124"/>
        <v>0</v>
      </c>
      <c r="Y544" s="32" t="str">
        <f t="shared" si="125"/>
        <v>GROWTH</v>
      </c>
      <c r="Z544" s="41">
        <v>0</v>
      </c>
      <c r="AA544" s="36"/>
      <c r="AB544" s="36" t="s">
        <v>24</v>
      </c>
      <c r="AC544" s="36" t="s">
        <v>848</v>
      </c>
      <c r="AD544" s="34"/>
      <c r="AE544" s="35">
        <f>IFERROR(INDEX([1]Last6M_AvgSales_Ref!$B$2:$B$12659,MATCH(D544,[1]Last6M_AvgSales_Ref!$A$2:$A$12659,0)),"")</f>
        <v>214</v>
      </c>
    </row>
    <row r="545" spans="1:31" ht="14.25" customHeight="1" x14ac:dyDescent="0.3">
      <c r="A545" s="36" t="s">
        <v>848</v>
      </c>
      <c r="B545" s="37" t="s">
        <v>1098</v>
      </c>
      <c r="C545" s="38" t="s">
        <v>1132</v>
      </c>
      <c r="D545" s="38">
        <v>1000000493</v>
      </c>
      <c r="E545" s="39" t="s">
        <v>1133</v>
      </c>
      <c r="F545" s="40">
        <v>41408</v>
      </c>
      <c r="G545" s="22" t="str">
        <f t="shared" si="112"/>
        <v>Targeted Dealer</v>
      </c>
      <c r="H545" s="22"/>
      <c r="I545" s="23">
        <v>200</v>
      </c>
      <c r="J545" s="23">
        <f t="shared" si="113"/>
        <v>200</v>
      </c>
      <c r="K545" s="24">
        <v>85</v>
      </c>
      <c r="L545" s="24">
        <f t="shared" si="114"/>
        <v>115</v>
      </c>
      <c r="M545" s="24">
        <f t="shared" si="115"/>
        <v>42.5</v>
      </c>
      <c r="N545" s="25">
        <v>100</v>
      </c>
      <c r="O545" s="26" t="str">
        <f t="shared" si="116"/>
        <v>June</v>
      </c>
      <c r="P545" s="25">
        <f t="shared" si="117"/>
        <v>100</v>
      </c>
      <c r="Q545" s="27">
        <f t="shared" si="118"/>
        <v>-15</v>
      </c>
      <c r="R545" s="26" t="b">
        <f t="shared" si="119"/>
        <v>0</v>
      </c>
      <c r="S545" s="28" t="str">
        <f t="shared" si="120"/>
        <v>GROWTH</v>
      </c>
      <c r="T545" s="24">
        <v>300</v>
      </c>
      <c r="U545" s="29" t="str">
        <f t="shared" si="121"/>
        <v>May</v>
      </c>
      <c r="V545" s="24">
        <f t="shared" si="122"/>
        <v>300</v>
      </c>
      <c r="W545" s="30">
        <f t="shared" si="123"/>
        <v>-215</v>
      </c>
      <c r="X545" s="31" t="b">
        <f t="shared" si="124"/>
        <v>0</v>
      </c>
      <c r="Y545" s="32" t="str">
        <f t="shared" si="125"/>
        <v>GROWTH</v>
      </c>
      <c r="Z545" s="41">
        <v>0</v>
      </c>
      <c r="AA545" s="36"/>
      <c r="AB545" s="36" t="s">
        <v>24</v>
      </c>
      <c r="AC545" s="36" t="s">
        <v>848</v>
      </c>
      <c r="AD545" s="34"/>
      <c r="AE545" s="35">
        <f>IFERROR(INDEX([1]Last6M_AvgSales_Ref!$B$2:$B$12659,MATCH(D545,[1]Last6M_AvgSales_Ref!$A$2:$A$12659,0)),"")</f>
        <v>160</v>
      </c>
    </row>
    <row r="546" spans="1:31" ht="14.25" customHeight="1" x14ac:dyDescent="0.3">
      <c r="A546" s="36" t="s">
        <v>848</v>
      </c>
      <c r="B546" s="37" t="s">
        <v>1101</v>
      </c>
      <c r="C546" s="38" t="s">
        <v>1134</v>
      </c>
      <c r="D546" s="38">
        <v>1000000492</v>
      </c>
      <c r="E546" s="39" t="s">
        <v>1135</v>
      </c>
      <c r="F546" s="40">
        <v>41562</v>
      </c>
      <c r="G546" s="22" t="str">
        <f t="shared" si="112"/>
        <v>Targeted Dealer</v>
      </c>
      <c r="H546" s="22"/>
      <c r="I546" s="23">
        <v>200</v>
      </c>
      <c r="J546" s="23">
        <f t="shared" si="113"/>
        <v>200</v>
      </c>
      <c r="K546" s="24">
        <v>195</v>
      </c>
      <c r="L546" s="24">
        <f t="shared" si="114"/>
        <v>5</v>
      </c>
      <c r="M546" s="24">
        <f t="shared" si="115"/>
        <v>97.5</v>
      </c>
      <c r="N546" s="25">
        <v>140</v>
      </c>
      <c r="O546" s="26" t="str">
        <f t="shared" si="116"/>
        <v>June</v>
      </c>
      <c r="P546" s="25">
        <f t="shared" si="117"/>
        <v>140</v>
      </c>
      <c r="Q546" s="27">
        <f t="shared" si="118"/>
        <v>55</v>
      </c>
      <c r="R546" s="26" t="b">
        <f t="shared" si="119"/>
        <v>0</v>
      </c>
      <c r="S546" s="28" t="str">
        <f t="shared" si="120"/>
        <v>GROWTH</v>
      </c>
      <c r="T546" s="24">
        <v>95</v>
      </c>
      <c r="U546" s="29" t="str">
        <f t="shared" si="121"/>
        <v>May</v>
      </c>
      <c r="V546" s="24">
        <f t="shared" si="122"/>
        <v>95</v>
      </c>
      <c r="W546" s="30">
        <f t="shared" si="123"/>
        <v>100</v>
      </c>
      <c r="X546" s="31" t="b">
        <f t="shared" si="124"/>
        <v>0</v>
      </c>
      <c r="Y546" s="32" t="str">
        <f t="shared" si="125"/>
        <v>GROWTH</v>
      </c>
      <c r="Z546" s="41">
        <v>0</v>
      </c>
      <c r="AA546" s="36"/>
      <c r="AB546" s="36" t="s">
        <v>24</v>
      </c>
      <c r="AC546" s="36" t="s">
        <v>848</v>
      </c>
      <c r="AD546" s="34"/>
      <c r="AE546" s="35">
        <f>IFERROR(INDEX([1]Last6M_AvgSales_Ref!$B$2:$B$12659,MATCH(D546,[1]Last6M_AvgSales_Ref!$A$2:$A$12659,0)),"")</f>
        <v>147.5</v>
      </c>
    </row>
    <row r="547" spans="1:31" ht="14.25" customHeight="1" x14ac:dyDescent="0.3">
      <c r="A547" s="36" t="s">
        <v>848</v>
      </c>
      <c r="B547" s="37" t="s">
        <v>1098</v>
      </c>
      <c r="C547" s="38" t="s">
        <v>1136</v>
      </c>
      <c r="D547" s="38">
        <v>1000000501</v>
      </c>
      <c r="E547" s="39" t="s">
        <v>1137</v>
      </c>
      <c r="F547" s="40">
        <v>41648</v>
      </c>
      <c r="G547" s="22" t="str">
        <f t="shared" si="112"/>
        <v>Targeted Dealer</v>
      </c>
      <c r="H547" s="22"/>
      <c r="I547" s="23">
        <v>50</v>
      </c>
      <c r="J547" s="23">
        <f t="shared" si="113"/>
        <v>50</v>
      </c>
      <c r="K547" s="24">
        <v>25</v>
      </c>
      <c r="L547" s="24">
        <f t="shared" si="114"/>
        <v>25</v>
      </c>
      <c r="M547" s="24">
        <f t="shared" si="115"/>
        <v>50</v>
      </c>
      <c r="N547" s="25">
        <v>0</v>
      </c>
      <c r="O547" s="26" t="str">
        <f t="shared" si="116"/>
        <v>June</v>
      </c>
      <c r="P547" s="25">
        <f t="shared" si="117"/>
        <v>0</v>
      </c>
      <c r="Q547" s="27">
        <f t="shared" si="118"/>
        <v>25</v>
      </c>
      <c r="R547" s="26" t="b">
        <f t="shared" si="119"/>
        <v>0</v>
      </c>
      <c r="S547" s="28" t="b">
        <f t="shared" si="120"/>
        <v>0</v>
      </c>
      <c r="T547" s="24">
        <v>25</v>
      </c>
      <c r="U547" s="29" t="str">
        <f t="shared" si="121"/>
        <v>May</v>
      </c>
      <c r="V547" s="24">
        <f t="shared" si="122"/>
        <v>25</v>
      </c>
      <c r="W547" s="30">
        <f t="shared" si="123"/>
        <v>0</v>
      </c>
      <c r="X547" s="31" t="b">
        <f t="shared" si="124"/>
        <v>0</v>
      </c>
      <c r="Y547" s="32" t="str">
        <f t="shared" si="125"/>
        <v>GROWTH</v>
      </c>
      <c r="Z547" s="41">
        <v>0</v>
      </c>
      <c r="AA547" s="36"/>
      <c r="AB547" s="36" t="s">
        <v>24</v>
      </c>
      <c r="AC547" s="36" t="s">
        <v>848</v>
      </c>
      <c r="AD547" s="34"/>
      <c r="AE547" s="35">
        <f>IFERROR(INDEX([1]Last6M_AvgSales_Ref!$B$2:$B$12659,MATCH(D547,[1]Last6M_AvgSales_Ref!$A$2:$A$12659,0)),"")</f>
        <v>29.1666666666667</v>
      </c>
    </row>
    <row r="548" spans="1:31" ht="14.25" customHeight="1" x14ac:dyDescent="0.3">
      <c r="A548" s="36" t="s">
        <v>848</v>
      </c>
      <c r="B548" s="37" t="s">
        <v>1101</v>
      </c>
      <c r="C548" s="38" t="s">
        <v>1138</v>
      </c>
      <c r="D548" s="38">
        <v>1000000513</v>
      </c>
      <c r="E548" s="39" t="s">
        <v>1139</v>
      </c>
      <c r="F548" s="40">
        <v>41837</v>
      </c>
      <c r="G548" s="22" t="str">
        <f t="shared" si="112"/>
        <v>Targeted Dealer</v>
      </c>
      <c r="H548" s="22"/>
      <c r="I548" s="23">
        <v>40</v>
      </c>
      <c r="J548" s="23">
        <f t="shared" si="113"/>
        <v>40</v>
      </c>
      <c r="K548" s="24">
        <v>26.5</v>
      </c>
      <c r="L548" s="24">
        <f t="shared" si="114"/>
        <v>13.5</v>
      </c>
      <c r="M548" s="24">
        <f t="shared" si="115"/>
        <v>66.25</v>
      </c>
      <c r="N548" s="25">
        <v>13.5</v>
      </c>
      <c r="O548" s="26" t="str">
        <f t="shared" si="116"/>
        <v>June</v>
      </c>
      <c r="P548" s="25">
        <f t="shared" si="117"/>
        <v>13.5</v>
      </c>
      <c r="Q548" s="27">
        <f t="shared" si="118"/>
        <v>13</v>
      </c>
      <c r="R548" s="26" t="b">
        <f t="shared" si="119"/>
        <v>0</v>
      </c>
      <c r="S548" s="28" t="str">
        <f t="shared" si="120"/>
        <v>GROWTH</v>
      </c>
      <c r="T548" s="24">
        <v>0</v>
      </c>
      <c r="U548" s="29" t="str">
        <f t="shared" si="121"/>
        <v>May</v>
      </c>
      <c r="V548" s="24">
        <f t="shared" si="122"/>
        <v>0</v>
      </c>
      <c r="W548" s="30">
        <f t="shared" si="123"/>
        <v>26.5</v>
      </c>
      <c r="X548" s="31" t="b">
        <f t="shared" si="124"/>
        <v>0</v>
      </c>
      <c r="Y548" s="32" t="b">
        <f t="shared" si="125"/>
        <v>0</v>
      </c>
      <c r="Z548" s="41">
        <v>0</v>
      </c>
      <c r="AA548" s="36"/>
      <c r="AB548" s="36" t="s">
        <v>24</v>
      </c>
      <c r="AC548" s="36" t="s">
        <v>848</v>
      </c>
      <c r="AD548" s="34"/>
      <c r="AE548" s="35">
        <f>IFERROR(INDEX([1]Last6M_AvgSales_Ref!$B$2:$B$12659,MATCH(D548,[1]Last6M_AvgSales_Ref!$A$2:$A$12659,0)),"")</f>
        <v>8.8333333333333304</v>
      </c>
    </row>
    <row r="549" spans="1:31" ht="14.25" customHeight="1" x14ac:dyDescent="0.3">
      <c r="A549" s="36" t="s">
        <v>848</v>
      </c>
      <c r="B549" s="37" t="s">
        <v>1098</v>
      </c>
      <c r="C549" s="38" t="s">
        <v>1140</v>
      </c>
      <c r="D549" s="38">
        <v>1000000509</v>
      </c>
      <c r="E549" s="39" t="s">
        <v>1141</v>
      </c>
      <c r="F549" s="40">
        <v>42096</v>
      </c>
      <c r="G549" s="22" t="str">
        <f t="shared" si="112"/>
        <v>Targeted Dealer</v>
      </c>
      <c r="H549" s="22"/>
      <c r="I549" s="23">
        <v>2100</v>
      </c>
      <c r="J549" s="23">
        <f t="shared" si="113"/>
        <v>2100</v>
      </c>
      <c r="K549" s="24">
        <v>1171.5</v>
      </c>
      <c r="L549" s="24">
        <f t="shared" si="114"/>
        <v>928.5</v>
      </c>
      <c r="M549" s="24">
        <f t="shared" si="115"/>
        <v>55.785714285714285</v>
      </c>
      <c r="N549" s="25">
        <v>864</v>
      </c>
      <c r="O549" s="26" t="str">
        <f t="shared" si="116"/>
        <v>June</v>
      </c>
      <c r="P549" s="25">
        <f t="shared" si="117"/>
        <v>864</v>
      </c>
      <c r="Q549" s="27">
        <f t="shared" si="118"/>
        <v>307.5</v>
      </c>
      <c r="R549" s="26" t="b">
        <f t="shared" si="119"/>
        <v>0</v>
      </c>
      <c r="S549" s="28" t="str">
        <f t="shared" si="120"/>
        <v>GROWTH</v>
      </c>
      <c r="T549" s="24">
        <v>1030</v>
      </c>
      <c r="U549" s="29" t="str">
        <f t="shared" si="121"/>
        <v>May</v>
      </c>
      <c r="V549" s="24">
        <f t="shared" si="122"/>
        <v>1030</v>
      </c>
      <c r="W549" s="30">
        <f t="shared" si="123"/>
        <v>141.5</v>
      </c>
      <c r="X549" s="31" t="b">
        <f t="shared" si="124"/>
        <v>0</v>
      </c>
      <c r="Y549" s="32" t="str">
        <f t="shared" si="125"/>
        <v>GROWTH</v>
      </c>
      <c r="Z549" s="41">
        <v>0</v>
      </c>
      <c r="AA549" s="36"/>
      <c r="AB549" s="36" t="s">
        <v>24</v>
      </c>
      <c r="AC549" s="36" t="s">
        <v>848</v>
      </c>
      <c r="AD549" s="34"/>
      <c r="AE549" s="35">
        <f>IFERROR(INDEX([1]Last6M_AvgSales_Ref!$B$2:$B$12659,MATCH(D549,[1]Last6M_AvgSales_Ref!$A$2:$A$12659,0)),"")</f>
        <v>1293.5999999999999</v>
      </c>
    </row>
    <row r="550" spans="1:31" ht="14.25" customHeight="1" x14ac:dyDescent="0.3">
      <c r="A550" s="36" t="s">
        <v>848</v>
      </c>
      <c r="B550" s="37" t="s">
        <v>1101</v>
      </c>
      <c r="C550" s="38" t="s">
        <v>1142</v>
      </c>
      <c r="D550" s="38">
        <v>1000000486</v>
      </c>
      <c r="E550" s="39" t="s">
        <v>1143</v>
      </c>
      <c r="F550" s="40">
        <v>42102</v>
      </c>
      <c r="G550" s="22" t="str">
        <f t="shared" si="112"/>
        <v>Targeted Dealer</v>
      </c>
      <c r="H550" s="22"/>
      <c r="I550" s="23">
        <v>100</v>
      </c>
      <c r="J550" s="23">
        <f t="shared" si="113"/>
        <v>100</v>
      </c>
      <c r="K550" s="24">
        <v>39</v>
      </c>
      <c r="L550" s="24">
        <f t="shared" si="114"/>
        <v>61</v>
      </c>
      <c r="M550" s="24">
        <f t="shared" si="115"/>
        <v>39</v>
      </c>
      <c r="N550" s="25">
        <v>26</v>
      </c>
      <c r="O550" s="26" t="str">
        <f t="shared" si="116"/>
        <v>June</v>
      </c>
      <c r="P550" s="25">
        <f t="shared" si="117"/>
        <v>26</v>
      </c>
      <c r="Q550" s="27">
        <f t="shared" si="118"/>
        <v>13</v>
      </c>
      <c r="R550" s="26" t="b">
        <f t="shared" si="119"/>
        <v>0</v>
      </c>
      <c r="S550" s="28" t="str">
        <f t="shared" si="120"/>
        <v>GROWTH</v>
      </c>
      <c r="T550" s="24">
        <v>39</v>
      </c>
      <c r="U550" s="29" t="str">
        <f t="shared" si="121"/>
        <v>May</v>
      </c>
      <c r="V550" s="24">
        <f t="shared" si="122"/>
        <v>39</v>
      </c>
      <c r="W550" s="30">
        <f t="shared" si="123"/>
        <v>0</v>
      </c>
      <c r="X550" s="31" t="b">
        <f t="shared" si="124"/>
        <v>0</v>
      </c>
      <c r="Y550" s="32" t="str">
        <f t="shared" si="125"/>
        <v>GROWTH</v>
      </c>
      <c r="Z550" s="41">
        <v>0</v>
      </c>
      <c r="AA550" s="36"/>
      <c r="AB550" s="36" t="s">
        <v>24</v>
      </c>
      <c r="AC550" s="36" t="s">
        <v>848</v>
      </c>
      <c r="AD550" s="34"/>
      <c r="AE550" s="35">
        <f>IFERROR(INDEX([1]Last6M_AvgSales_Ref!$B$2:$B$12659,MATCH(D550,[1]Last6M_AvgSales_Ref!$A$2:$A$12659,0)),"")</f>
        <v>36.5833333333333</v>
      </c>
    </row>
    <row r="551" spans="1:31" ht="14.25" customHeight="1" x14ac:dyDescent="0.3">
      <c r="A551" s="36" t="s">
        <v>848</v>
      </c>
      <c r="B551" s="37" t="s">
        <v>1098</v>
      </c>
      <c r="C551" s="38" t="s">
        <v>1144</v>
      </c>
      <c r="D551" s="38">
        <v>1000000503</v>
      </c>
      <c r="E551" s="39" t="s">
        <v>1145</v>
      </c>
      <c r="F551" s="40">
        <v>42174</v>
      </c>
      <c r="G551" s="22" t="str">
        <f t="shared" si="112"/>
        <v>Targeted Dealer</v>
      </c>
      <c r="H551" s="22"/>
      <c r="I551" s="23">
        <v>260</v>
      </c>
      <c r="J551" s="23">
        <f t="shared" si="113"/>
        <v>260</v>
      </c>
      <c r="K551" s="24">
        <v>160</v>
      </c>
      <c r="L551" s="24">
        <f t="shared" si="114"/>
        <v>100</v>
      </c>
      <c r="M551" s="24">
        <f t="shared" si="115"/>
        <v>61.538461538461533</v>
      </c>
      <c r="N551" s="25">
        <v>55</v>
      </c>
      <c r="O551" s="26" t="str">
        <f t="shared" si="116"/>
        <v>June</v>
      </c>
      <c r="P551" s="25">
        <f t="shared" si="117"/>
        <v>55</v>
      </c>
      <c r="Q551" s="27">
        <f t="shared" si="118"/>
        <v>105</v>
      </c>
      <c r="R551" s="26" t="b">
        <f t="shared" si="119"/>
        <v>0</v>
      </c>
      <c r="S551" s="28" t="str">
        <f t="shared" si="120"/>
        <v>GROWTH</v>
      </c>
      <c r="T551" s="24">
        <v>130</v>
      </c>
      <c r="U551" s="29" t="str">
        <f t="shared" si="121"/>
        <v>May</v>
      </c>
      <c r="V551" s="24">
        <f t="shared" si="122"/>
        <v>130</v>
      </c>
      <c r="W551" s="30">
        <f t="shared" si="123"/>
        <v>30</v>
      </c>
      <c r="X551" s="31" t="b">
        <f t="shared" si="124"/>
        <v>0</v>
      </c>
      <c r="Y551" s="32" t="str">
        <f t="shared" si="125"/>
        <v>GROWTH</v>
      </c>
      <c r="Z551" s="41">
        <v>0</v>
      </c>
      <c r="AA551" s="36"/>
      <c r="AB551" s="36" t="s">
        <v>24</v>
      </c>
      <c r="AC551" s="36" t="s">
        <v>848</v>
      </c>
      <c r="AD551" s="34"/>
      <c r="AE551" s="35">
        <f>IFERROR(INDEX([1]Last6M_AvgSales_Ref!$B$2:$B$12659,MATCH(D551,[1]Last6M_AvgSales_Ref!$A$2:$A$12659,0)),"")</f>
        <v>104.75</v>
      </c>
    </row>
    <row r="552" spans="1:31" ht="14.25" customHeight="1" x14ac:dyDescent="0.3">
      <c r="A552" s="36" t="s">
        <v>848</v>
      </c>
      <c r="B552" s="37" t="s">
        <v>1098</v>
      </c>
      <c r="C552" s="38" t="s">
        <v>1146</v>
      </c>
      <c r="D552" s="38">
        <v>1000000498</v>
      </c>
      <c r="E552" s="39" t="s">
        <v>1147</v>
      </c>
      <c r="F552" s="40">
        <v>42195</v>
      </c>
      <c r="G552" s="22" t="str">
        <f t="shared" si="112"/>
        <v>Targeted Dealer</v>
      </c>
      <c r="H552" s="22"/>
      <c r="I552" s="23">
        <v>60</v>
      </c>
      <c r="J552" s="23">
        <f t="shared" si="113"/>
        <v>60</v>
      </c>
      <c r="K552" s="24">
        <v>30</v>
      </c>
      <c r="L552" s="24">
        <f t="shared" si="114"/>
        <v>30</v>
      </c>
      <c r="M552" s="24">
        <f t="shared" si="115"/>
        <v>50</v>
      </c>
      <c r="N552" s="25">
        <v>30</v>
      </c>
      <c r="O552" s="26" t="str">
        <f t="shared" si="116"/>
        <v>June</v>
      </c>
      <c r="P552" s="25">
        <f t="shared" si="117"/>
        <v>30</v>
      </c>
      <c r="Q552" s="27">
        <f t="shared" si="118"/>
        <v>0</v>
      </c>
      <c r="R552" s="26" t="b">
        <f t="shared" si="119"/>
        <v>0</v>
      </c>
      <c r="S552" s="28" t="str">
        <f t="shared" si="120"/>
        <v>GROWTH</v>
      </c>
      <c r="T552" s="24">
        <v>25</v>
      </c>
      <c r="U552" s="29" t="str">
        <f t="shared" si="121"/>
        <v>May</v>
      </c>
      <c r="V552" s="24">
        <f t="shared" si="122"/>
        <v>25</v>
      </c>
      <c r="W552" s="30">
        <f t="shared" si="123"/>
        <v>5</v>
      </c>
      <c r="X552" s="31" t="b">
        <f t="shared" si="124"/>
        <v>0</v>
      </c>
      <c r="Y552" s="32" t="str">
        <f t="shared" si="125"/>
        <v>GROWTH</v>
      </c>
      <c r="Z552" s="41">
        <v>0</v>
      </c>
      <c r="AA552" s="36"/>
      <c r="AB552" s="36" t="s">
        <v>24</v>
      </c>
      <c r="AC552" s="36" t="s">
        <v>848</v>
      </c>
      <c r="AD552" s="34"/>
      <c r="AE552" s="35">
        <f>IFERROR(INDEX([1]Last6M_AvgSales_Ref!$B$2:$B$12659,MATCH(D552,[1]Last6M_AvgSales_Ref!$A$2:$A$12659,0)),"")</f>
        <v>37.5</v>
      </c>
    </row>
    <row r="553" spans="1:31" ht="14.25" customHeight="1" x14ac:dyDescent="0.3">
      <c r="A553" s="36" t="s">
        <v>848</v>
      </c>
      <c r="B553" s="37" t="s">
        <v>1101</v>
      </c>
      <c r="C553" s="38" t="s">
        <v>1148</v>
      </c>
      <c r="D553" s="38">
        <v>1000000496</v>
      </c>
      <c r="E553" s="39" t="s">
        <v>1149</v>
      </c>
      <c r="F553" s="40">
        <v>42286</v>
      </c>
      <c r="G553" s="22" t="str">
        <f t="shared" si="112"/>
        <v>Targeted Dealer</v>
      </c>
      <c r="H553" s="22"/>
      <c r="I553" s="23">
        <v>320</v>
      </c>
      <c r="J553" s="23">
        <f t="shared" si="113"/>
        <v>320</v>
      </c>
      <c r="K553" s="24">
        <v>70</v>
      </c>
      <c r="L553" s="24">
        <f t="shared" si="114"/>
        <v>250</v>
      </c>
      <c r="M553" s="24">
        <f t="shared" si="115"/>
        <v>21.875</v>
      </c>
      <c r="N553" s="25">
        <v>100</v>
      </c>
      <c r="O553" s="26" t="str">
        <f t="shared" si="116"/>
        <v>June</v>
      </c>
      <c r="P553" s="25">
        <f t="shared" si="117"/>
        <v>100</v>
      </c>
      <c r="Q553" s="27">
        <f t="shared" si="118"/>
        <v>-30</v>
      </c>
      <c r="R553" s="26" t="b">
        <f t="shared" si="119"/>
        <v>0</v>
      </c>
      <c r="S553" s="28" t="str">
        <f t="shared" si="120"/>
        <v>GROWTH</v>
      </c>
      <c r="T553" s="24">
        <v>154</v>
      </c>
      <c r="U553" s="29" t="str">
        <f t="shared" si="121"/>
        <v>May</v>
      </c>
      <c r="V553" s="24">
        <f t="shared" si="122"/>
        <v>154</v>
      </c>
      <c r="W553" s="30">
        <f t="shared" si="123"/>
        <v>-84</v>
      </c>
      <c r="X553" s="31" t="b">
        <f t="shared" si="124"/>
        <v>0</v>
      </c>
      <c r="Y553" s="32" t="str">
        <f t="shared" si="125"/>
        <v>GROWTH</v>
      </c>
      <c r="Z553" s="41">
        <v>0</v>
      </c>
      <c r="AA553" s="36"/>
      <c r="AB553" s="36" t="s">
        <v>24</v>
      </c>
      <c r="AC553" s="36" t="s">
        <v>848</v>
      </c>
      <c r="AD553" s="34"/>
      <c r="AE553" s="35">
        <f>IFERROR(INDEX([1]Last6M_AvgSales_Ref!$B$2:$B$12659,MATCH(D553,[1]Last6M_AvgSales_Ref!$A$2:$A$12659,0)),"")</f>
        <v>117.5</v>
      </c>
    </row>
    <row r="554" spans="1:31" ht="14.25" customHeight="1" x14ac:dyDescent="0.3">
      <c r="A554" s="36" t="s">
        <v>848</v>
      </c>
      <c r="B554" s="37" t="s">
        <v>1101</v>
      </c>
      <c r="C554" s="38" t="s">
        <v>1150</v>
      </c>
      <c r="D554" s="38">
        <v>1000000508</v>
      </c>
      <c r="E554" s="39" t="s">
        <v>1151</v>
      </c>
      <c r="F554" s="40">
        <v>42373</v>
      </c>
      <c r="G554" s="22" t="str">
        <f t="shared" si="112"/>
        <v>Targeted Dealer</v>
      </c>
      <c r="H554" s="22"/>
      <c r="I554" s="23">
        <v>300</v>
      </c>
      <c r="J554" s="23">
        <f t="shared" si="113"/>
        <v>300</v>
      </c>
      <c r="K554" s="24">
        <v>129.5</v>
      </c>
      <c r="L554" s="24">
        <f t="shared" si="114"/>
        <v>170.5</v>
      </c>
      <c r="M554" s="24">
        <f t="shared" si="115"/>
        <v>43.166666666666664</v>
      </c>
      <c r="N554" s="25">
        <v>145</v>
      </c>
      <c r="O554" s="26" t="str">
        <f t="shared" si="116"/>
        <v>June</v>
      </c>
      <c r="P554" s="25">
        <f t="shared" si="117"/>
        <v>145</v>
      </c>
      <c r="Q554" s="27">
        <f t="shared" si="118"/>
        <v>-15.5</v>
      </c>
      <c r="R554" s="26" t="b">
        <f t="shared" si="119"/>
        <v>0</v>
      </c>
      <c r="S554" s="28" t="str">
        <f t="shared" si="120"/>
        <v>GROWTH</v>
      </c>
      <c r="T554" s="24">
        <v>91</v>
      </c>
      <c r="U554" s="29" t="str">
        <f t="shared" si="121"/>
        <v>May</v>
      </c>
      <c r="V554" s="24">
        <f t="shared" si="122"/>
        <v>91</v>
      </c>
      <c r="W554" s="30">
        <f t="shared" si="123"/>
        <v>38.5</v>
      </c>
      <c r="X554" s="31" t="b">
        <f t="shared" si="124"/>
        <v>0</v>
      </c>
      <c r="Y554" s="32" t="str">
        <f t="shared" si="125"/>
        <v>GROWTH</v>
      </c>
      <c r="Z554" s="41">
        <v>0</v>
      </c>
      <c r="AA554" s="36"/>
      <c r="AB554" s="36" t="s">
        <v>24</v>
      </c>
      <c r="AC554" s="36" t="s">
        <v>848</v>
      </c>
      <c r="AD554" s="34"/>
      <c r="AE554" s="35">
        <f>IFERROR(INDEX([1]Last6M_AvgSales_Ref!$B$2:$B$12659,MATCH(D554,[1]Last6M_AvgSales_Ref!$A$2:$A$12659,0)),"")</f>
        <v>141.666666666667</v>
      </c>
    </row>
    <row r="555" spans="1:31" ht="14.25" customHeight="1" x14ac:dyDescent="0.3">
      <c r="A555" s="36" t="s">
        <v>848</v>
      </c>
      <c r="B555" s="37" t="s">
        <v>1098</v>
      </c>
      <c r="C555" s="38" t="s">
        <v>1152</v>
      </c>
      <c r="D555" s="38">
        <v>1000000504</v>
      </c>
      <c r="E555" s="39" t="s">
        <v>1153</v>
      </c>
      <c r="F555" s="40">
        <v>42725</v>
      </c>
      <c r="G555" s="22" t="str">
        <f t="shared" si="112"/>
        <v>Targeted Dealer</v>
      </c>
      <c r="H555" s="22"/>
      <c r="I555" s="23">
        <v>450</v>
      </c>
      <c r="J555" s="23">
        <f t="shared" si="113"/>
        <v>450</v>
      </c>
      <c r="K555" s="24">
        <v>270</v>
      </c>
      <c r="L555" s="24">
        <f t="shared" si="114"/>
        <v>180</v>
      </c>
      <c r="M555" s="24">
        <f t="shared" si="115"/>
        <v>60</v>
      </c>
      <c r="N555" s="25">
        <v>210</v>
      </c>
      <c r="O555" s="26" t="str">
        <f t="shared" si="116"/>
        <v>June</v>
      </c>
      <c r="P555" s="25">
        <f t="shared" si="117"/>
        <v>210</v>
      </c>
      <c r="Q555" s="27">
        <f t="shared" si="118"/>
        <v>60</v>
      </c>
      <c r="R555" s="26" t="b">
        <f t="shared" si="119"/>
        <v>0</v>
      </c>
      <c r="S555" s="28" t="str">
        <f t="shared" si="120"/>
        <v>GROWTH</v>
      </c>
      <c r="T555" s="24">
        <v>205</v>
      </c>
      <c r="U555" s="29" t="str">
        <f t="shared" si="121"/>
        <v>May</v>
      </c>
      <c r="V555" s="24">
        <f t="shared" si="122"/>
        <v>205</v>
      </c>
      <c r="W555" s="30">
        <f t="shared" si="123"/>
        <v>65</v>
      </c>
      <c r="X555" s="31" t="b">
        <f t="shared" si="124"/>
        <v>0</v>
      </c>
      <c r="Y555" s="32" t="str">
        <f t="shared" si="125"/>
        <v>GROWTH</v>
      </c>
      <c r="Z555" s="41">
        <v>0</v>
      </c>
      <c r="AA555" s="36"/>
      <c r="AB555" s="36" t="s">
        <v>24</v>
      </c>
      <c r="AC555" s="36" t="s">
        <v>848</v>
      </c>
      <c r="AD555" s="34"/>
      <c r="AE555" s="35">
        <f>IFERROR(INDEX([1]Last6M_AvgSales_Ref!$B$2:$B$12659,MATCH(D555,[1]Last6M_AvgSales_Ref!$A$2:$A$12659,0)),"")</f>
        <v>236.5</v>
      </c>
    </row>
    <row r="556" spans="1:31" ht="14.25" customHeight="1" x14ac:dyDescent="0.3">
      <c r="A556" s="36" t="s">
        <v>848</v>
      </c>
      <c r="B556" s="37" t="s">
        <v>1101</v>
      </c>
      <c r="C556" s="38" t="s">
        <v>1154</v>
      </c>
      <c r="D556" s="38">
        <v>1000000510</v>
      </c>
      <c r="E556" s="39" t="s">
        <v>1155</v>
      </c>
      <c r="F556" s="40">
        <v>42732</v>
      </c>
      <c r="G556" s="22" t="str">
        <f t="shared" si="112"/>
        <v>Targeted Dealer</v>
      </c>
      <c r="H556" s="22"/>
      <c r="I556" s="23">
        <v>2500</v>
      </c>
      <c r="J556" s="23">
        <f t="shared" si="113"/>
        <v>2500</v>
      </c>
      <c r="K556" s="24">
        <v>910</v>
      </c>
      <c r="L556" s="24">
        <f t="shared" si="114"/>
        <v>1590</v>
      </c>
      <c r="M556" s="24">
        <f t="shared" si="115"/>
        <v>36.4</v>
      </c>
      <c r="N556" s="25">
        <v>1015</v>
      </c>
      <c r="O556" s="26" t="str">
        <f t="shared" si="116"/>
        <v>June</v>
      </c>
      <c r="P556" s="25">
        <f t="shared" si="117"/>
        <v>1015</v>
      </c>
      <c r="Q556" s="27">
        <f t="shared" si="118"/>
        <v>-105</v>
      </c>
      <c r="R556" s="26" t="b">
        <f t="shared" si="119"/>
        <v>0</v>
      </c>
      <c r="S556" s="28" t="str">
        <f t="shared" si="120"/>
        <v>GROWTH</v>
      </c>
      <c r="T556" s="24">
        <v>1205</v>
      </c>
      <c r="U556" s="29" t="str">
        <f t="shared" si="121"/>
        <v>May</v>
      </c>
      <c r="V556" s="24">
        <f t="shared" si="122"/>
        <v>1205</v>
      </c>
      <c r="W556" s="30">
        <f t="shared" si="123"/>
        <v>-295</v>
      </c>
      <c r="X556" s="31" t="b">
        <f t="shared" si="124"/>
        <v>0</v>
      </c>
      <c r="Y556" s="32" t="str">
        <f t="shared" si="125"/>
        <v>GROWTH</v>
      </c>
      <c r="Z556" s="41">
        <v>0</v>
      </c>
      <c r="AA556" s="36"/>
      <c r="AB556" s="36" t="s">
        <v>24</v>
      </c>
      <c r="AC556" s="36" t="s">
        <v>848</v>
      </c>
      <c r="AD556" s="34"/>
      <c r="AE556" s="35">
        <f>IFERROR(INDEX([1]Last6M_AvgSales_Ref!$B$2:$B$12659,MATCH(D556,[1]Last6M_AvgSales_Ref!$A$2:$A$12659,0)),"")</f>
        <v>1197.5</v>
      </c>
    </row>
    <row r="557" spans="1:31" ht="14.25" customHeight="1" x14ac:dyDescent="0.3">
      <c r="A557" s="36" t="s">
        <v>848</v>
      </c>
      <c r="B557" s="37" t="s">
        <v>1101</v>
      </c>
      <c r="C557" s="38" t="s">
        <v>1156</v>
      </c>
      <c r="D557" s="38">
        <v>1000000528</v>
      </c>
      <c r="E557" s="39" t="s">
        <v>1157</v>
      </c>
      <c r="F557" s="40">
        <v>42745</v>
      </c>
      <c r="G557" s="22" t="str">
        <f t="shared" si="112"/>
        <v>Targeted Dealer</v>
      </c>
      <c r="H557" s="22"/>
      <c r="I557" s="23">
        <v>50</v>
      </c>
      <c r="J557" s="23">
        <f t="shared" si="113"/>
        <v>50</v>
      </c>
      <c r="K557" s="24">
        <v>0</v>
      </c>
      <c r="L557" s="24">
        <f t="shared" si="114"/>
        <v>50</v>
      </c>
      <c r="M557" s="24">
        <f t="shared" si="115"/>
        <v>0</v>
      </c>
      <c r="N557" s="25">
        <v>10</v>
      </c>
      <c r="O557" s="26" t="str">
        <f t="shared" si="116"/>
        <v>June</v>
      </c>
      <c r="P557" s="25">
        <f t="shared" si="117"/>
        <v>10</v>
      </c>
      <c r="Q557" s="27">
        <f t="shared" si="118"/>
        <v>-10</v>
      </c>
      <c r="R557" s="26" t="b">
        <f t="shared" si="119"/>
        <v>0</v>
      </c>
      <c r="S557" s="28" t="str">
        <f t="shared" si="120"/>
        <v>GROWTH</v>
      </c>
      <c r="T557" s="24">
        <v>10</v>
      </c>
      <c r="U557" s="29" t="str">
        <f t="shared" si="121"/>
        <v>May</v>
      </c>
      <c r="V557" s="24">
        <f t="shared" si="122"/>
        <v>10</v>
      </c>
      <c r="W557" s="30">
        <f t="shared" si="123"/>
        <v>-10</v>
      </c>
      <c r="X557" s="31" t="b">
        <f t="shared" si="124"/>
        <v>0</v>
      </c>
      <c r="Y557" s="32" t="str">
        <f t="shared" si="125"/>
        <v>GROWTH</v>
      </c>
      <c r="Z557" s="41">
        <v>0</v>
      </c>
      <c r="AA557" s="36"/>
      <c r="AB557" s="36" t="s">
        <v>24</v>
      </c>
      <c r="AC557" s="36" t="s">
        <v>848</v>
      </c>
      <c r="AD557" s="34"/>
      <c r="AE557" s="35">
        <f>IFERROR(INDEX([1]Last6M_AvgSales_Ref!$B$2:$B$12659,MATCH(D557,[1]Last6M_AvgSales_Ref!$A$2:$A$12659,0)),"")</f>
        <v>29.1666666666667</v>
      </c>
    </row>
    <row r="558" spans="1:31" ht="14.25" customHeight="1" x14ac:dyDescent="0.3">
      <c r="A558" s="36" t="s">
        <v>848</v>
      </c>
      <c r="B558" s="37" t="s">
        <v>1101</v>
      </c>
      <c r="C558" s="38" t="s">
        <v>1158</v>
      </c>
      <c r="D558" s="38">
        <v>1000000485</v>
      </c>
      <c r="E558" s="39" t="s">
        <v>1159</v>
      </c>
      <c r="F558" s="40">
        <v>42842</v>
      </c>
      <c r="G558" s="22" t="str">
        <f t="shared" si="112"/>
        <v>Targeted Dealer</v>
      </c>
      <c r="H558" s="22"/>
      <c r="I558" s="23">
        <v>50</v>
      </c>
      <c r="J558" s="23">
        <f t="shared" si="113"/>
        <v>50</v>
      </c>
      <c r="K558" s="24">
        <v>45</v>
      </c>
      <c r="L558" s="24">
        <f t="shared" si="114"/>
        <v>5</v>
      </c>
      <c r="M558" s="24">
        <f t="shared" si="115"/>
        <v>90</v>
      </c>
      <c r="N558" s="25">
        <v>30</v>
      </c>
      <c r="O558" s="26" t="str">
        <f t="shared" si="116"/>
        <v>June</v>
      </c>
      <c r="P558" s="25">
        <f t="shared" si="117"/>
        <v>30</v>
      </c>
      <c r="Q558" s="27">
        <f t="shared" si="118"/>
        <v>15</v>
      </c>
      <c r="R558" s="26" t="b">
        <f t="shared" si="119"/>
        <v>0</v>
      </c>
      <c r="S558" s="28" t="str">
        <f t="shared" si="120"/>
        <v>GROWTH</v>
      </c>
      <c r="T558" s="24">
        <v>0</v>
      </c>
      <c r="U558" s="29" t="str">
        <f t="shared" si="121"/>
        <v>May</v>
      </c>
      <c r="V558" s="24">
        <f t="shared" si="122"/>
        <v>0</v>
      </c>
      <c r="W558" s="30">
        <f t="shared" si="123"/>
        <v>45</v>
      </c>
      <c r="X558" s="31" t="b">
        <f t="shared" si="124"/>
        <v>0</v>
      </c>
      <c r="Y558" s="32" t="b">
        <f t="shared" si="125"/>
        <v>0</v>
      </c>
      <c r="Z558" s="41">
        <v>0</v>
      </c>
      <c r="AA558" s="36"/>
      <c r="AB558" s="36" t="s">
        <v>24</v>
      </c>
      <c r="AC558" s="36" t="s">
        <v>848</v>
      </c>
      <c r="AD558" s="34"/>
      <c r="AE558" s="35">
        <f>IFERROR(INDEX([1]Last6M_AvgSales_Ref!$B$2:$B$12659,MATCH(D558,[1]Last6M_AvgSales_Ref!$A$2:$A$12659,0)),"")</f>
        <v>37.5</v>
      </c>
    </row>
    <row r="559" spans="1:31" ht="14.25" customHeight="1" x14ac:dyDescent="0.3">
      <c r="A559" s="36" t="s">
        <v>848</v>
      </c>
      <c r="B559" s="37" t="s">
        <v>1098</v>
      </c>
      <c r="C559" s="38" t="s">
        <v>1160</v>
      </c>
      <c r="D559" s="38">
        <v>1000000494</v>
      </c>
      <c r="E559" s="39" t="s">
        <v>1161</v>
      </c>
      <c r="F559" s="40">
        <v>42870</v>
      </c>
      <c r="G559" s="22" t="str">
        <f t="shared" si="112"/>
        <v>Targeted Dealer</v>
      </c>
      <c r="H559" s="22"/>
      <c r="I559" s="23">
        <v>50</v>
      </c>
      <c r="J559" s="23">
        <f t="shared" si="113"/>
        <v>50</v>
      </c>
      <c r="K559" s="24">
        <v>30</v>
      </c>
      <c r="L559" s="24">
        <f t="shared" si="114"/>
        <v>20</v>
      </c>
      <c r="M559" s="24">
        <f t="shared" si="115"/>
        <v>60</v>
      </c>
      <c r="N559" s="25">
        <v>25</v>
      </c>
      <c r="O559" s="26" t="str">
        <f t="shared" si="116"/>
        <v>June</v>
      </c>
      <c r="P559" s="25">
        <f t="shared" si="117"/>
        <v>25</v>
      </c>
      <c r="Q559" s="27">
        <f t="shared" si="118"/>
        <v>5</v>
      </c>
      <c r="R559" s="26" t="b">
        <f t="shared" si="119"/>
        <v>0</v>
      </c>
      <c r="S559" s="28" t="str">
        <f t="shared" si="120"/>
        <v>GROWTH</v>
      </c>
      <c r="T559" s="24">
        <v>25</v>
      </c>
      <c r="U559" s="29" t="str">
        <f t="shared" si="121"/>
        <v>May</v>
      </c>
      <c r="V559" s="24">
        <f t="shared" si="122"/>
        <v>25</v>
      </c>
      <c r="W559" s="30">
        <f t="shared" si="123"/>
        <v>5</v>
      </c>
      <c r="X559" s="31" t="b">
        <f t="shared" si="124"/>
        <v>0</v>
      </c>
      <c r="Y559" s="32" t="str">
        <f t="shared" si="125"/>
        <v>GROWTH</v>
      </c>
      <c r="Z559" s="41">
        <v>0</v>
      </c>
      <c r="AA559" s="36"/>
      <c r="AB559" s="36" t="s">
        <v>24</v>
      </c>
      <c r="AC559" s="36" t="s">
        <v>848</v>
      </c>
      <c r="AD559" s="34"/>
      <c r="AE559" s="35">
        <f>IFERROR(INDEX([1]Last6M_AvgSales_Ref!$B$2:$B$12659,MATCH(D559,[1]Last6M_AvgSales_Ref!$A$2:$A$12659,0)),"")</f>
        <v>38.241666666666703</v>
      </c>
    </row>
    <row r="560" spans="1:31" ht="14.25" customHeight="1" x14ac:dyDescent="0.3">
      <c r="A560" s="36" t="s">
        <v>848</v>
      </c>
      <c r="B560" s="37" t="s">
        <v>1098</v>
      </c>
      <c r="C560" s="38" t="s">
        <v>1162</v>
      </c>
      <c r="D560" s="38">
        <v>1000000506</v>
      </c>
      <c r="E560" s="39" t="s">
        <v>1163</v>
      </c>
      <c r="F560" s="40">
        <v>42980</v>
      </c>
      <c r="G560" s="22" t="str">
        <f t="shared" si="112"/>
        <v>Targeted Dealer</v>
      </c>
      <c r="H560" s="22"/>
      <c r="I560" s="23">
        <v>3150</v>
      </c>
      <c r="J560" s="23">
        <f t="shared" si="113"/>
        <v>3150</v>
      </c>
      <c r="K560" s="24">
        <v>2157</v>
      </c>
      <c r="L560" s="24">
        <f t="shared" si="114"/>
        <v>993</v>
      </c>
      <c r="M560" s="24">
        <f t="shared" si="115"/>
        <v>68.476190476190482</v>
      </c>
      <c r="N560" s="25">
        <v>1559.8</v>
      </c>
      <c r="O560" s="26" t="str">
        <f t="shared" si="116"/>
        <v>June</v>
      </c>
      <c r="P560" s="25">
        <f t="shared" si="117"/>
        <v>1559.8</v>
      </c>
      <c r="Q560" s="27">
        <f t="shared" si="118"/>
        <v>597.20000000000005</v>
      </c>
      <c r="R560" s="26" t="b">
        <f t="shared" si="119"/>
        <v>0</v>
      </c>
      <c r="S560" s="28" t="str">
        <f t="shared" si="120"/>
        <v>GROWTH</v>
      </c>
      <c r="T560" s="24">
        <v>1555</v>
      </c>
      <c r="U560" s="29" t="str">
        <f t="shared" si="121"/>
        <v>May</v>
      </c>
      <c r="V560" s="24">
        <f t="shared" si="122"/>
        <v>1555</v>
      </c>
      <c r="W560" s="30">
        <f t="shared" si="123"/>
        <v>602</v>
      </c>
      <c r="X560" s="31" t="b">
        <f t="shared" si="124"/>
        <v>0</v>
      </c>
      <c r="Y560" s="32" t="str">
        <f t="shared" si="125"/>
        <v>GROWTH</v>
      </c>
      <c r="Z560" s="41">
        <v>0</v>
      </c>
      <c r="AA560" s="36"/>
      <c r="AB560" s="36" t="s">
        <v>24</v>
      </c>
      <c r="AC560" s="36" t="s">
        <v>848</v>
      </c>
      <c r="AD560" s="34"/>
      <c r="AE560" s="35">
        <f>IFERROR(INDEX([1]Last6M_AvgSales_Ref!$B$2:$B$12659,MATCH(D560,[1]Last6M_AvgSales_Ref!$A$2:$A$12659,0)),"")</f>
        <v>2056.4166666666702</v>
      </c>
    </row>
    <row r="561" spans="1:31" ht="14.25" customHeight="1" x14ac:dyDescent="0.3">
      <c r="A561" s="36" t="s">
        <v>848</v>
      </c>
      <c r="B561" s="37" t="s">
        <v>1098</v>
      </c>
      <c r="C561" s="38" t="s">
        <v>1164</v>
      </c>
      <c r="D561" s="38">
        <v>1000000525</v>
      </c>
      <c r="E561" s="39" t="s">
        <v>1165</v>
      </c>
      <c r="F561" s="40">
        <v>43109</v>
      </c>
      <c r="G561" s="22" t="str">
        <f t="shared" si="112"/>
        <v>-</v>
      </c>
      <c r="H561" s="22"/>
      <c r="I561" s="23">
        <v>0</v>
      </c>
      <c r="J561" s="23">
        <f t="shared" si="113"/>
        <v>0</v>
      </c>
      <c r="K561" s="24">
        <v>0</v>
      </c>
      <c r="L561" s="24">
        <f t="shared" si="114"/>
        <v>0</v>
      </c>
      <c r="M561" s="24" t="str">
        <f t="shared" si="115"/>
        <v>-</v>
      </c>
      <c r="N561" s="25">
        <v>0</v>
      </c>
      <c r="O561" s="26" t="str">
        <f t="shared" si="116"/>
        <v>June</v>
      </c>
      <c r="P561" s="25">
        <f t="shared" si="117"/>
        <v>0</v>
      </c>
      <c r="Q561" s="27">
        <f t="shared" si="118"/>
        <v>0</v>
      </c>
      <c r="R561" s="26" t="b">
        <f t="shared" si="119"/>
        <v>0</v>
      </c>
      <c r="S561" s="28" t="b">
        <f t="shared" si="120"/>
        <v>0</v>
      </c>
      <c r="T561" s="24">
        <v>25</v>
      </c>
      <c r="U561" s="29" t="str">
        <f t="shared" si="121"/>
        <v>May</v>
      </c>
      <c r="V561" s="24">
        <f t="shared" si="122"/>
        <v>25</v>
      </c>
      <c r="W561" s="30">
        <f t="shared" si="123"/>
        <v>-25</v>
      </c>
      <c r="X561" s="31" t="b">
        <f t="shared" si="124"/>
        <v>0</v>
      </c>
      <c r="Y561" s="32" t="str">
        <f t="shared" si="125"/>
        <v>GROWTH</v>
      </c>
      <c r="Z561" s="41">
        <v>0</v>
      </c>
      <c r="AA561" s="36"/>
      <c r="AB561" s="36" t="s">
        <v>24</v>
      </c>
      <c r="AC561" s="36" t="s">
        <v>848</v>
      </c>
      <c r="AD561" s="34"/>
      <c r="AE561" s="35">
        <f>IFERROR(INDEX([1]Last6M_AvgSales_Ref!$B$2:$B$12659,MATCH(D561,[1]Last6M_AvgSales_Ref!$A$2:$A$12659,0)),"")</f>
        <v>11.6666666666667</v>
      </c>
    </row>
    <row r="562" spans="1:31" ht="14.25" customHeight="1" x14ac:dyDescent="0.3">
      <c r="A562" s="36" t="s">
        <v>848</v>
      </c>
      <c r="B562" s="37" t="s">
        <v>1098</v>
      </c>
      <c r="C562" s="38" t="s">
        <v>1166</v>
      </c>
      <c r="D562" s="38">
        <v>1000000502</v>
      </c>
      <c r="E562" s="39" t="s">
        <v>1167</v>
      </c>
      <c r="F562" s="40">
        <v>43117</v>
      </c>
      <c r="G562" s="22" t="str">
        <f t="shared" si="112"/>
        <v>Targeted Dealer</v>
      </c>
      <c r="H562" s="22"/>
      <c r="I562" s="23">
        <v>150</v>
      </c>
      <c r="J562" s="23">
        <f t="shared" si="113"/>
        <v>150</v>
      </c>
      <c r="K562" s="24">
        <v>68</v>
      </c>
      <c r="L562" s="24">
        <f t="shared" si="114"/>
        <v>82</v>
      </c>
      <c r="M562" s="24">
        <f t="shared" si="115"/>
        <v>45.333333333333336</v>
      </c>
      <c r="N562" s="25">
        <v>133</v>
      </c>
      <c r="O562" s="26" t="str">
        <f t="shared" si="116"/>
        <v>June</v>
      </c>
      <c r="P562" s="25">
        <f t="shared" si="117"/>
        <v>133</v>
      </c>
      <c r="Q562" s="27">
        <f t="shared" si="118"/>
        <v>-65</v>
      </c>
      <c r="R562" s="26" t="b">
        <f t="shared" si="119"/>
        <v>0</v>
      </c>
      <c r="S562" s="28" t="str">
        <f t="shared" si="120"/>
        <v>GROWTH</v>
      </c>
      <c r="T562" s="24">
        <v>140</v>
      </c>
      <c r="U562" s="29" t="str">
        <f t="shared" si="121"/>
        <v>May</v>
      </c>
      <c r="V562" s="24">
        <f t="shared" si="122"/>
        <v>140</v>
      </c>
      <c r="W562" s="30">
        <f t="shared" si="123"/>
        <v>-72</v>
      </c>
      <c r="X562" s="31" t="b">
        <f t="shared" si="124"/>
        <v>0</v>
      </c>
      <c r="Y562" s="32" t="str">
        <f t="shared" si="125"/>
        <v>GROWTH</v>
      </c>
      <c r="Z562" s="41">
        <v>0</v>
      </c>
      <c r="AA562" s="36"/>
      <c r="AB562" s="36" t="s">
        <v>24</v>
      </c>
      <c r="AC562" s="36" t="s">
        <v>848</v>
      </c>
      <c r="AD562" s="34"/>
      <c r="AE562" s="35">
        <f>IFERROR(INDEX([1]Last6M_AvgSales_Ref!$B$2:$B$12659,MATCH(D562,[1]Last6M_AvgSales_Ref!$A$2:$A$12659,0)),"")</f>
        <v>46.5</v>
      </c>
    </row>
    <row r="563" spans="1:31" ht="14.25" customHeight="1" x14ac:dyDescent="0.3">
      <c r="A563" s="36" t="s">
        <v>848</v>
      </c>
      <c r="B563" s="37" t="s">
        <v>1098</v>
      </c>
      <c r="C563" s="38" t="s">
        <v>1168</v>
      </c>
      <c r="D563" s="38">
        <v>1000000521</v>
      </c>
      <c r="E563" s="39" t="s">
        <v>1169</v>
      </c>
      <c r="F563" s="40">
        <v>43193</v>
      </c>
      <c r="G563" s="22" t="str">
        <f t="shared" si="112"/>
        <v>Targeted Dealer</v>
      </c>
      <c r="H563" s="22"/>
      <c r="I563" s="23">
        <v>2000</v>
      </c>
      <c r="J563" s="23">
        <f t="shared" si="113"/>
        <v>2000.0000000000002</v>
      </c>
      <c r="K563" s="24">
        <v>739</v>
      </c>
      <c r="L563" s="24">
        <f t="shared" si="114"/>
        <v>1261</v>
      </c>
      <c r="M563" s="24">
        <f t="shared" si="115"/>
        <v>36.949999999999996</v>
      </c>
      <c r="N563" s="25">
        <v>760.9</v>
      </c>
      <c r="O563" s="26" t="str">
        <f t="shared" si="116"/>
        <v>June</v>
      </c>
      <c r="P563" s="25">
        <f t="shared" si="117"/>
        <v>760.9</v>
      </c>
      <c r="Q563" s="27">
        <f t="shared" si="118"/>
        <v>-21.899999999999977</v>
      </c>
      <c r="R563" s="26" t="b">
        <f t="shared" si="119"/>
        <v>0</v>
      </c>
      <c r="S563" s="28" t="str">
        <f t="shared" si="120"/>
        <v>GROWTH</v>
      </c>
      <c r="T563" s="24">
        <v>983</v>
      </c>
      <c r="U563" s="29" t="str">
        <f t="shared" si="121"/>
        <v>May</v>
      </c>
      <c r="V563" s="24">
        <f t="shared" si="122"/>
        <v>983</v>
      </c>
      <c r="W563" s="30">
        <f t="shared" si="123"/>
        <v>-244</v>
      </c>
      <c r="X563" s="31" t="b">
        <f t="shared" si="124"/>
        <v>0</v>
      </c>
      <c r="Y563" s="32" t="str">
        <f t="shared" si="125"/>
        <v>GROWTH</v>
      </c>
      <c r="Z563" s="41">
        <v>0</v>
      </c>
      <c r="AA563" s="36"/>
      <c r="AB563" s="36" t="s">
        <v>24</v>
      </c>
      <c r="AC563" s="36" t="s">
        <v>848</v>
      </c>
      <c r="AD563" s="34"/>
      <c r="AE563" s="35">
        <f>IFERROR(INDEX([1]Last6M_AvgSales_Ref!$B$2:$B$12659,MATCH(D563,[1]Last6M_AvgSales_Ref!$A$2:$A$12659,0)),"")</f>
        <v>965.35</v>
      </c>
    </row>
    <row r="564" spans="1:31" ht="14.25" customHeight="1" x14ac:dyDescent="0.3">
      <c r="A564" s="36" t="s">
        <v>848</v>
      </c>
      <c r="B564" s="37" t="s">
        <v>1098</v>
      </c>
      <c r="C564" s="38" t="s">
        <v>1170</v>
      </c>
      <c r="D564" s="38">
        <v>1000000524</v>
      </c>
      <c r="E564" s="39" t="s">
        <v>1171</v>
      </c>
      <c r="F564" s="40">
        <v>43230</v>
      </c>
      <c r="G564" s="22" t="str">
        <f t="shared" si="112"/>
        <v>Targeted Dealer</v>
      </c>
      <c r="H564" s="22"/>
      <c r="I564" s="23">
        <v>1850</v>
      </c>
      <c r="J564" s="23">
        <f t="shared" si="113"/>
        <v>1850</v>
      </c>
      <c r="K564" s="24">
        <v>836</v>
      </c>
      <c r="L564" s="24">
        <f t="shared" si="114"/>
        <v>1014</v>
      </c>
      <c r="M564" s="24">
        <f t="shared" si="115"/>
        <v>45.189189189189186</v>
      </c>
      <c r="N564" s="25">
        <v>567</v>
      </c>
      <c r="O564" s="26" t="str">
        <f t="shared" si="116"/>
        <v>June</v>
      </c>
      <c r="P564" s="25">
        <f t="shared" si="117"/>
        <v>567</v>
      </c>
      <c r="Q564" s="27">
        <f t="shared" si="118"/>
        <v>269</v>
      </c>
      <c r="R564" s="26" t="b">
        <f t="shared" si="119"/>
        <v>0</v>
      </c>
      <c r="S564" s="28" t="str">
        <f t="shared" si="120"/>
        <v>GROWTH</v>
      </c>
      <c r="T564" s="24">
        <v>1008</v>
      </c>
      <c r="U564" s="29" t="str">
        <f t="shared" si="121"/>
        <v>May</v>
      </c>
      <c r="V564" s="24">
        <f t="shared" si="122"/>
        <v>1008</v>
      </c>
      <c r="W564" s="30">
        <f t="shared" si="123"/>
        <v>-172</v>
      </c>
      <c r="X564" s="31" t="b">
        <f t="shared" si="124"/>
        <v>0</v>
      </c>
      <c r="Y564" s="32" t="str">
        <f t="shared" si="125"/>
        <v>GROWTH</v>
      </c>
      <c r="Z564" s="41">
        <v>0</v>
      </c>
      <c r="AA564" s="36"/>
      <c r="AB564" s="36" t="s">
        <v>24</v>
      </c>
      <c r="AC564" s="36" t="s">
        <v>848</v>
      </c>
      <c r="AD564" s="34"/>
      <c r="AE564" s="35">
        <f>IFERROR(INDEX([1]Last6M_AvgSales_Ref!$B$2:$B$12659,MATCH(D564,[1]Last6M_AvgSales_Ref!$A$2:$A$12659,0)),"")</f>
        <v>879.83333333333303</v>
      </c>
    </row>
    <row r="565" spans="1:31" ht="14.25" customHeight="1" x14ac:dyDescent="0.3">
      <c r="A565" s="36" t="s">
        <v>848</v>
      </c>
      <c r="B565" s="37" t="s">
        <v>1101</v>
      </c>
      <c r="C565" s="38" t="s">
        <v>1172</v>
      </c>
      <c r="D565" s="38">
        <v>1000000484</v>
      </c>
      <c r="E565" s="39" t="s">
        <v>1173</v>
      </c>
      <c r="F565" s="40">
        <v>43255</v>
      </c>
      <c r="G565" s="22" t="str">
        <f t="shared" si="112"/>
        <v>Targeted Dealer</v>
      </c>
      <c r="H565" s="22"/>
      <c r="I565" s="23">
        <v>300</v>
      </c>
      <c r="J565" s="23">
        <f t="shared" si="113"/>
        <v>300</v>
      </c>
      <c r="K565" s="24">
        <v>25</v>
      </c>
      <c r="L565" s="24">
        <f t="shared" si="114"/>
        <v>275</v>
      </c>
      <c r="M565" s="24">
        <f t="shared" si="115"/>
        <v>8.3333333333333339</v>
      </c>
      <c r="N565" s="25">
        <v>27</v>
      </c>
      <c r="O565" s="26" t="str">
        <f t="shared" si="116"/>
        <v>June</v>
      </c>
      <c r="P565" s="25">
        <f t="shared" si="117"/>
        <v>27</v>
      </c>
      <c r="Q565" s="27">
        <f t="shared" si="118"/>
        <v>-2</v>
      </c>
      <c r="R565" s="26" t="b">
        <f t="shared" si="119"/>
        <v>0</v>
      </c>
      <c r="S565" s="28" t="str">
        <f t="shared" si="120"/>
        <v>GROWTH</v>
      </c>
      <c r="T565" s="24">
        <v>617.5</v>
      </c>
      <c r="U565" s="29" t="str">
        <f t="shared" si="121"/>
        <v>May</v>
      </c>
      <c r="V565" s="24">
        <f t="shared" si="122"/>
        <v>617.5</v>
      </c>
      <c r="W565" s="30">
        <f t="shared" si="123"/>
        <v>-592.5</v>
      </c>
      <c r="X565" s="31" t="b">
        <f t="shared" si="124"/>
        <v>0</v>
      </c>
      <c r="Y565" s="32" t="str">
        <f t="shared" si="125"/>
        <v>GROWTH</v>
      </c>
      <c r="Z565" s="41">
        <v>0</v>
      </c>
      <c r="AA565" s="36"/>
      <c r="AB565" s="36" t="s">
        <v>24</v>
      </c>
      <c r="AC565" s="36" t="s">
        <v>848</v>
      </c>
      <c r="AD565" s="34"/>
      <c r="AE565" s="35">
        <f>IFERROR(INDEX([1]Last6M_AvgSales_Ref!$B$2:$B$12659,MATCH(D565,[1]Last6M_AvgSales_Ref!$A$2:$A$12659,0)),"")</f>
        <v>371.16666666666703</v>
      </c>
    </row>
    <row r="566" spans="1:31" ht="14.25" customHeight="1" x14ac:dyDescent="0.3">
      <c r="A566" s="36" t="s">
        <v>848</v>
      </c>
      <c r="B566" s="37" t="s">
        <v>1101</v>
      </c>
      <c r="C566" s="38" t="s">
        <v>1174</v>
      </c>
      <c r="D566" s="38">
        <v>1000000483</v>
      </c>
      <c r="E566" s="39" t="s">
        <v>1175</v>
      </c>
      <c r="F566" s="40">
        <v>43467</v>
      </c>
      <c r="G566" s="22" t="str">
        <f t="shared" si="112"/>
        <v>Targeted Dealer</v>
      </c>
      <c r="H566" s="22"/>
      <c r="I566" s="23">
        <v>1300</v>
      </c>
      <c r="J566" s="23">
        <f t="shared" si="113"/>
        <v>1300</v>
      </c>
      <c r="K566" s="24">
        <v>502.5</v>
      </c>
      <c r="L566" s="24">
        <f t="shared" si="114"/>
        <v>797.5</v>
      </c>
      <c r="M566" s="24">
        <f t="shared" si="115"/>
        <v>38.653846153846153</v>
      </c>
      <c r="N566" s="25">
        <v>631.5</v>
      </c>
      <c r="O566" s="26" t="str">
        <f t="shared" si="116"/>
        <v>June</v>
      </c>
      <c r="P566" s="25">
        <f t="shared" si="117"/>
        <v>631.5</v>
      </c>
      <c r="Q566" s="27">
        <f t="shared" si="118"/>
        <v>-129</v>
      </c>
      <c r="R566" s="26" t="b">
        <f t="shared" si="119"/>
        <v>0</v>
      </c>
      <c r="S566" s="28" t="str">
        <f t="shared" si="120"/>
        <v>GROWTH</v>
      </c>
      <c r="T566" s="24">
        <v>623</v>
      </c>
      <c r="U566" s="29" t="str">
        <f t="shared" si="121"/>
        <v>May</v>
      </c>
      <c r="V566" s="24">
        <f t="shared" si="122"/>
        <v>623</v>
      </c>
      <c r="W566" s="30">
        <f t="shared" si="123"/>
        <v>-120.5</v>
      </c>
      <c r="X566" s="31" t="b">
        <f t="shared" si="124"/>
        <v>0</v>
      </c>
      <c r="Y566" s="32" t="str">
        <f t="shared" si="125"/>
        <v>GROWTH</v>
      </c>
      <c r="Z566" s="41">
        <v>0</v>
      </c>
      <c r="AA566" s="36"/>
      <c r="AB566" s="36" t="s">
        <v>24</v>
      </c>
      <c r="AC566" s="36" t="s">
        <v>848</v>
      </c>
      <c r="AD566" s="34"/>
      <c r="AE566" s="35">
        <f>IFERROR(INDEX([1]Last6M_AvgSales_Ref!$B$2:$B$12659,MATCH(D566,[1]Last6M_AvgSales_Ref!$A$2:$A$12659,0)),"")</f>
        <v>811.25</v>
      </c>
    </row>
    <row r="567" spans="1:31" ht="14.25" customHeight="1" x14ac:dyDescent="0.3">
      <c r="A567" s="36" t="s">
        <v>848</v>
      </c>
      <c r="B567" s="37" t="s">
        <v>1098</v>
      </c>
      <c r="C567" s="38" t="s">
        <v>1176</v>
      </c>
      <c r="D567" s="38">
        <v>1000000948</v>
      </c>
      <c r="E567" s="39" t="s">
        <v>1177</v>
      </c>
      <c r="F567" s="40">
        <v>43556</v>
      </c>
      <c r="G567" s="22" t="str">
        <f t="shared" si="112"/>
        <v>Targeted Dealer</v>
      </c>
      <c r="H567" s="22"/>
      <c r="I567" s="23">
        <v>2600</v>
      </c>
      <c r="J567" s="23">
        <f t="shared" si="113"/>
        <v>2600</v>
      </c>
      <c r="K567" s="24">
        <v>1511</v>
      </c>
      <c r="L567" s="24">
        <f t="shared" si="114"/>
        <v>1089</v>
      </c>
      <c r="M567" s="24">
        <f t="shared" si="115"/>
        <v>58.115384615384613</v>
      </c>
      <c r="N567" s="25">
        <v>989.9</v>
      </c>
      <c r="O567" s="26" t="str">
        <f t="shared" si="116"/>
        <v>June</v>
      </c>
      <c r="P567" s="25">
        <f t="shared" si="117"/>
        <v>989.9</v>
      </c>
      <c r="Q567" s="27">
        <f t="shared" si="118"/>
        <v>521.1</v>
      </c>
      <c r="R567" s="26" t="b">
        <f t="shared" si="119"/>
        <v>0</v>
      </c>
      <c r="S567" s="28" t="str">
        <f t="shared" si="120"/>
        <v>GROWTH</v>
      </c>
      <c r="T567" s="24">
        <v>1305</v>
      </c>
      <c r="U567" s="29" t="str">
        <f t="shared" si="121"/>
        <v>May</v>
      </c>
      <c r="V567" s="24">
        <f t="shared" si="122"/>
        <v>1305</v>
      </c>
      <c r="W567" s="30">
        <f t="shared" si="123"/>
        <v>206</v>
      </c>
      <c r="X567" s="31" t="b">
        <f t="shared" si="124"/>
        <v>0</v>
      </c>
      <c r="Y567" s="32" t="str">
        <f t="shared" si="125"/>
        <v>GROWTH</v>
      </c>
      <c r="Z567" s="41">
        <v>0</v>
      </c>
      <c r="AA567" s="36"/>
      <c r="AB567" s="36" t="s">
        <v>24</v>
      </c>
      <c r="AC567" s="36" t="s">
        <v>848</v>
      </c>
      <c r="AD567" s="34"/>
      <c r="AE567" s="35">
        <f>IFERROR(INDEX([1]Last6M_AvgSales_Ref!$B$2:$B$12659,MATCH(D567,[1]Last6M_AvgSales_Ref!$A$2:$A$12659,0)),"")</f>
        <v>1664.7833333333299</v>
      </c>
    </row>
    <row r="568" spans="1:31" ht="14.25" customHeight="1" x14ac:dyDescent="0.3">
      <c r="A568" s="36" t="s">
        <v>848</v>
      </c>
      <c r="B568" s="37" t="s">
        <v>1098</v>
      </c>
      <c r="C568" s="38" t="s">
        <v>1178</v>
      </c>
      <c r="D568" s="38">
        <v>1000000942</v>
      </c>
      <c r="E568" s="39" t="s">
        <v>1179</v>
      </c>
      <c r="F568" s="40">
        <v>43606</v>
      </c>
      <c r="G568" s="22" t="str">
        <f t="shared" si="112"/>
        <v>Targeted Dealer</v>
      </c>
      <c r="H568" s="22"/>
      <c r="I568" s="23">
        <v>100</v>
      </c>
      <c r="J568" s="23">
        <f t="shared" si="113"/>
        <v>100</v>
      </c>
      <c r="K568" s="24">
        <v>59.5</v>
      </c>
      <c r="L568" s="24">
        <f t="shared" si="114"/>
        <v>40.5</v>
      </c>
      <c r="M568" s="24">
        <f t="shared" si="115"/>
        <v>59.5</v>
      </c>
      <c r="N568" s="25">
        <v>30</v>
      </c>
      <c r="O568" s="26" t="str">
        <f t="shared" si="116"/>
        <v>June</v>
      </c>
      <c r="P568" s="25">
        <f t="shared" si="117"/>
        <v>30</v>
      </c>
      <c r="Q568" s="27">
        <f t="shared" si="118"/>
        <v>29.5</v>
      </c>
      <c r="R568" s="26" t="b">
        <f t="shared" si="119"/>
        <v>0</v>
      </c>
      <c r="S568" s="28" t="str">
        <f t="shared" si="120"/>
        <v>GROWTH</v>
      </c>
      <c r="T568" s="24">
        <v>25</v>
      </c>
      <c r="U568" s="29" t="str">
        <f t="shared" si="121"/>
        <v>May</v>
      </c>
      <c r="V568" s="24">
        <f t="shared" si="122"/>
        <v>25</v>
      </c>
      <c r="W568" s="30">
        <f t="shared" si="123"/>
        <v>34.5</v>
      </c>
      <c r="X568" s="31" t="b">
        <f t="shared" si="124"/>
        <v>0</v>
      </c>
      <c r="Y568" s="32" t="str">
        <f t="shared" si="125"/>
        <v>GROWTH</v>
      </c>
      <c r="Z568" s="41">
        <v>0</v>
      </c>
      <c r="AA568" s="36"/>
      <c r="AB568" s="36" t="s">
        <v>24</v>
      </c>
      <c r="AC568" s="36" t="s">
        <v>848</v>
      </c>
      <c r="AD568" s="34"/>
      <c r="AE568" s="35">
        <f>IFERROR(INDEX([1]Last6M_AvgSales_Ref!$B$2:$B$12659,MATCH(D568,[1]Last6M_AvgSales_Ref!$A$2:$A$12659,0)),"")</f>
        <v>46.6666666666667</v>
      </c>
    </row>
    <row r="569" spans="1:31" ht="14.25" customHeight="1" x14ac:dyDescent="0.3">
      <c r="A569" s="36" t="s">
        <v>848</v>
      </c>
      <c r="B569" s="37" t="s">
        <v>1098</v>
      </c>
      <c r="C569" s="38" t="s">
        <v>1180</v>
      </c>
      <c r="D569" s="38">
        <v>1000000935</v>
      </c>
      <c r="E569" s="39" t="s">
        <v>1181</v>
      </c>
      <c r="F569" s="40">
        <v>43715</v>
      </c>
      <c r="G569" s="22" t="str">
        <f t="shared" si="112"/>
        <v>Targeted Dealer</v>
      </c>
      <c r="H569" s="22"/>
      <c r="I569" s="23">
        <v>100</v>
      </c>
      <c r="J569" s="23">
        <f t="shared" si="113"/>
        <v>100</v>
      </c>
      <c r="K569" s="24">
        <v>25</v>
      </c>
      <c r="L569" s="24">
        <f t="shared" si="114"/>
        <v>75</v>
      </c>
      <c r="M569" s="24">
        <f t="shared" si="115"/>
        <v>25</v>
      </c>
      <c r="N569" s="25">
        <v>25</v>
      </c>
      <c r="O569" s="26" t="str">
        <f t="shared" si="116"/>
        <v>June</v>
      </c>
      <c r="P569" s="25">
        <f t="shared" si="117"/>
        <v>25</v>
      </c>
      <c r="Q569" s="27">
        <f t="shared" si="118"/>
        <v>0</v>
      </c>
      <c r="R569" s="26" t="b">
        <f t="shared" si="119"/>
        <v>0</v>
      </c>
      <c r="S569" s="28" t="str">
        <f t="shared" si="120"/>
        <v>GROWTH</v>
      </c>
      <c r="T569" s="24">
        <v>50</v>
      </c>
      <c r="U569" s="29" t="str">
        <f t="shared" si="121"/>
        <v>May</v>
      </c>
      <c r="V569" s="24">
        <f t="shared" si="122"/>
        <v>50</v>
      </c>
      <c r="W569" s="30">
        <f t="shared" si="123"/>
        <v>-25</v>
      </c>
      <c r="X569" s="31" t="b">
        <f t="shared" si="124"/>
        <v>0</v>
      </c>
      <c r="Y569" s="32" t="str">
        <f t="shared" si="125"/>
        <v>GROWTH</v>
      </c>
      <c r="Z569" s="41">
        <v>0</v>
      </c>
      <c r="AA569" s="36"/>
      <c r="AB569" s="36" t="s">
        <v>24</v>
      </c>
      <c r="AC569" s="36" t="s">
        <v>848</v>
      </c>
      <c r="AD569" s="34"/>
      <c r="AE569" s="35">
        <f>IFERROR(INDEX([1]Last6M_AvgSales_Ref!$B$2:$B$12659,MATCH(D569,[1]Last6M_AvgSales_Ref!$A$2:$A$12659,0)),"")</f>
        <v>25</v>
      </c>
    </row>
    <row r="570" spans="1:31" ht="14.25" customHeight="1" x14ac:dyDescent="0.3">
      <c r="A570" s="36" t="s">
        <v>848</v>
      </c>
      <c r="B570" s="37" t="s">
        <v>1101</v>
      </c>
      <c r="C570" s="38" t="s">
        <v>1182</v>
      </c>
      <c r="D570" s="38">
        <v>1000000953</v>
      </c>
      <c r="E570" s="39" t="s">
        <v>1183</v>
      </c>
      <c r="F570" s="40">
        <v>43715</v>
      </c>
      <c r="G570" s="22" t="str">
        <f t="shared" si="112"/>
        <v>Targeted Dealer</v>
      </c>
      <c r="H570" s="22"/>
      <c r="I570" s="23">
        <v>1300</v>
      </c>
      <c r="J570" s="23">
        <f t="shared" si="113"/>
        <v>1300</v>
      </c>
      <c r="K570" s="24">
        <v>735.85</v>
      </c>
      <c r="L570" s="24">
        <f t="shared" si="114"/>
        <v>564.15</v>
      </c>
      <c r="M570" s="24">
        <f t="shared" si="115"/>
        <v>56.603846153846156</v>
      </c>
      <c r="N570" s="25">
        <v>459.5</v>
      </c>
      <c r="O570" s="26" t="str">
        <f t="shared" si="116"/>
        <v>June</v>
      </c>
      <c r="P570" s="25">
        <f t="shared" si="117"/>
        <v>459.5</v>
      </c>
      <c r="Q570" s="27">
        <f t="shared" si="118"/>
        <v>276.35000000000002</v>
      </c>
      <c r="R570" s="26" t="b">
        <f t="shared" si="119"/>
        <v>0</v>
      </c>
      <c r="S570" s="28" t="str">
        <f t="shared" si="120"/>
        <v>GROWTH</v>
      </c>
      <c r="T570" s="24">
        <v>629</v>
      </c>
      <c r="U570" s="29" t="str">
        <f t="shared" si="121"/>
        <v>May</v>
      </c>
      <c r="V570" s="24">
        <f t="shared" si="122"/>
        <v>629</v>
      </c>
      <c r="W570" s="30">
        <f t="shared" si="123"/>
        <v>106.85000000000002</v>
      </c>
      <c r="X570" s="31" t="b">
        <f t="shared" si="124"/>
        <v>0</v>
      </c>
      <c r="Y570" s="32" t="str">
        <f t="shared" si="125"/>
        <v>GROWTH</v>
      </c>
      <c r="Z570" s="41">
        <v>0</v>
      </c>
      <c r="AA570" s="36"/>
      <c r="AB570" s="36" t="s">
        <v>24</v>
      </c>
      <c r="AC570" s="36" t="s">
        <v>848</v>
      </c>
      <c r="AD570" s="34"/>
      <c r="AE570" s="35">
        <f>IFERROR(INDEX([1]Last6M_AvgSales_Ref!$B$2:$B$12659,MATCH(D570,[1]Last6M_AvgSales_Ref!$A$2:$A$12659,0)),"")</f>
        <v>819.25</v>
      </c>
    </row>
    <row r="571" spans="1:31" ht="14.25" customHeight="1" x14ac:dyDescent="0.3">
      <c r="A571" s="36" t="s">
        <v>848</v>
      </c>
      <c r="B571" s="37" t="s">
        <v>1101</v>
      </c>
      <c r="C571" s="38" t="s">
        <v>1184</v>
      </c>
      <c r="D571" s="38">
        <v>1000000943</v>
      </c>
      <c r="E571" s="39" t="s">
        <v>1185</v>
      </c>
      <c r="F571" s="40">
        <v>43717</v>
      </c>
      <c r="G571" s="22" t="str">
        <f t="shared" si="112"/>
        <v>Targeted Dealer</v>
      </c>
      <c r="H571" s="22"/>
      <c r="I571" s="23">
        <v>40</v>
      </c>
      <c r="J571" s="23">
        <f t="shared" si="113"/>
        <v>40</v>
      </c>
      <c r="K571" s="24">
        <v>0</v>
      </c>
      <c r="L571" s="24">
        <f t="shared" si="114"/>
        <v>40</v>
      </c>
      <c r="M571" s="24">
        <f t="shared" si="115"/>
        <v>0</v>
      </c>
      <c r="N571" s="25">
        <v>12</v>
      </c>
      <c r="O571" s="26" t="str">
        <f t="shared" si="116"/>
        <v>June</v>
      </c>
      <c r="P571" s="25">
        <f t="shared" si="117"/>
        <v>12</v>
      </c>
      <c r="Q571" s="27">
        <f t="shared" si="118"/>
        <v>-12</v>
      </c>
      <c r="R571" s="26" t="b">
        <f t="shared" si="119"/>
        <v>0</v>
      </c>
      <c r="S571" s="28" t="str">
        <f t="shared" si="120"/>
        <v>GROWTH</v>
      </c>
      <c r="T571" s="24">
        <v>22.5</v>
      </c>
      <c r="U571" s="29" t="str">
        <f t="shared" si="121"/>
        <v>May</v>
      </c>
      <c r="V571" s="24">
        <f t="shared" si="122"/>
        <v>22.5</v>
      </c>
      <c r="W571" s="30">
        <f t="shared" si="123"/>
        <v>-22.5</v>
      </c>
      <c r="X571" s="31" t="b">
        <f t="shared" si="124"/>
        <v>0</v>
      </c>
      <c r="Y571" s="32" t="str">
        <f t="shared" si="125"/>
        <v>GROWTH</v>
      </c>
      <c r="Z571" s="41">
        <v>0</v>
      </c>
      <c r="AA571" s="36"/>
      <c r="AB571" s="36" t="s">
        <v>24</v>
      </c>
      <c r="AC571" s="36" t="s">
        <v>848</v>
      </c>
      <c r="AD571" s="34"/>
      <c r="AE571" s="35">
        <f>IFERROR(INDEX([1]Last6M_AvgSales_Ref!$B$2:$B$12659,MATCH(D571,[1]Last6M_AvgSales_Ref!$A$2:$A$12659,0)),"")</f>
        <v>10.9166666666667</v>
      </c>
    </row>
    <row r="572" spans="1:31" ht="14.25" customHeight="1" x14ac:dyDescent="0.3">
      <c r="A572" s="36" t="s">
        <v>848</v>
      </c>
      <c r="B572" s="37" t="s">
        <v>1098</v>
      </c>
      <c r="C572" s="38" t="s">
        <v>1186</v>
      </c>
      <c r="D572" s="38">
        <v>1000000946</v>
      </c>
      <c r="E572" s="39" t="s">
        <v>1187</v>
      </c>
      <c r="F572" s="40">
        <v>43755</v>
      </c>
      <c r="G572" s="22" t="str">
        <f t="shared" si="112"/>
        <v>Targeted Dealer</v>
      </c>
      <c r="H572" s="22"/>
      <c r="I572" s="23">
        <v>50</v>
      </c>
      <c r="J572" s="23">
        <f t="shared" si="113"/>
        <v>50</v>
      </c>
      <c r="K572" s="24">
        <v>30</v>
      </c>
      <c r="L572" s="24">
        <f t="shared" si="114"/>
        <v>20</v>
      </c>
      <c r="M572" s="24">
        <f t="shared" si="115"/>
        <v>60</v>
      </c>
      <c r="N572" s="25">
        <v>0</v>
      </c>
      <c r="O572" s="26" t="str">
        <f t="shared" si="116"/>
        <v>June</v>
      </c>
      <c r="P572" s="25">
        <f t="shared" si="117"/>
        <v>0</v>
      </c>
      <c r="Q572" s="27">
        <f t="shared" si="118"/>
        <v>30</v>
      </c>
      <c r="R572" s="26" t="b">
        <f t="shared" si="119"/>
        <v>0</v>
      </c>
      <c r="S572" s="28" t="b">
        <f t="shared" si="120"/>
        <v>0</v>
      </c>
      <c r="T572" s="24">
        <v>50</v>
      </c>
      <c r="U572" s="29" t="str">
        <f t="shared" si="121"/>
        <v>May</v>
      </c>
      <c r="V572" s="24">
        <f t="shared" si="122"/>
        <v>50</v>
      </c>
      <c r="W572" s="30">
        <f t="shared" si="123"/>
        <v>-20</v>
      </c>
      <c r="X572" s="31" t="b">
        <f t="shared" si="124"/>
        <v>0</v>
      </c>
      <c r="Y572" s="32" t="str">
        <f t="shared" si="125"/>
        <v>GROWTH</v>
      </c>
      <c r="Z572" s="41">
        <v>0</v>
      </c>
      <c r="AA572" s="36"/>
      <c r="AB572" s="36" t="s">
        <v>24</v>
      </c>
      <c r="AC572" s="36" t="s">
        <v>848</v>
      </c>
      <c r="AD572" s="34"/>
      <c r="AE572" s="35">
        <f>IFERROR(INDEX([1]Last6M_AvgSales_Ref!$B$2:$B$12659,MATCH(D572,[1]Last6M_AvgSales_Ref!$A$2:$A$12659,0)),"")</f>
        <v>26.6666666666667</v>
      </c>
    </row>
    <row r="573" spans="1:31" ht="14.25" customHeight="1" x14ac:dyDescent="0.3">
      <c r="A573" s="36" t="s">
        <v>848</v>
      </c>
      <c r="B573" s="37" t="s">
        <v>1101</v>
      </c>
      <c r="C573" s="38" t="s">
        <v>1188</v>
      </c>
      <c r="D573" s="38">
        <v>1000000940</v>
      </c>
      <c r="E573" s="39" t="s">
        <v>1189</v>
      </c>
      <c r="F573" s="40">
        <v>43777</v>
      </c>
      <c r="G573" s="22" t="str">
        <f t="shared" si="112"/>
        <v>Targeted Dealer</v>
      </c>
      <c r="H573" s="22"/>
      <c r="I573" s="23">
        <v>1200</v>
      </c>
      <c r="J573" s="23">
        <f t="shared" si="113"/>
        <v>1200</v>
      </c>
      <c r="K573" s="24">
        <v>437</v>
      </c>
      <c r="L573" s="24">
        <f t="shared" si="114"/>
        <v>763</v>
      </c>
      <c r="M573" s="24">
        <f t="shared" si="115"/>
        <v>36.416666666666664</v>
      </c>
      <c r="N573" s="25">
        <v>603.5</v>
      </c>
      <c r="O573" s="26" t="str">
        <f t="shared" si="116"/>
        <v>June</v>
      </c>
      <c r="P573" s="25">
        <f t="shared" si="117"/>
        <v>603.5</v>
      </c>
      <c r="Q573" s="27">
        <f t="shared" si="118"/>
        <v>-166.5</v>
      </c>
      <c r="R573" s="26" t="b">
        <f t="shared" si="119"/>
        <v>0</v>
      </c>
      <c r="S573" s="28" t="str">
        <f t="shared" si="120"/>
        <v>GROWTH</v>
      </c>
      <c r="T573" s="24">
        <v>882.5</v>
      </c>
      <c r="U573" s="29" t="str">
        <f t="shared" si="121"/>
        <v>May</v>
      </c>
      <c r="V573" s="24">
        <f t="shared" si="122"/>
        <v>882.5</v>
      </c>
      <c r="W573" s="30">
        <f t="shared" si="123"/>
        <v>-445.5</v>
      </c>
      <c r="X573" s="31" t="b">
        <f t="shared" si="124"/>
        <v>0</v>
      </c>
      <c r="Y573" s="32" t="str">
        <f t="shared" si="125"/>
        <v>GROWTH</v>
      </c>
      <c r="Z573" s="41">
        <v>0</v>
      </c>
      <c r="AA573" s="36"/>
      <c r="AB573" s="36" t="s">
        <v>24</v>
      </c>
      <c r="AC573" s="36" t="s">
        <v>848</v>
      </c>
      <c r="AD573" s="34"/>
      <c r="AE573" s="35">
        <f>IFERROR(INDEX([1]Last6M_AvgSales_Ref!$B$2:$B$12659,MATCH(D573,[1]Last6M_AvgSales_Ref!$A$2:$A$12659,0)),"")</f>
        <v>581</v>
      </c>
    </row>
    <row r="574" spans="1:31" ht="14.25" customHeight="1" x14ac:dyDescent="0.3">
      <c r="A574" s="36" t="s">
        <v>848</v>
      </c>
      <c r="B574" s="37" t="s">
        <v>1101</v>
      </c>
      <c r="C574" s="38" t="s">
        <v>1190</v>
      </c>
      <c r="D574" s="38">
        <v>1000000936</v>
      </c>
      <c r="E574" s="39" t="s">
        <v>1191</v>
      </c>
      <c r="F574" s="40">
        <v>43862</v>
      </c>
      <c r="G574" s="22" t="str">
        <f t="shared" si="112"/>
        <v>Targeted Dealer</v>
      </c>
      <c r="H574" s="22"/>
      <c r="I574" s="23">
        <v>50</v>
      </c>
      <c r="J574" s="23">
        <f t="shared" si="113"/>
        <v>50</v>
      </c>
      <c r="K574" s="24">
        <v>13.5</v>
      </c>
      <c r="L574" s="24">
        <f t="shared" si="114"/>
        <v>36.5</v>
      </c>
      <c r="M574" s="24">
        <f t="shared" si="115"/>
        <v>27</v>
      </c>
      <c r="N574" s="25">
        <v>25</v>
      </c>
      <c r="O574" s="26" t="str">
        <f t="shared" si="116"/>
        <v>June</v>
      </c>
      <c r="P574" s="25">
        <f t="shared" si="117"/>
        <v>25</v>
      </c>
      <c r="Q574" s="27">
        <f t="shared" si="118"/>
        <v>-11.5</v>
      </c>
      <c r="R574" s="26" t="b">
        <f t="shared" si="119"/>
        <v>0</v>
      </c>
      <c r="S574" s="28" t="str">
        <f t="shared" si="120"/>
        <v>GROWTH</v>
      </c>
      <c r="T574" s="24">
        <v>13</v>
      </c>
      <c r="U574" s="29" t="str">
        <f t="shared" si="121"/>
        <v>May</v>
      </c>
      <c r="V574" s="24">
        <f t="shared" si="122"/>
        <v>13</v>
      </c>
      <c r="W574" s="30">
        <f t="shared" si="123"/>
        <v>0.5</v>
      </c>
      <c r="X574" s="31" t="b">
        <f t="shared" si="124"/>
        <v>0</v>
      </c>
      <c r="Y574" s="32" t="str">
        <f t="shared" si="125"/>
        <v>GROWTH</v>
      </c>
      <c r="Z574" s="41">
        <v>0</v>
      </c>
      <c r="AA574" s="36"/>
      <c r="AB574" s="36" t="s">
        <v>24</v>
      </c>
      <c r="AC574" s="36" t="s">
        <v>848</v>
      </c>
      <c r="AD574" s="34"/>
      <c r="AE574" s="35">
        <f>IFERROR(INDEX([1]Last6M_AvgSales_Ref!$B$2:$B$12659,MATCH(D574,[1]Last6M_AvgSales_Ref!$A$2:$A$12659,0)),"")</f>
        <v>19.25</v>
      </c>
    </row>
    <row r="575" spans="1:31" ht="14.25" customHeight="1" x14ac:dyDescent="0.3">
      <c r="A575" s="36" t="s">
        <v>848</v>
      </c>
      <c r="B575" s="37" t="s">
        <v>1098</v>
      </c>
      <c r="C575" s="38" t="s">
        <v>1192</v>
      </c>
      <c r="D575" s="38">
        <v>1000000945</v>
      </c>
      <c r="E575" s="39" t="s">
        <v>1193</v>
      </c>
      <c r="F575" s="40">
        <v>44153</v>
      </c>
      <c r="G575" s="22" t="str">
        <f t="shared" si="112"/>
        <v>Targeted Dealer</v>
      </c>
      <c r="H575" s="22"/>
      <c r="I575" s="23">
        <v>60</v>
      </c>
      <c r="J575" s="23">
        <f t="shared" si="113"/>
        <v>60</v>
      </c>
      <c r="K575" s="24">
        <v>25</v>
      </c>
      <c r="L575" s="24">
        <f t="shared" si="114"/>
        <v>35</v>
      </c>
      <c r="M575" s="24">
        <f t="shared" si="115"/>
        <v>41.666666666666671</v>
      </c>
      <c r="N575" s="25">
        <v>25</v>
      </c>
      <c r="O575" s="26" t="str">
        <f t="shared" si="116"/>
        <v>June</v>
      </c>
      <c r="P575" s="25">
        <f t="shared" si="117"/>
        <v>25</v>
      </c>
      <c r="Q575" s="27">
        <f t="shared" si="118"/>
        <v>0</v>
      </c>
      <c r="R575" s="26" t="b">
        <f t="shared" si="119"/>
        <v>0</v>
      </c>
      <c r="S575" s="28" t="str">
        <f t="shared" si="120"/>
        <v>GROWTH</v>
      </c>
      <c r="T575" s="24">
        <v>25</v>
      </c>
      <c r="U575" s="29" t="str">
        <f t="shared" si="121"/>
        <v>May</v>
      </c>
      <c r="V575" s="24">
        <f t="shared" si="122"/>
        <v>25</v>
      </c>
      <c r="W575" s="30">
        <f t="shared" si="123"/>
        <v>0</v>
      </c>
      <c r="X575" s="31" t="b">
        <f t="shared" si="124"/>
        <v>0</v>
      </c>
      <c r="Y575" s="32" t="str">
        <f t="shared" si="125"/>
        <v>GROWTH</v>
      </c>
      <c r="Z575" s="41">
        <v>0</v>
      </c>
      <c r="AA575" s="36"/>
      <c r="AB575" s="36" t="s">
        <v>24</v>
      </c>
      <c r="AC575" s="36" t="s">
        <v>848</v>
      </c>
      <c r="AD575" s="34"/>
      <c r="AE575" s="35">
        <f>IFERROR(INDEX([1]Last6M_AvgSales_Ref!$B$2:$B$12659,MATCH(D575,[1]Last6M_AvgSales_Ref!$A$2:$A$12659,0)),"")</f>
        <v>20.8333333333333</v>
      </c>
    </row>
    <row r="576" spans="1:31" ht="14.25" customHeight="1" x14ac:dyDescent="0.3">
      <c r="A576" s="36" t="s">
        <v>848</v>
      </c>
      <c r="B576" s="37" t="s">
        <v>1101</v>
      </c>
      <c r="C576" s="38" t="s">
        <v>1194</v>
      </c>
      <c r="D576" s="38">
        <v>1000000962</v>
      </c>
      <c r="E576" s="39" t="s">
        <v>1195</v>
      </c>
      <c r="F576" s="40">
        <v>44201</v>
      </c>
      <c r="G576" s="22" t="str">
        <f t="shared" si="112"/>
        <v>Targeted Dealer</v>
      </c>
      <c r="H576" s="22"/>
      <c r="I576" s="23">
        <v>1400</v>
      </c>
      <c r="J576" s="23">
        <f t="shared" si="113"/>
        <v>1400</v>
      </c>
      <c r="K576" s="24">
        <v>542.29999999999995</v>
      </c>
      <c r="L576" s="24">
        <f t="shared" si="114"/>
        <v>857.7</v>
      </c>
      <c r="M576" s="24">
        <f t="shared" si="115"/>
        <v>38.73571428571428</v>
      </c>
      <c r="N576" s="25">
        <v>460</v>
      </c>
      <c r="O576" s="26" t="str">
        <f t="shared" si="116"/>
        <v>June</v>
      </c>
      <c r="P576" s="25">
        <f t="shared" si="117"/>
        <v>460</v>
      </c>
      <c r="Q576" s="27">
        <f t="shared" si="118"/>
        <v>82.299999999999955</v>
      </c>
      <c r="R576" s="26" t="b">
        <f t="shared" si="119"/>
        <v>0</v>
      </c>
      <c r="S576" s="28" t="str">
        <f t="shared" si="120"/>
        <v>GROWTH</v>
      </c>
      <c r="T576" s="24">
        <v>670</v>
      </c>
      <c r="U576" s="29" t="str">
        <f t="shared" si="121"/>
        <v>May</v>
      </c>
      <c r="V576" s="24">
        <f t="shared" si="122"/>
        <v>670</v>
      </c>
      <c r="W576" s="30">
        <f t="shared" si="123"/>
        <v>-127.70000000000005</v>
      </c>
      <c r="X576" s="31" t="b">
        <f t="shared" si="124"/>
        <v>0</v>
      </c>
      <c r="Y576" s="32" t="str">
        <f t="shared" si="125"/>
        <v>GROWTH</v>
      </c>
      <c r="Z576" s="41">
        <v>0</v>
      </c>
      <c r="AA576" s="36"/>
      <c r="AB576" s="36" t="s">
        <v>24</v>
      </c>
      <c r="AC576" s="36" t="s">
        <v>848</v>
      </c>
      <c r="AD576" s="34"/>
      <c r="AE576" s="35">
        <f>IFERROR(INDEX([1]Last6M_AvgSales_Ref!$B$2:$B$12659,MATCH(D576,[1]Last6M_AvgSales_Ref!$A$2:$A$12659,0)),"")</f>
        <v>587.08333333333303</v>
      </c>
    </row>
    <row r="577" spans="1:31" ht="14.25" customHeight="1" x14ac:dyDescent="0.3">
      <c r="A577" s="36" t="s">
        <v>848</v>
      </c>
      <c r="B577" s="37" t="s">
        <v>1098</v>
      </c>
      <c r="C577" s="38" t="s">
        <v>1196</v>
      </c>
      <c r="D577" s="38">
        <v>1000000944</v>
      </c>
      <c r="E577" s="39" t="s">
        <v>1197</v>
      </c>
      <c r="F577" s="40">
        <v>44380</v>
      </c>
      <c r="G577" s="22" t="str">
        <f t="shared" si="112"/>
        <v>Targeted Dealer</v>
      </c>
      <c r="H577" s="22"/>
      <c r="I577" s="23">
        <v>150</v>
      </c>
      <c r="J577" s="23">
        <f t="shared" si="113"/>
        <v>150</v>
      </c>
      <c r="K577" s="24">
        <v>25</v>
      </c>
      <c r="L577" s="24">
        <f t="shared" si="114"/>
        <v>125</v>
      </c>
      <c r="M577" s="24">
        <f t="shared" si="115"/>
        <v>16.666666666666668</v>
      </c>
      <c r="N577" s="25">
        <v>74.5</v>
      </c>
      <c r="O577" s="26" t="str">
        <f t="shared" si="116"/>
        <v>June</v>
      </c>
      <c r="P577" s="25">
        <f t="shared" si="117"/>
        <v>74.5</v>
      </c>
      <c r="Q577" s="27">
        <f t="shared" si="118"/>
        <v>-49.5</v>
      </c>
      <c r="R577" s="26" t="b">
        <f t="shared" si="119"/>
        <v>0</v>
      </c>
      <c r="S577" s="28" t="str">
        <f t="shared" si="120"/>
        <v>GROWTH</v>
      </c>
      <c r="T577" s="24">
        <v>50</v>
      </c>
      <c r="U577" s="29" t="str">
        <f t="shared" si="121"/>
        <v>May</v>
      </c>
      <c r="V577" s="24">
        <f t="shared" si="122"/>
        <v>50</v>
      </c>
      <c r="W577" s="30">
        <f t="shared" si="123"/>
        <v>-25</v>
      </c>
      <c r="X577" s="31" t="b">
        <f t="shared" si="124"/>
        <v>0</v>
      </c>
      <c r="Y577" s="32" t="str">
        <f t="shared" si="125"/>
        <v>GROWTH</v>
      </c>
      <c r="Z577" s="41">
        <v>0</v>
      </c>
      <c r="AA577" s="36"/>
      <c r="AB577" s="36" t="s">
        <v>24</v>
      </c>
      <c r="AC577" s="36" t="s">
        <v>848</v>
      </c>
      <c r="AD577" s="34"/>
      <c r="AE577" s="35">
        <f>IFERROR(INDEX([1]Last6M_AvgSales_Ref!$B$2:$B$12659,MATCH(D577,[1]Last6M_AvgSales_Ref!$A$2:$A$12659,0)),"")</f>
        <v>25.75</v>
      </c>
    </row>
    <row r="578" spans="1:31" ht="14.25" customHeight="1" x14ac:dyDescent="0.3">
      <c r="A578" s="36" t="s">
        <v>848</v>
      </c>
      <c r="B578" s="37" t="s">
        <v>1101</v>
      </c>
      <c r="C578" s="38" t="s">
        <v>1198</v>
      </c>
      <c r="D578" s="38">
        <v>1000000950</v>
      </c>
      <c r="E578" s="39" t="s">
        <v>1199</v>
      </c>
      <c r="F578" s="40">
        <v>44481</v>
      </c>
      <c r="G578" s="22" t="str">
        <f t="shared" si="112"/>
        <v>-</v>
      </c>
      <c r="H578" s="22"/>
      <c r="I578" s="23">
        <v>0</v>
      </c>
      <c r="J578" s="23">
        <f t="shared" si="113"/>
        <v>0</v>
      </c>
      <c r="K578" s="24">
        <v>0</v>
      </c>
      <c r="L578" s="24">
        <f t="shared" si="114"/>
        <v>0</v>
      </c>
      <c r="M578" s="24" t="str">
        <f t="shared" si="115"/>
        <v>-</v>
      </c>
      <c r="N578" s="25">
        <v>0</v>
      </c>
      <c r="O578" s="26" t="str">
        <f t="shared" si="116"/>
        <v>June</v>
      </c>
      <c r="P578" s="25">
        <f t="shared" si="117"/>
        <v>0</v>
      </c>
      <c r="Q578" s="27">
        <f t="shared" si="118"/>
        <v>0</v>
      </c>
      <c r="R578" s="26" t="b">
        <f t="shared" si="119"/>
        <v>0</v>
      </c>
      <c r="S578" s="28" t="b">
        <f t="shared" si="120"/>
        <v>0</v>
      </c>
      <c r="T578" s="24">
        <v>25</v>
      </c>
      <c r="U578" s="29" t="str">
        <f t="shared" si="121"/>
        <v>May</v>
      </c>
      <c r="V578" s="24">
        <f t="shared" si="122"/>
        <v>25</v>
      </c>
      <c r="W578" s="30">
        <f t="shared" si="123"/>
        <v>-25</v>
      </c>
      <c r="X578" s="31" t="b">
        <f t="shared" si="124"/>
        <v>0</v>
      </c>
      <c r="Y578" s="32" t="str">
        <f t="shared" si="125"/>
        <v>GROWTH</v>
      </c>
      <c r="Z578" s="41">
        <v>0</v>
      </c>
      <c r="AA578" s="36"/>
      <c r="AB578" s="36" t="s">
        <v>24</v>
      </c>
      <c r="AC578" s="36" t="s">
        <v>848</v>
      </c>
      <c r="AD578" s="34"/>
      <c r="AE578" s="35">
        <f>IFERROR(INDEX([1]Last6M_AvgSales_Ref!$B$2:$B$12659,MATCH(D578,[1]Last6M_AvgSales_Ref!$A$2:$A$12659,0)),"")</f>
        <v>29.1666666666667</v>
      </c>
    </row>
    <row r="579" spans="1:31" ht="14.25" customHeight="1" x14ac:dyDescent="0.3">
      <c r="A579" s="36" t="s">
        <v>848</v>
      </c>
      <c r="B579" s="37" t="s">
        <v>1101</v>
      </c>
      <c r="C579" s="38" t="s">
        <v>1200</v>
      </c>
      <c r="D579" s="38">
        <v>1000002627</v>
      </c>
      <c r="E579" s="39" t="s">
        <v>1201</v>
      </c>
      <c r="F579" s="40">
        <v>44643</v>
      </c>
      <c r="G579" s="22" t="str">
        <f t="shared" ref="G579:G642" si="126">IF(I579&gt;0,"Targeted Dealer","-")</f>
        <v>Targeted Dealer</v>
      </c>
      <c r="H579" s="22"/>
      <c r="I579" s="23">
        <v>240</v>
      </c>
      <c r="J579" s="23">
        <f t="shared" ref="J579:J642" si="127">I579/$J$1*($J$1-$E$1)</f>
        <v>240</v>
      </c>
      <c r="K579" s="24">
        <v>140</v>
      </c>
      <c r="L579" s="24">
        <f t="shared" ref="L579:L642" si="128">I579-K579</f>
        <v>100</v>
      </c>
      <c r="M579" s="24">
        <f t="shared" ref="M579:M642" si="129">IFERROR((K579/J579%),"-")</f>
        <v>58.333333333333336</v>
      </c>
      <c r="N579" s="25">
        <v>140</v>
      </c>
      <c r="O579" s="26" t="str">
        <f t="shared" ref="O579:O642" si="130">IF(F579&lt;=$P$2,"June","")</f>
        <v>June</v>
      </c>
      <c r="P579" s="25">
        <f t="shared" ref="P579:P642" si="131">N579</f>
        <v>140</v>
      </c>
      <c r="Q579" s="27">
        <f t="shared" ref="Q579:Q642" si="132">K579-P579</f>
        <v>0</v>
      </c>
      <c r="R579" s="26" t="b">
        <f t="shared" ref="R579:R642" si="133">IFERROR(IF(O579="May",(K579/P579-1))," ")</f>
        <v>0</v>
      </c>
      <c r="S579" s="28" t="str">
        <f t="shared" ref="S579:S642" si="134">IF(N579&gt;0,IF(O579="","-",IF(R579&lt;0%,"DEGROWTH","GROWTH")))</f>
        <v>GROWTH</v>
      </c>
      <c r="T579" s="24">
        <v>90</v>
      </c>
      <c r="U579" s="29" t="str">
        <f t="shared" ref="U579:U642" si="135">IF(F579&lt;=$V$2,"May","")</f>
        <v>May</v>
      </c>
      <c r="V579" s="24">
        <f t="shared" ref="V579:V642" si="136">T579</f>
        <v>90</v>
      </c>
      <c r="W579" s="30">
        <f t="shared" ref="W579:W642" si="137">K579-V579</f>
        <v>50</v>
      </c>
      <c r="X579" s="31" t="b">
        <f t="shared" ref="X579:X642" si="138">IFERROR(IF(U579="June",(K579/V579-1)),0)</f>
        <v>0</v>
      </c>
      <c r="Y579" s="32" t="str">
        <f t="shared" ref="Y579:Y642" si="139">IF(T579&gt;0,IF(U579="","-",IF(X579&lt;0%,"DEGROWTH","GROWTH")))</f>
        <v>GROWTH</v>
      </c>
      <c r="Z579" s="41">
        <v>0</v>
      </c>
      <c r="AA579" s="36"/>
      <c r="AB579" s="36" t="s">
        <v>24</v>
      </c>
      <c r="AC579" s="36" t="s">
        <v>848</v>
      </c>
      <c r="AD579" s="34"/>
      <c r="AE579" s="35">
        <f>IFERROR(INDEX([1]Last6M_AvgSales_Ref!$B$2:$B$12659,MATCH(D579,[1]Last6M_AvgSales_Ref!$A$2:$A$12659,0)),"")</f>
        <v>200.333333333333</v>
      </c>
    </row>
    <row r="580" spans="1:31" ht="14.25" customHeight="1" x14ac:dyDescent="0.3">
      <c r="A580" s="36" t="s">
        <v>848</v>
      </c>
      <c r="B580" s="37" t="s">
        <v>1101</v>
      </c>
      <c r="C580" s="38" t="s">
        <v>1202</v>
      </c>
      <c r="D580" s="38">
        <v>1000002762</v>
      </c>
      <c r="E580" s="38" t="s">
        <v>1203</v>
      </c>
      <c r="F580" s="40">
        <v>44707</v>
      </c>
      <c r="G580" s="22" t="str">
        <f t="shared" si="126"/>
        <v>Targeted Dealer</v>
      </c>
      <c r="H580" s="22"/>
      <c r="I580" s="23">
        <v>70</v>
      </c>
      <c r="J580" s="23">
        <f t="shared" si="127"/>
        <v>70</v>
      </c>
      <c r="K580" s="24">
        <v>0</v>
      </c>
      <c r="L580" s="24">
        <f t="shared" si="128"/>
        <v>70</v>
      </c>
      <c r="M580" s="24">
        <f t="shared" si="129"/>
        <v>0</v>
      </c>
      <c r="N580" s="25">
        <v>25</v>
      </c>
      <c r="O580" s="26" t="str">
        <f t="shared" si="130"/>
        <v>June</v>
      </c>
      <c r="P580" s="25">
        <f t="shared" si="131"/>
        <v>25</v>
      </c>
      <c r="Q580" s="27">
        <f t="shared" si="132"/>
        <v>-25</v>
      </c>
      <c r="R580" s="26" t="b">
        <f t="shared" si="133"/>
        <v>0</v>
      </c>
      <c r="S580" s="28" t="str">
        <f t="shared" si="134"/>
        <v>GROWTH</v>
      </c>
      <c r="T580" s="24">
        <v>30</v>
      </c>
      <c r="U580" s="29" t="str">
        <f t="shared" si="135"/>
        <v>May</v>
      </c>
      <c r="V580" s="24">
        <f t="shared" si="136"/>
        <v>30</v>
      </c>
      <c r="W580" s="30">
        <f t="shared" si="137"/>
        <v>-30</v>
      </c>
      <c r="X580" s="31" t="b">
        <f t="shared" si="138"/>
        <v>0</v>
      </c>
      <c r="Y580" s="32" t="str">
        <f t="shared" si="139"/>
        <v>GROWTH</v>
      </c>
      <c r="Z580" s="41">
        <v>0</v>
      </c>
      <c r="AA580" s="36"/>
      <c r="AB580" s="36" t="s">
        <v>24</v>
      </c>
      <c r="AC580" s="36" t="s">
        <v>848</v>
      </c>
      <c r="AD580" s="34"/>
      <c r="AE580" s="35">
        <f>IFERROR(INDEX([1]Last6M_AvgSales_Ref!$B$2:$B$12659,MATCH(D580,[1]Last6M_AvgSales_Ref!$A$2:$A$12659,0)),"")</f>
        <v>12.5</v>
      </c>
    </row>
    <row r="581" spans="1:31" ht="14.25" customHeight="1" x14ac:dyDescent="0.3">
      <c r="A581" s="36" t="s">
        <v>848</v>
      </c>
      <c r="B581" s="37" t="s">
        <v>1098</v>
      </c>
      <c r="C581" s="38" t="s">
        <v>1204</v>
      </c>
      <c r="D581" s="38">
        <v>1000002813</v>
      </c>
      <c r="E581" s="38" t="s">
        <v>1205</v>
      </c>
      <c r="F581" s="40">
        <v>44721</v>
      </c>
      <c r="G581" s="22" t="str">
        <f t="shared" si="126"/>
        <v>Targeted Dealer</v>
      </c>
      <c r="H581" s="22"/>
      <c r="I581" s="23">
        <v>330</v>
      </c>
      <c r="J581" s="23">
        <f t="shared" si="127"/>
        <v>330</v>
      </c>
      <c r="K581" s="24">
        <v>100</v>
      </c>
      <c r="L581" s="24">
        <f t="shared" si="128"/>
        <v>230</v>
      </c>
      <c r="M581" s="24">
        <f t="shared" si="129"/>
        <v>30.303030303030305</v>
      </c>
      <c r="N581" s="25">
        <v>90</v>
      </c>
      <c r="O581" s="26" t="str">
        <f t="shared" si="130"/>
        <v>June</v>
      </c>
      <c r="P581" s="25">
        <f t="shared" si="131"/>
        <v>90</v>
      </c>
      <c r="Q581" s="27">
        <f t="shared" si="132"/>
        <v>10</v>
      </c>
      <c r="R581" s="26" t="b">
        <f t="shared" si="133"/>
        <v>0</v>
      </c>
      <c r="S581" s="28" t="str">
        <f t="shared" si="134"/>
        <v>GROWTH</v>
      </c>
      <c r="T581" s="24">
        <v>155</v>
      </c>
      <c r="U581" s="29" t="str">
        <f t="shared" si="135"/>
        <v>May</v>
      </c>
      <c r="V581" s="24">
        <f t="shared" si="136"/>
        <v>155</v>
      </c>
      <c r="W581" s="30">
        <f t="shared" si="137"/>
        <v>-55</v>
      </c>
      <c r="X581" s="31" t="b">
        <f t="shared" si="138"/>
        <v>0</v>
      </c>
      <c r="Y581" s="32" t="str">
        <f t="shared" si="139"/>
        <v>GROWTH</v>
      </c>
      <c r="Z581" s="41">
        <v>0</v>
      </c>
      <c r="AA581" s="36"/>
      <c r="AB581" s="36" t="s">
        <v>24</v>
      </c>
      <c r="AC581" s="36" t="s">
        <v>848</v>
      </c>
      <c r="AD581" s="34"/>
      <c r="AE581" s="35">
        <f>IFERROR(INDEX([1]Last6M_AvgSales_Ref!$B$2:$B$12659,MATCH(D581,[1]Last6M_AvgSales_Ref!$A$2:$A$12659,0)),"")</f>
        <v>215.74166666666699</v>
      </c>
    </row>
    <row r="582" spans="1:31" ht="14.25" customHeight="1" x14ac:dyDescent="0.3">
      <c r="A582" s="36" t="s">
        <v>848</v>
      </c>
      <c r="B582" s="37" t="s">
        <v>1098</v>
      </c>
      <c r="C582" s="38" t="s">
        <v>1206</v>
      </c>
      <c r="D582" s="38">
        <v>1000002833</v>
      </c>
      <c r="E582" s="38" t="s">
        <v>1207</v>
      </c>
      <c r="F582" s="40">
        <v>44755</v>
      </c>
      <c r="G582" s="22" t="str">
        <f t="shared" si="126"/>
        <v>Targeted Dealer</v>
      </c>
      <c r="H582" s="22"/>
      <c r="I582" s="23">
        <v>700</v>
      </c>
      <c r="J582" s="23">
        <f t="shared" si="127"/>
        <v>700</v>
      </c>
      <c r="K582" s="24">
        <v>564</v>
      </c>
      <c r="L582" s="24">
        <f t="shared" si="128"/>
        <v>136</v>
      </c>
      <c r="M582" s="24">
        <f t="shared" si="129"/>
        <v>80.571428571428569</v>
      </c>
      <c r="N582" s="25">
        <v>428</v>
      </c>
      <c r="O582" s="26" t="str">
        <f t="shared" si="130"/>
        <v>June</v>
      </c>
      <c r="P582" s="25">
        <f t="shared" si="131"/>
        <v>428</v>
      </c>
      <c r="Q582" s="27">
        <f t="shared" si="132"/>
        <v>136</v>
      </c>
      <c r="R582" s="26" t="b">
        <f t="shared" si="133"/>
        <v>0</v>
      </c>
      <c r="S582" s="28" t="str">
        <f t="shared" si="134"/>
        <v>GROWTH</v>
      </c>
      <c r="T582" s="24">
        <v>340</v>
      </c>
      <c r="U582" s="29" t="str">
        <f t="shared" si="135"/>
        <v>May</v>
      </c>
      <c r="V582" s="24">
        <f t="shared" si="136"/>
        <v>340</v>
      </c>
      <c r="W582" s="30">
        <f t="shared" si="137"/>
        <v>224</v>
      </c>
      <c r="X582" s="31" t="b">
        <f t="shared" si="138"/>
        <v>0</v>
      </c>
      <c r="Y582" s="32" t="str">
        <f t="shared" si="139"/>
        <v>GROWTH</v>
      </c>
      <c r="Z582" s="41">
        <v>0</v>
      </c>
      <c r="AA582" s="36"/>
      <c r="AB582" s="36" t="s">
        <v>24</v>
      </c>
      <c r="AC582" s="36" t="s">
        <v>848</v>
      </c>
      <c r="AD582" s="34"/>
      <c r="AE582" s="35">
        <f>IFERROR(INDEX([1]Last6M_AvgSales_Ref!$B$2:$B$12659,MATCH(D582,[1]Last6M_AvgSales_Ref!$A$2:$A$12659,0)),"")</f>
        <v>582.91666666666697</v>
      </c>
    </row>
    <row r="583" spans="1:31" ht="14.25" customHeight="1" x14ac:dyDescent="0.3">
      <c r="A583" s="36" t="s">
        <v>848</v>
      </c>
      <c r="B583" s="37" t="s">
        <v>1101</v>
      </c>
      <c r="C583" s="38" t="s">
        <v>1208</v>
      </c>
      <c r="D583" s="38">
        <v>1000003282</v>
      </c>
      <c r="E583" s="38" t="s">
        <v>1209</v>
      </c>
      <c r="F583" s="40">
        <v>44951</v>
      </c>
      <c r="G583" s="22" t="str">
        <f t="shared" si="126"/>
        <v>Targeted Dealer</v>
      </c>
      <c r="H583" s="22"/>
      <c r="I583" s="23">
        <v>330</v>
      </c>
      <c r="J583" s="23">
        <f t="shared" si="127"/>
        <v>330</v>
      </c>
      <c r="K583" s="24">
        <v>75</v>
      </c>
      <c r="L583" s="24">
        <f t="shared" si="128"/>
        <v>255</v>
      </c>
      <c r="M583" s="24">
        <f t="shared" si="129"/>
        <v>22.72727272727273</v>
      </c>
      <c r="N583" s="25">
        <v>57.5</v>
      </c>
      <c r="O583" s="26" t="str">
        <f t="shared" si="130"/>
        <v>June</v>
      </c>
      <c r="P583" s="25">
        <f t="shared" si="131"/>
        <v>57.5</v>
      </c>
      <c r="Q583" s="27">
        <f t="shared" si="132"/>
        <v>17.5</v>
      </c>
      <c r="R583" s="26" t="b">
        <f t="shared" si="133"/>
        <v>0</v>
      </c>
      <c r="S583" s="28" t="str">
        <f t="shared" si="134"/>
        <v>GROWTH</v>
      </c>
      <c r="T583" s="24">
        <v>165</v>
      </c>
      <c r="U583" s="29" t="str">
        <f t="shared" si="135"/>
        <v>May</v>
      </c>
      <c r="V583" s="24">
        <f t="shared" si="136"/>
        <v>165</v>
      </c>
      <c r="W583" s="30">
        <f t="shared" si="137"/>
        <v>-90</v>
      </c>
      <c r="X583" s="31" t="b">
        <f t="shared" si="138"/>
        <v>0</v>
      </c>
      <c r="Y583" s="32" t="str">
        <f t="shared" si="139"/>
        <v>GROWTH</v>
      </c>
      <c r="Z583" s="41">
        <v>0</v>
      </c>
      <c r="AA583" s="36"/>
      <c r="AB583" s="36" t="s">
        <v>24</v>
      </c>
      <c r="AC583" s="36" t="s">
        <v>848</v>
      </c>
      <c r="AD583" s="34"/>
      <c r="AE583" s="35">
        <f>IFERROR(INDEX([1]Last6M_AvgSales_Ref!$B$2:$B$12659,MATCH(D583,[1]Last6M_AvgSales_Ref!$A$2:$A$12659,0)),"")</f>
        <v>111.666666666667</v>
      </c>
    </row>
    <row r="584" spans="1:31" ht="14.25" customHeight="1" x14ac:dyDescent="0.3">
      <c r="A584" s="36" t="s">
        <v>848</v>
      </c>
      <c r="B584" s="37" t="s">
        <v>1101</v>
      </c>
      <c r="C584" s="38" t="s">
        <v>1210</v>
      </c>
      <c r="D584" s="38">
        <v>1000003292</v>
      </c>
      <c r="E584" s="38" t="s">
        <v>1211</v>
      </c>
      <c r="F584" s="40">
        <v>44953</v>
      </c>
      <c r="G584" s="22" t="str">
        <f t="shared" si="126"/>
        <v>Targeted Dealer</v>
      </c>
      <c r="H584" s="22"/>
      <c r="I584" s="23">
        <v>500</v>
      </c>
      <c r="J584" s="23">
        <f t="shared" si="127"/>
        <v>500.00000000000006</v>
      </c>
      <c r="K584" s="24">
        <v>315.5</v>
      </c>
      <c r="L584" s="24">
        <f t="shared" si="128"/>
        <v>184.5</v>
      </c>
      <c r="M584" s="24">
        <f t="shared" si="129"/>
        <v>63.099999999999987</v>
      </c>
      <c r="N584" s="25">
        <v>257.5</v>
      </c>
      <c r="O584" s="26" t="str">
        <f t="shared" si="130"/>
        <v>June</v>
      </c>
      <c r="P584" s="25">
        <f t="shared" si="131"/>
        <v>257.5</v>
      </c>
      <c r="Q584" s="27">
        <f t="shared" si="132"/>
        <v>58</v>
      </c>
      <c r="R584" s="26" t="b">
        <f t="shared" si="133"/>
        <v>0</v>
      </c>
      <c r="S584" s="28" t="str">
        <f t="shared" si="134"/>
        <v>GROWTH</v>
      </c>
      <c r="T584" s="24">
        <v>168.5</v>
      </c>
      <c r="U584" s="29" t="str">
        <f t="shared" si="135"/>
        <v>May</v>
      </c>
      <c r="V584" s="24">
        <f t="shared" si="136"/>
        <v>168.5</v>
      </c>
      <c r="W584" s="30">
        <f t="shared" si="137"/>
        <v>147</v>
      </c>
      <c r="X584" s="31" t="b">
        <f t="shared" si="138"/>
        <v>0</v>
      </c>
      <c r="Y584" s="32" t="str">
        <f t="shared" si="139"/>
        <v>GROWTH</v>
      </c>
      <c r="Z584" s="41">
        <v>0</v>
      </c>
      <c r="AA584" s="36"/>
      <c r="AB584" s="36" t="s">
        <v>24</v>
      </c>
      <c r="AC584" s="36" t="s">
        <v>848</v>
      </c>
      <c r="AD584" s="34"/>
      <c r="AE584" s="35">
        <f>IFERROR(INDEX([1]Last6M_AvgSales_Ref!$B$2:$B$12659,MATCH(D584,[1]Last6M_AvgSales_Ref!$A$2:$A$12659,0)),"")</f>
        <v>375.25</v>
      </c>
    </row>
    <row r="585" spans="1:31" ht="14.25" customHeight="1" x14ac:dyDescent="0.3">
      <c r="A585" s="36" t="s">
        <v>848</v>
      </c>
      <c r="B585" s="37" t="s">
        <v>1098</v>
      </c>
      <c r="C585" s="38" t="s">
        <v>1212</v>
      </c>
      <c r="D585" s="38">
        <v>1000003344</v>
      </c>
      <c r="E585" s="38" t="s">
        <v>135</v>
      </c>
      <c r="F585" s="40">
        <v>44971</v>
      </c>
      <c r="G585" s="22" t="str">
        <f t="shared" si="126"/>
        <v>Targeted Dealer</v>
      </c>
      <c r="H585" s="22"/>
      <c r="I585" s="23">
        <v>100</v>
      </c>
      <c r="J585" s="23">
        <f t="shared" si="127"/>
        <v>100</v>
      </c>
      <c r="K585" s="24">
        <v>42.5</v>
      </c>
      <c r="L585" s="24">
        <f t="shared" si="128"/>
        <v>57.5</v>
      </c>
      <c r="M585" s="24">
        <f t="shared" si="129"/>
        <v>42.5</v>
      </c>
      <c r="N585" s="25">
        <v>25</v>
      </c>
      <c r="O585" s="26" t="str">
        <f t="shared" si="130"/>
        <v>June</v>
      </c>
      <c r="P585" s="25">
        <f t="shared" si="131"/>
        <v>25</v>
      </c>
      <c r="Q585" s="27">
        <f t="shared" si="132"/>
        <v>17.5</v>
      </c>
      <c r="R585" s="26" t="b">
        <f t="shared" si="133"/>
        <v>0</v>
      </c>
      <c r="S585" s="28" t="str">
        <f t="shared" si="134"/>
        <v>GROWTH</v>
      </c>
      <c r="T585" s="24">
        <v>50</v>
      </c>
      <c r="U585" s="29" t="str">
        <f t="shared" si="135"/>
        <v>May</v>
      </c>
      <c r="V585" s="24">
        <f t="shared" si="136"/>
        <v>50</v>
      </c>
      <c r="W585" s="30">
        <f t="shared" si="137"/>
        <v>-7.5</v>
      </c>
      <c r="X585" s="31" t="b">
        <f t="shared" si="138"/>
        <v>0</v>
      </c>
      <c r="Y585" s="32" t="str">
        <f t="shared" si="139"/>
        <v>GROWTH</v>
      </c>
      <c r="Z585" s="41">
        <v>0</v>
      </c>
      <c r="AA585" s="36"/>
      <c r="AB585" s="36" t="s">
        <v>24</v>
      </c>
      <c r="AC585" s="36" t="s">
        <v>848</v>
      </c>
      <c r="AD585" s="34"/>
      <c r="AE585" s="35">
        <f>IFERROR(INDEX([1]Last6M_AvgSales_Ref!$B$2:$B$12659,MATCH(D585,[1]Last6M_AvgSales_Ref!$A$2:$A$12659,0)),"")</f>
        <v>39.1666666666667</v>
      </c>
    </row>
    <row r="586" spans="1:31" ht="14.25" customHeight="1" x14ac:dyDescent="0.3">
      <c r="A586" s="36" t="s">
        <v>848</v>
      </c>
      <c r="B586" s="37" t="s">
        <v>1098</v>
      </c>
      <c r="C586" s="38" t="s">
        <v>1213</v>
      </c>
      <c r="D586" s="38">
        <v>1000003366</v>
      </c>
      <c r="E586" s="38" t="s">
        <v>1214</v>
      </c>
      <c r="F586" s="40">
        <v>44975</v>
      </c>
      <c r="G586" s="22" t="str">
        <f t="shared" si="126"/>
        <v>Targeted Dealer</v>
      </c>
      <c r="H586" s="22"/>
      <c r="I586" s="23">
        <v>800</v>
      </c>
      <c r="J586" s="23">
        <f t="shared" si="127"/>
        <v>800</v>
      </c>
      <c r="K586" s="24">
        <v>225</v>
      </c>
      <c r="L586" s="24">
        <f t="shared" si="128"/>
        <v>575</v>
      </c>
      <c r="M586" s="24">
        <f t="shared" si="129"/>
        <v>28.125</v>
      </c>
      <c r="N586" s="25">
        <v>285</v>
      </c>
      <c r="O586" s="26" t="str">
        <f t="shared" si="130"/>
        <v>June</v>
      </c>
      <c r="P586" s="25">
        <f t="shared" si="131"/>
        <v>285</v>
      </c>
      <c r="Q586" s="27">
        <f t="shared" si="132"/>
        <v>-60</v>
      </c>
      <c r="R586" s="26" t="b">
        <f t="shared" si="133"/>
        <v>0</v>
      </c>
      <c r="S586" s="28" t="str">
        <f t="shared" si="134"/>
        <v>GROWTH</v>
      </c>
      <c r="T586" s="24">
        <v>535</v>
      </c>
      <c r="U586" s="29" t="str">
        <f t="shared" si="135"/>
        <v>May</v>
      </c>
      <c r="V586" s="24">
        <f t="shared" si="136"/>
        <v>535</v>
      </c>
      <c r="W586" s="30">
        <f t="shared" si="137"/>
        <v>-310</v>
      </c>
      <c r="X586" s="31" t="b">
        <f t="shared" si="138"/>
        <v>0</v>
      </c>
      <c r="Y586" s="32" t="str">
        <f t="shared" si="139"/>
        <v>GROWTH</v>
      </c>
      <c r="Z586" s="41">
        <v>0</v>
      </c>
      <c r="AA586" s="36"/>
      <c r="AB586" s="36" t="s">
        <v>24</v>
      </c>
      <c r="AC586" s="36" t="s">
        <v>848</v>
      </c>
      <c r="AD586" s="34"/>
      <c r="AE586" s="35">
        <f>IFERROR(INDEX([1]Last6M_AvgSales_Ref!$B$2:$B$12659,MATCH(D586,[1]Last6M_AvgSales_Ref!$A$2:$A$12659,0)),"")</f>
        <v>388.5</v>
      </c>
    </row>
    <row r="587" spans="1:31" ht="14.25" customHeight="1" x14ac:dyDescent="0.3">
      <c r="A587" s="36" t="s">
        <v>848</v>
      </c>
      <c r="B587" s="37" t="s">
        <v>1098</v>
      </c>
      <c r="C587" s="38" t="s">
        <v>1215</v>
      </c>
      <c r="D587" s="38">
        <v>1000003393</v>
      </c>
      <c r="E587" s="38" t="s">
        <v>1216</v>
      </c>
      <c r="F587" s="40">
        <v>44985</v>
      </c>
      <c r="G587" s="22" t="str">
        <f t="shared" si="126"/>
        <v>Targeted Dealer</v>
      </c>
      <c r="H587" s="22"/>
      <c r="I587" s="23">
        <v>600</v>
      </c>
      <c r="J587" s="23">
        <f t="shared" si="127"/>
        <v>600</v>
      </c>
      <c r="K587" s="24">
        <v>50</v>
      </c>
      <c r="L587" s="24">
        <f t="shared" si="128"/>
        <v>550</v>
      </c>
      <c r="M587" s="24">
        <f t="shared" si="129"/>
        <v>8.3333333333333339</v>
      </c>
      <c r="N587" s="25">
        <v>205</v>
      </c>
      <c r="O587" s="26" t="str">
        <f t="shared" si="130"/>
        <v>June</v>
      </c>
      <c r="P587" s="25">
        <f t="shared" si="131"/>
        <v>205</v>
      </c>
      <c r="Q587" s="27">
        <f t="shared" si="132"/>
        <v>-155</v>
      </c>
      <c r="R587" s="26" t="b">
        <f t="shared" si="133"/>
        <v>0</v>
      </c>
      <c r="S587" s="28" t="str">
        <f t="shared" si="134"/>
        <v>GROWTH</v>
      </c>
      <c r="T587" s="24">
        <v>282</v>
      </c>
      <c r="U587" s="29" t="str">
        <f t="shared" si="135"/>
        <v>May</v>
      </c>
      <c r="V587" s="24">
        <f t="shared" si="136"/>
        <v>282</v>
      </c>
      <c r="W587" s="30">
        <f t="shared" si="137"/>
        <v>-232</v>
      </c>
      <c r="X587" s="31" t="b">
        <f t="shared" si="138"/>
        <v>0</v>
      </c>
      <c r="Y587" s="32" t="str">
        <f t="shared" si="139"/>
        <v>GROWTH</v>
      </c>
      <c r="Z587" s="41">
        <v>0</v>
      </c>
      <c r="AA587" s="36"/>
      <c r="AB587" s="36" t="s">
        <v>24</v>
      </c>
      <c r="AC587" s="36" t="s">
        <v>848</v>
      </c>
      <c r="AD587" s="34"/>
      <c r="AE587" s="35">
        <f>IFERROR(INDEX([1]Last6M_AvgSales_Ref!$B$2:$B$12659,MATCH(D587,[1]Last6M_AvgSales_Ref!$A$2:$A$12659,0)),"")</f>
        <v>189.916666666667</v>
      </c>
    </row>
    <row r="588" spans="1:31" ht="14.25" customHeight="1" x14ac:dyDescent="0.3">
      <c r="A588" s="36" t="s">
        <v>848</v>
      </c>
      <c r="B588" s="37" t="s">
        <v>1098</v>
      </c>
      <c r="C588" s="38" t="s">
        <v>1217</v>
      </c>
      <c r="D588" s="38">
        <v>1000003399</v>
      </c>
      <c r="E588" s="38" t="s">
        <v>1218</v>
      </c>
      <c r="F588" s="40">
        <v>44985</v>
      </c>
      <c r="G588" s="22" t="str">
        <f t="shared" si="126"/>
        <v>Targeted Dealer</v>
      </c>
      <c r="H588" s="22"/>
      <c r="I588" s="23">
        <v>500</v>
      </c>
      <c r="J588" s="23">
        <f t="shared" si="127"/>
        <v>500.00000000000006</v>
      </c>
      <c r="K588" s="24">
        <v>195</v>
      </c>
      <c r="L588" s="24">
        <f t="shared" si="128"/>
        <v>305</v>
      </c>
      <c r="M588" s="24">
        <f t="shared" si="129"/>
        <v>38.999999999999993</v>
      </c>
      <c r="N588" s="25">
        <v>195</v>
      </c>
      <c r="O588" s="26" t="str">
        <f t="shared" si="130"/>
        <v>June</v>
      </c>
      <c r="P588" s="25">
        <f t="shared" si="131"/>
        <v>195</v>
      </c>
      <c r="Q588" s="27">
        <f t="shared" si="132"/>
        <v>0</v>
      </c>
      <c r="R588" s="26" t="b">
        <f t="shared" si="133"/>
        <v>0</v>
      </c>
      <c r="S588" s="28" t="str">
        <f t="shared" si="134"/>
        <v>GROWTH</v>
      </c>
      <c r="T588" s="24">
        <v>302</v>
      </c>
      <c r="U588" s="29" t="str">
        <f t="shared" si="135"/>
        <v>May</v>
      </c>
      <c r="V588" s="24">
        <f t="shared" si="136"/>
        <v>302</v>
      </c>
      <c r="W588" s="30">
        <f t="shared" si="137"/>
        <v>-107</v>
      </c>
      <c r="X588" s="31" t="b">
        <f t="shared" si="138"/>
        <v>0</v>
      </c>
      <c r="Y588" s="32" t="str">
        <f t="shared" si="139"/>
        <v>GROWTH</v>
      </c>
      <c r="Z588" s="41">
        <v>0</v>
      </c>
      <c r="AA588" s="36"/>
      <c r="AB588" s="36" t="s">
        <v>24</v>
      </c>
      <c r="AC588" s="36" t="s">
        <v>848</v>
      </c>
      <c r="AD588" s="34"/>
      <c r="AE588" s="35">
        <f>IFERROR(INDEX([1]Last6M_AvgSales_Ref!$B$2:$B$12659,MATCH(D588,[1]Last6M_AvgSales_Ref!$A$2:$A$12659,0)),"")</f>
        <v>258.5</v>
      </c>
    </row>
    <row r="589" spans="1:31" ht="14.25" customHeight="1" x14ac:dyDescent="0.3">
      <c r="A589" s="36" t="s">
        <v>848</v>
      </c>
      <c r="B589" s="37" t="s">
        <v>1098</v>
      </c>
      <c r="C589" s="38" t="s">
        <v>1219</v>
      </c>
      <c r="D589" s="38">
        <v>1000003415</v>
      </c>
      <c r="E589" s="38" t="s">
        <v>1220</v>
      </c>
      <c r="F589" s="40">
        <v>44989</v>
      </c>
      <c r="G589" s="22" t="str">
        <f t="shared" si="126"/>
        <v>Targeted Dealer</v>
      </c>
      <c r="H589" s="22"/>
      <c r="I589" s="23">
        <v>250</v>
      </c>
      <c r="J589" s="23">
        <f t="shared" si="127"/>
        <v>250.00000000000003</v>
      </c>
      <c r="K589" s="24">
        <v>99</v>
      </c>
      <c r="L589" s="24">
        <f t="shared" si="128"/>
        <v>151</v>
      </c>
      <c r="M589" s="24">
        <f t="shared" si="129"/>
        <v>39.599999999999994</v>
      </c>
      <c r="N589" s="25">
        <v>50</v>
      </c>
      <c r="O589" s="26" t="str">
        <f t="shared" si="130"/>
        <v>June</v>
      </c>
      <c r="P589" s="25">
        <f t="shared" si="131"/>
        <v>50</v>
      </c>
      <c r="Q589" s="27">
        <f t="shared" si="132"/>
        <v>49</v>
      </c>
      <c r="R589" s="26" t="b">
        <f t="shared" si="133"/>
        <v>0</v>
      </c>
      <c r="S589" s="28" t="str">
        <f t="shared" si="134"/>
        <v>GROWTH</v>
      </c>
      <c r="T589" s="24">
        <v>100</v>
      </c>
      <c r="U589" s="29" t="str">
        <f t="shared" si="135"/>
        <v>May</v>
      </c>
      <c r="V589" s="24">
        <f t="shared" si="136"/>
        <v>100</v>
      </c>
      <c r="W589" s="30">
        <f t="shared" si="137"/>
        <v>-1</v>
      </c>
      <c r="X589" s="31" t="b">
        <f t="shared" si="138"/>
        <v>0</v>
      </c>
      <c r="Y589" s="32" t="str">
        <f t="shared" si="139"/>
        <v>GROWTH</v>
      </c>
      <c r="Z589" s="41">
        <v>0</v>
      </c>
      <c r="AA589" s="36"/>
      <c r="AB589" s="36" t="s">
        <v>24</v>
      </c>
      <c r="AC589" s="36" t="s">
        <v>848</v>
      </c>
      <c r="AD589" s="34"/>
      <c r="AE589" s="35">
        <f>IFERROR(INDEX([1]Last6M_AvgSales_Ref!$B$2:$B$12659,MATCH(D589,[1]Last6M_AvgSales_Ref!$A$2:$A$12659,0)),"")</f>
        <v>103.333333333333</v>
      </c>
    </row>
    <row r="590" spans="1:31" ht="14.25" customHeight="1" x14ac:dyDescent="0.3">
      <c r="A590" s="36" t="s">
        <v>848</v>
      </c>
      <c r="B590" s="37" t="s">
        <v>1101</v>
      </c>
      <c r="C590" s="38" t="s">
        <v>1221</v>
      </c>
      <c r="D590" s="38">
        <v>1000003454</v>
      </c>
      <c r="E590" s="38" t="s">
        <v>1222</v>
      </c>
      <c r="F590" s="40">
        <v>45012</v>
      </c>
      <c r="G590" s="22" t="str">
        <f t="shared" si="126"/>
        <v>Targeted Dealer</v>
      </c>
      <c r="H590" s="22"/>
      <c r="I590" s="23">
        <v>200</v>
      </c>
      <c r="J590" s="23">
        <f t="shared" si="127"/>
        <v>200</v>
      </c>
      <c r="K590" s="24">
        <v>145.5</v>
      </c>
      <c r="L590" s="24">
        <f t="shared" si="128"/>
        <v>54.5</v>
      </c>
      <c r="M590" s="24">
        <f t="shared" si="129"/>
        <v>72.75</v>
      </c>
      <c r="N590" s="25">
        <v>115.5</v>
      </c>
      <c r="O590" s="26" t="str">
        <f t="shared" si="130"/>
        <v>June</v>
      </c>
      <c r="P590" s="25">
        <f t="shared" si="131"/>
        <v>115.5</v>
      </c>
      <c r="Q590" s="27">
        <f t="shared" si="132"/>
        <v>30</v>
      </c>
      <c r="R590" s="26" t="b">
        <f t="shared" si="133"/>
        <v>0</v>
      </c>
      <c r="S590" s="28" t="str">
        <f t="shared" si="134"/>
        <v>GROWTH</v>
      </c>
      <c r="T590" s="24">
        <v>90</v>
      </c>
      <c r="U590" s="29" t="str">
        <f t="shared" si="135"/>
        <v>May</v>
      </c>
      <c r="V590" s="24">
        <f t="shared" si="136"/>
        <v>90</v>
      </c>
      <c r="W590" s="30">
        <f t="shared" si="137"/>
        <v>55.5</v>
      </c>
      <c r="X590" s="31" t="b">
        <f t="shared" si="138"/>
        <v>0</v>
      </c>
      <c r="Y590" s="32" t="str">
        <f t="shared" si="139"/>
        <v>GROWTH</v>
      </c>
      <c r="Z590" s="41">
        <v>0</v>
      </c>
      <c r="AA590" s="36"/>
      <c r="AB590" s="36" t="s">
        <v>24</v>
      </c>
      <c r="AC590" s="36" t="s">
        <v>848</v>
      </c>
      <c r="AD590" s="34"/>
      <c r="AE590" s="35">
        <f>IFERROR(INDEX([1]Last6M_AvgSales_Ref!$B$2:$B$12659,MATCH(D590,[1]Last6M_AvgSales_Ref!$A$2:$A$12659,0)),"")</f>
        <v>98.8333333333333</v>
      </c>
    </row>
    <row r="591" spans="1:31" ht="14.25" customHeight="1" x14ac:dyDescent="0.3">
      <c r="A591" s="36" t="s">
        <v>848</v>
      </c>
      <c r="B591" s="37" t="s">
        <v>1098</v>
      </c>
      <c r="C591" s="38" t="s">
        <v>1223</v>
      </c>
      <c r="D591" s="38">
        <v>1000003586</v>
      </c>
      <c r="E591" s="38" t="s">
        <v>1224</v>
      </c>
      <c r="F591" s="40">
        <v>45084</v>
      </c>
      <c r="G591" s="22" t="str">
        <f t="shared" si="126"/>
        <v>Targeted Dealer</v>
      </c>
      <c r="H591" s="22"/>
      <c r="I591" s="23">
        <v>200</v>
      </c>
      <c r="J591" s="23">
        <f t="shared" si="127"/>
        <v>200</v>
      </c>
      <c r="K591" s="24">
        <v>122.9</v>
      </c>
      <c r="L591" s="24">
        <f t="shared" si="128"/>
        <v>77.099999999999994</v>
      </c>
      <c r="M591" s="24">
        <f t="shared" si="129"/>
        <v>61.45</v>
      </c>
      <c r="N591" s="25">
        <v>0</v>
      </c>
      <c r="O591" s="26" t="str">
        <f t="shared" si="130"/>
        <v>June</v>
      </c>
      <c r="P591" s="25">
        <f t="shared" si="131"/>
        <v>0</v>
      </c>
      <c r="Q591" s="27">
        <f t="shared" si="132"/>
        <v>122.9</v>
      </c>
      <c r="R591" s="26" t="b">
        <f t="shared" si="133"/>
        <v>0</v>
      </c>
      <c r="S591" s="28" t="b">
        <f t="shared" si="134"/>
        <v>0</v>
      </c>
      <c r="T591" s="24">
        <v>100</v>
      </c>
      <c r="U591" s="29" t="str">
        <f t="shared" si="135"/>
        <v>May</v>
      </c>
      <c r="V591" s="24">
        <f t="shared" si="136"/>
        <v>100</v>
      </c>
      <c r="W591" s="30">
        <f t="shared" si="137"/>
        <v>22.900000000000006</v>
      </c>
      <c r="X591" s="31" t="b">
        <f t="shared" si="138"/>
        <v>0</v>
      </c>
      <c r="Y591" s="32" t="str">
        <f t="shared" si="139"/>
        <v>GROWTH</v>
      </c>
      <c r="Z591" s="41">
        <v>0</v>
      </c>
      <c r="AA591" s="36"/>
      <c r="AB591" s="36" t="s">
        <v>24</v>
      </c>
      <c r="AC591" s="36" t="s">
        <v>848</v>
      </c>
      <c r="AD591" s="34"/>
      <c r="AE591" s="35">
        <f>IFERROR(INDEX([1]Last6M_AvgSales_Ref!$B$2:$B$12659,MATCH(D591,[1]Last6M_AvgSales_Ref!$A$2:$A$12659,0)),"")</f>
        <v>105</v>
      </c>
    </row>
    <row r="592" spans="1:31" ht="14.25" customHeight="1" x14ac:dyDescent="0.3">
      <c r="A592" s="36" t="s">
        <v>848</v>
      </c>
      <c r="B592" s="37" t="s">
        <v>1101</v>
      </c>
      <c r="C592" s="38" t="s">
        <v>1225</v>
      </c>
      <c r="D592" s="38">
        <v>1000003597</v>
      </c>
      <c r="E592" s="38" t="s">
        <v>1226</v>
      </c>
      <c r="F592" s="40">
        <v>45093</v>
      </c>
      <c r="G592" s="22" t="str">
        <f t="shared" si="126"/>
        <v>Targeted Dealer</v>
      </c>
      <c r="H592" s="22"/>
      <c r="I592" s="23">
        <v>200</v>
      </c>
      <c r="J592" s="23">
        <f t="shared" si="127"/>
        <v>200</v>
      </c>
      <c r="K592" s="24">
        <v>155</v>
      </c>
      <c r="L592" s="24">
        <f t="shared" si="128"/>
        <v>45</v>
      </c>
      <c r="M592" s="24">
        <f t="shared" si="129"/>
        <v>77.5</v>
      </c>
      <c r="N592" s="25">
        <v>55</v>
      </c>
      <c r="O592" s="26" t="str">
        <f t="shared" si="130"/>
        <v>June</v>
      </c>
      <c r="P592" s="25">
        <f t="shared" si="131"/>
        <v>55</v>
      </c>
      <c r="Q592" s="27">
        <f t="shared" si="132"/>
        <v>100</v>
      </c>
      <c r="R592" s="26" t="b">
        <f t="shared" si="133"/>
        <v>0</v>
      </c>
      <c r="S592" s="28" t="str">
        <f t="shared" si="134"/>
        <v>GROWTH</v>
      </c>
      <c r="T592" s="24">
        <v>64</v>
      </c>
      <c r="U592" s="29" t="str">
        <f t="shared" si="135"/>
        <v>May</v>
      </c>
      <c r="V592" s="24">
        <f t="shared" si="136"/>
        <v>64</v>
      </c>
      <c r="W592" s="30">
        <f t="shared" si="137"/>
        <v>91</v>
      </c>
      <c r="X592" s="31" t="b">
        <f t="shared" si="138"/>
        <v>0</v>
      </c>
      <c r="Y592" s="32" t="str">
        <f t="shared" si="139"/>
        <v>GROWTH</v>
      </c>
      <c r="Z592" s="41">
        <v>0</v>
      </c>
      <c r="AA592" s="36"/>
      <c r="AB592" s="36" t="s">
        <v>24</v>
      </c>
      <c r="AC592" s="36" t="s">
        <v>848</v>
      </c>
      <c r="AD592" s="34"/>
      <c r="AE592" s="35">
        <f>IFERROR(INDEX([1]Last6M_AvgSales_Ref!$B$2:$B$12659,MATCH(D592,[1]Last6M_AvgSales_Ref!$A$2:$A$12659,0)),"")</f>
        <v>100.166666666667</v>
      </c>
    </row>
    <row r="593" spans="1:31" ht="14.25" customHeight="1" x14ac:dyDescent="0.3">
      <c r="A593" s="36" t="s">
        <v>848</v>
      </c>
      <c r="B593" s="37" t="s">
        <v>1101</v>
      </c>
      <c r="C593" s="38" t="s">
        <v>1227</v>
      </c>
      <c r="D593" s="38">
        <v>1000003637</v>
      </c>
      <c r="E593" s="38" t="s">
        <v>1228</v>
      </c>
      <c r="F593" s="40">
        <v>45133</v>
      </c>
      <c r="G593" s="22" t="str">
        <f t="shared" si="126"/>
        <v>Targeted Dealer</v>
      </c>
      <c r="H593" s="22"/>
      <c r="I593" s="23">
        <v>200</v>
      </c>
      <c r="J593" s="23">
        <f t="shared" si="127"/>
        <v>200</v>
      </c>
      <c r="K593" s="24">
        <v>101</v>
      </c>
      <c r="L593" s="24">
        <f t="shared" si="128"/>
        <v>99</v>
      </c>
      <c r="M593" s="24">
        <f t="shared" si="129"/>
        <v>50.5</v>
      </c>
      <c r="N593" s="25">
        <v>105</v>
      </c>
      <c r="O593" s="26" t="str">
        <f t="shared" si="130"/>
        <v>June</v>
      </c>
      <c r="P593" s="25">
        <f t="shared" si="131"/>
        <v>105</v>
      </c>
      <c r="Q593" s="27">
        <f t="shared" si="132"/>
        <v>-4</v>
      </c>
      <c r="R593" s="26" t="b">
        <f t="shared" si="133"/>
        <v>0</v>
      </c>
      <c r="S593" s="28" t="str">
        <f t="shared" si="134"/>
        <v>GROWTH</v>
      </c>
      <c r="T593" s="24">
        <v>25</v>
      </c>
      <c r="U593" s="29" t="str">
        <f t="shared" si="135"/>
        <v>May</v>
      </c>
      <c r="V593" s="24">
        <f t="shared" si="136"/>
        <v>25</v>
      </c>
      <c r="W593" s="30">
        <f t="shared" si="137"/>
        <v>76</v>
      </c>
      <c r="X593" s="31" t="b">
        <f t="shared" si="138"/>
        <v>0</v>
      </c>
      <c r="Y593" s="32" t="str">
        <f t="shared" si="139"/>
        <v>GROWTH</v>
      </c>
      <c r="Z593" s="41">
        <v>0</v>
      </c>
      <c r="AA593" s="36"/>
      <c r="AB593" s="36" t="s">
        <v>24</v>
      </c>
      <c r="AC593" s="36" t="s">
        <v>848</v>
      </c>
      <c r="AD593" s="34"/>
      <c r="AE593" s="35">
        <f>IFERROR(INDEX([1]Last6M_AvgSales_Ref!$B$2:$B$12659,MATCH(D593,[1]Last6M_AvgSales_Ref!$A$2:$A$12659,0)),"")</f>
        <v>35.5833333333333</v>
      </c>
    </row>
    <row r="594" spans="1:31" ht="14.25" customHeight="1" x14ac:dyDescent="0.3">
      <c r="A594" s="36" t="s">
        <v>848</v>
      </c>
      <c r="B594" s="37" t="s">
        <v>1098</v>
      </c>
      <c r="C594" s="38" t="s">
        <v>1229</v>
      </c>
      <c r="D594" s="38">
        <v>1000003713</v>
      </c>
      <c r="E594" s="38" t="s">
        <v>1230</v>
      </c>
      <c r="F594" s="40">
        <v>45177</v>
      </c>
      <c r="G594" s="22" t="str">
        <f t="shared" si="126"/>
        <v>Targeted Dealer</v>
      </c>
      <c r="H594" s="22"/>
      <c r="I594" s="23">
        <v>100</v>
      </c>
      <c r="J594" s="23">
        <f t="shared" si="127"/>
        <v>100</v>
      </c>
      <c r="K594" s="24">
        <v>50</v>
      </c>
      <c r="L594" s="24">
        <f t="shared" si="128"/>
        <v>50</v>
      </c>
      <c r="M594" s="24">
        <f t="shared" si="129"/>
        <v>50</v>
      </c>
      <c r="N594" s="25">
        <v>50</v>
      </c>
      <c r="O594" s="26" t="str">
        <f t="shared" si="130"/>
        <v>June</v>
      </c>
      <c r="P594" s="25">
        <f t="shared" si="131"/>
        <v>50</v>
      </c>
      <c r="Q594" s="27">
        <f t="shared" si="132"/>
        <v>0</v>
      </c>
      <c r="R594" s="26" t="b">
        <f t="shared" si="133"/>
        <v>0</v>
      </c>
      <c r="S594" s="28" t="str">
        <f t="shared" si="134"/>
        <v>GROWTH</v>
      </c>
      <c r="T594" s="24">
        <v>50</v>
      </c>
      <c r="U594" s="29" t="str">
        <f t="shared" si="135"/>
        <v>May</v>
      </c>
      <c r="V594" s="24">
        <f t="shared" si="136"/>
        <v>50</v>
      </c>
      <c r="W594" s="30">
        <f t="shared" si="137"/>
        <v>0</v>
      </c>
      <c r="X594" s="31" t="b">
        <f t="shared" si="138"/>
        <v>0</v>
      </c>
      <c r="Y594" s="32" t="str">
        <f t="shared" si="139"/>
        <v>GROWTH</v>
      </c>
      <c r="Z594" s="41">
        <v>0</v>
      </c>
      <c r="AA594" s="36"/>
      <c r="AB594" s="36" t="s">
        <v>24</v>
      </c>
      <c r="AC594" s="36" t="s">
        <v>848</v>
      </c>
      <c r="AD594" s="34"/>
      <c r="AE594" s="35">
        <f>IFERROR(INDEX([1]Last6M_AvgSales_Ref!$B$2:$B$12659,MATCH(D594,[1]Last6M_AvgSales_Ref!$A$2:$A$12659,0)),"")</f>
        <v>75.8333333333333</v>
      </c>
    </row>
    <row r="595" spans="1:31" ht="14.25" customHeight="1" x14ac:dyDescent="0.3">
      <c r="A595" s="36" t="s">
        <v>848</v>
      </c>
      <c r="B595" s="37" t="s">
        <v>1098</v>
      </c>
      <c r="C595" s="38" t="s">
        <v>1231</v>
      </c>
      <c r="D595" s="38">
        <v>1000003725</v>
      </c>
      <c r="E595" s="38" t="s">
        <v>1232</v>
      </c>
      <c r="F595" s="40">
        <v>45209</v>
      </c>
      <c r="G595" s="22" t="str">
        <f t="shared" si="126"/>
        <v>Targeted Dealer</v>
      </c>
      <c r="H595" s="22"/>
      <c r="I595" s="23">
        <v>2000</v>
      </c>
      <c r="J595" s="23">
        <f t="shared" si="127"/>
        <v>2000.0000000000002</v>
      </c>
      <c r="K595" s="24">
        <v>976.5</v>
      </c>
      <c r="L595" s="24">
        <f t="shared" si="128"/>
        <v>1023.5</v>
      </c>
      <c r="M595" s="24">
        <f t="shared" si="129"/>
        <v>48.824999999999989</v>
      </c>
      <c r="N595" s="25">
        <v>598.5</v>
      </c>
      <c r="O595" s="26" t="str">
        <f t="shared" si="130"/>
        <v>June</v>
      </c>
      <c r="P595" s="25">
        <f t="shared" si="131"/>
        <v>598.5</v>
      </c>
      <c r="Q595" s="27">
        <f t="shared" si="132"/>
        <v>378</v>
      </c>
      <c r="R595" s="26" t="b">
        <f t="shared" si="133"/>
        <v>0</v>
      </c>
      <c r="S595" s="28" t="str">
        <f t="shared" si="134"/>
        <v>GROWTH</v>
      </c>
      <c r="T595" s="24">
        <v>725</v>
      </c>
      <c r="U595" s="29" t="str">
        <f t="shared" si="135"/>
        <v>May</v>
      </c>
      <c r="V595" s="24">
        <f t="shared" si="136"/>
        <v>725</v>
      </c>
      <c r="W595" s="30">
        <f t="shared" si="137"/>
        <v>251.5</v>
      </c>
      <c r="X595" s="31" t="b">
        <f t="shared" si="138"/>
        <v>0</v>
      </c>
      <c r="Y595" s="32" t="str">
        <f t="shared" si="139"/>
        <v>GROWTH</v>
      </c>
      <c r="Z595" s="41">
        <v>0</v>
      </c>
      <c r="AA595" s="36"/>
      <c r="AB595" s="36" t="s">
        <v>24</v>
      </c>
      <c r="AC595" s="36" t="s">
        <v>848</v>
      </c>
      <c r="AD595" s="34"/>
      <c r="AE595" s="35">
        <f>IFERROR(INDEX([1]Last6M_AvgSales_Ref!$B$2:$B$12659,MATCH(D595,[1]Last6M_AvgSales_Ref!$A$2:$A$12659,0)),"")</f>
        <v>851.58333333333303</v>
      </c>
    </row>
    <row r="596" spans="1:31" ht="14.25" customHeight="1" x14ac:dyDescent="0.3">
      <c r="A596" s="36" t="s">
        <v>848</v>
      </c>
      <c r="B596" s="37" t="s">
        <v>1098</v>
      </c>
      <c r="C596" s="38" t="s">
        <v>1233</v>
      </c>
      <c r="D596" s="38">
        <v>1000003747</v>
      </c>
      <c r="E596" s="38" t="s">
        <v>1234</v>
      </c>
      <c r="F596" s="40">
        <v>45238</v>
      </c>
      <c r="G596" s="22" t="str">
        <f t="shared" si="126"/>
        <v>Targeted Dealer</v>
      </c>
      <c r="H596" s="22"/>
      <c r="I596" s="23">
        <v>150</v>
      </c>
      <c r="J596" s="23">
        <f t="shared" si="127"/>
        <v>150</v>
      </c>
      <c r="K596" s="24">
        <v>100</v>
      </c>
      <c r="L596" s="24">
        <f t="shared" si="128"/>
        <v>50</v>
      </c>
      <c r="M596" s="24">
        <f t="shared" si="129"/>
        <v>66.666666666666671</v>
      </c>
      <c r="N596" s="25">
        <v>75</v>
      </c>
      <c r="O596" s="26" t="str">
        <f t="shared" si="130"/>
        <v>June</v>
      </c>
      <c r="P596" s="25">
        <f t="shared" si="131"/>
        <v>75</v>
      </c>
      <c r="Q596" s="27">
        <f t="shared" si="132"/>
        <v>25</v>
      </c>
      <c r="R596" s="26" t="b">
        <f t="shared" si="133"/>
        <v>0</v>
      </c>
      <c r="S596" s="28" t="str">
        <f t="shared" si="134"/>
        <v>GROWTH</v>
      </c>
      <c r="T596" s="24">
        <v>50</v>
      </c>
      <c r="U596" s="29" t="str">
        <f t="shared" si="135"/>
        <v>May</v>
      </c>
      <c r="V596" s="24">
        <f t="shared" si="136"/>
        <v>50</v>
      </c>
      <c r="W596" s="30">
        <f t="shared" si="137"/>
        <v>50</v>
      </c>
      <c r="X596" s="31" t="b">
        <f t="shared" si="138"/>
        <v>0</v>
      </c>
      <c r="Y596" s="32" t="str">
        <f t="shared" si="139"/>
        <v>GROWTH</v>
      </c>
      <c r="Z596" s="41">
        <v>0</v>
      </c>
      <c r="AA596" s="36"/>
      <c r="AB596" s="36" t="s">
        <v>24</v>
      </c>
      <c r="AC596" s="36" t="s">
        <v>848</v>
      </c>
      <c r="AD596" s="34"/>
      <c r="AE596" s="35">
        <f>IFERROR(INDEX([1]Last6M_AvgSales_Ref!$B$2:$B$12659,MATCH(D596,[1]Last6M_AvgSales_Ref!$A$2:$A$12659,0)),"")</f>
        <v>55.3333333333333</v>
      </c>
    </row>
    <row r="597" spans="1:31" ht="14.25" customHeight="1" x14ac:dyDescent="0.3">
      <c r="A597" s="36" t="s">
        <v>848</v>
      </c>
      <c r="B597" s="37" t="s">
        <v>1098</v>
      </c>
      <c r="C597" s="38" t="s">
        <v>1235</v>
      </c>
      <c r="D597" s="38">
        <v>1000003767</v>
      </c>
      <c r="E597" s="38" t="s">
        <v>1236</v>
      </c>
      <c r="F597" s="40">
        <v>45257</v>
      </c>
      <c r="G597" s="22" t="str">
        <f t="shared" si="126"/>
        <v>Targeted Dealer</v>
      </c>
      <c r="H597" s="22"/>
      <c r="I597" s="23">
        <v>50</v>
      </c>
      <c r="J597" s="23">
        <f t="shared" si="127"/>
        <v>50</v>
      </c>
      <c r="K597" s="24">
        <v>0</v>
      </c>
      <c r="L597" s="24">
        <f t="shared" si="128"/>
        <v>50</v>
      </c>
      <c r="M597" s="24">
        <f t="shared" si="129"/>
        <v>0</v>
      </c>
      <c r="N597" s="25">
        <v>25</v>
      </c>
      <c r="O597" s="26" t="str">
        <f t="shared" si="130"/>
        <v>June</v>
      </c>
      <c r="P597" s="25">
        <f t="shared" si="131"/>
        <v>25</v>
      </c>
      <c r="Q597" s="27">
        <f t="shared" si="132"/>
        <v>-25</v>
      </c>
      <c r="R597" s="26" t="b">
        <f t="shared" si="133"/>
        <v>0</v>
      </c>
      <c r="S597" s="28" t="str">
        <f t="shared" si="134"/>
        <v>GROWTH</v>
      </c>
      <c r="T597" s="24">
        <v>25</v>
      </c>
      <c r="U597" s="29" t="str">
        <f t="shared" si="135"/>
        <v>May</v>
      </c>
      <c r="V597" s="24">
        <f t="shared" si="136"/>
        <v>25</v>
      </c>
      <c r="W597" s="30">
        <f t="shared" si="137"/>
        <v>-25</v>
      </c>
      <c r="X597" s="31" t="b">
        <f t="shared" si="138"/>
        <v>0</v>
      </c>
      <c r="Y597" s="32" t="str">
        <f t="shared" si="139"/>
        <v>GROWTH</v>
      </c>
      <c r="Z597" s="41">
        <v>0</v>
      </c>
      <c r="AA597" s="36"/>
      <c r="AB597" s="36" t="s">
        <v>24</v>
      </c>
      <c r="AC597" s="36" t="s">
        <v>848</v>
      </c>
      <c r="AD597" s="34"/>
      <c r="AE597" s="35">
        <f>IFERROR(INDEX([1]Last6M_AvgSales_Ref!$B$2:$B$12659,MATCH(D597,[1]Last6M_AvgSales_Ref!$A$2:$A$12659,0)),"")</f>
        <v>43.3333333333333</v>
      </c>
    </row>
    <row r="598" spans="1:31" ht="14.25" customHeight="1" x14ac:dyDescent="0.3">
      <c r="A598" s="36" t="s">
        <v>848</v>
      </c>
      <c r="B598" s="37" t="s">
        <v>1101</v>
      </c>
      <c r="C598" s="38" t="s">
        <v>1237</v>
      </c>
      <c r="D598" s="38">
        <v>1000003810</v>
      </c>
      <c r="E598" s="38" t="s">
        <v>1238</v>
      </c>
      <c r="F598" s="43">
        <v>45291</v>
      </c>
      <c r="G598" s="22" t="str">
        <f t="shared" si="126"/>
        <v>Targeted Dealer</v>
      </c>
      <c r="H598" s="22"/>
      <c r="I598" s="23">
        <v>50</v>
      </c>
      <c r="J598" s="23">
        <f t="shared" si="127"/>
        <v>50</v>
      </c>
      <c r="K598" s="24">
        <v>39</v>
      </c>
      <c r="L598" s="24">
        <f t="shared" si="128"/>
        <v>11</v>
      </c>
      <c r="M598" s="24">
        <f t="shared" si="129"/>
        <v>78</v>
      </c>
      <c r="N598" s="25">
        <v>52.5</v>
      </c>
      <c r="O598" s="26" t="str">
        <f t="shared" si="130"/>
        <v>June</v>
      </c>
      <c r="P598" s="25">
        <f t="shared" si="131"/>
        <v>52.5</v>
      </c>
      <c r="Q598" s="27">
        <f t="shared" si="132"/>
        <v>-13.5</v>
      </c>
      <c r="R598" s="26" t="b">
        <f t="shared" si="133"/>
        <v>0</v>
      </c>
      <c r="S598" s="28" t="str">
        <f t="shared" si="134"/>
        <v>GROWTH</v>
      </c>
      <c r="T598" s="24">
        <v>39</v>
      </c>
      <c r="U598" s="29" t="str">
        <f t="shared" si="135"/>
        <v>May</v>
      </c>
      <c r="V598" s="24">
        <f t="shared" si="136"/>
        <v>39</v>
      </c>
      <c r="W598" s="30">
        <f t="shared" si="137"/>
        <v>0</v>
      </c>
      <c r="X598" s="31" t="b">
        <f t="shared" si="138"/>
        <v>0</v>
      </c>
      <c r="Y598" s="32" t="str">
        <f t="shared" si="139"/>
        <v>GROWTH</v>
      </c>
      <c r="Z598" s="41">
        <v>0</v>
      </c>
      <c r="AA598" s="36"/>
      <c r="AB598" s="36" t="s">
        <v>24</v>
      </c>
      <c r="AC598" s="36" t="s">
        <v>848</v>
      </c>
      <c r="AD598" s="34"/>
      <c r="AE598" s="35">
        <f>IFERROR(INDEX([1]Last6M_AvgSales_Ref!$B$2:$B$12659,MATCH(D598,[1]Last6M_AvgSales_Ref!$A$2:$A$12659,0)),"")</f>
        <v>23.5833333333333</v>
      </c>
    </row>
    <row r="599" spans="1:31" ht="14.25" customHeight="1" x14ac:dyDescent="0.3">
      <c r="A599" s="41" t="s">
        <v>848</v>
      </c>
      <c r="B599" s="37" t="s">
        <v>1098</v>
      </c>
      <c r="C599" s="44" t="s">
        <v>1239</v>
      </c>
      <c r="D599" s="44">
        <v>1000003874</v>
      </c>
      <c r="E599" s="44" t="s">
        <v>1240</v>
      </c>
      <c r="F599" s="40">
        <v>45350</v>
      </c>
      <c r="G599" s="22" t="str">
        <f t="shared" si="126"/>
        <v>Targeted Dealer</v>
      </c>
      <c r="H599" s="22"/>
      <c r="I599" s="23">
        <v>50</v>
      </c>
      <c r="J599" s="23">
        <f t="shared" si="127"/>
        <v>50</v>
      </c>
      <c r="K599" s="24">
        <v>25</v>
      </c>
      <c r="L599" s="24">
        <f t="shared" si="128"/>
        <v>25</v>
      </c>
      <c r="M599" s="24">
        <f t="shared" si="129"/>
        <v>50</v>
      </c>
      <c r="N599" s="25">
        <v>20</v>
      </c>
      <c r="O599" s="26" t="str">
        <f t="shared" si="130"/>
        <v>June</v>
      </c>
      <c r="P599" s="25">
        <f t="shared" si="131"/>
        <v>20</v>
      </c>
      <c r="Q599" s="27">
        <f t="shared" si="132"/>
        <v>5</v>
      </c>
      <c r="R599" s="26" t="b">
        <f t="shared" si="133"/>
        <v>0</v>
      </c>
      <c r="S599" s="28" t="str">
        <f t="shared" si="134"/>
        <v>GROWTH</v>
      </c>
      <c r="T599" s="24">
        <v>50</v>
      </c>
      <c r="U599" s="29" t="str">
        <f t="shared" si="135"/>
        <v>May</v>
      </c>
      <c r="V599" s="24">
        <f t="shared" si="136"/>
        <v>50</v>
      </c>
      <c r="W599" s="30">
        <f t="shared" si="137"/>
        <v>-25</v>
      </c>
      <c r="X599" s="31" t="b">
        <f t="shared" si="138"/>
        <v>0</v>
      </c>
      <c r="Y599" s="32" t="str">
        <f t="shared" si="139"/>
        <v>GROWTH</v>
      </c>
      <c r="Z599" s="41">
        <v>0</v>
      </c>
      <c r="AA599" s="36"/>
      <c r="AB599" s="36" t="s">
        <v>24</v>
      </c>
      <c r="AC599" s="41" t="s">
        <v>848</v>
      </c>
      <c r="AD599" s="34"/>
      <c r="AE599" s="35">
        <f>IFERROR(INDEX([1]Last6M_AvgSales_Ref!$B$2:$B$12659,MATCH(D599,[1]Last6M_AvgSales_Ref!$A$2:$A$12659,0)),"")</f>
        <v>24.1666666666667</v>
      </c>
    </row>
    <row r="600" spans="1:31" ht="14.25" customHeight="1" x14ac:dyDescent="0.3">
      <c r="A600" s="41" t="s">
        <v>848</v>
      </c>
      <c r="B600" s="37" t="s">
        <v>1101</v>
      </c>
      <c r="C600" s="44" t="s">
        <v>1241</v>
      </c>
      <c r="D600" s="44">
        <v>1000003912</v>
      </c>
      <c r="E600" s="44" t="s">
        <v>1242</v>
      </c>
      <c r="F600" s="40">
        <v>45401</v>
      </c>
      <c r="G600" s="22" t="str">
        <f t="shared" si="126"/>
        <v>Targeted Dealer</v>
      </c>
      <c r="H600" s="22"/>
      <c r="I600" s="23">
        <v>140</v>
      </c>
      <c r="J600" s="23">
        <f t="shared" si="127"/>
        <v>140</v>
      </c>
      <c r="K600" s="24">
        <v>77.5</v>
      </c>
      <c r="L600" s="24">
        <f t="shared" si="128"/>
        <v>62.5</v>
      </c>
      <c r="M600" s="24">
        <f t="shared" si="129"/>
        <v>55.357142857142861</v>
      </c>
      <c r="N600" s="25">
        <v>91</v>
      </c>
      <c r="O600" s="26" t="str">
        <f t="shared" si="130"/>
        <v>June</v>
      </c>
      <c r="P600" s="25">
        <f t="shared" si="131"/>
        <v>91</v>
      </c>
      <c r="Q600" s="27">
        <f t="shared" si="132"/>
        <v>-13.5</v>
      </c>
      <c r="R600" s="26" t="b">
        <f t="shared" si="133"/>
        <v>0</v>
      </c>
      <c r="S600" s="28" t="str">
        <f t="shared" si="134"/>
        <v>GROWTH</v>
      </c>
      <c r="T600" s="24">
        <v>77</v>
      </c>
      <c r="U600" s="29" t="str">
        <f t="shared" si="135"/>
        <v>May</v>
      </c>
      <c r="V600" s="24">
        <f t="shared" si="136"/>
        <v>77</v>
      </c>
      <c r="W600" s="30">
        <f t="shared" si="137"/>
        <v>0.5</v>
      </c>
      <c r="X600" s="31" t="b">
        <f t="shared" si="138"/>
        <v>0</v>
      </c>
      <c r="Y600" s="32" t="str">
        <f t="shared" si="139"/>
        <v>GROWTH</v>
      </c>
      <c r="Z600" s="41">
        <v>0</v>
      </c>
      <c r="AA600" s="36"/>
      <c r="AB600" s="36" t="s">
        <v>24</v>
      </c>
      <c r="AC600" s="41" t="s">
        <v>848</v>
      </c>
      <c r="AD600" s="34"/>
      <c r="AE600" s="35">
        <f>IFERROR(INDEX([1]Last6M_AvgSales_Ref!$B$2:$B$12659,MATCH(D600,[1]Last6M_AvgSales_Ref!$A$2:$A$12659,0)),"")</f>
        <v>56.5833333333333</v>
      </c>
    </row>
    <row r="601" spans="1:31" ht="14.25" customHeight="1" x14ac:dyDescent="0.3">
      <c r="A601" s="41" t="s">
        <v>848</v>
      </c>
      <c r="B601" s="37" t="s">
        <v>1101</v>
      </c>
      <c r="C601" s="44" t="s">
        <v>1243</v>
      </c>
      <c r="D601" s="44">
        <v>1000003916</v>
      </c>
      <c r="E601" s="44" t="s">
        <v>1244</v>
      </c>
      <c r="F601" s="40">
        <v>45404</v>
      </c>
      <c r="G601" s="22" t="str">
        <f t="shared" si="126"/>
        <v>Targeted Dealer</v>
      </c>
      <c r="H601" s="22"/>
      <c r="I601" s="23">
        <v>250</v>
      </c>
      <c r="J601" s="23">
        <f t="shared" si="127"/>
        <v>250.00000000000003</v>
      </c>
      <c r="K601" s="24">
        <v>117</v>
      </c>
      <c r="L601" s="24">
        <f t="shared" si="128"/>
        <v>133</v>
      </c>
      <c r="M601" s="24">
        <f t="shared" si="129"/>
        <v>46.79999999999999</v>
      </c>
      <c r="N601" s="25">
        <v>117.5</v>
      </c>
      <c r="O601" s="26" t="str">
        <f t="shared" si="130"/>
        <v>June</v>
      </c>
      <c r="P601" s="25">
        <f t="shared" si="131"/>
        <v>117.5</v>
      </c>
      <c r="Q601" s="27">
        <f t="shared" si="132"/>
        <v>-0.5</v>
      </c>
      <c r="R601" s="26" t="b">
        <f t="shared" si="133"/>
        <v>0</v>
      </c>
      <c r="S601" s="28" t="str">
        <f t="shared" si="134"/>
        <v>GROWTH</v>
      </c>
      <c r="T601" s="24">
        <v>117</v>
      </c>
      <c r="U601" s="29" t="str">
        <f t="shared" si="135"/>
        <v>May</v>
      </c>
      <c r="V601" s="24">
        <f t="shared" si="136"/>
        <v>117</v>
      </c>
      <c r="W601" s="30">
        <f t="shared" si="137"/>
        <v>0</v>
      </c>
      <c r="X601" s="31" t="b">
        <f t="shared" si="138"/>
        <v>0</v>
      </c>
      <c r="Y601" s="32" t="str">
        <f t="shared" si="139"/>
        <v>GROWTH</v>
      </c>
      <c r="Z601" s="41">
        <v>0</v>
      </c>
      <c r="AA601" s="36"/>
      <c r="AB601" s="36" t="s">
        <v>24</v>
      </c>
      <c r="AC601" s="41" t="s">
        <v>848</v>
      </c>
      <c r="AD601" s="34"/>
      <c r="AE601" s="35">
        <f>IFERROR(INDEX([1]Last6M_AvgSales_Ref!$B$2:$B$12659,MATCH(D601,[1]Last6M_AvgSales_Ref!$A$2:$A$12659,0)),"")</f>
        <v>173.166666666667</v>
      </c>
    </row>
    <row r="602" spans="1:31" ht="14.25" customHeight="1" x14ac:dyDescent="0.3">
      <c r="A602" s="41" t="s">
        <v>848</v>
      </c>
      <c r="B602" s="37" t="s">
        <v>1098</v>
      </c>
      <c r="C602" s="44" t="s">
        <v>1245</v>
      </c>
      <c r="D602" s="44">
        <v>1000003927</v>
      </c>
      <c r="E602" s="44" t="s">
        <v>1246</v>
      </c>
      <c r="F602" s="40">
        <v>45412</v>
      </c>
      <c r="G602" s="22" t="str">
        <f t="shared" si="126"/>
        <v>-</v>
      </c>
      <c r="H602" s="22"/>
      <c r="I602" s="23">
        <v>0</v>
      </c>
      <c r="J602" s="23">
        <f t="shared" si="127"/>
        <v>0</v>
      </c>
      <c r="K602" s="24">
        <v>0</v>
      </c>
      <c r="L602" s="24">
        <f t="shared" si="128"/>
        <v>0</v>
      </c>
      <c r="M602" s="24" t="str">
        <f t="shared" si="129"/>
        <v>-</v>
      </c>
      <c r="N602" s="25">
        <v>0</v>
      </c>
      <c r="O602" s="26" t="str">
        <f t="shared" si="130"/>
        <v>June</v>
      </c>
      <c r="P602" s="25">
        <f t="shared" si="131"/>
        <v>0</v>
      </c>
      <c r="Q602" s="27">
        <f t="shared" si="132"/>
        <v>0</v>
      </c>
      <c r="R602" s="26" t="b">
        <f t="shared" si="133"/>
        <v>0</v>
      </c>
      <c r="S602" s="28" t="b">
        <f t="shared" si="134"/>
        <v>0</v>
      </c>
      <c r="T602" s="24">
        <v>50</v>
      </c>
      <c r="U602" s="29" t="str">
        <f t="shared" si="135"/>
        <v>May</v>
      </c>
      <c r="V602" s="24">
        <f t="shared" si="136"/>
        <v>50</v>
      </c>
      <c r="W602" s="30">
        <f t="shared" si="137"/>
        <v>-50</v>
      </c>
      <c r="X602" s="31" t="b">
        <f t="shared" si="138"/>
        <v>0</v>
      </c>
      <c r="Y602" s="32" t="str">
        <f t="shared" si="139"/>
        <v>GROWTH</v>
      </c>
      <c r="Z602" s="41">
        <v>0</v>
      </c>
      <c r="AA602" s="36"/>
      <c r="AB602" s="36" t="s">
        <v>24</v>
      </c>
      <c r="AC602" s="41" t="s">
        <v>848</v>
      </c>
      <c r="AD602" s="34"/>
      <c r="AE602" s="35">
        <f>IFERROR(INDEX([1]Last6M_AvgSales_Ref!$B$2:$B$12659,MATCH(D602,[1]Last6M_AvgSales_Ref!$A$2:$A$12659,0)),"")</f>
        <v>24.9166666666667</v>
      </c>
    </row>
    <row r="603" spans="1:31" ht="14.25" customHeight="1" x14ac:dyDescent="0.3">
      <c r="A603" s="41" t="s">
        <v>848</v>
      </c>
      <c r="B603" s="37" t="s">
        <v>1101</v>
      </c>
      <c r="C603" s="44" t="s">
        <v>1247</v>
      </c>
      <c r="D603" s="44">
        <v>1000003962</v>
      </c>
      <c r="E603" s="44" t="s">
        <v>1248</v>
      </c>
      <c r="F603" s="40">
        <v>45429</v>
      </c>
      <c r="G603" s="22" t="str">
        <f t="shared" si="126"/>
        <v>Targeted Dealer</v>
      </c>
      <c r="H603" s="22"/>
      <c r="I603" s="23">
        <v>100</v>
      </c>
      <c r="J603" s="23">
        <f t="shared" si="127"/>
        <v>100</v>
      </c>
      <c r="K603" s="24">
        <v>0</v>
      </c>
      <c r="L603" s="24">
        <f t="shared" si="128"/>
        <v>100</v>
      </c>
      <c r="M603" s="24">
        <f t="shared" si="129"/>
        <v>0</v>
      </c>
      <c r="N603" s="25">
        <v>25</v>
      </c>
      <c r="O603" s="26" t="str">
        <f t="shared" si="130"/>
        <v>June</v>
      </c>
      <c r="P603" s="25">
        <f t="shared" si="131"/>
        <v>25</v>
      </c>
      <c r="Q603" s="27">
        <f t="shared" si="132"/>
        <v>-25</v>
      </c>
      <c r="R603" s="26" t="b">
        <f t="shared" si="133"/>
        <v>0</v>
      </c>
      <c r="S603" s="28" t="str">
        <f t="shared" si="134"/>
        <v>GROWTH</v>
      </c>
      <c r="T603" s="24">
        <v>50</v>
      </c>
      <c r="U603" s="29" t="str">
        <f t="shared" si="135"/>
        <v>May</v>
      </c>
      <c r="V603" s="24">
        <f t="shared" si="136"/>
        <v>50</v>
      </c>
      <c r="W603" s="30">
        <f t="shared" si="137"/>
        <v>-50</v>
      </c>
      <c r="X603" s="31" t="b">
        <f t="shared" si="138"/>
        <v>0</v>
      </c>
      <c r="Y603" s="32" t="str">
        <f t="shared" si="139"/>
        <v>GROWTH</v>
      </c>
      <c r="Z603" s="41">
        <v>0</v>
      </c>
      <c r="AA603" s="36"/>
      <c r="AB603" s="36" t="s">
        <v>24</v>
      </c>
      <c r="AC603" s="41" t="s">
        <v>848</v>
      </c>
      <c r="AD603" s="34"/>
      <c r="AE603" s="35">
        <f>IFERROR(INDEX([1]Last6M_AvgSales_Ref!$B$2:$B$12659,MATCH(D603,[1]Last6M_AvgSales_Ref!$A$2:$A$12659,0)),"")</f>
        <v>21.6666666666667</v>
      </c>
    </row>
    <row r="604" spans="1:31" ht="14.25" customHeight="1" x14ac:dyDescent="0.3">
      <c r="A604" s="41" t="s">
        <v>848</v>
      </c>
      <c r="B604" s="37" t="s">
        <v>1101</v>
      </c>
      <c r="C604" s="44" t="s">
        <v>1249</v>
      </c>
      <c r="D604" s="44">
        <v>1000003984</v>
      </c>
      <c r="E604" s="44" t="s">
        <v>1250</v>
      </c>
      <c r="F604" s="40">
        <v>45440</v>
      </c>
      <c r="G604" s="22" t="str">
        <f t="shared" si="126"/>
        <v>Targeted Dealer</v>
      </c>
      <c r="H604" s="22"/>
      <c r="I604" s="23">
        <v>50</v>
      </c>
      <c r="J604" s="23">
        <f t="shared" si="127"/>
        <v>50</v>
      </c>
      <c r="K604" s="24">
        <v>0</v>
      </c>
      <c r="L604" s="24">
        <f t="shared" si="128"/>
        <v>50</v>
      </c>
      <c r="M604" s="24">
        <f t="shared" si="129"/>
        <v>0</v>
      </c>
      <c r="N604" s="25">
        <v>5</v>
      </c>
      <c r="O604" s="26" t="str">
        <f t="shared" si="130"/>
        <v>June</v>
      </c>
      <c r="P604" s="25">
        <f t="shared" si="131"/>
        <v>5</v>
      </c>
      <c r="Q604" s="27">
        <f t="shared" si="132"/>
        <v>-5</v>
      </c>
      <c r="R604" s="26" t="b">
        <f t="shared" si="133"/>
        <v>0</v>
      </c>
      <c r="S604" s="28" t="str">
        <f t="shared" si="134"/>
        <v>GROWTH</v>
      </c>
      <c r="T604" s="24">
        <v>0</v>
      </c>
      <c r="U604" s="29" t="str">
        <f t="shared" si="135"/>
        <v>May</v>
      </c>
      <c r="V604" s="24">
        <f t="shared" si="136"/>
        <v>0</v>
      </c>
      <c r="W604" s="30">
        <f t="shared" si="137"/>
        <v>0</v>
      </c>
      <c r="X604" s="31" t="b">
        <f t="shared" si="138"/>
        <v>0</v>
      </c>
      <c r="Y604" s="32" t="b">
        <f t="shared" si="139"/>
        <v>0</v>
      </c>
      <c r="Z604" s="41">
        <v>0</v>
      </c>
      <c r="AA604" s="36"/>
      <c r="AB604" s="36" t="s">
        <v>24</v>
      </c>
      <c r="AC604" s="41" t="s">
        <v>848</v>
      </c>
      <c r="AD604" s="34"/>
      <c r="AE604" s="35">
        <f>IFERROR(INDEX([1]Last6M_AvgSales_Ref!$B$2:$B$12659,MATCH(D604,[1]Last6M_AvgSales_Ref!$A$2:$A$12659,0)),"")</f>
        <v>61.6666666666667</v>
      </c>
    </row>
    <row r="605" spans="1:31" ht="14.25" customHeight="1" x14ac:dyDescent="0.3">
      <c r="A605" s="41" t="s">
        <v>848</v>
      </c>
      <c r="B605" s="37" t="s">
        <v>1098</v>
      </c>
      <c r="C605" s="44" t="s">
        <v>1251</v>
      </c>
      <c r="D605" s="44">
        <v>1000004046</v>
      </c>
      <c r="E605" s="44" t="s">
        <v>1252</v>
      </c>
      <c r="F605" s="40">
        <v>45490</v>
      </c>
      <c r="G605" s="22" t="str">
        <f t="shared" si="126"/>
        <v>Targeted Dealer</v>
      </c>
      <c r="H605" s="22"/>
      <c r="I605" s="23">
        <v>370</v>
      </c>
      <c r="J605" s="23">
        <f t="shared" si="127"/>
        <v>370</v>
      </c>
      <c r="K605" s="24">
        <v>135</v>
      </c>
      <c r="L605" s="24">
        <f t="shared" si="128"/>
        <v>235</v>
      </c>
      <c r="M605" s="24">
        <f t="shared" si="129"/>
        <v>36.486486486486484</v>
      </c>
      <c r="N605" s="25">
        <v>115</v>
      </c>
      <c r="O605" s="26" t="str">
        <f t="shared" si="130"/>
        <v>June</v>
      </c>
      <c r="P605" s="25">
        <f t="shared" si="131"/>
        <v>115</v>
      </c>
      <c r="Q605" s="27">
        <f t="shared" si="132"/>
        <v>20</v>
      </c>
      <c r="R605" s="26" t="b">
        <f t="shared" si="133"/>
        <v>0</v>
      </c>
      <c r="S605" s="28" t="str">
        <f t="shared" si="134"/>
        <v>GROWTH</v>
      </c>
      <c r="T605" s="24">
        <v>204</v>
      </c>
      <c r="U605" s="29" t="str">
        <f t="shared" si="135"/>
        <v>May</v>
      </c>
      <c r="V605" s="24">
        <f t="shared" si="136"/>
        <v>204</v>
      </c>
      <c r="W605" s="30">
        <f t="shared" si="137"/>
        <v>-69</v>
      </c>
      <c r="X605" s="31" t="b">
        <f t="shared" si="138"/>
        <v>0</v>
      </c>
      <c r="Y605" s="32" t="str">
        <f t="shared" si="139"/>
        <v>GROWTH</v>
      </c>
      <c r="Z605" s="41">
        <v>0</v>
      </c>
      <c r="AA605" s="36"/>
      <c r="AB605" s="36" t="s">
        <v>24</v>
      </c>
      <c r="AC605" s="41" t="s">
        <v>848</v>
      </c>
      <c r="AD605" s="34"/>
      <c r="AE605" s="35">
        <f>IFERROR(INDEX([1]Last6M_AvgSales_Ref!$B$2:$B$12659,MATCH(D605,[1]Last6M_AvgSales_Ref!$A$2:$A$12659,0)),"")</f>
        <v>160.166666666667</v>
      </c>
    </row>
    <row r="606" spans="1:31" ht="14.25" customHeight="1" x14ac:dyDescent="0.3">
      <c r="A606" s="41" t="s">
        <v>848</v>
      </c>
      <c r="B606" s="37" t="s">
        <v>1098</v>
      </c>
      <c r="C606" s="44" t="s">
        <v>1253</v>
      </c>
      <c r="D606" s="44">
        <v>1000004076</v>
      </c>
      <c r="E606" s="44" t="s">
        <v>1254</v>
      </c>
      <c r="F606" s="40">
        <v>45506</v>
      </c>
      <c r="G606" s="22" t="str">
        <f t="shared" si="126"/>
        <v>Targeted Dealer</v>
      </c>
      <c r="H606" s="22"/>
      <c r="I606" s="23">
        <v>70</v>
      </c>
      <c r="J606" s="23">
        <f t="shared" si="127"/>
        <v>70</v>
      </c>
      <c r="K606" s="24">
        <v>24.5</v>
      </c>
      <c r="L606" s="24">
        <f t="shared" si="128"/>
        <v>45.5</v>
      </c>
      <c r="M606" s="24">
        <f t="shared" si="129"/>
        <v>35</v>
      </c>
      <c r="N606" s="25">
        <v>31.5</v>
      </c>
      <c r="O606" s="26" t="str">
        <f t="shared" si="130"/>
        <v>June</v>
      </c>
      <c r="P606" s="25">
        <f t="shared" si="131"/>
        <v>31.5</v>
      </c>
      <c r="Q606" s="27">
        <f t="shared" si="132"/>
        <v>-7</v>
      </c>
      <c r="R606" s="26" t="b">
        <f t="shared" si="133"/>
        <v>0</v>
      </c>
      <c r="S606" s="28" t="str">
        <f t="shared" si="134"/>
        <v>GROWTH</v>
      </c>
      <c r="T606" s="24">
        <v>0</v>
      </c>
      <c r="U606" s="29" t="str">
        <f t="shared" si="135"/>
        <v>May</v>
      </c>
      <c r="V606" s="24">
        <f t="shared" si="136"/>
        <v>0</v>
      </c>
      <c r="W606" s="30">
        <f t="shared" si="137"/>
        <v>24.5</v>
      </c>
      <c r="X606" s="31" t="b">
        <f t="shared" si="138"/>
        <v>0</v>
      </c>
      <c r="Y606" s="32" t="b">
        <f t="shared" si="139"/>
        <v>0</v>
      </c>
      <c r="Z606" s="41">
        <v>0</v>
      </c>
      <c r="AA606" s="36"/>
      <c r="AB606" s="36" t="s">
        <v>24</v>
      </c>
      <c r="AC606" s="41" t="s">
        <v>848</v>
      </c>
      <c r="AD606" s="34"/>
      <c r="AE606" s="35">
        <f>IFERROR(INDEX([1]Last6M_AvgSales_Ref!$B$2:$B$12659,MATCH(D606,[1]Last6M_AvgSales_Ref!$A$2:$A$12659,0)),"")</f>
        <v>21.375</v>
      </c>
    </row>
    <row r="607" spans="1:31" ht="14.25" customHeight="1" x14ac:dyDescent="0.3">
      <c r="A607" s="41" t="s">
        <v>848</v>
      </c>
      <c r="B607" s="37" t="s">
        <v>1098</v>
      </c>
      <c r="C607" s="44" t="s">
        <v>1255</v>
      </c>
      <c r="D607" s="44">
        <v>1000004094</v>
      </c>
      <c r="E607" s="44" t="s">
        <v>1256</v>
      </c>
      <c r="F607" s="40">
        <v>45526</v>
      </c>
      <c r="G607" s="22" t="str">
        <f t="shared" si="126"/>
        <v>Targeted Dealer</v>
      </c>
      <c r="H607" s="22"/>
      <c r="I607" s="23">
        <v>100</v>
      </c>
      <c r="J607" s="23">
        <f t="shared" si="127"/>
        <v>100</v>
      </c>
      <c r="K607" s="24">
        <v>50</v>
      </c>
      <c r="L607" s="24">
        <f t="shared" si="128"/>
        <v>50</v>
      </c>
      <c r="M607" s="24">
        <f t="shared" si="129"/>
        <v>50</v>
      </c>
      <c r="N607" s="25">
        <v>20</v>
      </c>
      <c r="O607" s="26" t="str">
        <f t="shared" si="130"/>
        <v>June</v>
      </c>
      <c r="P607" s="25">
        <f t="shared" si="131"/>
        <v>20</v>
      </c>
      <c r="Q607" s="27">
        <f t="shared" si="132"/>
        <v>30</v>
      </c>
      <c r="R607" s="26" t="b">
        <f t="shared" si="133"/>
        <v>0</v>
      </c>
      <c r="S607" s="28" t="str">
        <f t="shared" si="134"/>
        <v>GROWTH</v>
      </c>
      <c r="T607" s="24">
        <v>25</v>
      </c>
      <c r="U607" s="29" t="str">
        <f t="shared" si="135"/>
        <v>May</v>
      </c>
      <c r="V607" s="24">
        <f t="shared" si="136"/>
        <v>25</v>
      </c>
      <c r="W607" s="30">
        <f t="shared" si="137"/>
        <v>25</v>
      </c>
      <c r="X607" s="31" t="b">
        <f t="shared" si="138"/>
        <v>0</v>
      </c>
      <c r="Y607" s="32" t="str">
        <f t="shared" si="139"/>
        <v>GROWTH</v>
      </c>
      <c r="Z607" s="41">
        <v>0</v>
      </c>
      <c r="AA607" s="36"/>
      <c r="AB607" s="36" t="s">
        <v>24</v>
      </c>
      <c r="AC607" s="41" t="s">
        <v>848</v>
      </c>
      <c r="AD607" s="34"/>
      <c r="AE607" s="35">
        <f>IFERROR(INDEX([1]Last6M_AvgSales_Ref!$B$2:$B$12659,MATCH(D607,[1]Last6M_AvgSales_Ref!$A$2:$A$12659,0)),"")</f>
        <v>31.6666666666667</v>
      </c>
    </row>
    <row r="608" spans="1:31" ht="14.25" customHeight="1" x14ac:dyDescent="0.3">
      <c r="A608" s="36" t="s">
        <v>848</v>
      </c>
      <c r="B608" s="38" t="s">
        <v>1257</v>
      </c>
      <c r="C608" s="38" t="s">
        <v>1258</v>
      </c>
      <c r="D608" s="38">
        <v>1000000534</v>
      </c>
      <c r="E608" s="39" t="s">
        <v>1259</v>
      </c>
      <c r="F608" s="40">
        <v>38535</v>
      </c>
      <c r="G608" s="22" t="str">
        <f t="shared" si="126"/>
        <v>Targeted Dealer</v>
      </c>
      <c r="H608" s="22"/>
      <c r="I608" s="23">
        <v>440</v>
      </c>
      <c r="J608" s="23">
        <f t="shared" si="127"/>
        <v>440</v>
      </c>
      <c r="K608" s="24">
        <v>432.5</v>
      </c>
      <c r="L608" s="24">
        <f t="shared" si="128"/>
        <v>7.5</v>
      </c>
      <c r="M608" s="24">
        <f t="shared" si="129"/>
        <v>98.295454545454533</v>
      </c>
      <c r="N608" s="25">
        <v>233</v>
      </c>
      <c r="O608" s="26" t="str">
        <f t="shared" si="130"/>
        <v>June</v>
      </c>
      <c r="P608" s="25">
        <f t="shared" si="131"/>
        <v>233</v>
      </c>
      <c r="Q608" s="27">
        <f t="shared" si="132"/>
        <v>199.5</v>
      </c>
      <c r="R608" s="26" t="b">
        <f t="shared" si="133"/>
        <v>0</v>
      </c>
      <c r="S608" s="28" t="str">
        <f t="shared" si="134"/>
        <v>GROWTH</v>
      </c>
      <c r="T608" s="24">
        <v>220</v>
      </c>
      <c r="U608" s="29" t="str">
        <f t="shared" si="135"/>
        <v>May</v>
      </c>
      <c r="V608" s="24">
        <f t="shared" si="136"/>
        <v>220</v>
      </c>
      <c r="W608" s="30">
        <f t="shared" si="137"/>
        <v>212.5</v>
      </c>
      <c r="X608" s="31" t="b">
        <f t="shared" si="138"/>
        <v>0</v>
      </c>
      <c r="Y608" s="32" t="str">
        <f t="shared" si="139"/>
        <v>GROWTH</v>
      </c>
      <c r="Z608" s="41">
        <v>0</v>
      </c>
      <c r="AA608" s="36"/>
      <c r="AB608" s="36" t="s">
        <v>24</v>
      </c>
      <c r="AC608" s="36" t="s">
        <v>848</v>
      </c>
      <c r="AD608" s="34"/>
      <c r="AE608" s="35">
        <f>IFERROR(INDEX([1]Last6M_AvgSales_Ref!$B$2:$B$12659,MATCH(D608,[1]Last6M_AvgSales_Ref!$A$2:$A$12659,0)),"")</f>
        <v>368</v>
      </c>
    </row>
    <row r="609" spans="1:31" ht="14.25" customHeight="1" x14ac:dyDescent="0.3">
      <c r="A609" s="36" t="s">
        <v>848</v>
      </c>
      <c r="B609" s="38" t="s">
        <v>1257</v>
      </c>
      <c r="C609" s="38" t="s">
        <v>1260</v>
      </c>
      <c r="D609" s="38">
        <v>1000000539</v>
      </c>
      <c r="E609" s="39" t="s">
        <v>1261</v>
      </c>
      <c r="F609" s="40">
        <v>38563</v>
      </c>
      <c r="G609" s="22" t="str">
        <f t="shared" si="126"/>
        <v>Targeted Dealer</v>
      </c>
      <c r="H609" s="22"/>
      <c r="I609" s="23">
        <v>2200</v>
      </c>
      <c r="J609" s="23">
        <f t="shared" si="127"/>
        <v>2200</v>
      </c>
      <c r="K609" s="24">
        <v>1361</v>
      </c>
      <c r="L609" s="24">
        <f t="shared" si="128"/>
        <v>839</v>
      </c>
      <c r="M609" s="24">
        <f t="shared" si="129"/>
        <v>61.863636363636367</v>
      </c>
      <c r="N609" s="25">
        <v>1113.5</v>
      </c>
      <c r="O609" s="26" t="str">
        <f t="shared" si="130"/>
        <v>June</v>
      </c>
      <c r="P609" s="25">
        <f t="shared" si="131"/>
        <v>1113.5</v>
      </c>
      <c r="Q609" s="27">
        <f t="shared" si="132"/>
        <v>247.5</v>
      </c>
      <c r="R609" s="26" t="b">
        <f t="shared" si="133"/>
        <v>0</v>
      </c>
      <c r="S609" s="28" t="str">
        <f t="shared" si="134"/>
        <v>GROWTH</v>
      </c>
      <c r="T609" s="24">
        <v>1091.5</v>
      </c>
      <c r="U609" s="29" t="str">
        <f t="shared" si="135"/>
        <v>May</v>
      </c>
      <c r="V609" s="24">
        <f t="shared" si="136"/>
        <v>1091.5</v>
      </c>
      <c r="W609" s="30">
        <f t="shared" si="137"/>
        <v>269.5</v>
      </c>
      <c r="X609" s="31" t="b">
        <f t="shared" si="138"/>
        <v>0</v>
      </c>
      <c r="Y609" s="32" t="str">
        <f t="shared" si="139"/>
        <v>GROWTH</v>
      </c>
      <c r="Z609" s="41">
        <v>0</v>
      </c>
      <c r="AA609" s="36"/>
      <c r="AB609" s="36" t="s">
        <v>24</v>
      </c>
      <c r="AC609" s="36" t="s">
        <v>848</v>
      </c>
      <c r="AD609" s="34"/>
      <c r="AE609" s="35">
        <f>IFERROR(INDEX([1]Last6M_AvgSales_Ref!$B$2:$B$12659,MATCH(D609,[1]Last6M_AvgSales_Ref!$A$2:$A$12659,0)),"")</f>
        <v>1341.8333333333301</v>
      </c>
    </row>
    <row r="610" spans="1:31" ht="14.25" customHeight="1" x14ac:dyDescent="0.3">
      <c r="A610" s="36" t="s">
        <v>848</v>
      </c>
      <c r="B610" s="38" t="s">
        <v>1257</v>
      </c>
      <c r="C610" s="38" t="s">
        <v>1262</v>
      </c>
      <c r="D610" s="38">
        <v>1000000557</v>
      </c>
      <c r="E610" s="39" t="s">
        <v>1263</v>
      </c>
      <c r="F610" s="40">
        <v>39067</v>
      </c>
      <c r="G610" s="22" t="str">
        <f t="shared" si="126"/>
        <v>Targeted Dealer</v>
      </c>
      <c r="H610" s="22"/>
      <c r="I610" s="23">
        <v>26</v>
      </c>
      <c r="J610" s="23">
        <f t="shared" si="127"/>
        <v>26</v>
      </c>
      <c r="K610" s="24">
        <v>13</v>
      </c>
      <c r="L610" s="24">
        <f t="shared" si="128"/>
        <v>13</v>
      </c>
      <c r="M610" s="24">
        <f t="shared" si="129"/>
        <v>50</v>
      </c>
      <c r="N610" s="25">
        <v>0</v>
      </c>
      <c r="O610" s="26" t="str">
        <f t="shared" si="130"/>
        <v>June</v>
      </c>
      <c r="P610" s="25">
        <f t="shared" si="131"/>
        <v>0</v>
      </c>
      <c r="Q610" s="27">
        <f t="shared" si="132"/>
        <v>13</v>
      </c>
      <c r="R610" s="26" t="b">
        <f t="shared" si="133"/>
        <v>0</v>
      </c>
      <c r="S610" s="28" t="b">
        <f t="shared" si="134"/>
        <v>0</v>
      </c>
      <c r="T610" s="24">
        <v>0</v>
      </c>
      <c r="U610" s="29" t="str">
        <f t="shared" si="135"/>
        <v>May</v>
      </c>
      <c r="V610" s="24">
        <f t="shared" si="136"/>
        <v>0</v>
      </c>
      <c r="W610" s="30">
        <f t="shared" si="137"/>
        <v>13</v>
      </c>
      <c r="X610" s="31" t="b">
        <f t="shared" si="138"/>
        <v>0</v>
      </c>
      <c r="Y610" s="32" t="b">
        <f t="shared" si="139"/>
        <v>0</v>
      </c>
      <c r="Z610" s="41">
        <v>0</v>
      </c>
      <c r="AA610" s="36"/>
      <c r="AB610" s="36" t="s">
        <v>24</v>
      </c>
      <c r="AC610" s="36" t="s">
        <v>848</v>
      </c>
      <c r="AD610" s="34"/>
      <c r="AE610" s="35">
        <f>IFERROR(INDEX([1]Last6M_AvgSales_Ref!$B$2:$B$12659,MATCH(D610,[1]Last6M_AvgSales_Ref!$A$2:$A$12659,0)),"")</f>
        <v>7.5</v>
      </c>
    </row>
    <row r="611" spans="1:31" ht="14.25" customHeight="1" x14ac:dyDescent="0.3">
      <c r="A611" s="36" t="s">
        <v>848</v>
      </c>
      <c r="B611" s="38" t="s">
        <v>1257</v>
      </c>
      <c r="C611" s="38" t="s">
        <v>1264</v>
      </c>
      <c r="D611" s="38">
        <v>1000000529</v>
      </c>
      <c r="E611" s="39" t="s">
        <v>1265</v>
      </c>
      <c r="F611" s="40">
        <v>39073</v>
      </c>
      <c r="G611" s="22" t="str">
        <f t="shared" si="126"/>
        <v>Targeted Dealer</v>
      </c>
      <c r="H611" s="22"/>
      <c r="I611" s="23">
        <v>880</v>
      </c>
      <c r="J611" s="23">
        <f t="shared" si="127"/>
        <v>880</v>
      </c>
      <c r="K611" s="24">
        <v>575.5</v>
      </c>
      <c r="L611" s="24">
        <f t="shared" si="128"/>
        <v>304.5</v>
      </c>
      <c r="M611" s="24">
        <f t="shared" si="129"/>
        <v>65.397727272727266</v>
      </c>
      <c r="N611" s="25">
        <v>515.5</v>
      </c>
      <c r="O611" s="26" t="str">
        <f t="shared" si="130"/>
        <v>June</v>
      </c>
      <c r="P611" s="25">
        <f t="shared" si="131"/>
        <v>515.5</v>
      </c>
      <c r="Q611" s="27">
        <f t="shared" si="132"/>
        <v>60</v>
      </c>
      <c r="R611" s="26" t="b">
        <f t="shared" si="133"/>
        <v>0</v>
      </c>
      <c r="S611" s="28" t="str">
        <f t="shared" si="134"/>
        <v>GROWTH</v>
      </c>
      <c r="T611" s="24">
        <v>432</v>
      </c>
      <c r="U611" s="29" t="str">
        <f t="shared" si="135"/>
        <v>May</v>
      </c>
      <c r="V611" s="24">
        <f t="shared" si="136"/>
        <v>432</v>
      </c>
      <c r="W611" s="30">
        <f t="shared" si="137"/>
        <v>143.5</v>
      </c>
      <c r="X611" s="31" t="b">
        <f t="shared" si="138"/>
        <v>0</v>
      </c>
      <c r="Y611" s="32" t="str">
        <f t="shared" si="139"/>
        <v>GROWTH</v>
      </c>
      <c r="Z611" s="41">
        <v>0</v>
      </c>
      <c r="AA611" s="36"/>
      <c r="AB611" s="36" t="s">
        <v>24</v>
      </c>
      <c r="AC611" s="36" t="s">
        <v>848</v>
      </c>
      <c r="AD611" s="34"/>
      <c r="AE611" s="35">
        <f>IFERROR(INDEX([1]Last6M_AvgSales_Ref!$B$2:$B$12659,MATCH(D611,[1]Last6M_AvgSales_Ref!$A$2:$A$12659,0)),"")</f>
        <v>542.16666666666697</v>
      </c>
    </row>
    <row r="612" spans="1:31" ht="14.25" customHeight="1" x14ac:dyDescent="0.3">
      <c r="A612" s="36" t="s">
        <v>848</v>
      </c>
      <c r="B612" s="38" t="s">
        <v>1257</v>
      </c>
      <c r="C612" s="38" t="s">
        <v>1266</v>
      </c>
      <c r="D612" s="38">
        <v>1000000544</v>
      </c>
      <c r="E612" s="39" t="s">
        <v>1267</v>
      </c>
      <c r="F612" s="40">
        <v>39171</v>
      </c>
      <c r="G612" s="22" t="str">
        <f t="shared" si="126"/>
        <v>Targeted Dealer</v>
      </c>
      <c r="H612" s="22"/>
      <c r="I612" s="23">
        <v>900</v>
      </c>
      <c r="J612" s="23">
        <f t="shared" si="127"/>
        <v>900</v>
      </c>
      <c r="K612" s="24">
        <v>632</v>
      </c>
      <c r="L612" s="24">
        <f t="shared" si="128"/>
        <v>268</v>
      </c>
      <c r="M612" s="24">
        <f t="shared" si="129"/>
        <v>70.222222222222229</v>
      </c>
      <c r="N612" s="25">
        <v>568.5</v>
      </c>
      <c r="O612" s="26" t="str">
        <f t="shared" si="130"/>
        <v>June</v>
      </c>
      <c r="P612" s="25">
        <f t="shared" si="131"/>
        <v>568.5</v>
      </c>
      <c r="Q612" s="27">
        <f t="shared" si="132"/>
        <v>63.5</v>
      </c>
      <c r="R612" s="26" t="b">
        <f t="shared" si="133"/>
        <v>0</v>
      </c>
      <c r="S612" s="28" t="str">
        <f t="shared" si="134"/>
        <v>GROWTH</v>
      </c>
      <c r="T612" s="24">
        <v>468</v>
      </c>
      <c r="U612" s="29" t="str">
        <f t="shared" si="135"/>
        <v>May</v>
      </c>
      <c r="V612" s="24">
        <f t="shared" si="136"/>
        <v>468</v>
      </c>
      <c r="W612" s="30">
        <f t="shared" si="137"/>
        <v>164</v>
      </c>
      <c r="X612" s="31" t="b">
        <f t="shared" si="138"/>
        <v>0</v>
      </c>
      <c r="Y612" s="32" t="str">
        <f t="shared" si="139"/>
        <v>GROWTH</v>
      </c>
      <c r="Z612" s="41">
        <v>0</v>
      </c>
      <c r="AA612" s="36"/>
      <c r="AB612" s="36" t="s">
        <v>24</v>
      </c>
      <c r="AC612" s="36" t="s">
        <v>848</v>
      </c>
      <c r="AD612" s="34"/>
      <c r="AE612" s="35">
        <f>IFERROR(INDEX([1]Last6M_AvgSales_Ref!$B$2:$B$12659,MATCH(D612,[1]Last6M_AvgSales_Ref!$A$2:$A$12659,0)),"")</f>
        <v>577.33333333333303</v>
      </c>
    </row>
    <row r="613" spans="1:31" ht="14.25" customHeight="1" x14ac:dyDescent="0.3">
      <c r="A613" s="36" t="s">
        <v>848</v>
      </c>
      <c r="B613" s="38" t="s">
        <v>1257</v>
      </c>
      <c r="C613" s="38" t="s">
        <v>1268</v>
      </c>
      <c r="D613" s="38">
        <v>1000000541</v>
      </c>
      <c r="E613" s="39" t="s">
        <v>1269</v>
      </c>
      <c r="F613" s="40">
        <v>39184</v>
      </c>
      <c r="G613" s="22" t="str">
        <f t="shared" si="126"/>
        <v>Targeted Dealer</v>
      </c>
      <c r="H613" s="22"/>
      <c r="I613" s="23">
        <v>26</v>
      </c>
      <c r="J613" s="23">
        <f t="shared" si="127"/>
        <v>26</v>
      </c>
      <c r="K613" s="24">
        <v>13</v>
      </c>
      <c r="L613" s="24">
        <f t="shared" si="128"/>
        <v>13</v>
      </c>
      <c r="M613" s="24">
        <f t="shared" si="129"/>
        <v>50</v>
      </c>
      <c r="N613" s="25">
        <v>0</v>
      </c>
      <c r="O613" s="26" t="str">
        <f t="shared" si="130"/>
        <v>June</v>
      </c>
      <c r="P613" s="25">
        <f t="shared" si="131"/>
        <v>0</v>
      </c>
      <c r="Q613" s="27">
        <f t="shared" si="132"/>
        <v>13</v>
      </c>
      <c r="R613" s="26" t="b">
        <f t="shared" si="133"/>
        <v>0</v>
      </c>
      <c r="S613" s="28" t="b">
        <f t="shared" si="134"/>
        <v>0</v>
      </c>
      <c r="T613" s="24">
        <v>13</v>
      </c>
      <c r="U613" s="29" t="str">
        <f t="shared" si="135"/>
        <v>May</v>
      </c>
      <c r="V613" s="24">
        <f t="shared" si="136"/>
        <v>13</v>
      </c>
      <c r="W613" s="30">
        <f t="shared" si="137"/>
        <v>0</v>
      </c>
      <c r="X613" s="31" t="b">
        <f t="shared" si="138"/>
        <v>0</v>
      </c>
      <c r="Y613" s="32" t="str">
        <f t="shared" si="139"/>
        <v>GROWTH</v>
      </c>
      <c r="Z613" s="41">
        <v>0</v>
      </c>
      <c r="AA613" s="36"/>
      <c r="AB613" s="36" t="s">
        <v>24</v>
      </c>
      <c r="AC613" s="36" t="s">
        <v>848</v>
      </c>
      <c r="AD613" s="34"/>
      <c r="AE613" s="35">
        <f>IFERROR(INDEX([1]Last6M_AvgSales_Ref!$B$2:$B$12659,MATCH(D613,[1]Last6M_AvgSales_Ref!$A$2:$A$12659,0)),"")</f>
        <v>12.75</v>
      </c>
    </row>
    <row r="614" spans="1:31" ht="14.25" customHeight="1" x14ac:dyDescent="0.3">
      <c r="A614" s="36" t="s">
        <v>848</v>
      </c>
      <c r="B614" s="38" t="s">
        <v>1257</v>
      </c>
      <c r="C614" s="38" t="s">
        <v>1270</v>
      </c>
      <c r="D614" s="38">
        <v>1000000530</v>
      </c>
      <c r="E614" s="39" t="s">
        <v>1271</v>
      </c>
      <c r="F614" s="40">
        <v>39547</v>
      </c>
      <c r="G614" s="22" t="str">
        <f t="shared" si="126"/>
        <v>Targeted Dealer</v>
      </c>
      <c r="H614" s="22"/>
      <c r="I614" s="23">
        <v>160</v>
      </c>
      <c r="J614" s="23">
        <f t="shared" si="127"/>
        <v>160</v>
      </c>
      <c r="K614" s="24">
        <v>96</v>
      </c>
      <c r="L614" s="24">
        <f t="shared" si="128"/>
        <v>64</v>
      </c>
      <c r="M614" s="24">
        <f t="shared" si="129"/>
        <v>60</v>
      </c>
      <c r="N614" s="25">
        <v>68</v>
      </c>
      <c r="O614" s="26" t="str">
        <f t="shared" si="130"/>
        <v>June</v>
      </c>
      <c r="P614" s="25">
        <f t="shared" si="131"/>
        <v>68</v>
      </c>
      <c r="Q614" s="27">
        <f t="shared" si="132"/>
        <v>28</v>
      </c>
      <c r="R614" s="26" t="b">
        <f t="shared" si="133"/>
        <v>0</v>
      </c>
      <c r="S614" s="28" t="str">
        <f t="shared" si="134"/>
        <v>GROWTH</v>
      </c>
      <c r="T614" s="24">
        <v>74.5</v>
      </c>
      <c r="U614" s="29" t="str">
        <f t="shared" si="135"/>
        <v>May</v>
      </c>
      <c r="V614" s="24">
        <f t="shared" si="136"/>
        <v>74.5</v>
      </c>
      <c r="W614" s="30">
        <f t="shared" si="137"/>
        <v>21.5</v>
      </c>
      <c r="X614" s="31" t="b">
        <f t="shared" si="138"/>
        <v>0</v>
      </c>
      <c r="Y614" s="32" t="str">
        <f t="shared" si="139"/>
        <v>GROWTH</v>
      </c>
      <c r="Z614" s="41">
        <v>0</v>
      </c>
      <c r="AA614" s="36"/>
      <c r="AB614" s="36" t="s">
        <v>24</v>
      </c>
      <c r="AC614" s="36" t="s">
        <v>848</v>
      </c>
      <c r="AD614" s="34"/>
      <c r="AE614" s="35">
        <f>IFERROR(INDEX([1]Last6M_AvgSales_Ref!$B$2:$B$12659,MATCH(D614,[1]Last6M_AvgSales_Ref!$A$2:$A$12659,0)),"")</f>
        <v>119.083333333333</v>
      </c>
    </row>
    <row r="615" spans="1:31" ht="14.25" customHeight="1" x14ac:dyDescent="0.3">
      <c r="A615" s="36" t="s">
        <v>848</v>
      </c>
      <c r="B615" s="38" t="s">
        <v>1257</v>
      </c>
      <c r="C615" s="38" t="s">
        <v>1272</v>
      </c>
      <c r="D615" s="38">
        <v>1000000549</v>
      </c>
      <c r="E615" s="39" t="s">
        <v>1273</v>
      </c>
      <c r="F615" s="40">
        <v>39961</v>
      </c>
      <c r="G615" s="22" t="str">
        <f t="shared" si="126"/>
        <v>Targeted Dealer</v>
      </c>
      <c r="H615" s="22"/>
      <c r="I615" s="23">
        <v>40</v>
      </c>
      <c r="J615" s="23">
        <f t="shared" si="127"/>
        <v>40</v>
      </c>
      <c r="K615" s="24">
        <v>51</v>
      </c>
      <c r="L615" s="24">
        <f t="shared" si="128"/>
        <v>-11</v>
      </c>
      <c r="M615" s="24">
        <f t="shared" si="129"/>
        <v>127.5</v>
      </c>
      <c r="N615" s="25">
        <v>13</v>
      </c>
      <c r="O615" s="26" t="str">
        <f t="shared" si="130"/>
        <v>June</v>
      </c>
      <c r="P615" s="25">
        <f t="shared" si="131"/>
        <v>13</v>
      </c>
      <c r="Q615" s="27">
        <f t="shared" si="132"/>
        <v>38</v>
      </c>
      <c r="R615" s="26" t="b">
        <f t="shared" si="133"/>
        <v>0</v>
      </c>
      <c r="S615" s="28" t="str">
        <f t="shared" si="134"/>
        <v>GROWTH</v>
      </c>
      <c r="T615" s="24">
        <v>0</v>
      </c>
      <c r="U615" s="29" t="str">
        <f t="shared" si="135"/>
        <v>May</v>
      </c>
      <c r="V615" s="24">
        <f t="shared" si="136"/>
        <v>0</v>
      </c>
      <c r="W615" s="30">
        <f t="shared" si="137"/>
        <v>51</v>
      </c>
      <c r="X615" s="31" t="b">
        <f t="shared" si="138"/>
        <v>0</v>
      </c>
      <c r="Y615" s="32" t="b">
        <f t="shared" si="139"/>
        <v>0</v>
      </c>
      <c r="Z615" s="41">
        <v>0</v>
      </c>
      <c r="AA615" s="36"/>
      <c r="AB615" s="36" t="s">
        <v>24</v>
      </c>
      <c r="AC615" s="36" t="s">
        <v>848</v>
      </c>
      <c r="AD615" s="34"/>
      <c r="AE615" s="35">
        <f>IFERROR(INDEX([1]Last6M_AvgSales_Ref!$B$2:$B$12659,MATCH(D615,[1]Last6M_AvgSales_Ref!$A$2:$A$12659,0)),"")</f>
        <v>14.9166666666667</v>
      </c>
    </row>
    <row r="616" spans="1:31" ht="14.25" customHeight="1" x14ac:dyDescent="0.3">
      <c r="A616" s="36" t="s">
        <v>848</v>
      </c>
      <c r="B616" s="38" t="s">
        <v>1257</v>
      </c>
      <c r="C616" s="38" t="s">
        <v>1274</v>
      </c>
      <c r="D616" s="38">
        <v>1000000554</v>
      </c>
      <c r="E616" s="39" t="s">
        <v>1275</v>
      </c>
      <c r="F616" s="40">
        <v>40583</v>
      </c>
      <c r="G616" s="22" t="str">
        <f t="shared" si="126"/>
        <v>Targeted Dealer</v>
      </c>
      <c r="H616" s="22"/>
      <c r="I616" s="23">
        <v>470</v>
      </c>
      <c r="J616" s="23">
        <f t="shared" si="127"/>
        <v>470</v>
      </c>
      <c r="K616" s="24">
        <v>219</v>
      </c>
      <c r="L616" s="24">
        <f t="shared" si="128"/>
        <v>251</v>
      </c>
      <c r="M616" s="24">
        <f t="shared" si="129"/>
        <v>46.595744680851062</v>
      </c>
      <c r="N616" s="25">
        <v>260</v>
      </c>
      <c r="O616" s="26" t="str">
        <f t="shared" si="130"/>
        <v>June</v>
      </c>
      <c r="P616" s="25">
        <f t="shared" si="131"/>
        <v>260</v>
      </c>
      <c r="Q616" s="27">
        <f t="shared" si="132"/>
        <v>-41</v>
      </c>
      <c r="R616" s="26" t="b">
        <f t="shared" si="133"/>
        <v>0</v>
      </c>
      <c r="S616" s="28" t="str">
        <f t="shared" si="134"/>
        <v>GROWTH</v>
      </c>
      <c r="T616" s="24">
        <v>289.5</v>
      </c>
      <c r="U616" s="29" t="str">
        <f t="shared" si="135"/>
        <v>May</v>
      </c>
      <c r="V616" s="24">
        <f t="shared" si="136"/>
        <v>289.5</v>
      </c>
      <c r="W616" s="30">
        <f t="shared" si="137"/>
        <v>-70.5</v>
      </c>
      <c r="X616" s="31" t="b">
        <f t="shared" si="138"/>
        <v>0</v>
      </c>
      <c r="Y616" s="32" t="str">
        <f t="shared" si="139"/>
        <v>GROWTH</v>
      </c>
      <c r="Z616" s="41">
        <v>0</v>
      </c>
      <c r="AA616" s="36"/>
      <c r="AB616" s="36" t="s">
        <v>24</v>
      </c>
      <c r="AC616" s="36" t="s">
        <v>848</v>
      </c>
      <c r="AD616" s="34"/>
      <c r="AE616" s="35">
        <f>IFERROR(INDEX([1]Last6M_AvgSales_Ref!$B$2:$B$12659,MATCH(D616,[1]Last6M_AvgSales_Ref!$A$2:$A$12659,0)),"")</f>
        <v>260.91666666666703</v>
      </c>
    </row>
    <row r="617" spans="1:31" ht="14.25" customHeight="1" x14ac:dyDescent="0.3">
      <c r="A617" s="36" t="s">
        <v>848</v>
      </c>
      <c r="B617" s="38" t="s">
        <v>1257</v>
      </c>
      <c r="C617" s="38" t="s">
        <v>1276</v>
      </c>
      <c r="D617" s="38">
        <v>1000000555</v>
      </c>
      <c r="E617" s="39" t="s">
        <v>1277</v>
      </c>
      <c r="F617" s="40">
        <v>40986</v>
      </c>
      <c r="G617" s="22" t="str">
        <f t="shared" si="126"/>
        <v>Targeted Dealer</v>
      </c>
      <c r="H617" s="22"/>
      <c r="I617" s="23">
        <v>100</v>
      </c>
      <c r="J617" s="23">
        <f t="shared" si="127"/>
        <v>100</v>
      </c>
      <c r="K617" s="24">
        <v>65</v>
      </c>
      <c r="L617" s="24">
        <f t="shared" si="128"/>
        <v>35</v>
      </c>
      <c r="M617" s="24">
        <f t="shared" si="129"/>
        <v>65</v>
      </c>
      <c r="N617" s="25">
        <v>52</v>
      </c>
      <c r="O617" s="26" t="str">
        <f t="shared" si="130"/>
        <v>June</v>
      </c>
      <c r="P617" s="25">
        <f t="shared" si="131"/>
        <v>52</v>
      </c>
      <c r="Q617" s="27">
        <f t="shared" si="132"/>
        <v>13</v>
      </c>
      <c r="R617" s="26" t="b">
        <f t="shared" si="133"/>
        <v>0</v>
      </c>
      <c r="S617" s="28" t="str">
        <f t="shared" si="134"/>
        <v>GROWTH</v>
      </c>
      <c r="T617" s="24">
        <v>52</v>
      </c>
      <c r="U617" s="29" t="str">
        <f t="shared" si="135"/>
        <v>May</v>
      </c>
      <c r="V617" s="24">
        <f t="shared" si="136"/>
        <v>52</v>
      </c>
      <c r="W617" s="30">
        <f t="shared" si="137"/>
        <v>13</v>
      </c>
      <c r="X617" s="31" t="b">
        <f t="shared" si="138"/>
        <v>0</v>
      </c>
      <c r="Y617" s="32" t="str">
        <f t="shared" si="139"/>
        <v>GROWTH</v>
      </c>
      <c r="Z617" s="41">
        <v>0</v>
      </c>
      <c r="AA617" s="36"/>
      <c r="AB617" s="36" t="s">
        <v>24</v>
      </c>
      <c r="AC617" s="36" t="s">
        <v>848</v>
      </c>
      <c r="AD617" s="34"/>
      <c r="AE617" s="35">
        <f>IFERROR(INDEX([1]Last6M_AvgSales_Ref!$B$2:$B$12659,MATCH(D617,[1]Last6M_AvgSales_Ref!$A$2:$A$12659,0)),"")</f>
        <v>62.75</v>
      </c>
    </row>
    <row r="618" spans="1:31" ht="14.25" customHeight="1" x14ac:dyDescent="0.3">
      <c r="A618" s="36" t="s">
        <v>848</v>
      </c>
      <c r="B618" s="38" t="s">
        <v>1257</v>
      </c>
      <c r="C618" s="38" t="s">
        <v>1278</v>
      </c>
      <c r="D618" s="38">
        <v>1000000532</v>
      </c>
      <c r="E618" s="39" t="s">
        <v>1279</v>
      </c>
      <c r="F618" s="40">
        <v>41071</v>
      </c>
      <c r="G618" s="22" t="str">
        <f t="shared" si="126"/>
        <v>Targeted Dealer</v>
      </c>
      <c r="H618" s="22"/>
      <c r="I618" s="23">
        <v>280</v>
      </c>
      <c r="J618" s="23">
        <f t="shared" si="127"/>
        <v>280</v>
      </c>
      <c r="K618" s="24">
        <v>155.5</v>
      </c>
      <c r="L618" s="24">
        <f t="shared" si="128"/>
        <v>124.5</v>
      </c>
      <c r="M618" s="24">
        <f t="shared" si="129"/>
        <v>55.535714285714292</v>
      </c>
      <c r="N618" s="25">
        <v>116.5</v>
      </c>
      <c r="O618" s="26" t="str">
        <f t="shared" si="130"/>
        <v>June</v>
      </c>
      <c r="P618" s="25">
        <f t="shared" si="131"/>
        <v>116.5</v>
      </c>
      <c r="Q618" s="27">
        <f t="shared" si="132"/>
        <v>39</v>
      </c>
      <c r="R618" s="26" t="b">
        <f t="shared" si="133"/>
        <v>0</v>
      </c>
      <c r="S618" s="28" t="str">
        <f t="shared" si="134"/>
        <v>GROWTH</v>
      </c>
      <c r="T618" s="24">
        <v>130</v>
      </c>
      <c r="U618" s="29" t="str">
        <f t="shared" si="135"/>
        <v>May</v>
      </c>
      <c r="V618" s="24">
        <f t="shared" si="136"/>
        <v>130</v>
      </c>
      <c r="W618" s="30">
        <f t="shared" si="137"/>
        <v>25.5</v>
      </c>
      <c r="X618" s="31" t="b">
        <f t="shared" si="138"/>
        <v>0</v>
      </c>
      <c r="Y618" s="32" t="str">
        <f t="shared" si="139"/>
        <v>GROWTH</v>
      </c>
      <c r="Z618" s="41">
        <v>0</v>
      </c>
      <c r="AA618" s="36"/>
      <c r="AB618" s="36" t="s">
        <v>24</v>
      </c>
      <c r="AC618" s="36" t="s">
        <v>848</v>
      </c>
      <c r="AD618" s="34"/>
      <c r="AE618" s="35">
        <f>IFERROR(INDEX([1]Last6M_AvgSales_Ref!$B$2:$B$12659,MATCH(D618,[1]Last6M_AvgSales_Ref!$A$2:$A$12659,0)),"")</f>
        <v>149.25</v>
      </c>
    </row>
    <row r="619" spans="1:31" ht="14.25" customHeight="1" x14ac:dyDescent="0.3">
      <c r="A619" s="36" t="s">
        <v>848</v>
      </c>
      <c r="B619" s="38" t="s">
        <v>1257</v>
      </c>
      <c r="C619" s="38" t="s">
        <v>1280</v>
      </c>
      <c r="D619" s="38">
        <v>1000000552</v>
      </c>
      <c r="E619" s="39" t="s">
        <v>1281</v>
      </c>
      <c r="F619" s="40">
        <v>41157</v>
      </c>
      <c r="G619" s="22" t="str">
        <f t="shared" si="126"/>
        <v>Targeted Dealer</v>
      </c>
      <c r="H619" s="22"/>
      <c r="I619" s="23">
        <v>300</v>
      </c>
      <c r="J619" s="23">
        <f t="shared" si="127"/>
        <v>300</v>
      </c>
      <c r="K619" s="24">
        <v>313.5</v>
      </c>
      <c r="L619" s="24">
        <f t="shared" si="128"/>
        <v>-13.5</v>
      </c>
      <c r="M619" s="24">
        <f t="shared" si="129"/>
        <v>104.5</v>
      </c>
      <c r="N619" s="25">
        <v>225</v>
      </c>
      <c r="O619" s="26" t="str">
        <f t="shared" si="130"/>
        <v>June</v>
      </c>
      <c r="P619" s="25">
        <f t="shared" si="131"/>
        <v>225</v>
      </c>
      <c r="Q619" s="27">
        <f t="shared" si="132"/>
        <v>88.5</v>
      </c>
      <c r="R619" s="26" t="b">
        <f t="shared" si="133"/>
        <v>0</v>
      </c>
      <c r="S619" s="28" t="str">
        <f t="shared" si="134"/>
        <v>GROWTH</v>
      </c>
      <c r="T619" s="24">
        <v>151</v>
      </c>
      <c r="U619" s="29" t="str">
        <f t="shared" si="135"/>
        <v>May</v>
      </c>
      <c r="V619" s="24">
        <f t="shared" si="136"/>
        <v>151</v>
      </c>
      <c r="W619" s="30">
        <f t="shared" si="137"/>
        <v>162.5</v>
      </c>
      <c r="X619" s="31" t="b">
        <f t="shared" si="138"/>
        <v>0</v>
      </c>
      <c r="Y619" s="32" t="str">
        <f t="shared" si="139"/>
        <v>GROWTH</v>
      </c>
      <c r="Z619" s="41">
        <v>0</v>
      </c>
      <c r="AA619" s="36"/>
      <c r="AB619" s="36" t="s">
        <v>24</v>
      </c>
      <c r="AC619" s="36" t="s">
        <v>848</v>
      </c>
      <c r="AD619" s="34"/>
      <c r="AE619" s="35">
        <f>IFERROR(INDEX([1]Last6M_AvgSales_Ref!$B$2:$B$12659,MATCH(D619,[1]Last6M_AvgSales_Ref!$A$2:$A$12659,0)),"")</f>
        <v>241</v>
      </c>
    </row>
    <row r="620" spans="1:31" ht="14.25" customHeight="1" x14ac:dyDescent="0.3">
      <c r="A620" s="36" t="s">
        <v>848</v>
      </c>
      <c r="B620" s="38" t="s">
        <v>1257</v>
      </c>
      <c r="C620" s="38" t="s">
        <v>1282</v>
      </c>
      <c r="D620" s="38">
        <v>1000000538</v>
      </c>
      <c r="E620" s="39" t="s">
        <v>1283</v>
      </c>
      <c r="F620" s="40">
        <v>41258</v>
      </c>
      <c r="G620" s="22" t="str">
        <f t="shared" si="126"/>
        <v>Targeted Dealer</v>
      </c>
      <c r="H620" s="22"/>
      <c r="I620" s="23">
        <v>40</v>
      </c>
      <c r="J620" s="23">
        <f t="shared" si="127"/>
        <v>40</v>
      </c>
      <c r="K620" s="24">
        <v>13</v>
      </c>
      <c r="L620" s="24">
        <f t="shared" si="128"/>
        <v>27</v>
      </c>
      <c r="M620" s="24">
        <f t="shared" si="129"/>
        <v>32.5</v>
      </c>
      <c r="N620" s="25">
        <v>13</v>
      </c>
      <c r="O620" s="26" t="str">
        <f t="shared" si="130"/>
        <v>June</v>
      </c>
      <c r="P620" s="25">
        <f t="shared" si="131"/>
        <v>13</v>
      </c>
      <c r="Q620" s="27">
        <f t="shared" si="132"/>
        <v>0</v>
      </c>
      <c r="R620" s="26" t="b">
        <f t="shared" si="133"/>
        <v>0</v>
      </c>
      <c r="S620" s="28" t="str">
        <f t="shared" si="134"/>
        <v>GROWTH</v>
      </c>
      <c r="T620" s="24">
        <v>26</v>
      </c>
      <c r="U620" s="29" t="str">
        <f t="shared" si="135"/>
        <v>May</v>
      </c>
      <c r="V620" s="24">
        <f t="shared" si="136"/>
        <v>26</v>
      </c>
      <c r="W620" s="30">
        <f t="shared" si="137"/>
        <v>-13</v>
      </c>
      <c r="X620" s="31" t="b">
        <f t="shared" si="138"/>
        <v>0</v>
      </c>
      <c r="Y620" s="32" t="str">
        <f t="shared" si="139"/>
        <v>GROWTH</v>
      </c>
      <c r="Z620" s="41">
        <v>0</v>
      </c>
      <c r="AA620" s="36"/>
      <c r="AB620" s="36" t="s">
        <v>24</v>
      </c>
      <c r="AC620" s="36" t="s">
        <v>848</v>
      </c>
      <c r="AD620" s="34"/>
      <c r="AE620" s="35">
        <f>IFERROR(INDEX([1]Last6M_AvgSales_Ref!$B$2:$B$12659,MATCH(D620,[1]Last6M_AvgSales_Ref!$A$2:$A$12659,0)),"")</f>
        <v>17.1666666666667</v>
      </c>
    </row>
    <row r="621" spans="1:31" ht="14.25" customHeight="1" x14ac:dyDescent="0.3">
      <c r="A621" s="36" t="s">
        <v>848</v>
      </c>
      <c r="B621" s="38" t="s">
        <v>1257</v>
      </c>
      <c r="C621" s="38" t="s">
        <v>1284</v>
      </c>
      <c r="D621" s="38">
        <v>1000000535</v>
      </c>
      <c r="E621" s="39" t="s">
        <v>1285</v>
      </c>
      <c r="F621" s="40">
        <v>41464</v>
      </c>
      <c r="G621" s="22" t="str">
        <f t="shared" si="126"/>
        <v>Targeted Dealer</v>
      </c>
      <c r="H621" s="22"/>
      <c r="I621" s="23">
        <v>78</v>
      </c>
      <c r="J621" s="23">
        <f t="shared" si="127"/>
        <v>78</v>
      </c>
      <c r="K621" s="24">
        <v>62.5</v>
      </c>
      <c r="L621" s="24">
        <f t="shared" si="128"/>
        <v>15.5</v>
      </c>
      <c r="M621" s="24">
        <f t="shared" si="129"/>
        <v>80.128205128205124</v>
      </c>
      <c r="N621" s="25">
        <v>38</v>
      </c>
      <c r="O621" s="26" t="str">
        <f t="shared" si="130"/>
        <v>June</v>
      </c>
      <c r="P621" s="25">
        <f t="shared" si="131"/>
        <v>38</v>
      </c>
      <c r="Q621" s="27">
        <f t="shared" si="132"/>
        <v>24.5</v>
      </c>
      <c r="R621" s="26" t="b">
        <f t="shared" si="133"/>
        <v>0</v>
      </c>
      <c r="S621" s="28" t="str">
        <f t="shared" si="134"/>
        <v>GROWTH</v>
      </c>
      <c r="T621" s="24">
        <v>37.5</v>
      </c>
      <c r="U621" s="29" t="str">
        <f t="shared" si="135"/>
        <v>May</v>
      </c>
      <c r="V621" s="24">
        <f t="shared" si="136"/>
        <v>37.5</v>
      </c>
      <c r="W621" s="30">
        <f t="shared" si="137"/>
        <v>25</v>
      </c>
      <c r="X621" s="31" t="b">
        <f t="shared" si="138"/>
        <v>0</v>
      </c>
      <c r="Y621" s="32" t="str">
        <f t="shared" si="139"/>
        <v>GROWTH</v>
      </c>
      <c r="Z621" s="41">
        <v>0</v>
      </c>
      <c r="AA621" s="36"/>
      <c r="AB621" s="36" t="s">
        <v>24</v>
      </c>
      <c r="AC621" s="36" t="s">
        <v>848</v>
      </c>
      <c r="AD621" s="34"/>
      <c r="AE621" s="35">
        <f>IFERROR(INDEX([1]Last6M_AvgSales_Ref!$B$2:$B$12659,MATCH(D621,[1]Last6M_AvgSales_Ref!$A$2:$A$12659,0)),"")</f>
        <v>56.8333333333333</v>
      </c>
    </row>
    <row r="622" spans="1:31" ht="14.25" customHeight="1" x14ac:dyDescent="0.3">
      <c r="A622" s="36" t="s">
        <v>848</v>
      </c>
      <c r="B622" s="38" t="s">
        <v>1257</v>
      </c>
      <c r="C622" s="38" t="s">
        <v>1286</v>
      </c>
      <c r="D622" s="38">
        <v>1000000551</v>
      </c>
      <c r="E622" s="39" t="s">
        <v>1287</v>
      </c>
      <c r="F622" s="40">
        <v>41638</v>
      </c>
      <c r="G622" s="22" t="str">
        <f t="shared" si="126"/>
        <v>Targeted Dealer</v>
      </c>
      <c r="H622" s="22"/>
      <c r="I622" s="23">
        <v>80</v>
      </c>
      <c r="J622" s="23">
        <f t="shared" si="127"/>
        <v>80</v>
      </c>
      <c r="K622" s="24">
        <v>86.5</v>
      </c>
      <c r="L622" s="24">
        <f t="shared" si="128"/>
        <v>-6.5</v>
      </c>
      <c r="M622" s="24">
        <f t="shared" si="129"/>
        <v>108.125</v>
      </c>
      <c r="N622" s="25">
        <v>56</v>
      </c>
      <c r="O622" s="26" t="str">
        <f t="shared" si="130"/>
        <v>June</v>
      </c>
      <c r="P622" s="25">
        <f t="shared" si="131"/>
        <v>56</v>
      </c>
      <c r="Q622" s="27">
        <f t="shared" si="132"/>
        <v>30.5</v>
      </c>
      <c r="R622" s="26" t="b">
        <f t="shared" si="133"/>
        <v>0</v>
      </c>
      <c r="S622" s="28" t="str">
        <f t="shared" si="134"/>
        <v>GROWTH</v>
      </c>
      <c r="T622" s="24">
        <v>18.5</v>
      </c>
      <c r="U622" s="29" t="str">
        <f t="shared" si="135"/>
        <v>May</v>
      </c>
      <c r="V622" s="24">
        <f t="shared" si="136"/>
        <v>18.5</v>
      </c>
      <c r="W622" s="30">
        <f t="shared" si="137"/>
        <v>68</v>
      </c>
      <c r="X622" s="31" t="b">
        <f t="shared" si="138"/>
        <v>0</v>
      </c>
      <c r="Y622" s="32" t="str">
        <f t="shared" si="139"/>
        <v>GROWTH</v>
      </c>
      <c r="Z622" s="41">
        <v>0</v>
      </c>
      <c r="AA622" s="36"/>
      <c r="AB622" s="36" t="s">
        <v>24</v>
      </c>
      <c r="AC622" s="36" t="s">
        <v>848</v>
      </c>
      <c r="AD622" s="34"/>
      <c r="AE622" s="35">
        <f>IFERROR(INDEX([1]Last6M_AvgSales_Ref!$B$2:$B$12659,MATCH(D622,[1]Last6M_AvgSales_Ref!$A$2:$A$12659,0)),"")</f>
        <v>39.25</v>
      </c>
    </row>
    <row r="623" spans="1:31" ht="14.25" customHeight="1" x14ac:dyDescent="0.3">
      <c r="A623" s="36" t="s">
        <v>848</v>
      </c>
      <c r="B623" s="38" t="s">
        <v>1257</v>
      </c>
      <c r="C623" s="38" t="s">
        <v>1288</v>
      </c>
      <c r="D623" s="38">
        <v>1000000542</v>
      </c>
      <c r="E623" s="39" t="s">
        <v>1289</v>
      </c>
      <c r="F623" s="40">
        <v>42909</v>
      </c>
      <c r="G623" s="22" t="str">
        <f t="shared" si="126"/>
        <v>Targeted Dealer</v>
      </c>
      <c r="H623" s="22"/>
      <c r="I623" s="23">
        <v>370</v>
      </c>
      <c r="J623" s="23">
        <f t="shared" si="127"/>
        <v>370</v>
      </c>
      <c r="K623" s="24">
        <v>126</v>
      </c>
      <c r="L623" s="24">
        <f t="shared" si="128"/>
        <v>244</v>
      </c>
      <c r="M623" s="24">
        <f t="shared" si="129"/>
        <v>34.054054054054049</v>
      </c>
      <c r="N623" s="25">
        <v>144</v>
      </c>
      <c r="O623" s="26" t="str">
        <f t="shared" si="130"/>
        <v>June</v>
      </c>
      <c r="P623" s="25">
        <f t="shared" si="131"/>
        <v>144</v>
      </c>
      <c r="Q623" s="27">
        <f t="shared" si="132"/>
        <v>-18</v>
      </c>
      <c r="R623" s="26" t="b">
        <f t="shared" si="133"/>
        <v>0</v>
      </c>
      <c r="S623" s="28" t="str">
        <f t="shared" si="134"/>
        <v>GROWTH</v>
      </c>
      <c r="T623" s="24">
        <v>197.5</v>
      </c>
      <c r="U623" s="29" t="str">
        <f t="shared" si="135"/>
        <v>May</v>
      </c>
      <c r="V623" s="24">
        <f t="shared" si="136"/>
        <v>197.5</v>
      </c>
      <c r="W623" s="30">
        <f t="shared" si="137"/>
        <v>-71.5</v>
      </c>
      <c r="X623" s="31" t="b">
        <f t="shared" si="138"/>
        <v>0</v>
      </c>
      <c r="Y623" s="32" t="str">
        <f t="shared" si="139"/>
        <v>GROWTH</v>
      </c>
      <c r="Z623" s="41">
        <v>0</v>
      </c>
      <c r="AA623" s="36"/>
      <c r="AB623" s="36" t="s">
        <v>24</v>
      </c>
      <c r="AC623" s="36" t="s">
        <v>848</v>
      </c>
      <c r="AD623" s="34"/>
      <c r="AE623" s="35">
        <f>IFERROR(INDEX([1]Last6M_AvgSales_Ref!$B$2:$B$12659,MATCH(D623,[1]Last6M_AvgSales_Ref!$A$2:$A$12659,0)),"")</f>
        <v>156</v>
      </c>
    </row>
    <row r="624" spans="1:31" ht="14.25" customHeight="1" x14ac:dyDescent="0.3">
      <c r="A624" s="36" t="s">
        <v>848</v>
      </c>
      <c r="B624" s="38" t="s">
        <v>1257</v>
      </c>
      <c r="C624" s="38" t="s">
        <v>1290</v>
      </c>
      <c r="D624" s="38">
        <v>1000000553</v>
      </c>
      <c r="E624" s="39" t="s">
        <v>1291</v>
      </c>
      <c r="F624" s="40">
        <v>42980</v>
      </c>
      <c r="G624" s="22" t="str">
        <f t="shared" si="126"/>
        <v>Targeted Dealer</v>
      </c>
      <c r="H624" s="22"/>
      <c r="I624" s="23">
        <v>360</v>
      </c>
      <c r="J624" s="23">
        <f t="shared" si="127"/>
        <v>360</v>
      </c>
      <c r="K624" s="24">
        <v>150</v>
      </c>
      <c r="L624" s="24">
        <f t="shared" si="128"/>
        <v>210</v>
      </c>
      <c r="M624" s="24">
        <f t="shared" si="129"/>
        <v>41.666666666666664</v>
      </c>
      <c r="N624" s="25">
        <v>132</v>
      </c>
      <c r="O624" s="26" t="str">
        <f t="shared" si="130"/>
        <v>June</v>
      </c>
      <c r="P624" s="25">
        <f t="shared" si="131"/>
        <v>132</v>
      </c>
      <c r="Q624" s="27">
        <f t="shared" si="132"/>
        <v>18</v>
      </c>
      <c r="R624" s="26" t="b">
        <f t="shared" si="133"/>
        <v>0</v>
      </c>
      <c r="S624" s="28" t="str">
        <f t="shared" si="134"/>
        <v>GROWTH</v>
      </c>
      <c r="T624" s="24">
        <v>292.5</v>
      </c>
      <c r="U624" s="29" t="str">
        <f t="shared" si="135"/>
        <v>May</v>
      </c>
      <c r="V624" s="24">
        <f t="shared" si="136"/>
        <v>292.5</v>
      </c>
      <c r="W624" s="30">
        <f t="shared" si="137"/>
        <v>-142.5</v>
      </c>
      <c r="X624" s="31" t="b">
        <f t="shared" si="138"/>
        <v>0</v>
      </c>
      <c r="Y624" s="32" t="str">
        <f t="shared" si="139"/>
        <v>GROWTH</v>
      </c>
      <c r="Z624" s="41">
        <v>0</v>
      </c>
      <c r="AA624" s="36"/>
      <c r="AB624" s="36" t="s">
        <v>24</v>
      </c>
      <c r="AC624" s="36" t="s">
        <v>848</v>
      </c>
      <c r="AD624" s="34"/>
      <c r="AE624" s="35">
        <f>IFERROR(INDEX([1]Last6M_AvgSales_Ref!$B$2:$B$12659,MATCH(D624,[1]Last6M_AvgSales_Ref!$A$2:$A$12659,0)),"")</f>
        <v>188.583333333333</v>
      </c>
    </row>
    <row r="625" spans="1:31" ht="14.25" customHeight="1" x14ac:dyDescent="0.3">
      <c r="A625" s="36" t="s">
        <v>848</v>
      </c>
      <c r="B625" s="38" t="s">
        <v>1257</v>
      </c>
      <c r="C625" s="38" t="s">
        <v>1292</v>
      </c>
      <c r="D625" s="38">
        <v>1000000548</v>
      </c>
      <c r="E625" s="39" t="s">
        <v>1293</v>
      </c>
      <c r="F625" s="40">
        <v>43031</v>
      </c>
      <c r="G625" s="22" t="str">
        <f t="shared" si="126"/>
        <v>Targeted Dealer</v>
      </c>
      <c r="H625" s="22"/>
      <c r="I625" s="23">
        <v>1500</v>
      </c>
      <c r="J625" s="23">
        <f t="shared" si="127"/>
        <v>1500</v>
      </c>
      <c r="K625" s="24">
        <v>1184</v>
      </c>
      <c r="L625" s="24">
        <f t="shared" si="128"/>
        <v>316</v>
      </c>
      <c r="M625" s="24">
        <f t="shared" si="129"/>
        <v>78.933333333333337</v>
      </c>
      <c r="N625" s="25">
        <v>1012.5</v>
      </c>
      <c r="O625" s="26" t="str">
        <f t="shared" si="130"/>
        <v>June</v>
      </c>
      <c r="P625" s="25">
        <f t="shared" si="131"/>
        <v>1012.5</v>
      </c>
      <c r="Q625" s="27">
        <f t="shared" si="132"/>
        <v>171.5</v>
      </c>
      <c r="R625" s="26" t="b">
        <f t="shared" si="133"/>
        <v>0</v>
      </c>
      <c r="S625" s="28" t="str">
        <f t="shared" si="134"/>
        <v>GROWTH</v>
      </c>
      <c r="T625" s="24">
        <v>751.5</v>
      </c>
      <c r="U625" s="29" t="str">
        <f t="shared" si="135"/>
        <v>May</v>
      </c>
      <c r="V625" s="24">
        <f t="shared" si="136"/>
        <v>751.5</v>
      </c>
      <c r="W625" s="30">
        <f t="shared" si="137"/>
        <v>432.5</v>
      </c>
      <c r="X625" s="31" t="b">
        <f t="shared" si="138"/>
        <v>0</v>
      </c>
      <c r="Y625" s="32" t="str">
        <f t="shared" si="139"/>
        <v>GROWTH</v>
      </c>
      <c r="Z625" s="41">
        <v>0</v>
      </c>
      <c r="AA625" s="36"/>
      <c r="AB625" s="36" t="s">
        <v>24</v>
      </c>
      <c r="AC625" s="36" t="s">
        <v>848</v>
      </c>
      <c r="AD625" s="34"/>
      <c r="AE625" s="35">
        <f>IFERROR(INDEX([1]Last6M_AvgSales_Ref!$B$2:$B$12659,MATCH(D625,[1]Last6M_AvgSales_Ref!$A$2:$A$12659,0)),"")</f>
        <v>912.75</v>
      </c>
    </row>
    <row r="626" spans="1:31" ht="14.25" customHeight="1" x14ac:dyDescent="0.3">
      <c r="A626" s="36" t="s">
        <v>848</v>
      </c>
      <c r="B626" s="38" t="s">
        <v>1257</v>
      </c>
      <c r="C626" s="38" t="s">
        <v>1294</v>
      </c>
      <c r="D626" s="38">
        <v>1000000546</v>
      </c>
      <c r="E626" s="39" t="s">
        <v>1295</v>
      </c>
      <c r="F626" s="40">
        <v>43344</v>
      </c>
      <c r="G626" s="22" t="str">
        <f t="shared" si="126"/>
        <v>Targeted Dealer</v>
      </c>
      <c r="H626" s="22"/>
      <c r="I626" s="23">
        <v>100</v>
      </c>
      <c r="J626" s="23">
        <f t="shared" si="127"/>
        <v>100</v>
      </c>
      <c r="K626" s="24">
        <v>52</v>
      </c>
      <c r="L626" s="24">
        <f t="shared" si="128"/>
        <v>48</v>
      </c>
      <c r="M626" s="24">
        <f t="shared" si="129"/>
        <v>52</v>
      </c>
      <c r="N626" s="25">
        <v>52</v>
      </c>
      <c r="O626" s="26" t="str">
        <f t="shared" si="130"/>
        <v>June</v>
      </c>
      <c r="P626" s="25">
        <f t="shared" si="131"/>
        <v>52</v>
      </c>
      <c r="Q626" s="27">
        <f t="shared" si="132"/>
        <v>0</v>
      </c>
      <c r="R626" s="26" t="b">
        <f t="shared" si="133"/>
        <v>0</v>
      </c>
      <c r="S626" s="28" t="str">
        <f t="shared" si="134"/>
        <v>GROWTH</v>
      </c>
      <c r="T626" s="24">
        <v>52</v>
      </c>
      <c r="U626" s="29" t="str">
        <f t="shared" si="135"/>
        <v>May</v>
      </c>
      <c r="V626" s="24">
        <f t="shared" si="136"/>
        <v>52</v>
      </c>
      <c r="W626" s="30">
        <f t="shared" si="137"/>
        <v>0</v>
      </c>
      <c r="X626" s="31" t="b">
        <f t="shared" si="138"/>
        <v>0</v>
      </c>
      <c r="Y626" s="32" t="str">
        <f t="shared" si="139"/>
        <v>GROWTH</v>
      </c>
      <c r="Z626" s="41">
        <v>0</v>
      </c>
      <c r="AA626" s="36"/>
      <c r="AB626" s="36" t="s">
        <v>24</v>
      </c>
      <c r="AC626" s="36" t="s">
        <v>848</v>
      </c>
      <c r="AD626" s="34"/>
      <c r="AE626" s="35">
        <f>IFERROR(INDEX([1]Last6M_AvgSales_Ref!$B$2:$B$12659,MATCH(D626,[1]Last6M_AvgSales_Ref!$A$2:$A$12659,0)),"")</f>
        <v>49.75</v>
      </c>
    </row>
    <row r="627" spans="1:31" ht="14.25" customHeight="1" x14ac:dyDescent="0.3">
      <c r="A627" s="36" t="s">
        <v>848</v>
      </c>
      <c r="B627" s="38" t="s">
        <v>1257</v>
      </c>
      <c r="C627" s="38" t="s">
        <v>1296</v>
      </c>
      <c r="D627" s="38">
        <v>1000000958</v>
      </c>
      <c r="E627" s="39" t="s">
        <v>1297</v>
      </c>
      <c r="F627" s="40">
        <v>43584</v>
      </c>
      <c r="G627" s="22" t="str">
        <f t="shared" si="126"/>
        <v>Targeted Dealer</v>
      </c>
      <c r="H627" s="22"/>
      <c r="I627" s="23">
        <v>52</v>
      </c>
      <c r="J627" s="23">
        <f t="shared" si="127"/>
        <v>52</v>
      </c>
      <c r="K627" s="24">
        <v>26</v>
      </c>
      <c r="L627" s="24">
        <f t="shared" si="128"/>
        <v>26</v>
      </c>
      <c r="M627" s="24">
        <f t="shared" si="129"/>
        <v>50</v>
      </c>
      <c r="N627" s="25">
        <v>13</v>
      </c>
      <c r="O627" s="26" t="str">
        <f t="shared" si="130"/>
        <v>June</v>
      </c>
      <c r="P627" s="25">
        <f t="shared" si="131"/>
        <v>13</v>
      </c>
      <c r="Q627" s="27">
        <f t="shared" si="132"/>
        <v>13</v>
      </c>
      <c r="R627" s="26" t="b">
        <f t="shared" si="133"/>
        <v>0</v>
      </c>
      <c r="S627" s="28" t="str">
        <f t="shared" si="134"/>
        <v>GROWTH</v>
      </c>
      <c r="T627" s="24">
        <v>13</v>
      </c>
      <c r="U627" s="29" t="str">
        <f t="shared" si="135"/>
        <v>May</v>
      </c>
      <c r="V627" s="24">
        <f t="shared" si="136"/>
        <v>13</v>
      </c>
      <c r="W627" s="30">
        <f t="shared" si="137"/>
        <v>13</v>
      </c>
      <c r="X627" s="31" t="b">
        <f t="shared" si="138"/>
        <v>0</v>
      </c>
      <c r="Y627" s="32" t="str">
        <f t="shared" si="139"/>
        <v>GROWTH</v>
      </c>
      <c r="Z627" s="41">
        <v>0</v>
      </c>
      <c r="AA627" s="36"/>
      <c r="AB627" s="36" t="s">
        <v>24</v>
      </c>
      <c r="AC627" s="36" t="s">
        <v>848</v>
      </c>
      <c r="AD627" s="34"/>
      <c r="AE627" s="35">
        <f>IFERROR(INDEX([1]Last6M_AvgSales_Ref!$B$2:$B$12659,MATCH(D627,[1]Last6M_AvgSales_Ref!$A$2:$A$12659,0)),"")</f>
        <v>28.9166666666667</v>
      </c>
    </row>
    <row r="628" spans="1:31" ht="14.25" customHeight="1" x14ac:dyDescent="0.3">
      <c r="A628" s="36" t="s">
        <v>848</v>
      </c>
      <c r="B628" s="38" t="s">
        <v>1257</v>
      </c>
      <c r="C628" s="38" t="s">
        <v>1298</v>
      </c>
      <c r="D628" s="38">
        <v>1000000963</v>
      </c>
      <c r="E628" s="39" t="s">
        <v>1299</v>
      </c>
      <c r="F628" s="40">
        <v>43609</v>
      </c>
      <c r="G628" s="22" t="str">
        <f t="shared" si="126"/>
        <v>Targeted Dealer</v>
      </c>
      <c r="H628" s="22"/>
      <c r="I628" s="23">
        <v>40</v>
      </c>
      <c r="J628" s="23">
        <f t="shared" si="127"/>
        <v>40</v>
      </c>
      <c r="K628" s="24">
        <v>13</v>
      </c>
      <c r="L628" s="24">
        <f t="shared" si="128"/>
        <v>27</v>
      </c>
      <c r="M628" s="24">
        <f t="shared" si="129"/>
        <v>32.5</v>
      </c>
      <c r="N628" s="25">
        <v>26</v>
      </c>
      <c r="O628" s="26" t="str">
        <f t="shared" si="130"/>
        <v>June</v>
      </c>
      <c r="P628" s="25">
        <f t="shared" si="131"/>
        <v>26</v>
      </c>
      <c r="Q628" s="27">
        <f t="shared" si="132"/>
        <v>-13</v>
      </c>
      <c r="R628" s="26" t="b">
        <f t="shared" si="133"/>
        <v>0</v>
      </c>
      <c r="S628" s="28" t="str">
        <f t="shared" si="134"/>
        <v>GROWTH</v>
      </c>
      <c r="T628" s="24">
        <v>26</v>
      </c>
      <c r="U628" s="29" t="str">
        <f t="shared" si="135"/>
        <v>May</v>
      </c>
      <c r="V628" s="24">
        <f t="shared" si="136"/>
        <v>26</v>
      </c>
      <c r="W628" s="30">
        <f t="shared" si="137"/>
        <v>-13</v>
      </c>
      <c r="X628" s="31" t="b">
        <f t="shared" si="138"/>
        <v>0</v>
      </c>
      <c r="Y628" s="32" t="str">
        <f t="shared" si="139"/>
        <v>GROWTH</v>
      </c>
      <c r="Z628" s="41">
        <v>0</v>
      </c>
      <c r="AA628" s="36"/>
      <c r="AB628" s="36" t="s">
        <v>24</v>
      </c>
      <c r="AC628" s="36" t="s">
        <v>848</v>
      </c>
      <c r="AD628" s="34"/>
      <c r="AE628" s="35">
        <f>IFERROR(INDEX([1]Last6M_AvgSales_Ref!$B$2:$B$12659,MATCH(D628,[1]Last6M_AvgSales_Ref!$A$2:$A$12659,0)),"")</f>
        <v>23.6666666666667</v>
      </c>
    </row>
    <row r="629" spans="1:31" ht="14.25" customHeight="1" x14ac:dyDescent="0.3">
      <c r="A629" s="36" t="s">
        <v>848</v>
      </c>
      <c r="B629" s="38" t="s">
        <v>1257</v>
      </c>
      <c r="C629" s="38" t="s">
        <v>1300</v>
      </c>
      <c r="D629" s="38">
        <v>1000000965</v>
      </c>
      <c r="E629" s="39" t="s">
        <v>1301</v>
      </c>
      <c r="F629" s="40">
        <v>43825</v>
      </c>
      <c r="G629" s="22" t="str">
        <f t="shared" si="126"/>
        <v>Targeted Dealer</v>
      </c>
      <c r="H629" s="22"/>
      <c r="I629" s="23">
        <v>60</v>
      </c>
      <c r="J629" s="23">
        <f t="shared" si="127"/>
        <v>60</v>
      </c>
      <c r="K629" s="24">
        <v>90.5</v>
      </c>
      <c r="L629" s="24">
        <f t="shared" si="128"/>
        <v>-30.5</v>
      </c>
      <c r="M629" s="24">
        <f t="shared" si="129"/>
        <v>150.83333333333334</v>
      </c>
      <c r="N629" s="25">
        <v>39</v>
      </c>
      <c r="O629" s="26" t="str">
        <f t="shared" si="130"/>
        <v>June</v>
      </c>
      <c r="P629" s="25">
        <f t="shared" si="131"/>
        <v>39</v>
      </c>
      <c r="Q629" s="27">
        <f t="shared" si="132"/>
        <v>51.5</v>
      </c>
      <c r="R629" s="26" t="b">
        <f t="shared" si="133"/>
        <v>0</v>
      </c>
      <c r="S629" s="28" t="str">
        <f t="shared" si="134"/>
        <v>GROWTH</v>
      </c>
      <c r="T629" s="24">
        <v>22</v>
      </c>
      <c r="U629" s="29" t="str">
        <f t="shared" si="135"/>
        <v>May</v>
      </c>
      <c r="V629" s="24">
        <f t="shared" si="136"/>
        <v>22</v>
      </c>
      <c r="W629" s="30">
        <f t="shared" si="137"/>
        <v>68.5</v>
      </c>
      <c r="X629" s="31" t="b">
        <f t="shared" si="138"/>
        <v>0</v>
      </c>
      <c r="Y629" s="32" t="str">
        <f t="shared" si="139"/>
        <v>GROWTH</v>
      </c>
      <c r="Z629" s="41">
        <v>0</v>
      </c>
      <c r="AA629" s="36"/>
      <c r="AB629" s="36" t="s">
        <v>24</v>
      </c>
      <c r="AC629" s="36" t="s">
        <v>848</v>
      </c>
      <c r="AD629" s="34"/>
      <c r="AE629" s="35">
        <f>IFERROR(INDEX([1]Last6M_AvgSales_Ref!$B$2:$B$12659,MATCH(D629,[1]Last6M_AvgSales_Ref!$A$2:$A$12659,0)),"")</f>
        <v>38.75</v>
      </c>
    </row>
    <row r="630" spans="1:31" ht="14.25" customHeight="1" x14ac:dyDescent="0.3">
      <c r="A630" s="36" t="s">
        <v>848</v>
      </c>
      <c r="B630" s="38" t="s">
        <v>1257</v>
      </c>
      <c r="C630" s="38" t="s">
        <v>1302</v>
      </c>
      <c r="D630" s="38">
        <v>1000000959</v>
      </c>
      <c r="E630" s="39" t="s">
        <v>1303</v>
      </c>
      <c r="F630" s="40">
        <v>44202</v>
      </c>
      <c r="G630" s="22" t="str">
        <f t="shared" si="126"/>
        <v>-</v>
      </c>
      <c r="H630" s="22"/>
      <c r="I630" s="23">
        <v>0</v>
      </c>
      <c r="J630" s="23">
        <f t="shared" si="127"/>
        <v>0</v>
      </c>
      <c r="K630" s="24">
        <v>0</v>
      </c>
      <c r="L630" s="24">
        <f t="shared" si="128"/>
        <v>0</v>
      </c>
      <c r="M630" s="24" t="str">
        <f t="shared" si="129"/>
        <v>-</v>
      </c>
      <c r="N630" s="25">
        <v>0</v>
      </c>
      <c r="O630" s="26" t="str">
        <f t="shared" si="130"/>
        <v>June</v>
      </c>
      <c r="P630" s="25">
        <f t="shared" si="131"/>
        <v>0</v>
      </c>
      <c r="Q630" s="27">
        <f t="shared" si="132"/>
        <v>0</v>
      </c>
      <c r="R630" s="26" t="b">
        <f t="shared" si="133"/>
        <v>0</v>
      </c>
      <c r="S630" s="28" t="b">
        <f t="shared" si="134"/>
        <v>0</v>
      </c>
      <c r="T630" s="24">
        <v>12</v>
      </c>
      <c r="U630" s="29" t="str">
        <f t="shared" si="135"/>
        <v>May</v>
      </c>
      <c r="V630" s="24">
        <f t="shared" si="136"/>
        <v>12</v>
      </c>
      <c r="W630" s="30">
        <f t="shared" si="137"/>
        <v>-12</v>
      </c>
      <c r="X630" s="31" t="b">
        <f t="shared" si="138"/>
        <v>0</v>
      </c>
      <c r="Y630" s="32" t="str">
        <f t="shared" si="139"/>
        <v>GROWTH</v>
      </c>
      <c r="Z630" s="41">
        <v>0</v>
      </c>
      <c r="AA630" s="36"/>
      <c r="AB630" s="36" t="s">
        <v>24</v>
      </c>
      <c r="AC630" s="36" t="s">
        <v>848</v>
      </c>
      <c r="AD630" s="34"/>
      <c r="AE630" s="35">
        <f>IFERROR(INDEX([1]Last6M_AvgSales_Ref!$B$2:$B$12659,MATCH(D630,[1]Last6M_AvgSales_Ref!$A$2:$A$12659,0)),"")</f>
        <v>15.9166666666667</v>
      </c>
    </row>
    <row r="631" spans="1:31" ht="14.25" customHeight="1" x14ac:dyDescent="0.3">
      <c r="A631" s="36" t="s">
        <v>848</v>
      </c>
      <c r="B631" s="38" t="s">
        <v>1257</v>
      </c>
      <c r="C631" s="38" t="s">
        <v>1304</v>
      </c>
      <c r="D631" s="38">
        <v>1000002405</v>
      </c>
      <c r="E631" s="39" t="s">
        <v>1305</v>
      </c>
      <c r="F631" s="40">
        <v>44565</v>
      </c>
      <c r="G631" s="22" t="str">
        <f t="shared" si="126"/>
        <v>Targeted Dealer</v>
      </c>
      <c r="H631" s="22"/>
      <c r="I631" s="23">
        <v>80</v>
      </c>
      <c r="J631" s="23">
        <f t="shared" si="127"/>
        <v>80</v>
      </c>
      <c r="K631" s="24">
        <v>51.5</v>
      </c>
      <c r="L631" s="24">
        <f t="shared" si="128"/>
        <v>28.5</v>
      </c>
      <c r="M631" s="24">
        <f t="shared" si="129"/>
        <v>64.375</v>
      </c>
      <c r="N631" s="25">
        <v>13</v>
      </c>
      <c r="O631" s="26" t="str">
        <f t="shared" si="130"/>
        <v>June</v>
      </c>
      <c r="P631" s="25">
        <f t="shared" si="131"/>
        <v>13</v>
      </c>
      <c r="Q631" s="27">
        <f t="shared" si="132"/>
        <v>38.5</v>
      </c>
      <c r="R631" s="26" t="b">
        <f t="shared" si="133"/>
        <v>0</v>
      </c>
      <c r="S631" s="28" t="str">
        <f t="shared" si="134"/>
        <v>GROWTH</v>
      </c>
      <c r="T631" s="24">
        <v>52</v>
      </c>
      <c r="U631" s="29" t="str">
        <f t="shared" si="135"/>
        <v>May</v>
      </c>
      <c r="V631" s="24">
        <f t="shared" si="136"/>
        <v>52</v>
      </c>
      <c r="W631" s="30">
        <f t="shared" si="137"/>
        <v>-0.5</v>
      </c>
      <c r="X631" s="31" t="b">
        <f t="shared" si="138"/>
        <v>0</v>
      </c>
      <c r="Y631" s="32" t="str">
        <f t="shared" si="139"/>
        <v>GROWTH</v>
      </c>
      <c r="Z631" s="41">
        <v>0</v>
      </c>
      <c r="AA631" s="36"/>
      <c r="AB631" s="36" t="s">
        <v>24</v>
      </c>
      <c r="AC631" s="36" t="s">
        <v>848</v>
      </c>
      <c r="AD631" s="34"/>
      <c r="AE631" s="35">
        <f>IFERROR(INDEX([1]Last6M_AvgSales_Ref!$B$2:$B$12659,MATCH(D631,[1]Last6M_AvgSales_Ref!$A$2:$A$12659,0)),"")</f>
        <v>43</v>
      </c>
    </row>
    <row r="632" spans="1:31" ht="14.25" customHeight="1" x14ac:dyDescent="0.3">
      <c r="A632" s="36" t="s">
        <v>848</v>
      </c>
      <c r="B632" s="38" t="s">
        <v>1257</v>
      </c>
      <c r="C632" s="38" t="s">
        <v>1306</v>
      </c>
      <c r="D632" s="38">
        <v>1000002607</v>
      </c>
      <c r="E632" s="39" t="s">
        <v>1307</v>
      </c>
      <c r="F632" s="40">
        <v>44614</v>
      </c>
      <c r="G632" s="22" t="str">
        <f t="shared" si="126"/>
        <v>Targeted Dealer</v>
      </c>
      <c r="H632" s="22"/>
      <c r="I632" s="23">
        <v>40</v>
      </c>
      <c r="J632" s="23">
        <f t="shared" si="127"/>
        <v>40</v>
      </c>
      <c r="K632" s="24">
        <v>13</v>
      </c>
      <c r="L632" s="24">
        <f t="shared" si="128"/>
        <v>27</v>
      </c>
      <c r="M632" s="24">
        <f t="shared" si="129"/>
        <v>32.5</v>
      </c>
      <c r="N632" s="25">
        <v>13</v>
      </c>
      <c r="O632" s="26" t="str">
        <f t="shared" si="130"/>
        <v>June</v>
      </c>
      <c r="P632" s="25">
        <f t="shared" si="131"/>
        <v>13</v>
      </c>
      <c r="Q632" s="27">
        <f t="shared" si="132"/>
        <v>0</v>
      </c>
      <c r="R632" s="26" t="b">
        <f t="shared" si="133"/>
        <v>0</v>
      </c>
      <c r="S632" s="28" t="str">
        <f t="shared" si="134"/>
        <v>GROWTH</v>
      </c>
      <c r="T632" s="24">
        <v>0</v>
      </c>
      <c r="U632" s="29" t="str">
        <f t="shared" si="135"/>
        <v>May</v>
      </c>
      <c r="V632" s="24">
        <f t="shared" si="136"/>
        <v>0</v>
      </c>
      <c r="W632" s="30">
        <f t="shared" si="137"/>
        <v>13</v>
      </c>
      <c r="X632" s="31" t="b">
        <f t="shared" si="138"/>
        <v>0</v>
      </c>
      <c r="Y632" s="32" t="b">
        <f t="shared" si="139"/>
        <v>0</v>
      </c>
      <c r="Z632" s="41">
        <v>0</v>
      </c>
      <c r="AA632" s="36"/>
      <c r="AB632" s="36" t="s">
        <v>24</v>
      </c>
      <c r="AC632" s="36" t="s">
        <v>848</v>
      </c>
      <c r="AD632" s="34"/>
      <c r="AE632" s="35">
        <f>IFERROR(INDEX([1]Last6M_AvgSales_Ref!$B$2:$B$12659,MATCH(D632,[1]Last6M_AvgSales_Ref!$A$2:$A$12659,0)),"")</f>
        <v>21.5833333333333</v>
      </c>
    </row>
    <row r="633" spans="1:31" ht="14.25" customHeight="1" x14ac:dyDescent="0.3">
      <c r="A633" s="36" t="s">
        <v>848</v>
      </c>
      <c r="B633" s="38" t="s">
        <v>1257</v>
      </c>
      <c r="C633" s="38" t="s">
        <v>1308</v>
      </c>
      <c r="D633" s="38">
        <v>1000002723</v>
      </c>
      <c r="E633" s="38" t="s">
        <v>1309</v>
      </c>
      <c r="F633" s="40">
        <v>44664</v>
      </c>
      <c r="G633" s="22" t="str">
        <f t="shared" si="126"/>
        <v>Targeted Dealer</v>
      </c>
      <c r="H633" s="22"/>
      <c r="I633" s="23">
        <v>464</v>
      </c>
      <c r="J633" s="23">
        <f t="shared" si="127"/>
        <v>464</v>
      </c>
      <c r="K633" s="24">
        <v>273</v>
      </c>
      <c r="L633" s="24">
        <f t="shared" si="128"/>
        <v>191</v>
      </c>
      <c r="M633" s="24">
        <f t="shared" si="129"/>
        <v>58.83620689655173</v>
      </c>
      <c r="N633" s="25">
        <v>195</v>
      </c>
      <c r="O633" s="26" t="str">
        <f t="shared" si="130"/>
        <v>June</v>
      </c>
      <c r="P633" s="25">
        <f t="shared" si="131"/>
        <v>195</v>
      </c>
      <c r="Q633" s="27">
        <f t="shared" si="132"/>
        <v>78</v>
      </c>
      <c r="R633" s="26" t="b">
        <f t="shared" si="133"/>
        <v>0</v>
      </c>
      <c r="S633" s="28" t="str">
        <f t="shared" si="134"/>
        <v>GROWTH</v>
      </c>
      <c r="T633" s="24">
        <v>221</v>
      </c>
      <c r="U633" s="29" t="str">
        <f t="shared" si="135"/>
        <v>May</v>
      </c>
      <c r="V633" s="24">
        <f t="shared" si="136"/>
        <v>221</v>
      </c>
      <c r="W633" s="30">
        <f t="shared" si="137"/>
        <v>52</v>
      </c>
      <c r="X633" s="31" t="b">
        <f t="shared" si="138"/>
        <v>0</v>
      </c>
      <c r="Y633" s="32" t="str">
        <f t="shared" si="139"/>
        <v>GROWTH</v>
      </c>
      <c r="Z633" s="41">
        <v>0</v>
      </c>
      <c r="AA633" s="36"/>
      <c r="AB633" s="36" t="s">
        <v>24</v>
      </c>
      <c r="AC633" s="36" t="s">
        <v>848</v>
      </c>
      <c r="AD633" s="34"/>
      <c r="AE633" s="35">
        <f>IFERROR(INDEX([1]Last6M_AvgSales_Ref!$B$2:$B$12659,MATCH(D633,[1]Last6M_AvgSales_Ref!$A$2:$A$12659,0)),"")</f>
        <v>241.666666666667</v>
      </c>
    </row>
    <row r="634" spans="1:31" ht="14.25" customHeight="1" x14ac:dyDescent="0.3">
      <c r="A634" s="36" t="s">
        <v>848</v>
      </c>
      <c r="B634" s="38" t="s">
        <v>1257</v>
      </c>
      <c r="C634" s="38" t="s">
        <v>1310</v>
      </c>
      <c r="D634" s="38">
        <v>1000003189</v>
      </c>
      <c r="E634" s="38" t="s">
        <v>1311</v>
      </c>
      <c r="F634" s="40">
        <v>44923</v>
      </c>
      <c r="G634" s="22" t="str">
        <f t="shared" si="126"/>
        <v>Targeted Dealer</v>
      </c>
      <c r="H634" s="22"/>
      <c r="I634" s="23">
        <v>130</v>
      </c>
      <c r="J634" s="23">
        <f t="shared" si="127"/>
        <v>130</v>
      </c>
      <c r="K634" s="24">
        <v>127.5</v>
      </c>
      <c r="L634" s="24">
        <f t="shared" si="128"/>
        <v>2.5</v>
      </c>
      <c r="M634" s="24">
        <f t="shared" si="129"/>
        <v>98.07692307692308</v>
      </c>
      <c r="N634" s="25">
        <v>88</v>
      </c>
      <c r="O634" s="26" t="str">
        <f t="shared" si="130"/>
        <v>June</v>
      </c>
      <c r="P634" s="25">
        <f t="shared" si="131"/>
        <v>88</v>
      </c>
      <c r="Q634" s="27">
        <f t="shared" si="132"/>
        <v>39.5</v>
      </c>
      <c r="R634" s="26" t="b">
        <f t="shared" si="133"/>
        <v>0</v>
      </c>
      <c r="S634" s="28" t="str">
        <f t="shared" si="134"/>
        <v>GROWTH</v>
      </c>
      <c r="T634" s="24">
        <v>60.5</v>
      </c>
      <c r="U634" s="29" t="str">
        <f t="shared" si="135"/>
        <v>May</v>
      </c>
      <c r="V634" s="24">
        <f t="shared" si="136"/>
        <v>60.5</v>
      </c>
      <c r="W634" s="30">
        <f t="shared" si="137"/>
        <v>67</v>
      </c>
      <c r="X634" s="31" t="b">
        <f t="shared" si="138"/>
        <v>0</v>
      </c>
      <c r="Y634" s="32" t="str">
        <f t="shared" si="139"/>
        <v>GROWTH</v>
      </c>
      <c r="Z634" s="41">
        <v>0</v>
      </c>
      <c r="AA634" s="36"/>
      <c r="AB634" s="36" t="s">
        <v>24</v>
      </c>
      <c r="AC634" s="36" t="s">
        <v>848</v>
      </c>
      <c r="AD634" s="34"/>
      <c r="AE634" s="35">
        <f>IFERROR(INDEX([1]Last6M_AvgSales_Ref!$B$2:$B$12659,MATCH(D634,[1]Last6M_AvgSales_Ref!$A$2:$A$12659,0)),"")</f>
        <v>69</v>
      </c>
    </row>
    <row r="635" spans="1:31" ht="14.25" customHeight="1" x14ac:dyDescent="0.3">
      <c r="A635" s="36" t="s">
        <v>848</v>
      </c>
      <c r="B635" s="38" t="s">
        <v>1257</v>
      </c>
      <c r="C635" s="38" t="s">
        <v>1312</v>
      </c>
      <c r="D635" s="38">
        <v>1000003304</v>
      </c>
      <c r="E635" s="38" t="s">
        <v>971</v>
      </c>
      <c r="F635" s="40">
        <v>44957</v>
      </c>
      <c r="G635" s="22" t="str">
        <f t="shared" si="126"/>
        <v>Targeted Dealer</v>
      </c>
      <c r="H635" s="22"/>
      <c r="I635" s="23">
        <v>78</v>
      </c>
      <c r="J635" s="23">
        <f t="shared" si="127"/>
        <v>78</v>
      </c>
      <c r="K635" s="24">
        <v>25.5</v>
      </c>
      <c r="L635" s="24">
        <f t="shared" si="128"/>
        <v>52.5</v>
      </c>
      <c r="M635" s="24">
        <f t="shared" si="129"/>
        <v>32.692307692307693</v>
      </c>
      <c r="N635" s="25">
        <v>0</v>
      </c>
      <c r="O635" s="26" t="str">
        <f t="shared" si="130"/>
        <v>June</v>
      </c>
      <c r="P635" s="25">
        <f t="shared" si="131"/>
        <v>0</v>
      </c>
      <c r="Q635" s="27">
        <f t="shared" si="132"/>
        <v>25.5</v>
      </c>
      <c r="R635" s="26" t="b">
        <f t="shared" si="133"/>
        <v>0</v>
      </c>
      <c r="S635" s="28" t="b">
        <f t="shared" si="134"/>
        <v>0</v>
      </c>
      <c r="T635" s="24">
        <v>39</v>
      </c>
      <c r="U635" s="29" t="str">
        <f t="shared" si="135"/>
        <v>May</v>
      </c>
      <c r="V635" s="24">
        <f t="shared" si="136"/>
        <v>39</v>
      </c>
      <c r="W635" s="30">
        <f t="shared" si="137"/>
        <v>-13.5</v>
      </c>
      <c r="X635" s="31" t="b">
        <f t="shared" si="138"/>
        <v>0</v>
      </c>
      <c r="Y635" s="32" t="str">
        <f t="shared" si="139"/>
        <v>GROWTH</v>
      </c>
      <c r="Z635" s="41">
        <v>0</v>
      </c>
      <c r="AA635" s="36"/>
      <c r="AB635" s="36" t="s">
        <v>24</v>
      </c>
      <c r="AC635" s="36" t="s">
        <v>848</v>
      </c>
      <c r="AD635" s="34"/>
      <c r="AE635" s="35">
        <f>IFERROR(INDEX([1]Last6M_AvgSales_Ref!$B$2:$B$12659,MATCH(D635,[1]Last6M_AvgSales_Ref!$A$2:$A$12659,0)),"")</f>
        <v>34</v>
      </c>
    </row>
    <row r="636" spans="1:31" ht="14.25" customHeight="1" x14ac:dyDescent="0.3">
      <c r="A636" s="36" t="s">
        <v>848</v>
      </c>
      <c r="B636" s="38" t="s">
        <v>1257</v>
      </c>
      <c r="C636" s="38" t="s">
        <v>1313</v>
      </c>
      <c r="D636" s="38">
        <v>1000003385</v>
      </c>
      <c r="E636" s="38" t="s">
        <v>1314</v>
      </c>
      <c r="F636" s="40">
        <v>44983</v>
      </c>
      <c r="G636" s="22" t="str">
        <f t="shared" si="126"/>
        <v>-</v>
      </c>
      <c r="H636" s="22"/>
      <c r="I636" s="23">
        <v>0</v>
      </c>
      <c r="J636" s="23">
        <f t="shared" si="127"/>
        <v>0</v>
      </c>
      <c r="K636" s="24">
        <v>0</v>
      </c>
      <c r="L636" s="24">
        <f t="shared" si="128"/>
        <v>0</v>
      </c>
      <c r="M636" s="24" t="str">
        <f t="shared" si="129"/>
        <v>-</v>
      </c>
      <c r="N636" s="25">
        <v>0</v>
      </c>
      <c r="O636" s="26" t="str">
        <f t="shared" si="130"/>
        <v>June</v>
      </c>
      <c r="P636" s="25">
        <f t="shared" si="131"/>
        <v>0</v>
      </c>
      <c r="Q636" s="27">
        <f t="shared" si="132"/>
        <v>0</v>
      </c>
      <c r="R636" s="26" t="b">
        <f t="shared" si="133"/>
        <v>0</v>
      </c>
      <c r="S636" s="28" t="b">
        <f t="shared" si="134"/>
        <v>0</v>
      </c>
      <c r="T636" s="24">
        <v>169</v>
      </c>
      <c r="U636" s="29" t="str">
        <f t="shared" si="135"/>
        <v>May</v>
      </c>
      <c r="V636" s="24">
        <f t="shared" si="136"/>
        <v>169</v>
      </c>
      <c r="W636" s="30">
        <f t="shared" si="137"/>
        <v>-169</v>
      </c>
      <c r="X636" s="31" t="b">
        <f t="shared" si="138"/>
        <v>0</v>
      </c>
      <c r="Y636" s="32" t="str">
        <f t="shared" si="139"/>
        <v>GROWTH</v>
      </c>
      <c r="Z636" s="41">
        <v>0</v>
      </c>
      <c r="AA636" s="36"/>
      <c r="AB636" s="36" t="s">
        <v>24</v>
      </c>
      <c r="AC636" s="36" t="s">
        <v>848</v>
      </c>
      <c r="AD636" s="34"/>
      <c r="AE636" s="35">
        <f>IFERROR(INDEX([1]Last6M_AvgSales_Ref!$B$2:$B$12659,MATCH(D636,[1]Last6M_AvgSales_Ref!$A$2:$A$12659,0)),"")</f>
        <v>107.75</v>
      </c>
    </row>
    <row r="637" spans="1:31" ht="14.25" customHeight="1" x14ac:dyDescent="0.3">
      <c r="A637" s="36" t="s">
        <v>848</v>
      </c>
      <c r="B637" s="38" t="s">
        <v>1257</v>
      </c>
      <c r="C637" s="38" t="s">
        <v>1315</v>
      </c>
      <c r="D637" s="38">
        <v>1000003429</v>
      </c>
      <c r="E637" s="38" t="s">
        <v>1316</v>
      </c>
      <c r="F637" s="40">
        <v>45001</v>
      </c>
      <c r="G637" s="22" t="str">
        <f t="shared" si="126"/>
        <v>Targeted Dealer</v>
      </c>
      <c r="H637" s="22"/>
      <c r="I637" s="23">
        <v>40</v>
      </c>
      <c r="J637" s="23">
        <f t="shared" si="127"/>
        <v>40</v>
      </c>
      <c r="K637" s="24">
        <v>13</v>
      </c>
      <c r="L637" s="24">
        <f t="shared" si="128"/>
        <v>27</v>
      </c>
      <c r="M637" s="24">
        <f t="shared" si="129"/>
        <v>32.5</v>
      </c>
      <c r="N637" s="25">
        <v>13</v>
      </c>
      <c r="O637" s="26" t="str">
        <f t="shared" si="130"/>
        <v>June</v>
      </c>
      <c r="P637" s="25">
        <f t="shared" si="131"/>
        <v>13</v>
      </c>
      <c r="Q637" s="27">
        <f t="shared" si="132"/>
        <v>0</v>
      </c>
      <c r="R637" s="26" t="b">
        <f t="shared" si="133"/>
        <v>0</v>
      </c>
      <c r="S637" s="28" t="str">
        <f t="shared" si="134"/>
        <v>GROWTH</v>
      </c>
      <c r="T637" s="24">
        <v>39</v>
      </c>
      <c r="U637" s="29" t="str">
        <f t="shared" si="135"/>
        <v>May</v>
      </c>
      <c r="V637" s="24">
        <f t="shared" si="136"/>
        <v>39</v>
      </c>
      <c r="W637" s="30">
        <f t="shared" si="137"/>
        <v>-26</v>
      </c>
      <c r="X637" s="31" t="b">
        <f t="shared" si="138"/>
        <v>0</v>
      </c>
      <c r="Y637" s="32" t="str">
        <f t="shared" si="139"/>
        <v>GROWTH</v>
      </c>
      <c r="Z637" s="41">
        <v>0</v>
      </c>
      <c r="AA637" s="36"/>
      <c r="AB637" s="36" t="s">
        <v>24</v>
      </c>
      <c r="AC637" s="36" t="s">
        <v>848</v>
      </c>
      <c r="AD637" s="34"/>
      <c r="AE637" s="35">
        <f>IFERROR(INDEX([1]Last6M_AvgSales_Ref!$B$2:$B$12659,MATCH(D637,[1]Last6M_AvgSales_Ref!$A$2:$A$12659,0)),"")</f>
        <v>10.8333333333333</v>
      </c>
    </row>
    <row r="638" spans="1:31" ht="14.25" customHeight="1" x14ac:dyDescent="0.3">
      <c r="A638" s="36" t="s">
        <v>848</v>
      </c>
      <c r="B638" s="38" t="s">
        <v>1257</v>
      </c>
      <c r="C638" s="38" t="s">
        <v>1317</v>
      </c>
      <c r="D638" s="38">
        <v>1000003443</v>
      </c>
      <c r="E638" s="38" t="s">
        <v>1318</v>
      </c>
      <c r="F638" s="40">
        <v>45008</v>
      </c>
      <c r="G638" s="22" t="str">
        <f t="shared" si="126"/>
        <v>Targeted Dealer</v>
      </c>
      <c r="H638" s="22"/>
      <c r="I638" s="23">
        <v>130</v>
      </c>
      <c r="J638" s="23">
        <f t="shared" si="127"/>
        <v>130</v>
      </c>
      <c r="K638" s="24">
        <v>82.5</v>
      </c>
      <c r="L638" s="24">
        <f t="shared" si="128"/>
        <v>47.5</v>
      </c>
      <c r="M638" s="24">
        <f t="shared" si="129"/>
        <v>63.46153846153846</v>
      </c>
      <c r="N638" s="25">
        <v>101.5</v>
      </c>
      <c r="O638" s="26" t="str">
        <f t="shared" si="130"/>
        <v>June</v>
      </c>
      <c r="P638" s="25">
        <f t="shared" si="131"/>
        <v>101.5</v>
      </c>
      <c r="Q638" s="27">
        <f t="shared" si="132"/>
        <v>-19</v>
      </c>
      <c r="R638" s="26" t="b">
        <f t="shared" si="133"/>
        <v>0</v>
      </c>
      <c r="S638" s="28" t="str">
        <f t="shared" si="134"/>
        <v>GROWTH</v>
      </c>
      <c r="T638" s="24">
        <v>65</v>
      </c>
      <c r="U638" s="29" t="str">
        <f t="shared" si="135"/>
        <v>May</v>
      </c>
      <c r="V638" s="24">
        <f t="shared" si="136"/>
        <v>65</v>
      </c>
      <c r="W638" s="30">
        <f t="shared" si="137"/>
        <v>17.5</v>
      </c>
      <c r="X638" s="31" t="b">
        <f t="shared" si="138"/>
        <v>0</v>
      </c>
      <c r="Y638" s="32" t="str">
        <f t="shared" si="139"/>
        <v>GROWTH</v>
      </c>
      <c r="Z638" s="41">
        <v>0</v>
      </c>
      <c r="AA638" s="36"/>
      <c r="AB638" s="36" t="s">
        <v>24</v>
      </c>
      <c r="AC638" s="36" t="s">
        <v>848</v>
      </c>
      <c r="AD638" s="34"/>
      <c r="AE638" s="35">
        <f>IFERROR(INDEX([1]Last6M_AvgSales_Ref!$B$2:$B$12659,MATCH(D638,[1]Last6M_AvgSales_Ref!$A$2:$A$12659,0)),"")</f>
        <v>111.416666666667</v>
      </c>
    </row>
    <row r="639" spans="1:31" ht="14.25" customHeight="1" x14ac:dyDescent="0.3">
      <c r="A639" s="36" t="s">
        <v>848</v>
      </c>
      <c r="B639" s="38" t="s">
        <v>1257</v>
      </c>
      <c r="C639" s="38" t="s">
        <v>1319</v>
      </c>
      <c r="D639" s="38">
        <v>1000003745</v>
      </c>
      <c r="E639" s="38" t="s">
        <v>1320</v>
      </c>
      <c r="F639" s="40">
        <v>45234</v>
      </c>
      <c r="G639" s="22" t="str">
        <f t="shared" si="126"/>
        <v>Targeted Dealer</v>
      </c>
      <c r="H639" s="22"/>
      <c r="I639" s="23">
        <v>340</v>
      </c>
      <c r="J639" s="23">
        <f t="shared" si="127"/>
        <v>340</v>
      </c>
      <c r="K639" s="24">
        <v>169</v>
      </c>
      <c r="L639" s="24">
        <f t="shared" si="128"/>
        <v>171</v>
      </c>
      <c r="M639" s="24">
        <f t="shared" si="129"/>
        <v>49.705882352941181</v>
      </c>
      <c r="N639" s="25">
        <v>117</v>
      </c>
      <c r="O639" s="26" t="str">
        <f t="shared" si="130"/>
        <v>June</v>
      </c>
      <c r="P639" s="25">
        <f t="shared" si="131"/>
        <v>117</v>
      </c>
      <c r="Q639" s="27">
        <f t="shared" si="132"/>
        <v>52</v>
      </c>
      <c r="R639" s="26" t="b">
        <f t="shared" si="133"/>
        <v>0</v>
      </c>
      <c r="S639" s="28" t="str">
        <f t="shared" si="134"/>
        <v>GROWTH</v>
      </c>
      <c r="T639" s="24">
        <v>168</v>
      </c>
      <c r="U639" s="29" t="str">
        <f t="shared" si="135"/>
        <v>May</v>
      </c>
      <c r="V639" s="24">
        <f t="shared" si="136"/>
        <v>168</v>
      </c>
      <c r="W639" s="30">
        <f t="shared" si="137"/>
        <v>1</v>
      </c>
      <c r="X639" s="31" t="b">
        <f t="shared" si="138"/>
        <v>0</v>
      </c>
      <c r="Y639" s="32" t="str">
        <f t="shared" si="139"/>
        <v>GROWTH</v>
      </c>
      <c r="Z639" s="41">
        <v>0</v>
      </c>
      <c r="AA639" s="36"/>
      <c r="AB639" s="36" t="s">
        <v>24</v>
      </c>
      <c r="AC639" s="36" t="s">
        <v>848</v>
      </c>
      <c r="AD639" s="34"/>
      <c r="AE639" s="35">
        <f>IFERROR(INDEX([1]Last6M_AvgSales_Ref!$B$2:$B$12659,MATCH(D639,[1]Last6M_AvgSales_Ref!$A$2:$A$12659,0)),"")</f>
        <v>177.416666666667</v>
      </c>
    </row>
    <row r="640" spans="1:31" ht="14.25" customHeight="1" x14ac:dyDescent="0.3">
      <c r="A640" s="41" t="s">
        <v>848</v>
      </c>
      <c r="B640" s="44" t="s">
        <v>1257</v>
      </c>
      <c r="C640" s="44" t="s">
        <v>1321</v>
      </c>
      <c r="D640" s="44">
        <v>1000003842</v>
      </c>
      <c r="E640" s="44" t="s">
        <v>1322</v>
      </c>
      <c r="F640" s="45">
        <v>45322</v>
      </c>
      <c r="G640" s="22" t="str">
        <f t="shared" si="126"/>
        <v>Targeted Dealer</v>
      </c>
      <c r="H640" s="22"/>
      <c r="I640" s="23">
        <v>300</v>
      </c>
      <c r="J640" s="23">
        <f t="shared" si="127"/>
        <v>300</v>
      </c>
      <c r="K640" s="24">
        <v>203</v>
      </c>
      <c r="L640" s="24">
        <f t="shared" si="128"/>
        <v>97</v>
      </c>
      <c r="M640" s="24">
        <f t="shared" si="129"/>
        <v>67.666666666666671</v>
      </c>
      <c r="N640" s="25">
        <v>149</v>
      </c>
      <c r="O640" s="26" t="str">
        <f t="shared" si="130"/>
        <v>June</v>
      </c>
      <c r="P640" s="25">
        <f t="shared" si="131"/>
        <v>149</v>
      </c>
      <c r="Q640" s="27">
        <f t="shared" si="132"/>
        <v>54</v>
      </c>
      <c r="R640" s="26" t="b">
        <f t="shared" si="133"/>
        <v>0</v>
      </c>
      <c r="S640" s="28" t="str">
        <f t="shared" si="134"/>
        <v>GROWTH</v>
      </c>
      <c r="T640" s="24">
        <v>186</v>
      </c>
      <c r="U640" s="29" t="str">
        <f t="shared" si="135"/>
        <v>May</v>
      </c>
      <c r="V640" s="24">
        <f t="shared" si="136"/>
        <v>186</v>
      </c>
      <c r="W640" s="30">
        <f t="shared" si="137"/>
        <v>17</v>
      </c>
      <c r="X640" s="31" t="b">
        <f t="shared" si="138"/>
        <v>0</v>
      </c>
      <c r="Y640" s="32" t="str">
        <f t="shared" si="139"/>
        <v>GROWTH</v>
      </c>
      <c r="Z640" s="41">
        <v>0</v>
      </c>
      <c r="AA640" s="36"/>
      <c r="AB640" s="36" t="s">
        <v>24</v>
      </c>
      <c r="AC640" s="41" t="s">
        <v>848</v>
      </c>
      <c r="AD640" s="34"/>
      <c r="AE640" s="35">
        <f>IFERROR(INDEX([1]Last6M_AvgSales_Ref!$B$2:$B$12659,MATCH(D640,[1]Last6M_AvgSales_Ref!$A$2:$A$12659,0)),"")</f>
        <v>186.816666666667</v>
      </c>
    </row>
    <row r="641" spans="1:31" ht="14.25" customHeight="1" x14ac:dyDescent="0.3">
      <c r="A641" s="41" t="s">
        <v>848</v>
      </c>
      <c r="B641" s="44" t="s">
        <v>1257</v>
      </c>
      <c r="C641" s="44" t="s">
        <v>1323</v>
      </c>
      <c r="D641" s="44">
        <v>1000003843</v>
      </c>
      <c r="E641" s="44" t="s">
        <v>1324</v>
      </c>
      <c r="F641" s="45">
        <v>45322</v>
      </c>
      <c r="G641" s="22" t="str">
        <f t="shared" si="126"/>
        <v>Targeted Dealer</v>
      </c>
      <c r="H641" s="22"/>
      <c r="I641" s="23">
        <v>800</v>
      </c>
      <c r="J641" s="23">
        <f t="shared" si="127"/>
        <v>800</v>
      </c>
      <c r="K641" s="24">
        <v>813</v>
      </c>
      <c r="L641" s="24">
        <f t="shared" si="128"/>
        <v>-13</v>
      </c>
      <c r="M641" s="24">
        <f t="shared" si="129"/>
        <v>101.625</v>
      </c>
      <c r="N641" s="25">
        <v>494</v>
      </c>
      <c r="O641" s="26" t="str">
        <f t="shared" si="130"/>
        <v>June</v>
      </c>
      <c r="P641" s="25">
        <f t="shared" si="131"/>
        <v>494</v>
      </c>
      <c r="Q641" s="27">
        <f t="shared" si="132"/>
        <v>319</v>
      </c>
      <c r="R641" s="26" t="b">
        <f t="shared" si="133"/>
        <v>0</v>
      </c>
      <c r="S641" s="28" t="str">
        <f t="shared" si="134"/>
        <v>GROWTH</v>
      </c>
      <c r="T641" s="24">
        <v>397</v>
      </c>
      <c r="U641" s="29" t="str">
        <f t="shared" si="135"/>
        <v>May</v>
      </c>
      <c r="V641" s="24">
        <f t="shared" si="136"/>
        <v>397</v>
      </c>
      <c r="W641" s="30">
        <f t="shared" si="137"/>
        <v>416</v>
      </c>
      <c r="X641" s="31" t="b">
        <f t="shared" si="138"/>
        <v>0</v>
      </c>
      <c r="Y641" s="32" t="str">
        <f t="shared" si="139"/>
        <v>GROWTH</v>
      </c>
      <c r="Z641" s="41">
        <v>0</v>
      </c>
      <c r="AA641" s="36"/>
      <c r="AB641" s="36" t="s">
        <v>24</v>
      </c>
      <c r="AC641" s="41" t="s">
        <v>848</v>
      </c>
      <c r="AD641" s="34"/>
      <c r="AE641" s="35">
        <f>IFERROR(INDEX([1]Last6M_AvgSales_Ref!$B$2:$B$12659,MATCH(D641,[1]Last6M_AvgSales_Ref!$A$2:$A$12659,0)),"")</f>
        <v>537.97500000000002</v>
      </c>
    </row>
    <row r="642" spans="1:31" ht="14.25" customHeight="1" x14ac:dyDescent="0.3">
      <c r="A642" s="41" t="s">
        <v>848</v>
      </c>
      <c r="B642" s="44" t="s">
        <v>1257</v>
      </c>
      <c r="C642" s="44" t="s">
        <v>1325</v>
      </c>
      <c r="D642" s="44">
        <v>1000003896</v>
      </c>
      <c r="E642" s="44" t="s">
        <v>1326</v>
      </c>
      <c r="F642" s="40">
        <v>45379</v>
      </c>
      <c r="G642" s="22" t="str">
        <f t="shared" si="126"/>
        <v>Targeted Dealer</v>
      </c>
      <c r="H642" s="22"/>
      <c r="I642" s="23">
        <v>90</v>
      </c>
      <c r="J642" s="23">
        <f t="shared" si="127"/>
        <v>90</v>
      </c>
      <c r="K642" s="24">
        <v>45</v>
      </c>
      <c r="L642" s="24">
        <f t="shared" si="128"/>
        <v>45</v>
      </c>
      <c r="M642" s="24">
        <f t="shared" si="129"/>
        <v>50</v>
      </c>
      <c r="N642" s="25">
        <v>50</v>
      </c>
      <c r="O642" s="26" t="str">
        <f t="shared" si="130"/>
        <v>June</v>
      </c>
      <c r="P642" s="25">
        <f t="shared" si="131"/>
        <v>50</v>
      </c>
      <c r="Q642" s="27">
        <f t="shared" si="132"/>
        <v>-5</v>
      </c>
      <c r="R642" s="26" t="b">
        <f t="shared" si="133"/>
        <v>0</v>
      </c>
      <c r="S642" s="28" t="str">
        <f t="shared" si="134"/>
        <v>GROWTH</v>
      </c>
      <c r="T642" s="24">
        <v>0</v>
      </c>
      <c r="U642" s="29" t="str">
        <f t="shared" si="135"/>
        <v>May</v>
      </c>
      <c r="V642" s="24">
        <f t="shared" si="136"/>
        <v>0</v>
      </c>
      <c r="W642" s="30">
        <f t="shared" si="137"/>
        <v>45</v>
      </c>
      <c r="X642" s="31" t="b">
        <f t="shared" si="138"/>
        <v>0</v>
      </c>
      <c r="Y642" s="32" t="b">
        <f t="shared" si="139"/>
        <v>0</v>
      </c>
      <c r="Z642" s="41">
        <v>0</v>
      </c>
      <c r="AA642" s="36"/>
      <c r="AB642" s="36" t="s">
        <v>24</v>
      </c>
      <c r="AC642" s="41" t="s">
        <v>848</v>
      </c>
      <c r="AD642" s="34"/>
      <c r="AE642" s="35">
        <f>IFERROR(INDEX([1]Last6M_AvgSales_Ref!$B$2:$B$12659,MATCH(D642,[1]Last6M_AvgSales_Ref!$A$2:$A$12659,0)),"")</f>
        <v>53.25</v>
      </c>
    </row>
    <row r="643" spans="1:31" ht="14.25" customHeight="1" x14ac:dyDescent="0.3">
      <c r="A643" s="41" t="s">
        <v>848</v>
      </c>
      <c r="B643" s="44" t="s">
        <v>1257</v>
      </c>
      <c r="C643" s="44" t="s">
        <v>1327</v>
      </c>
      <c r="D643" s="44">
        <v>1000004047</v>
      </c>
      <c r="E643" s="44" t="s">
        <v>1328</v>
      </c>
      <c r="F643" s="40">
        <v>45493</v>
      </c>
      <c r="G643" s="22" t="str">
        <f t="shared" ref="G643:G706" si="140">IF(I643&gt;0,"Targeted Dealer","-")</f>
        <v>Targeted Dealer</v>
      </c>
      <c r="H643" s="22"/>
      <c r="I643" s="23">
        <v>78</v>
      </c>
      <c r="J643" s="23">
        <f t="shared" ref="J643:J706" si="141">I643/$J$1*($J$1-$E$1)</f>
        <v>78</v>
      </c>
      <c r="K643" s="24">
        <v>38.5</v>
      </c>
      <c r="L643" s="24">
        <f t="shared" ref="L643:L706" si="142">I643-K643</f>
        <v>39.5</v>
      </c>
      <c r="M643" s="24">
        <f t="shared" ref="M643:M706" si="143">IFERROR((K643/J643%),"-")</f>
        <v>49.358974358974358</v>
      </c>
      <c r="N643" s="25">
        <v>13</v>
      </c>
      <c r="O643" s="26" t="str">
        <f t="shared" ref="O643:O706" si="144">IF(F643&lt;=$P$2,"June","")</f>
        <v>June</v>
      </c>
      <c r="P643" s="25">
        <f t="shared" ref="P643:P706" si="145">N643</f>
        <v>13</v>
      </c>
      <c r="Q643" s="27">
        <f t="shared" ref="Q643:Q706" si="146">K643-P643</f>
        <v>25.5</v>
      </c>
      <c r="R643" s="26" t="b">
        <f t="shared" ref="R643:R706" si="147">IFERROR(IF(O643="May",(K643/P643-1))," ")</f>
        <v>0</v>
      </c>
      <c r="S643" s="28" t="str">
        <f t="shared" ref="S643:S706" si="148">IF(N643&gt;0,IF(O643="","-",IF(R643&lt;0%,"DEGROWTH","GROWTH")))</f>
        <v>GROWTH</v>
      </c>
      <c r="T643" s="24">
        <v>38.5</v>
      </c>
      <c r="U643" s="29" t="str">
        <f t="shared" ref="U643:U706" si="149">IF(F643&lt;=$V$2,"May","")</f>
        <v>May</v>
      </c>
      <c r="V643" s="24">
        <f t="shared" ref="V643:V706" si="150">T643</f>
        <v>38.5</v>
      </c>
      <c r="W643" s="30">
        <f t="shared" ref="W643:W706" si="151">K643-V643</f>
        <v>0</v>
      </c>
      <c r="X643" s="31" t="b">
        <f t="shared" ref="X643:X706" si="152">IFERROR(IF(U643="June",(K643/V643-1)),0)</f>
        <v>0</v>
      </c>
      <c r="Y643" s="32" t="str">
        <f t="shared" ref="Y643:Y706" si="153">IF(T643&gt;0,IF(U643="","-",IF(X643&lt;0%,"DEGROWTH","GROWTH")))</f>
        <v>GROWTH</v>
      </c>
      <c r="Z643" s="41">
        <v>0</v>
      </c>
      <c r="AA643" s="36"/>
      <c r="AB643" s="36" t="s">
        <v>24</v>
      </c>
      <c r="AC643" s="41" t="s">
        <v>848</v>
      </c>
      <c r="AD643" s="34"/>
      <c r="AE643" s="35">
        <f>IFERROR(INDEX([1]Last6M_AvgSales_Ref!$B$2:$B$12659,MATCH(D643,[1]Last6M_AvgSales_Ref!$A$2:$A$12659,0)),"")</f>
        <v>29.25</v>
      </c>
    </row>
    <row r="644" spans="1:31" ht="14.25" customHeight="1" x14ac:dyDescent="0.3">
      <c r="A644" s="36" t="s">
        <v>848</v>
      </c>
      <c r="B644" s="38" t="s">
        <v>1329</v>
      </c>
      <c r="C644" s="38" t="s">
        <v>1330</v>
      </c>
      <c r="D644" s="38">
        <v>1000000043</v>
      </c>
      <c r="E644" s="39" t="s">
        <v>1331</v>
      </c>
      <c r="F644" s="40">
        <v>38383</v>
      </c>
      <c r="G644" s="22" t="str">
        <f t="shared" si="140"/>
        <v>Targeted Dealer</v>
      </c>
      <c r="H644" s="22"/>
      <c r="I644" s="23">
        <v>300</v>
      </c>
      <c r="J644" s="23">
        <f t="shared" si="141"/>
        <v>300</v>
      </c>
      <c r="K644" s="24">
        <v>150</v>
      </c>
      <c r="L644" s="24">
        <f t="shared" si="142"/>
        <v>150</v>
      </c>
      <c r="M644" s="24">
        <f t="shared" si="143"/>
        <v>50</v>
      </c>
      <c r="N644" s="25">
        <v>121</v>
      </c>
      <c r="O644" s="26" t="str">
        <f t="shared" si="144"/>
        <v>June</v>
      </c>
      <c r="P644" s="25">
        <f t="shared" si="145"/>
        <v>121</v>
      </c>
      <c r="Q644" s="27">
        <f t="shared" si="146"/>
        <v>29</v>
      </c>
      <c r="R644" s="26" t="b">
        <f t="shared" si="147"/>
        <v>0</v>
      </c>
      <c r="S644" s="28" t="str">
        <f t="shared" si="148"/>
        <v>GROWTH</v>
      </c>
      <c r="T644" s="24">
        <v>125</v>
      </c>
      <c r="U644" s="29" t="str">
        <f t="shared" si="149"/>
        <v>May</v>
      </c>
      <c r="V644" s="24">
        <f t="shared" si="150"/>
        <v>125</v>
      </c>
      <c r="W644" s="30">
        <f t="shared" si="151"/>
        <v>25</v>
      </c>
      <c r="X644" s="31" t="b">
        <f t="shared" si="152"/>
        <v>0</v>
      </c>
      <c r="Y644" s="32" t="str">
        <f t="shared" si="153"/>
        <v>GROWTH</v>
      </c>
      <c r="Z644" s="41">
        <v>0</v>
      </c>
      <c r="AA644" s="36"/>
      <c r="AB644" s="36" t="s">
        <v>24</v>
      </c>
      <c r="AC644" s="36" t="s">
        <v>848</v>
      </c>
      <c r="AD644" s="34"/>
      <c r="AE644" s="35">
        <f>IFERROR(INDEX([1]Last6M_AvgSales_Ref!$B$2:$B$12659,MATCH(D644,[1]Last6M_AvgSales_Ref!$A$2:$A$12659,0)),"")</f>
        <v>127.5</v>
      </c>
    </row>
    <row r="645" spans="1:31" ht="14.25" customHeight="1" x14ac:dyDescent="0.3">
      <c r="A645" s="36" t="s">
        <v>848</v>
      </c>
      <c r="B645" s="38" t="s">
        <v>1329</v>
      </c>
      <c r="C645" s="38" t="s">
        <v>1332</v>
      </c>
      <c r="D645" s="38">
        <v>1000000036</v>
      </c>
      <c r="E645" s="39" t="s">
        <v>1333</v>
      </c>
      <c r="F645" s="40">
        <v>39077</v>
      </c>
      <c r="G645" s="22" t="str">
        <f t="shared" si="140"/>
        <v>-</v>
      </c>
      <c r="H645" s="22"/>
      <c r="I645" s="23">
        <v>0</v>
      </c>
      <c r="J645" s="23">
        <f t="shared" si="141"/>
        <v>0</v>
      </c>
      <c r="K645" s="24">
        <v>0</v>
      </c>
      <c r="L645" s="24">
        <f t="shared" si="142"/>
        <v>0</v>
      </c>
      <c r="M645" s="24" t="str">
        <f t="shared" si="143"/>
        <v>-</v>
      </c>
      <c r="N645" s="25">
        <v>0</v>
      </c>
      <c r="O645" s="26" t="str">
        <f t="shared" si="144"/>
        <v>June</v>
      </c>
      <c r="P645" s="25">
        <f t="shared" si="145"/>
        <v>0</v>
      </c>
      <c r="Q645" s="27">
        <f t="shared" si="146"/>
        <v>0</v>
      </c>
      <c r="R645" s="26" t="b">
        <f t="shared" si="147"/>
        <v>0</v>
      </c>
      <c r="S645" s="28" t="b">
        <f t="shared" si="148"/>
        <v>0</v>
      </c>
      <c r="T645" s="24">
        <v>240</v>
      </c>
      <c r="U645" s="29" t="str">
        <f t="shared" si="149"/>
        <v>May</v>
      </c>
      <c r="V645" s="24">
        <f t="shared" si="150"/>
        <v>240</v>
      </c>
      <c r="W645" s="30">
        <f t="shared" si="151"/>
        <v>-240</v>
      </c>
      <c r="X645" s="31" t="b">
        <f t="shared" si="152"/>
        <v>0</v>
      </c>
      <c r="Y645" s="32" t="str">
        <f t="shared" si="153"/>
        <v>GROWTH</v>
      </c>
      <c r="Z645" s="41">
        <v>0</v>
      </c>
      <c r="AA645" s="36"/>
      <c r="AB645" s="36" t="s">
        <v>24</v>
      </c>
      <c r="AC645" s="36" t="s">
        <v>848</v>
      </c>
      <c r="AD645" s="34"/>
      <c r="AE645" s="35">
        <f>IFERROR(INDEX([1]Last6M_AvgSales_Ref!$B$2:$B$12659,MATCH(D645,[1]Last6M_AvgSales_Ref!$A$2:$A$12659,0)),"")</f>
        <v>358.33333333333297</v>
      </c>
    </row>
    <row r="646" spans="1:31" ht="14.25" customHeight="1" x14ac:dyDescent="0.3">
      <c r="A646" s="36" t="s">
        <v>848</v>
      </c>
      <c r="B646" s="38" t="s">
        <v>1329</v>
      </c>
      <c r="C646" s="38" t="s">
        <v>1334</v>
      </c>
      <c r="D646" s="38">
        <v>1000000040</v>
      </c>
      <c r="E646" s="39" t="s">
        <v>1335</v>
      </c>
      <c r="F646" s="40">
        <v>40505</v>
      </c>
      <c r="G646" s="22" t="str">
        <f t="shared" si="140"/>
        <v>Targeted Dealer</v>
      </c>
      <c r="H646" s="22"/>
      <c r="I646" s="23">
        <v>860</v>
      </c>
      <c r="J646" s="23">
        <f t="shared" si="141"/>
        <v>860</v>
      </c>
      <c r="K646" s="24">
        <v>273</v>
      </c>
      <c r="L646" s="24">
        <f t="shared" si="142"/>
        <v>587</v>
      </c>
      <c r="M646" s="24">
        <f t="shared" si="143"/>
        <v>31.744186046511629</v>
      </c>
      <c r="N646" s="25">
        <v>284.5</v>
      </c>
      <c r="O646" s="26" t="str">
        <f t="shared" si="144"/>
        <v>June</v>
      </c>
      <c r="P646" s="25">
        <f t="shared" si="145"/>
        <v>284.5</v>
      </c>
      <c r="Q646" s="27">
        <f t="shared" si="146"/>
        <v>-11.5</v>
      </c>
      <c r="R646" s="26" t="b">
        <f t="shared" si="147"/>
        <v>0</v>
      </c>
      <c r="S646" s="28" t="str">
        <f t="shared" si="148"/>
        <v>GROWTH</v>
      </c>
      <c r="T646" s="24">
        <v>392</v>
      </c>
      <c r="U646" s="29" t="str">
        <f t="shared" si="149"/>
        <v>May</v>
      </c>
      <c r="V646" s="24">
        <f t="shared" si="150"/>
        <v>392</v>
      </c>
      <c r="W646" s="30">
        <f t="shared" si="151"/>
        <v>-119</v>
      </c>
      <c r="X646" s="31" t="b">
        <f t="shared" si="152"/>
        <v>0</v>
      </c>
      <c r="Y646" s="32" t="str">
        <f t="shared" si="153"/>
        <v>GROWTH</v>
      </c>
      <c r="Z646" s="41">
        <v>0</v>
      </c>
      <c r="AA646" s="36"/>
      <c r="AB646" s="36" t="s">
        <v>24</v>
      </c>
      <c r="AC646" s="36" t="s">
        <v>848</v>
      </c>
      <c r="AD646" s="34"/>
      <c r="AE646" s="35">
        <f>IFERROR(INDEX([1]Last6M_AvgSales_Ref!$B$2:$B$12659,MATCH(D646,[1]Last6M_AvgSales_Ref!$A$2:$A$12659,0)),"")</f>
        <v>448.61666666666702</v>
      </c>
    </row>
    <row r="647" spans="1:31" ht="14.25" customHeight="1" x14ac:dyDescent="0.3">
      <c r="A647" s="36" t="s">
        <v>848</v>
      </c>
      <c r="B647" s="38" t="s">
        <v>1329</v>
      </c>
      <c r="C647" s="38" t="s">
        <v>1336</v>
      </c>
      <c r="D647" s="38">
        <v>1000000059</v>
      </c>
      <c r="E647" s="39" t="s">
        <v>1337</v>
      </c>
      <c r="F647" s="40">
        <v>41037</v>
      </c>
      <c r="G647" s="22" t="str">
        <f t="shared" si="140"/>
        <v>-</v>
      </c>
      <c r="H647" s="22"/>
      <c r="I647" s="23">
        <v>0</v>
      </c>
      <c r="J647" s="23">
        <f t="shared" si="141"/>
        <v>0</v>
      </c>
      <c r="K647" s="24">
        <v>0</v>
      </c>
      <c r="L647" s="24">
        <f t="shared" si="142"/>
        <v>0</v>
      </c>
      <c r="M647" s="24" t="str">
        <f t="shared" si="143"/>
        <v>-</v>
      </c>
      <c r="N647" s="25">
        <v>0</v>
      </c>
      <c r="O647" s="26" t="str">
        <f t="shared" si="144"/>
        <v>June</v>
      </c>
      <c r="P647" s="25">
        <f t="shared" si="145"/>
        <v>0</v>
      </c>
      <c r="Q647" s="27">
        <f t="shared" si="146"/>
        <v>0</v>
      </c>
      <c r="R647" s="26" t="b">
        <f t="shared" si="147"/>
        <v>0</v>
      </c>
      <c r="S647" s="28" t="b">
        <f t="shared" si="148"/>
        <v>0</v>
      </c>
      <c r="T647" s="24">
        <v>5</v>
      </c>
      <c r="U647" s="29" t="str">
        <f t="shared" si="149"/>
        <v>May</v>
      </c>
      <c r="V647" s="24">
        <f t="shared" si="150"/>
        <v>5</v>
      </c>
      <c r="W647" s="30">
        <f t="shared" si="151"/>
        <v>-5</v>
      </c>
      <c r="X647" s="31" t="b">
        <f t="shared" si="152"/>
        <v>0</v>
      </c>
      <c r="Y647" s="32" t="str">
        <f t="shared" si="153"/>
        <v>GROWTH</v>
      </c>
      <c r="Z647" s="41">
        <v>0</v>
      </c>
      <c r="AA647" s="36"/>
      <c r="AB647" s="36" t="s">
        <v>24</v>
      </c>
      <c r="AC647" s="36" t="s">
        <v>848</v>
      </c>
      <c r="AD647" s="34"/>
      <c r="AE647" s="35">
        <f>IFERROR(INDEX([1]Last6M_AvgSales_Ref!$B$2:$B$12659,MATCH(D647,[1]Last6M_AvgSales_Ref!$A$2:$A$12659,0)),"")</f>
        <v>1.6666666666666701</v>
      </c>
    </row>
    <row r="648" spans="1:31" ht="14.25" customHeight="1" x14ac:dyDescent="0.3">
      <c r="A648" s="36" t="s">
        <v>848</v>
      </c>
      <c r="B648" s="38" t="s">
        <v>1329</v>
      </c>
      <c r="C648" s="38" t="s">
        <v>1338</v>
      </c>
      <c r="D648" s="38">
        <v>1000000013</v>
      </c>
      <c r="E648" s="39" t="s">
        <v>1339</v>
      </c>
      <c r="F648" s="40">
        <v>41038</v>
      </c>
      <c r="G648" s="22" t="str">
        <f t="shared" si="140"/>
        <v>Targeted Dealer</v>
      </c>
      <c r="H648" s="22"/>
      <c r="I648" s="23">
        <v>240</v>
      </c>
      <c r="J648" s="23">
        <f t="shared" si="141"/>
        <v>240</v>
      </c>
      <c r="K648" s="24">
        <v>140</v>
      </c>
      <c r="L648" s="24">
        <f t="shared" si="142"/>
        <v>100</v>
      </c>
      <c r="M648" s="24">
        <f t="shared" si="143"/>
        <v>58.333333333333336</v>
      </c>
      <c r="N648" s="25">
        <v>107.5</v>
      </c>
      <c r="O648" s="26" t="str">
        <f t="shared" si="144"/>
        <v>June</v>
      </c>
      <c r="P648" s="25">
        <f t="shared" si="145"/>
        <v>107.5</v>
      </c>
      <c r="Q648" s="27">
        <f t="shared" si="146"/>
        <v>32.5</v>
      </c>
      <c r="R648" s="26" t="b">
        <f t="shared" si="147"/>
        <v>0</v>
      </c>
      <c r="S648" s="28" t="str">
        <f t="shared" si="148"/>
        <v>GROWTH</v>
      </c>
      <c r="T648" s="24">
        <v>50</v>
      </c>
      <c r="U648" s="29" t="str">
        <f t="shared" si="149"/>
        <v>May</v>
      </c>
      <c r="V648" s="24">
        <f t="shared" si="150"/>
        <v>50</v>
      </c>
      <c r="W648" s="30">
        <f t="shared" si="151"/>
        <v>90</v>
      </c>
      <c r="X648" s="31" t="b">
        <f t="shared" si="152"/>
        <v>0</v>
      </c>
      <c r="Y648" s="32" t="str">
        <f t="shared" si="153"/>
        <v>GROWTH</v>
      </c>
      <c r="Z648" s="41">
        <v>0</v>
      </c>
      <c r="AA648" s="36"/>
      <c r="AB648" s="36" t="s">
        <v>24</v>
      </c>
      <c r="AC648" s="36" t="s">
        <v>848</v>
      </c>
      <c r="AD648" s="34"/>
      <c r="AE648" s="35">
        <f>IFERROR(INDEX([1]Last6M_AvgSales_Ref!$B$2:$B$12659,MATCH(D648,[1]Last6M_AvgSales_Ref!$A$2:$A$12659,0)),"")</f>
        <v>108.625</v>
      </c>
    </row>
    <row r="649" spans="1:31" ht="14.25" customHeight="1" x14ac:dyDescent="0.3">
      <c r="A649" s="36" t="s">
        <v>848</v>
      </c>
      <c r="B649" s="38" t="s">
        <v>1329</v>
      </c>
      <c r="C649" s="38" t="s">
        <v>1340</v>
      </c>
      <c r="D649" s="38">
        <v>1000000825</v>
      </c>
      <c r="E649" s="39" t="s">
        <v>1341</v>
      </c>
      <c r="F649" s="40">
        <v>41297</v>
      </c>
      <c r="G649" s="22" t="str">
        <f t="shared" si="140"/>
        <v>Targeted Dealer</v>
      </c>
      <c r="H649" s="22"/>
      <c r="I649" s="23">
        <v>160</v>
      </c>
      <c r="J649" s="23">
        <f t="shared" si="141"/>
        <v>160</v>
      </c>
      <c r="K649" s="24">
        <v>104</v>
      </c>
      <c r="L649" s="24">
        <f t="shared" si="142"/>
        <v>56</v>
      </c>
      <c r="M649" s="24">
        <f t="shared" si="143"/>
        <v>65</v>
      </c>
      <c r="N649" s="25">
        <v>80</v>
      </c>
      <c r="O649" s="26" t="str">
        <f t="shared" si="144"/>
        <v>June</v>
      </c>
      <c r="P649" s="25">
        <f t="shared" si="145"/>
        <v>80</v>
      </c>
      <c r="Q649" s="27">
        <f t="shared" si="146"/>
        <v>24</v>
      </c>
      <c r="R649" s="26" t="b">
        <f t="shared" si="147"/>
        <v>0</v>
      </c>
      <c r="S649" s="28" t="str">
        <f t="shared" si="148"/>
        <v>GROWTH</v>
      </c>
      <c r="T649" s="24">
        <v>45</v>
      </c>
      <c r="U649" s="29" t="str">
        <f t="shared" si="149"/>
        <v>May</v>
      </c>
      <c r="V649" s="24">
        <f t="shared" si="150"/>
        <v>45</v>
      </c>
      <c r="W649" s="30">
        <f t="shared" si="151"/>
        <v>59</v>
      </c>
      <c r="X649" s="31" t="b">
        <f t="shared" si="152"/>
        <v>0</v>
      </c>
      <c r="Y649" s="32" t="str">
        <f t="shared" si="153"/>
        <v>GROWTH</v>
      </c>
      <c r="Z649" s="41">
        <v>0</v>
      </c>
      <c r="AA649" s="36"/>
      <c r="AB649" s="36" t="s">
        <v>24</v>
      </c>
      <c r="AC649" s="36" t="s">
        <v>848</v>
      </c>
      <c r="AD649" s="34"/>
      <c r="AE649" s="35">
        <f>IFERROR(INDEX([1]Last6M_AvgSales_Ref!$B$2:$B$12659,MATCH(D649,[1]Last6M_AvgSales_Ref!$A$2:$A$12659,0)),"")</f>
        <v>93.5833333333333</v>
      </c>
    </row>
    <row r="650" spans="1:31" ht="14.25" customHeight="1" x14ac:dyDescent="0.3">
      <c r="A650" s="36" t="s">
        <v>848</v>
      </c>
      <c r="B650" s="38" t="s">
        <v>1329</v>
      </c>
      <c r="C650" s="38" t="s">
        <v>1342</v>
      </c>
      <c r="D650" s="38">
        <v>1000000021</v>
      </c>
      <c r="E650" s="39" t="s">
        <v>1343</v>
      </c>
      <c r="F650" s="40">
        <v>41398</v>
      </c>
      <c r="G650" s="22" t="str">
        <f t="shared" si="140"/>
        <v>Targeted Dealer</v>
      </c>
      <c r="H650" s="22"/>
      <c r="I650" s="23">
        <v>80</v>
      </c>
      <c r="J650" s="23">
        <f t="shared" si="141"/>
        <v>80</v>
      </c>
      <c r="K650" s="24">
        <v>50</v>
      </c>
      <c r="L650" s="24">
        <f t="shared" si="142"/>
        <v>30</v>
      </c>
      <c r="M650" s="24">
        <f t="shared" si="143"/>
        <v>62.5</v>
      </c>
      <c r="N650" s="25">
        <v>17.5</v>
      </c>
      <c r="O650" s="26" t="str">
        <f t="shared" si="144"/>
        <v>June</v>
      </c>
      <c r="P650" s="25">
        <f t="shared" si="145"/>
        <v>17.5</v>
      </c>
      <c r="Q650" s="27">
        <f t="shared" si="146"/>
        <v>32.5</v>
      </c>
      <c r="R650" s="26" t="b">
        <f t="shared" si="147"/>
        <v>0</v>
      </c>
      <c r="S650" s="28" t="str">
        <f t="shared" si="148"/>
        <v>GROWTH</v>
      </c>
      <c r="T650" s="24">
        <v>15</v>
      </c>
      <c r="U650" s="29" t="str">
        <f t="shared" si="149"/>
        <v>May</v>
      </c>
      <c r="V650" s="24">
        <f t="shared" si="150"/>
        <v>15</v>
      </c>
      <c r="W650" s="30">
        <f t="shared" si="151"/>
        <v>35</v>
      </c>
      <c r="X650" s="31" t="b">
        <f t="shared" si="152"/>
        <v>0</v>
      </c>
      <c r="Y650" s="32" t="str">
        <f t="shared" si="153"/>
        <v>GROWTH</v>
      </c>
      <c r="Z650" s="41">
        <v>0</v>
      </c>
      <c r="AA650" s="36"/>
      <c r="AB650" s="36" t="s">
        <v>24</v>
      </c>
      <c r="AC650" s="36" t="s">
        <v>848</v>
      </c>
      <c r="AD650" s="34"/>
      <c r="AE650" s="35">
        <f>IFERROR(INDEX([1]Last6M_AvgSales_Ref!$B$2:$B$12659,MATCH(D650,[1]Last6M_AvgSales_Ref!$A$2:$A$12659,0)),"")</f>
        <v>31.6666666666667</v>
      </c>
    </row>
    <row r="651" spans="1:31" ht="14.25" customHeight="1" x14ac:dyDescent="0.3">
      <c r="A651" s="36" t="s">
        <v>848</v>
      </c>
      <c r="B651" s="38" t="s">
        <v>1329</v>
      </c>
      <c r="C651" s="38" t="s">
        <v>1344</v>
      </c>
      <c r="D651" s="38">
        <v>1000000022</v>
      </c>
      <c r="E651" s="39" t="s">
        <v>1345</v>
      </c>
      <c r="F651" s="40">
        <v>41398</v>
      </c>
      <c r="G651" s="22" t="str">
        <f t="shared" si="140"/>
        <v>Targeted Dealer</v>
      </c>
      <c r="H651" s="22"/>
      <c r="I651" s="23">
        <v>3800</v>
      </c>
      <c r="J651" s="23">
        <f t="shared" si="141"/>
        <v>3800</v>
      </c>
      <c r="K651" s="24">
        <v>2005.85</v>
      </c>
      <c r="L651" s="24">
        <f t="shared" si="142"/>
        <v>1794.15</v>
      </c>
      <c r="M651" s="24">
        <f t="shared" si="143"/>
        <v>52.785526315789468</v>
      </c>
      <c r="N651" s="25">
        <v>1767</v>
      </c>
      <c r="O651" s="26" t="str">
        <f t="shared" si="144"/>
        <v>June</v>
      </c>
      <c r="P651" s="25">
        <f t="shared" si="145"/>
        <v>1767</v>
      </c>
      <c r="Q651" s="27">
        <f t="shared" si="146"/>
        <v>238.84999999999991</v>
      </c>
      <c r="R651" s="26" t="b">
        <f t="shared" si="147"/>
        <v>0</v>
      </c>
      <c r="S651" s="28" t="str">
        <f t="shared" si="148"/>
        <v>GROWTH</v>
      </c>
      <c r="T651" s="24">
        <v>1692.2</v>
      </c>
      <c r="U651" s="29" t="str">
        <f t="shared" si="149"/>
        <v>May</v>
      </c>
      <c r="V651" s="24">
        <f t="shared" si="150"/>
        <v>1692.2</v>
      </c>
      <c r="W651" s="30">
        <f t="shared" si="151"/>
        <v>313.64999999999986</v>
      </c>
      <c r="X651" s="31" t="b">
        <f t="shared" si="152"/>
        <v>0</v>
      </c>
      <c r="Y651" s="32" t="str">
        <f t="shared" si="153"/>
        <v>GROWTH</v>
      </c>
      <c r="Z651" s="41">
        <v>0</v>
      </c>
      <c r="AA651" s="36"/>
      <c r="AB651" s="36" t="s">
        <v>24</v>
      </c>
      <c r="AC651" s="36" t="s">
        <v>848</v>
      </c>
      <c r="AD651" s="34"/>
      <c r="AE651" s="35">
        <f>IFERROR(INDEX([1]Last6M_AvgSales_Ref!$B$2:$B$12659,MATCH(D651,[1]Last6M_AvgSales_Ref!$A$2:$A$12659,0)),"")</f>
        <v>1856.2083333333301</v>
      </c>
    </row>
    <row r="652" spans="1:31" ht="14.25" customHeight="1" x14ac:dyDescent="0.3">
      <c r="A652" s="36" t="s">
        <v>848</v>
      </c>
      <c r="B652" s="38" t="s">
        <v>1329</v>
      </c>
      <c r="C652" s="38" t="s">
        <v>1346</v>
      </c>
      <c r="D652" s="38">
        <v>1000000041</v>
      </c>
      <c r="E652" s="39" t="s">
        <v>1256</v>
      </c>
      <c r="F652" s="40">
        <v>41536</v>
      </c>
      <c r="G652" s="22" t="str">
        <f t="shared" si="140"/>
        <v>Targeted Dealer</v>
      </c>
      <c r="H652" s="22"/>
      <c r="I652" s="23">
        <v>120</v>
      </c>
      <c r="J652" s="23">
        <f t="shared" si="141"/>
        <v>120</v>
      </c>
      <c r="K652" s="24">
        <v>64.5</v>
      </c>
      <c r="L652" s="24">
        <f t="shared" si="142"/>
        <v>55.5</v>
      </c>
      <c r="M652" s="24">
        <f t="shared" si="143"/>
        <v>53.75</v>
      </c>
      <c r="N652" s="25">
        <v>76.5</v>
      </c>
      <c r="O652" s="26" t="str">
        <f t="shared" si="144"/>
        <v>June</v>
      </c>
      <c r="P652" s="25">
        <f t="shared" si="145"/>
        <v>76.5</v>
      </c>
      <c r="Q652" s="27">
        <f t="shared" si="146"/>
        <v>-12</v>
      </c>
      <c r="R652" s="26" t="b">
        <f t="shared" si="147"/>
        <v>0</v>
      </c>
      <c r="S652" s="28" t="str">
        <f t="shared" si="148"/>
        <v>GROWTH</v>
      </c>
      <c r="T652" s="24">
        <v>50</v>
      </c>
      <c r="U652" s="29" t="str">
        <f t="shared" si="149"/>
        <v>May</v>
      </c>
      <c r="V652" s="24">
        <f t="shared" si="150"/>
        <v>50</v>
      </c>
      <c r="W652" s="30">
        <f t="shared" si="151"/>
        <v>14.5</v>
      </c>
      <c r="X652" s="31" t="b">
        <f t="shared" si="152"/>
        <v>0</v>
      </c>
      <c r="Y652" s="32" t="str">
        <f t="shared" si="153"/>
        <v>GROWTH</v>
      </c>
      <c r="Z652" s="41">
        <v>0</v>
      </c>
      <c r="AA652" s="36"/>
      <c r="AB652" s="36" t="s">
        <v>24</v>
      </c>
      <c r="AC652" s="36" t="s">
        <v>848</v>
      </c>
      <c r="AD652" s="34"/>
      <c r="AE652" s="35">
        <f>IFERROR(INDEX([1]Last6M_AvgSales_Ref!$B$2:$B$12659,MATCH(D652,[1]Last6M_AvgSales_Ref!$A$2:$A$12659,0)),"")</f>
        <v>65</v>
      </c>
    </row>
    <row r="653" spans="1:31" ht="14.25" customHeight="1" x14ac:dyDescent="0.3">
      <c r="A653" s="36" t="s">
        <v>848</v>
      </c>
      <c r="B653" s="38" t="s">
        <v>1329</v>
      </c>
      <c r="C653" s="38" t="s">
        <v>1347</v>
      </c>
      <c r="D653" s="38">
        <v>1000000048</v>
      </c>
      <c r="E653" s="39" t="s">
        <v>1348</v>
      </c>
      <c r="F653" s="40">
        <v>41645</v>
      </c>
      <c r="G653" s="22" t="str">
        <f t="shared" si="140"/>
        <v>Targeted Dealer</v>
      </c>
      <c r="H653" s="22"/>
      <c r="I653" s="23">
        <v>240</v>
      </c>
      <c r="J653" s="23">
        <f t="shared" si="141"/>
        <v>240</v>
      </c>
      <c r="K653" s="24">
        <v>145</v>
      </c>
      <c r="L653" s="24">
        <f t="shared" si="142"/>
        <v>95</v>
      </c>
      <c r="M653" s="24">
        <f t="shared" si="143"/>
        <v>60.416666666666671</v>
      </c>
      <c r="N653" s="25">
        <v>153.55000000000001</v>
      </c>
      <c r="O653" s="26" t="str">
        <f t="shared" si="144"/>
        <v>June</v>
      </c>
      <c r="P653" s="25">
        <f t="shared" si="145"/>
        <v>153.55000000000001</v>
      </c>
      <c r="Q653" s="27">
        <f t="shared" si="146"/>
        <v>-8.5500000000000114</v>
      </c>
      <c r="R653" s="26" t="b">
        <f t="shared" si="147"/>
        <v>0</v>
      </c>
      <c r="S653" s="28" t="str">
        <f t="shared" si="148"/>
        <v>GROWTH</v>
      </c>
      <c r="T653" s="24">
        <v>82.5</v>
      </c>
      <c r="U653" s="29" t="str">
        <f t="shared" si="149"/>
        <v>May</v>
      </c>
      <c r="V653" s="24">
        <f t="shared" si="150"/>
        <v>82.5</v>
      </c>
      <c r="W653" s="30">
        <f t="shared" si="151"/>
        <v>62.5</v>
      </c>
      <c r="X653" s="31" t="b">
        <f t="shared" si="152"/>
        <v>0</v>
      </c>
      <c r="Y653" s="32" t="str">
        <f t="shared" si="153"/>
        <v>GROWTH</v>
      </c>
      <c r="Z653" s="41">
        <v>0</v>
      </c>
      <c r="AA653" s="36"/>
      <c r="AB653" s="36" t="s">
        <v>24</v>
      </c>
      <c r="AC653" s="36" t="s">
        <v>848</v>
      </c>
      <c r="AD653" s="34"/>
      <c r="AE653" s="35">
        <f>IFERROR(INDEX([1]Last6M_AvgSales_Ref!$B$2:$B$12659,MATCH(D653,[1]Last6M_AvgSales_Ref!$A$2:$A$12659,0)),"")</f>
        <v>145.666666666667</v>
      </c>
    </row>
    <row r="654" spans="1:31" ht="14.25" customHeight="1" x14ac:dyDescent="0.3">
      <c r="A654" s="36" t="s">
        <v>848</v>
      </c>
      <c r="B654" s="38" t="s">
        <v>1329</v>
      </c>
      <c r="C654" s="38" t="s">
        <v>1349</v>
      </c>
      <c r="D654" s="38">
        <v>1000000047</v>
      </c>
      <c r="E654" s="39" t="s">
        <v>1350</v>
      </c>
      <c r="F654" s="40">
        <v>41817</v>
      </c>
      <c r="G654" s="22" t="str">
        <f t="shared" si="140"/>
        <v>Targeted Dealer</v>
      </c>
      <c r="H654" s="22"/>
      <c r="I654" s="23">
        <v>100</v>
      </c>
      <c r="J654" s="23">
        <f t="shared" si="141"/>
        <v>100</v>
      </c>
      <c r="K654" s="24">
        <v>48.9</v>
      </c>
      <c r="L654" s="24">
        <f t="shared" si="142"/>
        <v>51.1</v>
      </c>
      <c r="M654" s="24">
        <f t="shared" si="143"/>
        <v>48.9</v>
      </c>
      <c r="N654" s="25">
        <v>15</v>
      </c>
      <c r="O654" s="26" t="str">
        <f t="shared" si="144"/>
        <v>June</v>
      </c>
      <c r="P654" s="25">
        <f t="shared" si="145"/>
        <v>15</v>
      </c>
      <c r="Q654" s="27">
        <f t="shared" si="146"/>
        <v>33.9</v>
      </c>
      <c r="R654" s="26" t="b">
        <f t="shared" si="147"/>
        <v>0</v>
      </c>
      <c r="S654" s="28" t="str">
        <f t="shared" si="148"/>
        <v>GROWTH</v>
      </c>
      <c r="T654" s="24">
        <v>25</v>
      </c>
      <c r="U654" s="29" t="str">
        <f t="shared" si="149"/>
        <v>May</v>
      </c>
      <c r="V654" s="24">
        <f t="shared" si="150"/>
        <v>25</v>
      </c>
      <c r="W654" s="30">
        <f t="shared" si="151"/>
        <v>23.9</v>
      </c>
      <c r="X654" s="31" t="b">
        <f t="shared" si="152"/>
        <v>0</v>
      </c>
      <c r="Y654" s="32" t="str">
        <f t="shared" si="153"/>
        <v>GROWTH</v>
      </c>
      <c r="Z654" s="41">
        <v>0</v>
      </c>
      <c r="AA654" s="36"/>
      <c r="AB654" s="36" t="s">
        <v>24</v>
      </c>
      <c r="AC654" s="36" t="s">
        <v>848</v>
      </c>
      <c r="AD654" s="34"/>
      <c r="AE654" s="35">
        <f>IFERROR(INDEX([1]Last6M_AvgSales_Ref!$B$2:$B$12659,MATCH(D654,[1]Last6M_AvgSales_Ref!$A$2:$A$12659,0)),"")</f>
        <v>35.0833333333333</v>
      </c>
    </row>
    <row r="655" spans="1:31" ht="14.25" customHeight="1" x14ac:dyDescent="0.3">
      <c r="A655" s="36" t="s">
        <v>848</v>
      </c>
      <c r="B655" s="38" t="s">
        <v>1329</v>
      </c>
      <c r="C655" s="38" t="s">
        <v>1351</v>
      </c>
      <c r="D655" s="38">
        <v>1000000039</v>
      </c>
      <c r="E655" s="39" t="s">
        <v>1352</v>
      </c>
      <c r="F655" s="40">
        <v>42135</v>
      </c>
      <c r="G655" s="22" t="str">
        <f t="shared" si="140"/>
        <v>Targeted Dealer</v>
      </c>
      <c r="H655" s="22"/>
      <c r="I655" s="23">
        <v>140</v>
      </c>
      <c r="J655" s="23">
        <f t="shared" si="141"/>
        <v>140</v>
      </c>
      <c r="K655" s="24">
        <v>70</v>
      </c>
      <c r="L655" s="24">
        <f t="shared" si="142"/>
        <v>70</v>
      </c>
      <c r="M655" s="24">
        <f t="shared" si="143"/>
        <v>50</v>
      </c>
      <c r="N655" s="25">
        <v>75</v>
      </c>
      <c r="O655" s="26" t="str">
        <f t="shared" si="144"/>
        <v>June</v>
      </c>
      <c r="P655" s="25">
        <f t="shared" si="145"/>
        <v>75</v>
      </c>
      <c r="Q655" s="27">
        <f t="shared" si="146"/>
        <v>-5</v>
      </c>
      <c r="R655" s="26" t="b">
        <f t="shared" si="147"/>
        <v>0</v>
      </c>
      <c r="S655" s="28" t="str">
        <f t="shared" si="148"/>
        <v>GROWTH</v>
      </c>
      <c r="T655" s="24">
        <v>30</v>
      </c>
      <c r="U655" s="29" t="str">
        <f t="shared" si="149"/>
        <v>May</v>
      </c>
      <c r="V655" s="24">
        <f t="shared" si="150"/>
        <v>30</v>
      </c>
      <c r="W655" s="30">
        <f t="shared" si="151"/>
        <v>40</v>
      </c>
      <c r="X655" s="31" t="b">
        <f t="shared" si="152"/>
        <v>0</v>
      </c>
      <c r="Y655" s="32" t="str">
        <f t="shared" si="153"/>
        <v>GROWTH</v>
      </c>
      <c r="Z655" s="41">
        <v>0</v>
      </c>
      <c r="AA655" s="36"/>
      <c r="AB655" s="36" t="s">
        <v>24</v>
      </c>
      <c r="AC655" s="36" t="s">
        <v>848</v>
      </c>
      <c r="AD655" s="34"/>
      <c r="AE655" s="35">
        <f>IFERROR(INDEX([1]Last6M_AvgSales_Ref!$B$2:$B$12659,MATCH(D655,[1]Last6M_AvgSales_Ref!$A$2:$A$12659,0)),"")</f>
        <v>73.3333333333333</v>
      </c>
    </row>
    <row r="656" spans="1:31" ht="14.25" customHeight="1" x14ac:dyDescent="0.3">
      <c r="A656" s="36" t="s">
        <v>848</v>
      </c>
      <c r="B656" s="38" t="s">
        <v>1329</v>
      </c>
      <c r="C656" s="38" t="s">
        <v>1353</v>
      </c>
      <c r="D656" s="38">
        <v>1000000050</v>
      </c>
      <c r="E656" s="39" t="s">
        <v>1354</v>
      </c>
      <c r="F656" s="40">
        <v>42397</v>
      </c>
      <c r="G656" s="22" t="str">
        <f t="shared" si="140"/>
        <v>Targeted Dealer</v>
      </c>
      <c r="H656" s="22"/>
      <c r="I656" s="23">
        <v>540</v>
      </c>
      <c r="J656" s="23">
        <f t="shared" si="141"/>
        <v>540</v>
      </c>
      <c r="K656" s="24">
        <v>329</v>
      </c>
      <c r="L656" s="24">
        <f t="shared" si="142"/>
        <v>211</v>
      </c>
      <c r="M656" s="24">
        <f t="shared" si="143"/>
        <v>60.925925925925924</v>
      </c>
      <c r="N656" s="25">
        <v>255</v>
      </c>
      <c r="O656" s="26" t="str">
        <f t="shared" si="144"/>
        <v>June</v>
      </c>
      <c r="P656" s="25">
        <f t="shared" si="145"/>
        <v>255</v>
      </c>
      <c r="Q656" s="27">
        <f t="shared" si="146"/>
        <v>74</v>
      </c>
      <c r="R656" s="26" t="b">
        <f t="shared" si="147"/>
        <v>0</v>
      </c>
      <c r="S656" s="28" t="str">
        <f t="shared" si="148"/>
        <v>GROWTH</v>
      </c>
      <c r="T656" s="24">
        <v>292</v>
      </c>
      <c r="U656" s="29" t="str">
        <f t="shared" si="149"/>
        <v>May</v>
      </c>
      <c r="V656" s="24">
        <f t="shared" si="150"/>
        <v>292</v>
      </c>
      <c r="W656" s="30">
        <f t="shared" si="151"/>
        <v>37</v>
      </c>
      <c r="X656" s="31" t="b">
        <f t="shared" si="152"/>
        <v>0</v>
      </c>
      <c r="Y656" s="32" t="str">
        <f t="shared" si="153"/>
        <v>GROWTH</v>
      </c>
      <c r="Z656" s="41">
        <v>0</v>
      </c>
      <c r="AA656" s="36"/>
      <c r="AB656" s="36" t="s">
        <v>24</v>
      </c>
      <c r="AC656" s="36" t="s">
        <v>848</v>
      </c>
      <c r="AD656" s="34"/>
      <c r="AE656" s="35">
        <f>IFERROR(INDEX([1]Last6M_AvgSales_Ref!$B$2:$B$12659,MATCH(D656,[1]Last6M_AvgSales_Ref!$A$2:$A$12659,0)),"")</f>
        <v>405.07499999999999</v>
      </c>
    </row>
    <row r="657" spans="1:31" ht="14.25" customHeight="1" x14ac:dyDescent="0.3">
      <c r="A657" s="36" t="s">
        <v>848</v>
      </c>
      <c r="B657" s="38" t="s">
        <v>1329</v>
      </c>
      <c r="C657" s="38" t="s">
        <v>1355</v>
      </c>
      <c r="D657" s="38">
        <v>1000000822</v>
      </c>
      <c r="E657" s="39" t="s">
        <v>1356</v>
      </c>
      <c r="F657" s="40">
        <v>42472</v>
      </c>
      <c r="G657" s="22" t="str">
        <f t="shared" si="140"/>
        <v>Targeted Dealer</v>
      </c>
      <c r="H657" s="22"/>
      <c r="I657" s="23">
        <v>8200</v>
      </c>
      <c r="J657" s="23">
        <f t="shared" si="141"/>
        <v>8200</v>
      </c>
      <c r="K657" s="24">
        <v>5732.35</v>
      </c>
      <c r="L657" s="24">
        <f t="shared" si="142"/>
        <v>2467.6499999999996</v>
      </c>
      <c r="M657" s="24">
        <f t="shared" si="143"/>
        <v>69.90670731707317</v>
      </c>
      <c r="N657" s="25">
        <v>4269.5</v>
      </c>
      <c r="O657" s="26" t="str">
        <f t="shared" si="144"/>
        <v>June</v>
      </c>
      <c r="P657" s="25">
        <f t="shared" si="145"/>
        <v>4269.5</v>
      </c>
      <c r="Q657" s="27">
        <f t="shared" si="146"/>
        <v>1462.8500000000004</v>
      </c>
      <c r="R657" s="26" t="b">
        <f t="shared" si="147"/>
        <v>0</v>
      </c>
      <c r="S657" s="28" t="str">
        <f t="shared" si="148"/>
        <v>GROWTH</v>
      </c>
      <c r="T657" s="24">
        <v>3258.85</v>
      </c>
      <c r="U657" s="29" t="str">
        <f t="shared" si="149"/>
        <v>May</v>
      </c>
      <c r="V657" s="24">
        <f t="shared" si="150"/>
        <v>3258.85</v>
      </c>
      <c r="W657" s="30">
        <f t="shared" si="151"/>
        <v>2473.5000000000005</v>
      </c>
      <c r="X657" s="31" t="b">
        <f t="shared" si="152"/>
        <v>0</v>
      </c>
      <c r="Y657" s="32" t="str">
        <f t="shared" si="153"/>
        <v>GROWTH</v>
      </c>
      <c r="Z657" s="41">
        <v>0</v>
      </c>
      <c r="AA657" s="36"/>
      <c r="AB657" s="36" t="s">
        <v>24</v>
      </c>
      <c r="AC657" s="36" t="s">
        <v>848</v>
      </c>
      <c r="AD657" s="34"/>
      <c r="AE657" s="35">
        <f>IFERROR(INDEX([1]Last6M_AvgSales_Ref!$B$2:$B$12659,MATCH(D657,[1]Last6M_AvgSales_Ref!$A$2:$A$12659,0)),"")</f>
        <v>5693.4750000000004</v>
      </c>
    </row>
    <row r="658" spans="1:31" ht="14.25" customHeight="1" x14ac:dyDescent="0.3">
      <c r="A658" s="36" t="s">
        <v>848</v>
      </c>
      <c r="B658" s="38" t="s">
        <v>1329</v>
      </c>
      <c r="C658" s="38" t="s">
        <v>1357</v>
      </c>
      <c r="D658" s="38">
        <v>1000000044</v>
      </c>
      <c r="E658" s="39" t="s">
        <v>1358</v>
      </c>
      <c r="F658" s="40">
        <v>42472</v>
      </c>
      <c r="G658" s="22" t="str">
        <f t="shared" si="140"/>
        <v>Targeted Dealer</v>
      </c>
      <c r="H658" s="22"/>
      <c r="I658" s="23">
        <v>400</v>
      </c>
      <c r="J658" s="23">
        <f t="shared" si="141"/>
        <v>400</v>
      </c>
      <c r="K658" s="24">
        <v>177</v>
      </c>
      <c r="L658" s="24">
        <f t="shared" si="142"/>
        <v>223</v>
      </c>
      <c r="M658" s="24">
        <f t="shared" si="143"/>
        <v>44.25</v>
      </c>
      <c r="N658" s="25">
        <v>231</v>
      </c>
      <c r="O658" s="26" t="str">
        <f t="shared" si="144"/>
        <v>June</v>
      </c>
      <c r="P658" s="25">
        <f t="shared" si="145"/>
        <v>231</v>
      </c>
      <c r="Q658" s="27">
        <f t="shared" si="146"/>
        <v>-54</v>
      </c>
      <c r="R658" s="26" t="b">
        <f t="shared" si="147"/>
        <v>0</v>
      </c>
      <c r="S658" s="28" t="str">
        <f t="shared" si="148"/>
        <v>GROWTH</v>
      </c>
      <c r="T658" s="24">
        <v>227.5</v>
      </c>
      <c r="U658" s="29" t="str">
        <f t="shared" si="149"/>
        <v>May</v>
      </c>
      <c r="V658" s="24">
        <f t="shared" si="150"/>
        <v>227.5</v>
      </c>
      <c r="W658" s="30">
        <f t="shared" si="151"/>
        <v>-50.5</v>
      </c>
      <c r="X658" s="31" t="b">
        <f t="shared" si="152"/>
        <v>0</v>
      </c>
      <c r="Y658" s="32" t="str">
        <f t="shared" si="153"/>
        <v>GROWTH</v>
      </c>
      <c r="Z658" s="41">
        <v>0</v>
      </c>
      <c r="AA658" s="36"/>
      <c r="AB658" s="36" t="s">
        <v>24</v>
      </c>
      <c r="AC658" s="36" t="s">
        <v>848</v>
      </c>
      <c r="AD658" s="34"/>
      <c r="AE658" s="35">
        <f>IFERROR(INDEX([1]Last6M_AvgSales_Ref!$B$2:$B$12659,MATCH(D658,[1]Last6M_AvgSales_Ref!$A$2:$A$12659,0)),"")</f>
        <v>206.583333333333</v>
      </c>
    </row>
    <row r="659" spans="1:31" ht="14.25" customHeight="1" x14ac:dyDescent="0.3">
      <c r="A659" s="36" t="s">
        <v>848</v>
      </c>
      <c r="B659" s="38" t="s">
        <v>1329</v>
      </c>
      <c r="C659" s="38" t="s">
        <v>1359</v>
      </c>
      <c r="D659" s="38">
        <v>1000000051</v>
      </c>
      <c r="E659" s="39" t="s">
        <v>1360</v>
      </c>
      <c r="F659" s="40">
        <v>42472</v>
      </c>
      <c r="G659" s="22" t="str">
        <f t="shared" si="140"/>
        <v>Targeted Dealer</v>
      </c>
      <c r="H659" s="22"/>
      <c r="I659" s="23">
        <v>120</v>
      </c>
      <c r="J659" s="23">
        <f t="shared" si="141"/>
        <v>120</v>
      </c>
      <c r="K659" s="24">
        <v>66.099999999999994</v>
      </c>
      <c r="L659" s="24">
        <f t="shared" si="142"/>
        <v>53.900000000000006</v>
      </c>
      <c r="M659" s="24">
        <f t="shared" si="143"/>
        <v>55.083333333333329</v>
      </c>
      <c r="N659" s="25">
        <v>60</v>
      </c>
      <c r="O659" s="26" t="str">
        <f t="shared" si="144"/>
        <v>June</v>
      </c>
      <c r="P659" s="25">
        <f t="shared" si="145"/>
        <v>60</v>
      </c>
      <c r="Q659" s="27">
        <f t="shared" si="146"/>
        <v>6.0999999999999943</v>
      </c>
      <c r="R659" s="26" t="b">
        <f t="shared" si="147"/>
        <v>0</v>
      </c>
      <c r="S659" s="28" t="str">
        <f t="shared" si="148"/>
        <v>GROWTH</v>
      </c>
      <c r="T659" s="24">
        <v>50</v>
      </c>
      <c r="U659" s="29" t="str">
        <f t="shared" si="149"/>
        <v>May</v>
      </c>
      <c r="V659" s="24">
        <f t="shared" si="150"/>
        <v>50</v>
      </c>
      <c r="W659" s="30">
        <f t="shared" si="151"/>
        <v>16.099999999999994</v>
      </c>
      <c r="X659" s="31" t="b">
        <f t="shared" si="152"/>
        <v>0</v>
      </c>
      <c r="Y659" s="32" t="str">
        <f t="shared" si="153"/>
        <v>GROWTH</v>
      </c>
      <c r="Z659" s="41">
        <v>0</v>
      </c>
      <c r="AA659" s="36"/>
      <c r="AB659" s="36" t="s">
        <v>24</v>
      </c>
      <c r="AC659" s="36" t="s">
        <v>848</v>
      </c>
      <c r="AD659" s="34"/>
      <c r="AE659" s="35">
        <f>IFERROR(INDEX([1]Last6M_AvgSales_Ref!$B$2:$B$12659,MATCH(D659,[1]Last6M_AvgSales_Ref!$A$2:$A$12659,0)),"")</f>
        <v>100.666666666667</v>
      </c>
    </row>
    <row r="660" spans="1:31" ht="14.25" customHeight="1" x14ac:dyDescent="0.3">
      <c r="A660" s="36" t="s">
        <v>848</v>
      </c>
      <c r="B660" s="38" t="s">
        <v>1329</v>
      </c>
      <c r="C660" s="38" t="s">
        <v>1361</v>
      </c>
      <c r="D660" s="38">
        <v>1000000027</v>
      </c>
      <c r="E660" s="39" t="s">
        <v>1362</v>
      </c>
      <c r="F660" s="40">
        <v>42485</v>
      </c>
      <c r="G660" s="22" t="str">
        <f t="shared" si="140"/>
        <v>Targeted Dealer</v>
      </c>
      <c r="H660" s="22"/>
      <c r="I660" s="23">
        <v>120</v>
      </c>
      <c r="J660" s="23">
        <f t="shared" si="141"/>
        <v>120</v>
      </c>
      <c r="K660" s="24">
        <v>40</v>
      </c>
      <c r="L660" s="24">
        <f t="shared" si="142"/>
        <v>80</v>
      </c>
      <c r="M660" s="24">
        <f t="shared" si="143"/>
        <v>33.333333333333336</v>
      </c>
      <c r="N660" s="25">
        <v>35</v>
      </c>
      <c r="O660" s="26" t="str">
        <f t="shared" si="144"/>
        <v>June</v>
      </c>
      <c r="P660" s="25">
        <f t="shared" si="145"/>
        <v>35</v>
      </c>
      <c r="Q660" s="27">
        <f t="shared" si="146"/>
        <v>5</v>
      </c>
      <c r="R660" s="26" t="b">
        <f t="shared" si="147"/>
        <v>0</v>
      </c>
      <c r="S660" s="28" t="str">
        <f t="shared" si="148"/>
        <v>GROWTH</v>
      </c>
      <c r="T660" s="24">
        <v>60</v>
      </c>
      <c r="U660" s="29" t="str">
        <f t="shared" si="149"/>
        <v>May</v>
      </c>
      <c r="V660" s="24">
        <f t="shared" si="150"/>
        <v>60</v>
      </c>
      <c r="W660" s="30">
        <f t="shared" si="151"/>
        <v>-20</v>
      </c>
      <c r="X660" s="31" t="b">
        <f t="shared" si="152"/>
        <v>0</v>
      </c>
      <c r="Y660" s="32" t="str">
        <f t="shared" si="153"/>
        <v>GROWTH</v>
      </c>
      <c r="Z660" s="41">
        <v>0</v>
      </c>
      <c r="AA660" s="36"/>
      <c r="AB660" s="36" t="s">
        <v>24</v>
      </c>
      <c r="AC660" s="36" t="s">
        <v>848</v>
      </c>
      <c r="AD660" s="34"/>
      <c r="AE660" s="35">
        <f>IFERROR(INDEX([1]Last6M_AvgSales_Ref!$B$2:$B$12659,MATCH(D660,[1]Last6M_AvgSales_Ref!$A$2:$A$12659,0)),"")</f>
        <v>69.25</v>
      </c>
    </row>
    <row r="661" spans="1:31" ht="14.25" customHeight="1" x14ac:dyDescent="0.3">
      <c r="A661" s="36" t="s">
        <v>848</v>
      </c>
      <c r="B661" s="38" t="s">
        <v>1329</v>
      </c>
      <c r="C661" s="38" t="s">
        <v>1363</v>
      </c>
      <c r="D661" s="38">
        <v>1000000827</v>
      </c>
      <c r="E661" s="39" t="s">
        <v>1364</v>
      </c>
      <c r="F661" s="40">
        <v>42713</v>
      </c>
      <c r="G661" s="22" t="str">
        <f t="shared" si="140"/>
        <v>Targeted Dealer</v>
      </c>
      <c r="H661" s="22"/>
      <c r="I661" s="23">
        <v>340</v>
      </c>
      <c r="J661" s="23">
        <f t="shared" si="141"/>
        <v>340</v>
      </c>
      <c r="K661" s="24">
        <v>211.9</v>
      </c>
      <c r="L661" s="24">
        <f t="shared" si="142"/>
        <v>128.1</v>
      </c>
      <c r="M661" s="24">
        <f t="shared" si="143"/>
        <v>62.32352941176471</v>
      </c>
      <c r="N661" s="25">
        <v>166</v>
      </c>
      <c r="O661" s="26" t="str">
        <f t="shared" si="144"/>
        <v>June</v>
      </c>
      <c r="P661" s="25">
        <f t="shared" si="145"/>
        <v>166</v>
      </c>
      <c r="Q661" s="27">
        <f t="shared" si="146"/>
        <v>45.900000000000006</v>
      </c>
      <c r="R661" s="26" t="b">
        <f t="shared" si="147"/>
        <v>0</v>
      </c>
      <c r="S661" s="28" t="str">
        <f t="shared" si="148"/>
        <v>GROWTH</v>
      </c>
      <c r="T661" s="24">
        <v>149</v>
      </c>
      <c r="U661" s="29" t="str">
        <f t="shared" si="149"/>
        <v>May</v>
      </c>
      <c r="V661" s="24">
        <f t="shared" si="150"/>
        <v>149</v>
      </c>
      <c r="W661" s="30">
        <f t="shared" si="151"/>
        <v>62.900000000000006</v>
      </c>
      <c r="X661" s="31" t="b">
        <f t="shared" si="152"/>
        <v>0</v>
      </c>
      <c r="Y661" s="32" t="str">
        <f t="shared" si="153"/>
        <v>GROWTH</v>
      </c>
      <c r="Z661" s="41">
        <v>0</v>
      </c>
      <c r="AA661" s="36"/>
      <c r="AB661" s="36" t="s">
        <v>24</v>
      </c>
      <c r="AC661" s="36" t="s">
        <v>848</v>
      </c>
      <c r="AD661" s="34"/>
      <c r="AE661" s="35">
        <f>IFERROR(INDEX([1]Last6M_AvgSales_Ref!$B$2:$B$12659,MATCH(D661,[1]Last6M_AvgSales_Ref!$A$2:$A$12659,0)),"")</f>
        <v>193.27500000000001</v>
      </c>
    </row>
    <row r="662" spans="1:31" ht="14.25" customHeight="1" x14ac:dyDescent="0.3">
      <c r="A662" s="36" t="s">
        <v>848</v>
      </c>
      <c r="B662" s="38" t="s">
        <v>1329</v>
      </c>
      <c r="C662" s="38" t="s">
        <v>1365</v>
      </c>
      <c r="D662" s="38">
        <v>1000000064</v>
      </c>
      <c r="E662" s="39" t="s">
        <v>1366</v>
      </c>
      <c r="F662" s="40">
        <v>42830</v>
      </c>
      <c r="G662" s="22" t="str">
        <f t="shared" si="140"/>
        <v>Targeted Dealer</v>
      </c>
      <c r="H662" s="22"/>
      <c r="I662" s="23">
        <v>60</v>
      </c>
      <c r="J662" s="23">
        <f t="shared" si="141"/>
        <v>60</v>
      </c>
      <c r="K662" s="24">
        <v>25</v>
      </c>
      <c r="L662" s="24">
        <f t="shared" si="142"/>
        <v>35</v>
      </c>
      <c r="M662" s="24">
        <f t="shared" si="143"/>
        <v>41.666666666666671</v>
      </c>
      <c r="N662" s="25">
        <v>25</v>
      </c>
      <c r="O662" s="26" t="str">
        <f t="shared" si="144"/>
        <v>June</v>
      </c>
      <c r="P662" s="25">
        <f t="shared" si="145"/>
        <v>25</v>
      </c>
      <c r="Q662" s="27">
        <f t="shared" si="146"/>
        <v>0</v>
      </c>
      <c r="R662" s="26" t="b">
        <f t="shared" si="147"/>
        <v>0</v>
      </c>
      <c r="S662" s="28" t="str">
        <f t="shared" si="148"/>
        <v>GROWTH</v>
      </c>
      <c r="T662" s="24">
        <v>50</v>
      </c>
      <c r="U662" s="29" t="str">
        <f t="shared" si="149"/>
        <v>May</v>
      </c>
      <c r="V662" s="24">
        <f t="shared" si="150"/>
        <v>50</v>
      </c>
      <c r="W662" s="30">
        <f t="shared" si="151"/>
        <v>-25</v>
      </c>
      <c r="X662" s="31" t="b">
        <f t="shared" si="152"/>
        <v>0</v>
      </c>
      <c r="Y662" s="32" t="str">
        <f t="shared" si="153"/>
        <v>GROWTH</v>
      </c>
      <c r="Z662" s="41">
        <v>0</v>
      </c>
      <c r="AA662" s="36"/>
      <c r="AB662" s="36" t="s">
        <v>24</v>
      </c>
      <c r="AC662" s="36" t="s">
        <v>848</v>
      </c>
      <c r="AD662" s="34"/>
      <c r="AE662" s="35">
        <f>IFERROR(INDEX([1]Last6M_AvgSales_Ref!$B$2:$B$12659,MATCH(D662,[1]Last6M_AvgSales_Ref!$A$2:$A$12659,0)),"")</f>
        <v>21.5</v>
      </c>
    </row>
    <row r="663" spans="1:31" ht="14.25" customHeight="1" x14ac:dyDescent="0.3">
      <c r="A663" s="36" t="s">
        <v>848</v>
      </c>
      <c r="B663" s="38" t="s">
        <v>1329</v>
      </c>
      <c r="C663" s="38" t="s">
        <v>1367</v>
      </c>
      <c r="D663" s="38">
        <v>1000000028</v>
      </c>
      <c r="E663" s="39" t="s">
        <v>1368</v>
      </c>
      <c r="F663" s="40">
        <v>42935</v>
      </c>
      <c r="G663" s="22" t="str">
        <f t="shared" si="140"/>
        <v>Targeted Dealer</v>
      </c>
      <c r="H663" s="22"/>
      <c r="I663" s="23">
        <v>340</v>
      </c>
      <c r="J663" s="23">
        <f t="shared" si="141"/>
        <v>340</v>
      </c>
      <c r="K663" s="24">
        <v>151</v>
      </c>
      <c r="L663" s="24">
        <f t="shared" si="142"/>
        <v>189</v>
      </c>
      <c r="M663" s="24">
        <f t="shared" si="143"/>
        <v>44.411764705882355</v>
      </c>
      <c r="N663" s="25">
        <v>150</v>
      </c>
      <c r="O663" s="26" t="str">
        <f t="shared" si="144"/>
        <v>June</v>
      </c>
      <c r="P663" s="25">
        <f t="shared" si="145"/>
        <v>150</v>
      </c>
      <c r="Q663" s="27">
        <f t="shared" si="146"/>
        <v>1</v>
      </c>
      <c r="R663" s="26" t="b">
        <f t="shared" si="147"/>
        <v>0</v>
      </c>
      <c r="S663" s="28" t="str">
        <f t="shared" si="148"/>
        <v>GROWTH</v>
      </c>
      <c r="T663" s="24">
        <v>147.5</v>
      </c>
      <c r="U663" s="29" t="str">
        <f t="shared" si="149"/>
        <v>May</v>
      </c>
      <c r="V663" s="24">
        <f t="shared" si="150"/>
        <v>147.5</v>
      </c>
      <c r="W663" s="30">
        <f t="shared" si="151"/>
        <v>3.5</v>
      </c>
      <c r="X663" s="31" t="b">
        <f t="shared" si="152"/>
        <v>0</v>
      </c>
      <c r="Y663" s="32" t="str">
        <f t="shared" si="153"/>
        <v>GROWTH</v>
      </c>
      <c r="Z663" s="41">
        <v>0</v>
      </c>
      <c r="AA663" s="36"/>
      <c r="AB663" s="36" t="s">
        <v>24</v>
      </c>
      <c r="AC663" s="36" t="s">
        <v>848</v>
      </c>
      <c r="AD663" s="34"/>
      <c r="AE663" s="35">
        <f>IFERROR(INDEX([1]Last6M_AvgSales_Ref!$B$2:$B$12659,MATCH(D663,[1]Last6M_AvgSales_Ref!$A$2:$A$12659,0)),"")</f>
        <v>187.666666666667</v>
      </c>
    </row>
    <row r="664" spans="1:31" ht="14.25" customHeight="1" x14ac:dyDescent="0.3">
      <c r="A664" s="36" t="s">
        <v>848</v>
      </c>
      <c r="B664" s="38" t="s">
        <v>1329</v>
      </c>
      <c r="C664" s="38" t="s">
        <v>1369</v>
      </c>
      <c r="D664" s="38">
        <v>1000000060</v>
      </c>
      <c r="E664" s="39" t="s">
        <v>1370</v>
      </c>
      <c r="F664" s="40">
        <v>43131</v>
      </c>
      <c r="G664" s="22" t="str">
        <f t="shared" si="140"/>
        <v>Targeted Dealer</v>
      </c>
      <c r="H664" s="22"/>
      <c r="I664" s="23">
        <v>180</v>
      </c>
      <c r="J664" s="23">
        <f t="shared" si="141"/>
        <v>180</v>
      </c>
      <c r="K664" s="24">
        <v>91.5</v>
      </c>
      <c r="L664" s="24">
        <f t="shared" si="142"/>
        <v>88.5</v>
      </c>
      <c r="M664" s="24">
        <f t="shared" si="143"/>
        <v>50.833333333333329</v>
      </c>
      <c r="N664" s="25">
        <v>65</v>
      </c>
      <c r="O664" s="26" t="str">
        <f t="shared" si="144"/>
        <v>June</v>
      </c>
      <c r="P664" s="25">
        <f t="shared" si="145"/>
        <v>65</v>
      </c>
      <c r="Q664" s="27">
        <f t="shared" si="146"/>
        <v>26.5</v>
      </c>
      <c r="R664" s="26" t="b">
        <f t="shared" si="147"/>
        <v>0</v>
      </c>
      <c r="S664" s="28" t="str">
        <f t="shared" si="148"/>
        <v>GROWTH</v>
      </c>
      <c r="T664" s="24">
        <v>92.5</v>
      </c>
      <c r="U664" s="29" t="str">
        <f t="shared" si="149"/>
        <v>May</v>
      </c>
      <c r="V664" s="24">
        <f t="shared" si="150"/>
        <v>92.5</v>
      </c>
      <c r="W664" s="30">
        <f t="shared" si="151"/>
        <v>-1</v>
      </c>
      <c r="X664" s="31" t="b">
        <f t="shared" si="152"/>
        <v>0</v>
      </c>
      <c r="Y664" s="32" t="str">
        <f t="shared" si="153"/>
        <v>GROWTH</v>
      </c>
      <c r="Z664" s="41">
        <v>0</v>
      </c>
      <c r="AA664" s="36"/>
      <c r="AB664" s="36" t="s">
        <v>24</v>
      </c>
      <c r="AC664" s="36" t="s">
        <v>848</v>
      </c>
      <c r="AD664" s="34"/>
      <c r="AE664" s="35">
        <f>IFERROR(INDEX([1]Last6M_AvgSales_Ref!$B$2:$B$12659,MATCH(D664,[1]Last6M_AvgSales_Ref!$A$2:$A$12659,0)),"")</f>
        <v>72.3333333333333</v>
      </c>
    </row>
    <row r="665" spans="1:31" ht="14.25" customHeight="1" x14ac:dyDescent="0.3">
      <c r="A665" s="36" t="s">
        <v>848</v>
      </c>
      <c r="B665" s="38" t="s">
        <v>1329</v>
      </c>
      <c r="C665" s="38" t="s">
        <v>1371</v>
      </c>
      <c r="D665" s="38">
        <v>1000000024</v>
      </c>
      <c r="E665" s="39" t="s">
        <v>1372</v>
      </c>
      <c r="F665" s="40">
        <v>43134</v>
      </c>
      <c r="G665" s="22" t="str">
        <f t="shared" si="140"/>
        <v>Targeted Dealer</v>
      </c>
      <c r="H665" s="22"/>
      <c r="I665" s="23">
        <v>2800</v>
      </c>
      <c r="J665" s="23">
        <f t="shared" si="141"/>
        <v>2800</v>
      </c>
      <c r="K665" s="24">
        <v>1618.5</v>
      </c>
      <c r="L665" s="24">
        <f t="shared" si="142"/>
        <v>1181.5</v>
      </c>
      <c r="M665" s="24">
        <f t="shared" si="143"/>
        <v>57.803571428571431</v>
      </c>
      <c r="N665" s="25">
        <v>1571.5</v>
      </c>
      <c r="O665" s="26" t="str">
        <f t="shared" si="144"/>
        <v>June</v>
      </c>
      <c r="P665" s="25">
        <f t="shared" si="145"/>
        <v>1571.5</v>
      </c>
      <c r="Q665" s="27">
        <f t="shared" si="146"/>
        <v>47</v>
      </c>
      <c r="R665" s="26" t="b">
        <f t="shared" si="147"/>
        <v>0</v>
      </c>
      <c r="S665" s="28" t="str">
        <f t="shared" si="148"/>
        <v>GROWTH</v>
      </c>
      <c r="T665" s="24">
        <v>1342.15</v>
      </c>
      <c r="U665" s="29" t="str">
        <f t="shared" si="149"/>
        <v>May</v>
      </c>
      <c r="V665" s="24">
        <f t="shared" si="150"/>
        <v>1342.15</v>
      </c>
      <c r="W665" s="30">
        <f t="shared" si="151"/>
        <v>276.34999999999991</v>
      </c>
      <c r="X665" s="31" t="b">
        <f t="shared" si="152"/>
        <v>0</v>
      </c>
      <c r="Y665" s="32" t="str">
        <f t="shared" si="153"/>
        <v>GROWTH</v>
      </c>
      <c r="Z665" s="41">
        <v>0</v>
      </c>
      <c r="AA665" s="36"/>
      <c r="AB665" s="36" t="s">
        <v>24</v>
      </c>
      <c r="AC665" s="36" t="s">
        <v>848</v>
      </c>
      <c r="AD665" s="34"/>
      <c r="AE665" s="35">
        <f>IFERROR(INDEX([1]Last6M_AvgSales_Ref!$B$2:$B$12659,MATCH(D665,[1]Last6M_AvgSales_Ref!$A$2:$A$12659,0)),"")</f>
        <v>1671.88333333333</v>
      </c>
    </row>
    <row r="666" spans="1:31" ht="14.25" customHeight="1" x14ac:dyDescent="0.3">
      <c r="A666" s="36" t="s">
        <v>848</v>
      </c>
      <c r="B666" s="38" t="s">
        <v>1329</v>
      </c>
      <c r="C666" s="38" t="s">
        <v>1373</v>
      </c>
      <c r="D666" s="38">
        <v>1000000058</v>
      </c>
      <c r="E666" s="39" t="s">
        <v>1374</v>
      </c>
      <c r="F666" s="40">
        <v>43313</v>
      </c>
      <c r="G666" s="22" t="str">
        <f t="shared" si="140"/>
        <v>Targeted Dealer</v>
      </c>
      <c r="H666" s="22"/>
      <c r="I666" s="23">
        <v>80</v>
      </c>
      <c r="J666" s="23">
        <f t="shared" si="141"/>
        <v>80</v>
      </c>
      <c r="K666" s="24">
        <v>5</v>
      </c>
      <c r="L666" s="24">
        <f t="shared" si="142"/>
        <v>75</v>
      </c>
      <c r="M666" s="24">
        <f t="shared" si="143"/>
        <v>6.25</v>
      </c>
      <c r="N666" s="25">
        <v>15</v>
      </c>
      <c r="O666" s="26" t="str">
        <f t="shared" si="144"/>
        <v>June</v>
      </c>
      <c r="P666" s="25">
        <f t="shared" si="145"/>
        <v>15</v>
      </c>
      <c r="Q666" s="27">
        <f t="shared" si="146"/>
        <v>-10</v>
      </c>
      <c r="R666" s="26" t="b">
        <f t="shared" si="147"/>
        <v>0</v>
      </c>
      <c r="S666" s="28" t="str">
        <f t="shared" si="148"/>
        <v>GROWTH</v>
      </c>
      <c r="T666" s="24">
        <v>20</v>
      </c>
      <c r="U666" s="29" t="str">
        <f t="shared" si="149"/>
        <v>May</v>
      </c>
      <c r="V666" s="24">
        <f t="shared" si="150"/>
        <v>20</v>
      </c>
      <c r="W666" s="30">
        <f t="shared" si="151"/>
        <v>-15</v>
      </c>
      <c r="X666" s="31" t="b">
        <f t="shared" si="152"/>
        <v>0</v>
      </c>
      <c r="Y666" s="32" t="str">
        <f t="shared" si="153"/>
        <v>GROWTH</v>
      </c>
      <c r="Z666" s="41">
        <v>0</v>
      </c>
      <c r="AA666" s="36"/>
      <c r="AB666" s="36" t="s">
        <v>24</v>
      </c>
      <c r="AC666" s="36" t="s">
        <v>848</v>
      </c>
      <c r="AD666" s="34"/>
      <c r="AE666" s="35">
        <f>IFERROR(INDEX([1]Last6M_AvgSales_Ref!$B$2:$B$12659,MATCH(D666,[1]Last6M_AvgSales_Ref!$A$2:$A$12659,0)),"")</f>
        <v>30</v>
      </c>
    </row>
    <row r="667" spans="1:31" ht="14.25" customHeight="1" x14ac:dyDescent="0.3">
      <c r="A667" s="36" t="s">
        <v>848</v>
      </c>
      <c r="B667" s="38" t="s">
        <v>1329</v>
      </c>
      <c r="C667" s="38" t="s">
        <v>1375</v>
      </c>
      <c r="D667" s="38">
        <v>1000000052</v>
      </c>
      <c r="E667" s="39" t="s">
        <v>1376</v>
      </c>
      <c r="F667" s="40">
        <v>43533</v>
      </c>
      <c r="G667" s="22" t="str">
        <f t="shared" si="140"/>
        <v>Targeted Dealer</v>
      </c>
      <c r="H667" s="22"/>
      <c r="I667" s="23">
        <v>260</v>
      </c>
      <c r="J667" s="23">
        <f t="shared" si="141"/>
        <v>260</v>
      </c>
      <c r="K667" s="24">
        <v>110</v>
      </c>
      <c r="L667" s="24">
        <f t="shared" si="142"/>
        <v>150</v>
      </c>
      <c r="M667" s="24">
        <f t="shared" si="143"/>
        <v>42.307692307692307</v>
      </c>
      <c r="N667" s="25">
        <v>100</v>
      </c>
      <c r="O667" s="26" t="str">
        <f t="shared" si="144"/>
        <v>June</v>
      </c>
      <c r="P667" s="25">
        <f t="shared" si="145"/>
        <v>100</v>
      </c>
      <c r="Q667" s="27">
        <f t="shared" si="146"/>
        <v>10</v>
      </c>
      <c r="R667" s="26" t="b">
        <f t="shared" si="147"/>
        <v>0</v>
      </c>
      <c r="S667" s="28" t="str">
        <f t="shared" si="148"/>
        <v>GROWTH</v>
      </c>
      <c r="T667" s="24">
        <v>75.5</v>
      </c>
      <c r="U667" s="29" t="str">
        <f t="shared" si="149"/>
        <v>May</v>
      </c>
      <c r="V667" s="24">
        <f t="shared" si="150"/>
        <v>75.5</v>
      </c>
      <c r="W667" s="30">
        <f t="shared" si="151"/>
        <v>34.5</v>
      </c>
      <c r="X667" s="31" t="b">
        <f t="shared" si="152"/>
        <v>0</v>
      </c>
      <c r="Y667" s="32" t="str">
        <f t="shared" si="153"/>
        <v>GROWTH</v>
      </c>
      <c r="Z667" s="41">
        <v>0</v>
      </c>
      <c r="AA667" s="36"/>
      <c r="AB667" s="36" t="s">
        <v>24</v>
      </c>
      <c r="AC667" s="36" t="s">
        <v>848</v>
      </c>
      <c r="AD667" s="34"/>
      <c r="AE667" s="35">
        <f>IFERROR(INDEX([1]Last6M_AvgSales_Ref!$B$2:$B$12659,MATCH(D667,[1]Last6M_AvgSales_Ref!$A$2:$A$12659,0)),"")</f>
        <v>176.07499999999999</v>
      </c>
    </row>
    <row r="668" spans="1:31" ht="14.25" customHeight="1" x14ac:dyDescent="0.3">
      <c r="A668" s="36" t="s">
        <v>848</v>
      </c>
      <c r="B668" s="38" t="s">
        <v>1329</v>
      </c>
      <c r="C668" s="38" t="s">
        <v>1377</v>
      </c>
      <c r="D668" s="38">
        <v>1000000023</v>
      </c>
      <c r="E668" s="39" t="s">
        <v>1378</v>
      </c>
      <c r="F668" s="40">
        <v>43549</v>
      </c>
      <c r="G668" s="22" t="str">
        <f t="shared" si="140"/>
        <v>Targeted Dealer</v>
      </c>
      <c r="H668" s="22"/>
      <c r="I668" s="23">
        <v>40</v>
      </c>
      <c r="J668" s="23">
        <f t="shared" si="141"/>
        <v>40</v>
      </c>
      <c r="K668" s="24">
        <v>5</v>
      </c>
      <c r="L668" s="24">
        <f t="shared" si="142"/>
        <v>35</v>
      </c>
      <c r="M668" s="24">
        <f t="shared" si="143"/>
        <v>12.5</v>
      </c>
      <c r="N668" s="25">
        <v>5</v>
      </c>
      <c r="O668" s="26" t="str">
        <f t="shared" si="144"/>
        <v>June</v>
      </c>
      <c r="P668" s="25">
        <f t="shared" si="145"/>
        <v>5</v>
      </c>
      <c r="Q668" s="27">
        <f t="shared" si="146"/>
        <v>0</v>
      </c>
      <c r="R668" s="26" t="b">
        <f t="shared" si="147"/>
        <v>0</v>
      </c>
      <c r="S668" s="28" t="str">
        <f t="shared" si="148"/>
        <v>GROWTH</v>
      </c>
      <c r="T668" s="24">
        <v>5</v>
      </c>
      <c r="U668" s="29" t="str">
        <f t="shared" si="149"/>
        <v>May</v>
      </c>
      <c r="V668" s="24">
        <f t="shared" si="150"/>
        <v>5</v>
      </c>
      <c r="W668" s="30">
        <f t="shared" si="151"/>
        <v>0</v>
      </c>
      <c r="X668" s="31" t="b">
        <f t="shared" si="152"/>
        <v>0</v>
      </c>
      <c r="Y668" s="32" t="str">
        <f t="shared" si="153"/>
        <v>GROWTH</v>
      </c>
      <c r="Z668" s="41">
        <v>0</v>
      </c>
      <c r="AA668" s="36"/>
      <c r="AB668" s="36" t="s">
        <v>24</v>
      </c>
      <c r="AC668" s="36" t="s">
        <v>848</v>
      </c>
      <c r="AD668" s="34"/>
      <c r="AE668" s="35">
        <f>IFERROR(INDEX([1]Last6M_AvgSales_Ref!$B$2:$B$12659,MATCH(D668,[1]Last6M_AvgSales_Ref!$A$2:$A$12659,0)),"")</f>
        <v>3.3333333333333299</v>
      </c>
    </row>
    <row r="669" spans="1:31" ht="14.25" customHeight="1" x14ac:dyDescent="0.3">
      <c r="A669" s="36" t="s">
        <v>848</v>
      </c>
      <c r="B669" s="38" t="s">
        <v>1329</v>
      </c>
      <c r="C669" s="38" t="s">
        <v>1379</v>
      </c>
      <c r="D669" s="38">
        <v>1000000829</v>
      </c>
      <c r="E669" s="39" t="s">
        <v>1380</v>
      </c>
      <c r="F669" s="40">
        <v>43566</v>
      </c>
      <c r="G669" s="22" t="str">
        <f t="shared" si="140"/>
        <v>Targeted Dealer</v>
      </c>
      <c r="H669" s="22"/>
      <c r="I669" s="23">
        <v>200</v>
      </c>
      <c r="J669" s="23">
        <f t="shared" si="141"/>
        <v>200</v>
      </c>
      <c r="K669" s="24">
        <v>48.75</v>
      </c>
      <c r="L669" s="24">
        <f t="shared" si="142"/>
        <v>151.25</v>
      </c>
      <c r="M669" s="24">
        <f t="shared" si="143"/>
        <v>24.375</v>
      </c>
      <c r="N669" s="25">
        <v>40</v>
      </c>
      <c r="O669" s="26" t="str">
        <f t="shared" si="144"/>
        <v>June</v>
      </c>
      <c r="P669" s="25">
        <f t="shared" si="145"/>
        <v>40</v>
      </c>
      <c r="Q669" s="27">
        <f t="shared" si="146"/>
        <v>8.75</v>
      </c>
      <c r="R669" s="26" t="b">
        <f t="shared" si="147"/>
        <v>0</v>
      </c>
      <c r="S669" s="28" t="str">
        <f t="shared" si="148"/>
        <v>GROWTH</v>
      </c>
      <c r="T669" s="24">
        <v>83.3</v>
      </c>
      <c r="U669" s="29" t="str">
        <f t="shared" si="149"/>
        <v>May</v>
      </c>
      <c r="V669" s="24">
        <f t="shared" si="150"/>
        <v>83.3</v>
      </c>
      <c r="W669" s="30">
        <f t="shared" si="151"/>
        <v>-34.549999999999997</v>
      </c>
      <c r="X669" s="31" t="b">
        <f t="shared" si="152"/>
        <v>0</v>
      </c>
      <c r="Y669" s="32" t="str">
        <f t="shared" si="153"/>
        <v>GROWTH</v>
      </c>
      <c r="Z669" s="41">
        <v>0</v>
      </c>
      <c r="AA669" s="36"/>
      <c r="AB669" s="36" t="s">
        <v>24</v>
      </c>
      <c r="AC669" s="36" t="s">
        <v>848</v>
      </c>
      <c r="AD669" s="34"/>
      <c r="AE669" s="35">
        <f>IFERROR(INDEX([1]Last6M_AvgSales_Ref!$B$2:$B$12659,MATCH(D669,[1]Last6M_AvgSales_Ref!$A$2:$A$12659,0)),"")</f>
        <v>111.033333333333</v>
      </c>
    </row>
    <row r="670" spans="1:31" ht="14.25" customHeight="1" x14ac:dyDescent="0.3">
      <c r="A670" s="36" t="s">
        <v>848</v>
      </c>
      <c r="B670" s="38" t="s">
        <v>1329</v>
      </c>
      <c r="C670" s="38" t="s">
        <v>1381</v>
      </c>
      <c r="D670" s="38">
        <v>1000000828</v>
      </c>
      <c r="E670" s="39" t="s">
        <v>1382</v>
      </c>
      <c r="F670" s="40">
        <v>43587</v>
      </c>
      <c r="G670" s="22" t="str">
        <f t="shared" si="140"/>
        <v>Targeted Dealer</v>
      </c>
      <c r="H670" s="22"/>
      <c r="I670" s="23">
        <v>80</v>
      </c>
      <c r="J670" s="23">
        <f t="shared" si="141"/>
        <v>80</v>
      </c>
      <c r="K670" s="24">
        <v>15</v>
      </c>
      <c r="L670" s="24">
        <f t="shared" si="142"/>
        <v>65</v>
      </c>
      <c r="M670" s="24">
        <f t="shared" si="143"/>
        <v>18.75</v>
      </c>
      <c r="N670" s="25">
        <v>40</v>
      </c>
      <c r="O670" s="26" t="str">
        <f t="shared" si="144"/>
        <v>June</v>
      </c>
      <c r="P670" s="25">
        <f t="shared" si="145"/>
        <v>40</v>
      </c>
      <c r="Q670" s="27">
        <f t="shared" si="146"/>
        <v>-25</v>
      </c>
      <c r="R670" s="26" t="b">
        <f t="shared" si="147"/>
        <v>0</v>
      </c>
      <c r="S670" s="28" t="str">
        <f t="shared" si="148"/>
        <v>GROWTH</v>
      </c>
      <c r="T670" s="24">
        <v>0</v>
      </c>
      <c r="U670" s="29" t="str">
        <f t="shared" si="149"/>
        <v>May</v>
      </c>
      <c r="V670" s="24">
        <f t="shared" si="150"/>
        <v>0</v>
      </c>
      <c r="W670" s="30">
        <f t="shared" si="151"/>
        <v>15</v>
      </c>
      <c r="X670" s="31" t="b">
        <f t="shared" si="152"/>
        <v>0</v>
      </c>
      <c r="Y670" s="32" t="b">
        <f t="shared" si="153"/>
        <v>0</v>
      </c>
      <c r="Z670" s="41">
        <v>0</v>
      </c>
      <c r="AA670" s="36"/>
      <c r="AB670" s="36" t="s">
        <v>24</v>
      </c>
      <c r="AC670" s="36" t="s">
        <v>848</v>
      </c>
      <c r="AD670" s="34"/>
      <c r="AE670" s="35">
        <f>IFERROR(INDEX([1]Last6M_AvgSales_Ref!$B$2:$B$12659,MATCH(D670,[1]Last6M_AvgSales_Ref!$A$2:$A$12659,0)),"")</f>
        <v>30</v>
      </c>
    </row>
    <row r="671" spans="1:31" ht="14.25" customHeight="1" x14ac:dyDescent="0.3">
      <c r="A671" s="36" t="s">
        <v>848</v>
      </c>
      <c r="B671" s="38" t="s">
        <v>1329</v>
      </c>
      <c r="C671" s="38" t="s">
        <v>1383</v>
      </c>
      <c r="D671" s="38">
        <v>1000000053</v>
      </c>
      <c r="E671" s="39" t="s">
        <v>1384</v>
      </c>
      <c r="F671" s="40">
        <v>43642</v>
      </c>
      <c r="G671" s="22" t="str">
        <f t="shared" si="140"/>
        <v>Targeted Dealer</v>
      </c>
      <c r="H671" s="22"/>
      <c r="I671" s="23">
        <v>40</v>
      </c>
      <c r="J671" s="23">
        <f t="shared" si="141"/>
        <v>40</v>
      </c>
      <c r="K671" s="24">
        <v>0</v>
      </c>
      <c r="L671" s="24">
        <f t="shared" si="142"/>
        <v>40</v>
      </c>
      <c r="M671" s="24">
        <f t="shared" si="143"/>
        <v>0</v>
      </c>
      <c r="N671" s="25">
        <v>4.5</v>
      </c>
      <c r="O671" s="26" t="str">
        <f t="shared" si="144"/>
        <v>June</v>
      </c>
      <c r="P671" s="25">
        <f t="shared" si="145"/>
        <v>4.5</v>
      </c>
      <c r="Q671" s="27">
        <f t="shared" si="146"/>
        <v>-4.5</v>
      </c>
      <c r="R671" s="26" t="b">
        <f t="shared" si="147"/>
        <v>0</v>
      </c>
      <c r="S671" s="28" t="str">
        <f t="shared" si="148"/>
        <v>GROWTH</v>
      </c>
      <c r="T671" s="24">
        <v>3.5</v>
      </c>
      <c r="U671" s="29" t="str">
        <f t="shared" si="149"/>
        <v>May</v>
      </c>
      <c r="V671" s="24">
        <f t="shared" si="150"/>
        <v>3.5</v>
      </c>
      <c r="W671" s="30">
        <f t="shared" si="151"/>
        <v>-3.5</v>
      </c>
      <c r="X671" s="31" t="b">
        <f t="shared" si="152"/>
        <v>0</v>
      </c>
      <c r="Y671" s="32" t="str">
        <f t="shared" si="153"/>
        <v>GROWTH</v>
      </c>
      <c r="Z671" s="41">
        <v>0</v>
      </c>
      <c r="AA671" s="36"/>
      <c r="AB671" s="36" t="s">
        <v>24</v>
      </c>
      <c r="AC671" s="36" t="s">
        <v>848</v>
      </c>
      <c r="AD671" s="34"/>
      <c r="AE671" s="35">
        <f>IFERROR(INDEX([1]Last6M_AvgSales_Ref!$B$2:$B$12659,MATCH(D671,[1]Last6M_AvgSales_Ref!$A$2:$A$12659,0)),"")</f>
        <v>14.1666666666667</v>
      </c>
    </row>
    <row r="672" spans="1:31" ht="14.25" customHeight="1" x14ac:dyDescent="0.3">
      <c r="A672" s="36" t="s">
        <v>848</v>
      </c>
      <c r="B672" s="38" t="s">
        <v>1329</v>
      </c>
      <c r="C672" s="38" t="s">
        <v>1385</v>
      </c>
      <c r="D672" s="38">
        <v>1000000030</v>
      </c>
      <c r="E672" s="39" t="s">
        <v>1386</v>
      </c>
      <c r="F672" s="40">
        <v>43703</v>
      </c>
      <c r="G672" s="22" t="str">
        <f t="shared" si="140"/>
        <v>Targeted Dealer</v>
      </c>
      <c r="H672" s="22"/>
      <c r="I672" s="23">
        <v>40</v>
      </c>
      <c r="J672" s="23">
        <f t="shared" si="141"/>
        <v>40</v>
      </c>
      <c r="K672" s="24">
        <v>0</v>
      </c>
      <c r="L672" s="24">
        <f t="shared" si="142"/>
        <v>40</v>
      </c>
      <c r="M672" s="24">
        <f t="shared" si="143"/>
        <v>0</v>
      </c>
      <c r="N672" s="25">
        <v>0</v>
      </c>
      <c r="O672" s="26" t="str">
        <f t="shared" si="144"/>
        <v>June</v>
      </c>
      <c r="P672" s="25">
        <f t="shared" si="145"/>
        <v>0</v>
      </c>
      <c r="Q672" s="27">
        <f t="shared" si="146"/>
        <v>0</v>
      </c>
      <c r="R672" s="26" t="b">
        <f t="shared" si="147"/>
        <v>0</v>
      </c>
      <c r="S672" s="28" t="b">
        <f t="shared" si="148"/>
        <v>0</v>
      </c>
      <c r="T672" s="24">
        <v>0</v>
      </c>
      <c r="U672" s="29" t="str">
        <f t="shared" si="149"/>
        <v>May</v>
      </c>
      <c r="V672" s="24">
        <f t="shared" si="150"/>
        <v>0</v>
      </c>
      <c r="W672" s="30">
        <f t="shared" si="151"/>
        <v>0</v>
      </c>
      <c r="X672" s="31" t="b">
        <f t="shared" si="152"/>
        <v>0</v>
      </c>
      <c r="Y672" s="32" t="b">
        <f t="shared" si="153"/>
        <v>0</v>
      </c>
      <c r="Z672" s="41">
        <v>0</v>
      </c>
      <c r="AA672" s="36"/>
      <c r="AB672" s="36" t="s">
        <v>24</v>
      </c>
      <c r="AC672" s="36" t="s">
        <v>848</v>
      </c>
      <c r="AD672" s="34"/>
      <c r="AE672" s="35">
        <f>IFERROR(INDEX([1]Last6M_AvgSales_Ref!$B$2:$B$12659,MATCH(D672,[1]Last6M_AvgSales_Ref!$A$2:$A$12659,0)),"")</f>
        <v>6.25</v>
      </c>
    </row>
    <row r="673" spans="1:31" ht="14.25" customHeight="1" x14ac:dyDescent="0.3">
      <c r="A673" s="36" t="s">
        <v>848</v>
      </c>
      <c r="B673" s="38" t="s">
        <v>1329</v>
      </c>
      <c r="C673" s="38" t="s">
        <v>1387</v>
      </c>
      <c r="D673" s="38">
        <v>1000002391</v>
      </c>
      <c r="E673" s="39" t="s">
        <v>1388</v>
      </c>
      <c r="F673" s="40">
        <v>43876</v>
      </c>
      <c r="G673" s="22" t="str">
        <f t="shared" si="140"/>
        <v>Targeted Dealer</v>
      </c>
      <c r="H673" s="22"/>
      <c r="I673" s="23">
        <v>100</v>
      </c>
      <c r="J673" s="23">
        <f t="shared" si="141"/>
        <v>100</v>
      </c>
      <c r="K673" s="24">
        <v>63.75</v>
      </c>
      <c r="L673" s="24">
        <f t="shared" si="142"/>
        <v>36.25</v>
      </c>
      <c r="M673" s="24">
        <f t="shared" si="143"/>
        <v>63.75</v>
      </c>
      <c r="N673" s="25">
        <v>92.5</v>
      </c>
      <c r="O673" s="26" t="str">
        <f t="shared" si="144"/>
        <v>June</v>
      </c>
      <c r="P673" s="25">
        <f t="shared" si="145"/>
        <v>92.5</v>
      </c>
      <c r="Q673" s="27">
        <f t="shared" si="146"/>
        <v>-28.75</v>
      </c>
      <c r="R673" s="26" t="b">
        <f t="shared" si="147"/>
        <v>0</v>
      </c>
      <c r="S673" s="28" t="str">
        <f t="shared" si="148"/>
        <v>GROWTH</v>
      </c>
      <c r="T673" s="24">
        <v>103.75</v>
      </c>
      <c r="U673" s="29" t="str">
        <f t="shared" si="149"/>
        <v>May</v>
      </c>
      <c r="V673" s="24">
        <f t="shared" si="150"/>
        <v>103.75</v>
      </c>
      <c r="W673" s="30">
        <f t="shared" si="151"/>
        <v>-40</v>
      </c>
      <c r="X673" s="31" t="b">
        <f t="shared" si="152"/>
        <v>0</v>
      </c>
      <c r="Y673" s="32" t="str">
        <f t="shared" si="153"/>
        <v>GROWTH</v>
      </c>
      <c r="Z673" s="41">
        <v>0</v>
      </c>
      <c r="AA673" s="36"/>
      <c r="AB673" s="36" t="s">
        <v>24</v>
      </c>
      <c r="AC673" s="36" t="s">
        <v>848</v>
      </c>
      <c r="AD673" s="34"/>
      <c r="AE673" s="35">
        <f>IFERROR(INDEX([1]Last6M_AvgSales_Ref!$B$2:$B$12659,MATCH(D673,[1]Last6M_AvgSales_Ref!$A$2:$A$12659,0)),"")</f>
        <v>71.125</v>
      </c>
    </row>
    <row r="674" spans="1:31" ht="14.25" customHeight="1" x14ac:dyDescent="0.3">
      <c r="A674" s="36" t="s">
        <v>848</v>
      </c>
      <c r="B674" s="38" t="s">
        <v>1329</v>
      </c>
      <c r="C674" s="38" t="s">
        <v>1389</v>
      </c>
      <c r="D674" s="38">
        <v>1000000049</v>
      </c>
      <c r="E674" s="39" t="s">
        <v>1390</v>
      </c>
      <c r="F674" s="40">
        <v>43887</v>
      </c>
      <c r="G674" s="22" t="str">
        <f t="shared" si="140"/>
        <v>Targeted Dealer</v>
      </c>
      <c r="H674" s="22"/>
      <c r="I674" s="23">
        <v>40</v>
      </c>
      <c r="J674" s="23">
        <f t="shared" si="141"/>
        <v>40</v>
      </c>
      <c r="K674" s="24">
        <v>0</v>
      </c>
      <c r="L674" s="24">
        <f t="shared" si="142"/>
        <v>40</v>
      </c>
      <c r="M674" s="24">
        <f t="shared" si="143"/>
        <v>0</v>
      </c>
      <c r="N674" s="25">
        <v>5</v>
      </c>
      <c r="O674" s="26" t="str">
        <f t="shared" si="144"/>
        <v>June</v>
      </c>
      <c r="P674" s="25">
        <f t="shared" si="145"/>
        <v>5</v>
      </c>
      <c r="Q674" s="27">
        <f t="shared" si="146"/>
        <v>-5</v>
      </c>
      <c r="R674" s="26" t="b">
        <f t="shared" si="147"/>
        <v>0</v>
      </c>
      <c r="S674" s="28" t="str">
        <f t="shared" si="148"/>
        <v>GROWTH</v>
      </c>
      <c r="T674" s="24">
        <v>20</v>
      </c>
      <c r="U674" s="29" t="str">
        <f t="shared" si="149"/>
        <v>May</v>
      </c>
      <c r="V674" s="24">
        <f t="shared" si="150"/>
        <v>20</v>
      </c>
      <c r="W674" s="30">
        <f t="shared" si="151"/>
        <v>-20</v>
      </c>
      <c r="X674" s="31" t="b">
        <f t="shared" si="152"/>
        <v>0</v>
      </c>
      <c r="Y674" s="32" t="str">
        <f t="shared" si="153"/>
        <v>GROWTH</v>
      </c>
      <c r="Z674" s="41">
        <v>0</v>
      </c>
      <c r="AA674" s="36"/>
      <c r="AB674" s="36" t="s">
        <v>24</v>
      </c>
      <c r="AC674" s="36" t="s">
        <v>848</v>
      </c>
      <c r="AD674" s="34"/>
      <c r="AE674" s="35">
        <f>IFERROR(INDEX([1]Last6M_AvgSales_Ref!$B$2:$B$12659,MATCH(D674,[1]Last6M_AvgSales_Ref!$A$2:$A$12659,0)),"")</f>
        <v>6.6666666666666696</v>
      </c>
    </row>
    <row r="675" spans="1:31" ht="14.25" customHeight="1" x14ac:dyDescent="0.3">
      <c r="A675" s="36" t="s">
        <v>848</v>
      </c>
      <c r="B675" s="38" t="s">
        <v>1329</v>
      </c>
      <c r="C675" s="38" t="s">
        <v>1391</v>
      </c>
      <c r="D675" s="38">
        <v>1000000042</v>
      </c>
      <c r="E675" s="39" t="s">
        <v>1392</v>
      </c>
      <c r="F675" s="40">
        <v>43894</v>
      </c>
      <c r="G675" s="22" t="str">
        <f t="shared" si="140"/>
        <v>Targeted Dealer</v>
      </c>
      <c r="H675" s="22"/>
      <c r="I675" s="23">
        <v>220</v>
      </c>
      <c r="J675" s="23">
        <f t="shared" si="141"/>
        <v>220</v>
      </c>
      <c r="K675" s="24">
        <v>81</v>
      </c>
      <c r="L675" s="24">
        <f t="shared" si="142"/>
        <v>139</v>
      </c>
      <c r="M675" s="24">
        <f t="shared" si="143"/>
        <v>36.818181818181813</v>
      </c>
      <c r="N675" s="25">
        <v>40</v>
      </c>
      <c r="O675" s="26" t="str">
        <f t="shared" si="144"/>
        <v>June</v>
      </c>
      <c r="P675" s="25">
        <f t="shared" si="145"/>
        <v>40</v>
      </c>
      <c r="Q675" s="27">
        <f t="shared" si="146"/>
        <v>41</v>
      </c>
      <c r="R675" s="26" t="b">
        <f t="shared" si="147"/>
        <v>0</v>
      </c>
      <c r="S675" s="28" t="str">
        <f t="shared" si="148"/>
        <v>GROWTH</v>
      </c>
      <c r="T675" s="24">
        <v>80</v>
      </c>
      <c r="U675" s="29" t="str">
        <f t="shared" si="149"/>
        <v>May</v>
      </c>
      <c r="V675" s="24">
        <f t="shared" si="150"/>
        <v>80</v>
      </c>
      <c r="W675" s="30">
        <f t="shared" si="151"/>
        <v>1</v>
      </c>
      <c r="X675" s="31" t="b">
        <f t="shared" si="152"/>
        <v>0</v>
      </c>
      <c r="Y675" s="32" t="str">
        <f t="shared" si="153"/>
        <v>GROWTH</v>
      </c>
      <c r="Z675" s="41">
        <v>0</v>
      </c>
      <c r="AA675" s="36"/>
      <c r="AB675" s="36" t="s">
        <v>24</v>
      </c>
      <c r="AC675" s="36" t="s">
        <v>848</v>
      </c>
      <c r="AD675" s="34"/>
      <c r="AE675" s="35">
        <f>IFERROR(INDEX([1]Last6M_AvgSales_Ref!$B$2:$B$12659,MATCH(D675,[1]Last6M_AvgSales_Ref!$A$2:$A$12659,0)),"")</f>
        <v>85.7</v>
      </c>
    </row>
    <row r="676" spans="1:31" ht="14.25" customHeight="1" x14ac:dyDescent="0.3">
      <c r="A676" s="36" t="s">
        <v>848</v>
      </c>
      <c r="B676" s="38" t="s">
        <v>1329</v>
      </c>
      <c r="C676" s="38" t="s">
        <v>1393</v>
      </c>
      <c r="D676" s="38">
        <v>1000000038</v>
      </c>
      <c r="E676" s="39" t="s">
        <v>1394</v>
      </c>
      <c r="F676" s="40">
        <v>43969</v>
      </c>
      <c r="G676" s="22" t="str">
        <f t="shared" si="140"/>
        <v>Targeted Dealer</v>
      </c>
      <c r="H676" s="22"/>
      <c r="I676" s="23">
        <v>1100</v>
      </c>
      <c r="J676" s="23">
        <f t="shared" si="141"/>
        <v>1100</v>
      </c>
      <c r="K676" s="24">
        <v>697.5</v>
      </c>
      <c r="L676" s="24">
        <f t="shared" si="142"/>
        <v>402.5</v>
      </c>
      <c r="M676" s="24">
        <f t="shared" si="143"/>
        <v>63.409090909090907</v>
      </c>
      <c r="N676" s="25">
        <v>616.54999999999995</v>
      </c>
      <c r="O676" s="26" t="str">
        <f t="shared" si="144"/>
        <v>June</v>
      </c>
      <c r="P676" s="25">
        <f t="shared" si="145"/>
        <v>616.54999999999995</v>
      </c>
      <c r="Q676" s="27">
        <f t="shared" si="146"/>
        <v>80.950000000000045</v>
      </c>
      <c r="R676" s="26" t="b">
        <f t="shared" si="147"/>
        <v>0</v>
      </c>
      <c r="S676" s="28" t="str">
        <f t="shared" si="148"/>
        <v>GROWTH</v>
      </c>
      <c r="T676" s="24">
        <v>533</v>
      </c>
      <c r="U676" s="29" t="str">
        <f t="shared" si="149"/>
        <v>May</v>
      </c>
      <c r="V676" s="24">
        <f t="shared" si="150"/>
        <v>533</v>
      </c>
      <c r="W676" s="30">
        <f t="shared" si="151"/>
        <v>164.5</v>
      </c>
      <c r="X676" s="31" t="b">
        <f t="shared" si="152"/>
        <v>0</v>
      </c>
      <c r="Y676" s="32" t="str">
        <f t="shared" si="153"/>
        <v>GROWTH</v>
      </c>
      <c r="Z676" s="41">
        <v>0</v>
      </c>
      <c r="AA676" s="36"/>
      <c r="AB676" s="36" t="s">
        <v>24</v>
      </c>
      <c r="AC676" s="36" t="s">
        <v>848</v>
      </c>
      <c r="AD676" s="34"/>
      <c r="AE676" s="35">
        <f>IFERROR(INDEX([1]Last6M_AvgSales_Ref!$B$2:$B$12659,MATCH(D676,[1]Last6M_AvgSales_Ref!$A$2:$A$12659,0)),"")</f>
        <v>708.5</v>
      </c>
    </row>
    <row r="677" spans="1:31" ht="14.25" customHeight="1" x14ac:dyDescent="0.3">
      <c r="A677" s="36" t="s">
        <v>848</v>
      </c>
      <c r="B677" s="38" t="s">
        <v>1329</v>
      </c>
      <c r="C677" s="38" t="s">
        <v>1395</v>
      </c>
      <c r="D677" s="38">
        <v>1000000062</v>
      </c>
      <c r="E677" s="39" t="s">
        <v>1396</v>
      </c>
      <c r="F677" s="40">
        <v>44197</v>
      </c>
      <c r="G677" s="22" t="str">
        <f t="shared" si="140"/>
        <v>Targeted Dealer</v>
      </c>
      <c r="H677" s="22"/>
      <c r="I677" s="23">
        <v>100</v>
      </c>
      <c r="J677" s="23">
        <f t="shared" si="141"/>
        <v>100</v>
      </c>
      <c r="K677" s="24">
        <v>5</v>
      </c>
      <c r="L677" s="24">
        <f t="shared" si="142"/>
        <v>95</v>
      </c>
      <c r="M677" s="24">
        <f t="shared" si="143"/>
        <v>5</v>
      </c>
      <c r="N677" s="25">
        <v>0</v>
      </c>
      <c r="O677" s="26" t="str">
        <f t="shared" si="144"/>
        <v>June</v>
      </c>
      <c r="P677" s="25">
        <f t="shared" si="145"/>
        <v>0</v>
      </c>
      <c r="Q677" s="27">
        <f t="shared" si="146"/>
        <v>5</v>
      </c>
      <c r="R677" s="26" t="b">
        <f t="shared" si="147"/>
        <v>0</v>
      </c>
      <c r="S677" s="28" t="b">
        <f t="shared" si="148"/>
        <v>0</v>
      </c>
      <c r="T677" s="24">
        <v>25.5</v>
      </c>
      <c r="U677" s="29" t="str">
        <f t="shared" si="149"/>
        <v>May</v>
      </c>
      <c r="V677" s="24">
        <f t="shared" si="150"/>
        <v>25.5</v>
      </c>
      <c r="W677" s="30">
        <f t="shared" si="151"/>
        <v>-20.5</v>
      </c>
      <c r="X677" s="31" t="b">
        <f t="shared" si="152"/>
        <v>0</v>
      </c>
      <c r="Y677" s="32" t="str">
        <f t="shared" si="153"/>
        <v>GROWTH</v>
      </c>
      <c r="Z677" s="41">
        <v>0</v>
      </c>
      <c r="AA677" s="36"/>
      <c r="AB677" s="36" t="s">
        <v>24</v>
      </c>
      <c r="AC677" s="36" t="s">
        <v>848</v>
      </c>
      <c r="AD677" s="34"/>
      <c r="AE677" s="35">
        <f>IFERROR(INDEX([1]Last6M_AvgSales_Ref!$B$2:$B$12659,MATCH(D677,[1]Last6M_AvgSales_Ref!$A$2:$A$12659,0)),"")</f>
        <v>40.8333333333333</v>
      </c>
    </row>
    <row r="678" spans="1:31" ht="14.25" customHeight="1" x14ac:dyDescent="0.3">
      <c r="A678" s="36" t="s">
        <v>848</v>
      </c>
      <c r="B678" s="38" t="s">
        <v>1329</v>
      </c>
      <c r="C678" s="38" t="s">
        <v>1397</v>
      </c>
      <c r="D678" s="38">
        <v>1000000823</v>
      </c>
      <c r="E678" s="39" t="s">
        <v>1398</v>
      </c>
      <c r="F678" s="40">
        <v>44202</v>
      </c>
      <c r="G678" s="22" t="str">
        <f t="shared" si="140"/>
        <v>Targeted Dealer</v>
      </c>
      <c r="H678" s="22"/>
      <c r="I678" s="23">
        <v>60</v>
      </c>
      <c r="J678" s="23">
        <f t="shared" si="141"/>
        <v>60</v>
      </c>
      <c r="K678" s="24">
        <v>30</v>
      </c>
      <c r="L678" s="24">
        <f t="shared" si="142"/>
        <v>30</v>
      </c>
      <c r="M678" s="24">
        <f t="shared" si="143"/>
        <v>50</v>
      </c>
      <c r="N678" s="25">
        <v>45</v>
      </c>
      <c r="O678" s="26" t="str">
        <f t="shared" si="144"/>
        <v>June</v>
      </c>
      <c r="P678" s="25">
        <f t="shared" si="145"/>
        <v>45</v>
      </c>
      <c r="Q678" s="27">
        <f t="shared" si="146"/>
        <v>-15</v>
      </c>
      <c r="R678" s="26" t="b">
        <f t="shared" si="147"/>
        <v>0</v>
      </c>
      <c r="S678" s="28" t="str">
        <f t="shared" si="148"/>
        <v>GROWTH</v>
      </c>
      <c r="T678" s="24">
        <v>0</v>
      </c>
      <c r="U678" s="29" t="str">
        <f t="shared" si="149"/>
        <v>May</v>
      </c>
      <c r="V678" s="24">
        <f t="shared" si="150"/>
        <v>0</v>
      </c>
      <c r="W678" s="30">
        <f t="shared" si="151"/>
        <v>30</v>
      </c>
      <c r="X678" s="31" t="b">
        <f t="shared" si="152"/>
        <v>0</v>
      </c>
      <c r="Y678" s="32" t="b">
        <f t="shared" si="153"/>
        <v>0</v>
      </c>
      <c r="Z678" s="41">
        <v>0</v>
      </c>
      <c r="AA678" s="36"/>
      <c r="AB678" s="36" t="s">
        <v>24</v>
      </c>
      <c r="AC678" s="36" t="s">
        <v>848</v>
      </c>
      <c r="AD678" s="34"/>
      <c r="AE678" s="35">
        <f>IFERROR(INDEX([1]Last6M_AvgSales_Ref!$B$2:$B$12659,MATCH(D678,[1]Last6M_AvgSales_Ref!$A$2:$A$12659,0)),"")</f>
        <v>14.1666666666667</v>
      </c>
    </row>
    <row r="679" spans="1:31" ht="14.25" customHeight="1" x14ac:dyDescent="0.3">
      <c r="A679" s="36" t="s">
        <v>848</v>
      </c>
      <c r="B679" s="38" t="s">
        <v>1329</v>
      </c>
      <c r="C679" s="38" t="s">
        <v>1399</v>
      </c>
      <c r="D679" s="38">
        <v>1000000056</v>
      </c>
      <c r="E679" s="39" t="s">
        <v>1400</v>
      </c>
      <c r="F679" s="40">
        <v>44422</v>
      </c>
      <c r="G679" s="22" t="str">
        <f t="shared" si="140"/>
        <v>Targeted Dealer</v>
      </c>
      <c r="H679" s="22"/>
      <c r="I679" s="23">
        <v>700</v>
      </c>
      <c r="J679" s="23">
        <f t="shared" si="141"/>
        <v>700</v>
      </c>
      <c r="K679" s="24">
        <v>311</v>
      </c>
      <c r="L679" s="24">
        <f t="shared" si="142"/>
        <v>389</v>
      </c>
      <c r="M679" s="24">
        <f t="shared" si="143"/>
        <v>44.428571428571431</v>
      </c>
      <c r="N679" s="25">
        <v>369</v>
      </c>
      <c r="O679" s="26" t="str">
        <f t="shared" si="144"/>
        <v>June</v>
      </c>
      <c r="P679" s="25">
        <f t="shared" si="145"/>
        <v>369</v>
      </c>
      <c r="Q679" s="27">
        <f t="shared" si="146"/>
        <v>-58</v>
      </c>
      <c r="R679" s="26" t="b">
        <f t="shared" si="147"/>
        <v>0</v>
      </c>
      <c r="S679" s="28" t="str">
        <f t="shared" si="148"/>
        <v>GROWTH</v>
      </c>
      <c r="T679" s="24">
        <v>15</v>
      </c>
      <c r="U679" s="29" t="str">
        <f t="shared" si="149"/>
        <v>May</v>
      </c>
      <c r="V679" s="24">
        <f t="shared" si="150"/>
        <v>15</v>
      </c>
      <c r="W679" s="30">
        <f t="shared" si="151"/>
        <v>296</v>
      </c>
      <c r="X679" s="31" t="b">
        <f t="shared" si="152"/>
        <v>0</v>
      </c>
      <c r="Y679" s="32" t="str">
        <f t="shared" si="153"/>
        <v>GROWTH</v>
      </c>
      <c r="Z679" s="41">
        <v>0</v>
      </c>
      <c r="AA679" s="36"/>
      <c r="AB679" s="36" t="s">
        <v>24</v>
      </c>
      <c r="AC679" s="36" t="s">
        <v>848</v>
      </c>
      <c r="AD679" s="34"/>
      <c r="AE679" s="35">
        <f>IFERROR(INDEX([1]Last6M_AvgSales_Ref!$B$2:$B$12659,MATCH(D679,[1]Last6M_AvgSales_Ref!$A$2:$A$12659,0)),"")</f>
        <v>516.1</v>
      </c>
    </row>
    <row r="680" spans="1:31" ht="14.25" customHeight="1" x14ac:dyDescent="0.3">
      <c r="A680" s="36" t="s">
        <v>848</v>
      </c>
      <c r="B680" s="38" t="s">
        <v>1329</v>
      </c>
      <c r="C680" s="38" t="s">
        <v>1401</v>
      </c>
      <c r="D680" s="38">
        <v>1000000033</v>
      </c>
      <c r="E680" s="39" t="s">
        <v>1402</v>
      </c>
      <c r="F680" s="40">
        <v>44462</v>
      </c>
      <c r="G680" s="22" t="str">
        <f t="shared" si="140"/>
        <v>Targeted Dealer</v>
      </c>
      <c r="H680" s="22"/>
      <c r="I680" s="23">
        <v>200</v>
      </c>
      <c r="J680" s="23">
        <f t="shared" si="141"/>
        <v>200</v>
      </c>
      <c r="K680" s="24">
        <v>242.5</v>
      </c>
      <c r="L680" s="24">
        <f t="shared" si="142"/>
        <v>-42.5</v>
      </c>
      <c r="M680" s="24">
        <f t="shared" si="143"/>
        <v>121.25</v>
      </c>
      <c r="N680" s="25">
        <v>146</v>
      </c>
      <c r="O680" s="26" t="str">
        <f t="shared" si="144"/>
        <v>June</v>
      </c>
      <c r="P680" s="25">
        <f t="shared" si="145"/>
        <v>146</v>
      </c>
      <c r="Q680" s="27">
        <f t="shared" si="146"/>
        <v>96.5</v>
      </c>
      <c r="R680" s="26" t="b">
        <f t="shared" si="147"/>
        <v>0</v>
      </c>
      <c r="S680" s="28" t="str">
        <f t="shared" si="148"/>
        <v>GROWTH</v>
      </c>
      <c r="T680" s="24">
        <v>43.75</v>
      </c>
      <c r="U680" s="29" t="str">
        <f t="shared" si="149"/>
        <v>May</v>
      </c>
      <c r="V680" s="24">
        <f t="shared" si="150"/>
        <v>43.75</v>
      </c>
      <c r="W680" s="30">
        <f t="shared" si="151"/>
        <v>198.75</v>
      </c>
      <c r="X680" s="31" t="b">
        <f t="shared" si="152"/>
        <v>0</v>
      </c>
      <c r="Y680" s="32" t="str">
        <f t="shared" si="153"/>
        <v>GROWTH</v>
      </c>
      <c r="Z680" s="41">
        <v>0</v>
      </c>
      <c r="AA680" s="36"/>
      <c r="AB680" s="36" t="s">
        <v>24</v>
      </c>
      <c r="AC680" s="36" t="s">
        <v>848</v>
      </c>
      <c r="AD680" s="34"/>
      <c r="AE680" s="35">
        <f>IFERROR(INDEX([1]Last6M_AvgSales_Ref!$B$2:$B$12659,MATCH(D680,[1]Last6M_AvgSales_Ref!$A$2:$A$12659,0)),"")</f>
        <v>199.208333333333</v>
      </c>
    </row>
    <row r="681" spans="1:31" ht="14.25" customHeight="1" x14ac:dyDescent="0.3">
      <c r="A681" s="36" t="s">
        <v>848</v>
      </c>
      <c r="B681" s="38" t="s">
        <v>1329</v>
      </c>
      <c r="C681" s="38" t="s">
        <v>1403</v>
      </c>
      <c r="D681" s="38">
        <v>1000000826</v>
      </c>
      <c r="E681" s="39" t="s">
        <v>1404</v>
      </c>
      <c r="F681" s="40">
        <v>44462</v>
      </c>
      <c r="G681" s="22" t="str">
        <f t="shared" si="140"/>
        <v>Targeted Dealer</v>
      </c>
      <c r="H681" s="22"/>
      <c r="I681" s="23">
        <v>100</v>
      </c>
      <c r="J681" s="23">
        <f t="shared" si="141"/>
        <v>100</v>
      </c>
      <c r="K681" s="24">
        <v>19</v>
      </c>
      <c r="L681" s="24">
        <f t="shared" si="142"/>
        <v>81</v>
      </c>
      <c r="M681" s="24">
        <f t="shared" si="143"/>
        <v>19</v>
      </c>
      <c r="N681" s="25">
        <v>17.5</v>
      </c>
      <c r="O681" s="26" t="str">
        <f t="shared" si="144"/>
        <v>June</v>
      </c>
      <c r="P681" s="25">
        <f t="shared" si="145"/>
        <v>17.5</v>
      </c>
      <c r="Q681" s="27">
        <f t="shared" si="146"/>
        <v>1.5</v>
      </c>
      <c r="R681" s="26" t="b">
        <f t="shared" si="147"/>
        <v>0</v>
      </c>
      <c r="S681" s="28" t="str">
        <f t="shared" si="148"/>
        <v>GROWTH</v>
      </c>
      <c r="T681" s="24">
        <v>7.5</v>
      </c>
      <c r="U681" s="29" t="str">
        <f t="shared" si="149"/>
        <v>May</v>
      </c>
      <c r="V681" s="24">
        <f t="shared" si="150"/>
        <v>7.5</v>
      </c>
      <c r="W681" s="30">
        <f t="shared" si="151"/>
        <v>11.5</v>
      </c>
      <c r="X681" s="31" t="b">
        <f t="shared" si="152"/>
        <v>0</v>
      </c>
      <c r="Y681" s="32" t="str">
        <f t="shared" si="153"/>
        <v>GROWTH</v>
      </c>
      <c r="Z681" s="41">
        <v>0</v>
      </c>
      <c r="AA681" s="36"/>
      <c r="AB681" s="36" t="s">
        <v>24</v>
      </c>
      <c r="AC681" s="36" t="s">
        <v>848</v>
      </c>
      <c r="AD681" s="34"/>
      <c r="AE681" s="35">
        <f>IFERROR(INDEX([1]Last6M_AvgSales_Ref!$B$2:$B$12659,MATCH(D681,[1]Last6M_AvgSales_Ref!$A$2:$A$12659,0)),"")</f>
        <v>42.766666666666701</v>
      </c>
    </row>
    <row r="682" spans="1:31" ht="14.25" customHeight="1" x14ac:dyDescent="0.3">
      <c r="A682" s="36" t="s">
        <v>848</v>
      </c>
      <c r="B682" s="38" t="s">
        <v>1329</v>
      </c>
      <c r="C682" s="38" t="s">
        <v>1405</v>
      </c>
      <c r="D682" s="38">
        <v>1000000029</v>
      </c>
      <c r="E682" s="39" t="s">
        <v>1406</v>
      </c>
      <c r="F682" s="40">
        <v>44522</v>
      </c>
      <c r="G682" s="22" t="str">
        <f t="shared" si="140"/>
        <v>Targeted Dealer</v>
      </c>
      <c r="H682" s="22"/>
      <c r="I682" s="23">
        <v>80</v>
      </c>
      <c r="J682" s="23">
        <f t="shared" si="141"/>
        <v>80</v>
      </c>
      <c r="K682" s="24">
        <v>55.5</v>
      </c>
      <c r="L682" s="24">
        <f t="shared" si="142"/>
        <v>24.5</v>
      </c>
      <c r="M682" s="24">
        <f t="shared" si="143"/>
        <v>69.375</v>
      </c>
      <c r="N682" s="25">
        <v>51</v>
      </c>
      <c r="O682" s="26" t="str">
        <f t="shared" si="144"/>
        <v>June</v>
      </c>
      <c r="P682" s="25">
        <f t="shared" si="145"/>
        <v>51</v>
      </c>
      <c r="Q682" s="27">
        <f t="shared" si="146"/>
        <v>4.5</v>
      </c>
      <c r="R682" s="26" t="b">
        <f t="shared" si="147"/>
        <v>0</v>
      </c>
      <c r="S682" s="28" t="str">
        <f t="shared" si="148"/>
        <v>GROWTH</v>
      </c>
      <c r="T682" s="24">
        <v>36</v>
      </c>
      <c r="U682" s="29" t="str">
        <f t="shared" si="149"/>
        <v>May</v>
      </c>
      <c r="V682" s="24">
        <f t="shared" si="150"/>
        <v>36</v>
      </c>
      <c r="W682" s="30">
        <f t="shared" si="151"/>
        <v>19.5</v>
      </c>
      <c r="X682" s="31" t="b">
        <f t="shared" si="152"/>
        <v>0</v>
      </c>
      <c r="Y682" s="32" t="str">
        <f t="shared" si="153"/>
        <v>GROWTH</v>
      </c>
      <c r="Z682" s="41">
        <v>0</v>
      </c>
      <c r="AA682" s="36"/>
      <c r="AB682" s="36" t="s">
        <v>24</v>
      </c>
      <c r="AC682" s="36" t="s">
        <v>848</v>
      </c>
      <c r="AD682" s="34"/>
      <c r="AE682" s="35">
        <f>IFERROR(INDEX([1]Last6M_AvgSales_Ref!$B$2:$B$12659,MATCH(D682,[1]Last6M_AvgSales_Ref!$A$2:$A$12659,0)),"")</f>
        <v>38.0833333333333</v>
      </c>
    </row>
    <row r="683" spans="1:31" ht="14.25" customHeight="1" x14ac:dyDescent="0.3">
      <c r="A683" s="36" t="s">
        <v>848</v>
      </c>
      <c r="B683" s="38" t="s">
        <v>1329</v>
      </c>
      <c r="C683" s="38" t="s">
        <v>1407</v>
      </c>
      <c r="D683" s="38">
        <v>1000002744</v>
      </c>
      <c r="E683" s="39" t="s">
        <v>1408</v>
      </c>
      <c r="F683" s="40">
        <v>44691</v>
      </c>
      <c r="G683" s="22" t="str">
        <f t="shared" si="140"/>
        <v>Targeted Dealer</v>
      </c>
      <c r="H683" s="22"/>
      <c r="I683" s="23">
        <v>50</v>
      </c>
      <c r="J683" s="23">
        <f t="shared" si="141"/>
        <v>50</v>
      </c>
      <c r="K683" s="24">
        <v>25</v>
      </c>
      <c r="L683" s="24">
        <f t="shared" si="142"/>
        <v>25</v>
      </c>
      <c r="M683" s="24">
        <f t="shared" si="143"/>
        <v>50</v>
      </c>
      <c r="N683" s="25">
        <v>31</v>
      </c>
      <c r="O683" s="26" t="str">
        <f t="shared" si="144"/>
        <v>June</v>
      </c>
      <c r="P683" s="25">
        <f t="shared" si="145"/>
        <v>31</v>
      </c>
      <c r="Q683" s="27">
        <f t="shared" si="146"/>
        <v>-6</v>
      </c>
      <c r="R683" s="26" t="b">
        <f t="shared" si="147"/>
        <v>0</v>
      </c>
      <c r="S683" s="28" t="str">
        <f t="shared" si="148"/>
        <v>GROWTH</v>
      </c>
      <c r="T683" s="24">
        <v>15</v>
      </c>
      <c r="U683" s="29" t="str">
        <f t="shared" si="149"/>
        <v>May</v>
      </c>
      <c r="V683" s="24">
        <f t="shared" si="150"/>
        <v>15</v>
      </c>
      <c r="W683" s="30">
        <f t="shared" si="151"/>
        <v>10</v>
      </c>
      <c r="X683" s="31" t="b">
        <f t="shared" si="152"/>
        <v>0</v>
      </c>
      <c r="Y683" s="32" t="str">
        <f t="shared" si="153"/>
        <v>GROWTH</v>
      </c>
      <c r="Z683" s="41">
        <v>0</v>
      </c>
      <c r="AA683" s="36"/>
      <c r="AB683" s="36" t="s">
        <v>24</v>
      </c>
      <c r="AC683" s="36" t="s">
        <v>848</v>
      </c>
      <c r="AD683" s="34"/>
      <c r="AE683" s="35">
        <f>IFERROR(INDEX([1]Last6M_AvgSales_Ref!$B$2:$B$12659,MATCH(D683,[1]Last6M_AvgSales_Ref!$A$2:$A$12659,0)),"")</f>
        <v>35</v>
      </c>
    </row>
    <row r="684" spans="1:31" ht="14.25" customHeight="1" x14ac:dyDescent="0.3">
      <c r="A684" s="36" t="s">
        <v>848</v>
      </c>
      <c r="B684" s="38" t="s">
        <v>1329</v>
      </c>
      <c r="C684" s="38" t="s">
        <v>1409</v>
      </c>
      <c r="D684" s="38">
        <v>1000002845</v>
      </c>
      <c r="E684" s="39" t="s">
        <v>1410</v>
      </c>
      <c r="F684" s="40">
        <v>44764</v>
      </c>
      <c r="G684" s="22" t="str">
        <f t="shared" si="140"/>
        <v>Targeted Dealer</v>
      </c>
      <c r="H684" s="22"/>
      <c r="I684" s="23">
        <v>80</v>
      </c>
      <c r="J684" s="23">
        <f t="shared" si="141"/>
        <v>80</v>
      </c>
      <c r="K684" s="24">
        <v>25</v>
      </c>
      <c r="L684" s="24">
        <f t="shared" si="142"/>
        <v>55</v>
      </c>
      <c r="M684" s="24">
        <f t="shared" si="143"/>
        <v>31.25</v>
      </c>
      <c r="N684" s="25">
        <v>14.75</v>
      </c>
      <c r="O684" s="26" t="str">
        <f t="shared" si="144"/>
        <v>June</v>
      </c>
      <c r="P684" s="25">
        <f t="shared" si="145"/>
        <v>14.75</v>
      </c>
      <c r="Q684" s="27">
        <f t="shared" si="146"/>
        <v>10.25</v>
      </c>
      <c r="R684" s="26" t="b">
        <f t="shared" si="147"/>
        <v>0</v>
      </c>
      <c r="S684" s="28" t="str">
        <f t="shared" si="148"/>
        <v>GROWTH</v>
      </c>
      <c r="T684" s="24">
        <v>15</v>
      </c>
      <c r="U684" s="29" t="str">
        <f t="shared" si="149"/>
        <v>May</v>
      </c>
      <c r="V684" s="24">
        <f t="shared" si="150"/>
        <v>15</v>
      </c>
      <c r="W684" s="30">
        <f t="shared" si="151"/>
        <v>10</v>
      </c>
      <c r="X684" s="31" t="b">
        <f t="shared" si="152"/>
        <v>0</v>
      </c>
      <c r="Y684" s="32" t="str">
        <f t="shared" si="153"/>
        <v>GROWTH</v>
      </c>
      <c r="Z684" s="41">
        <v>0</v>
      </c>
      <c r="AA684" s="36"/>
      <c r="AB684" s="36" t="s">
        <v>24</v>
      </c>
      <c r="AC684" s="36" t="s">
        <v>848</v>
      </c>
      <c r="AD684" s="34"/>
      <c r="AE684" s="35">
        <f>IFERROR(INDEX([1]Last6M_AvgSales_Ref!$B$2:$B$12659,MATCH(D684,[1]Last6M_AvgSales_Ref!$A$2:$A$12659,0)),"")</f>
        <v>46.6666666666667</v>
      </c>
    </row>
    <row r="685" spans="1:31" ht="14.25" customHeight="1" x14ac:dyDescent="0.3">
      <c r="A685" s="36" t="s">
        <v>848</v>
      </c>
      <c r="B685" s="38" t="s">
        <v>1329</v>
      </c>
      <c r="C685" s="38" t="s">
        <v>1411</v>
      </c>
      <c r="D685" s="38">
        <v>1000002891</v>
      </c>
      <c r="E685" s="38" t="s">
        <v>1246</v>
      </c>
      <c r="F685" s="40">
        <v>44798</v>
      </c>
      <c r="G685" s="22" t="str">
        <f t="shared" si="140"/>
        <v>Targeted Dealer</v>
      </c>
      <c r="H685" s="22"/>
      <c r="I685" s="23">
        <v>280</v>
      </c>
      <c r="J685" s="23">
        <f t="shared" si="141"/>
        <v>280</v>
      </c>
      <c r="K685" s="24">
        <v>100</v>
      </c>
      <c r="L685" s="24">
        <f t="shared" si="142"/>
        <v>180</v>
      </c>
      <c r="M685" s="24">
        <f t="shared" si="143"/>
        <v>35.714285714285715</v>
      </c>
      <c r="N685" s="25">
        <v>105</v>
      </c>
      <c r="O685" s="26" t="str">
        <f t="shared" si="144"/>
        <v>June</v>
      </c>
      <c r="P685" s="25">
        <f t="shared" si="145"/>
        <v>105</v>
      </c>
      <c r="Q685" s="27">
        <f t="shared" si="146"/>
        <v>-5</v>
      </c>
      <c r="R685" s="26" t="b">
        <f t="shared" si="147"/>
        <v>0</v>
      </c>
      <c r="S685" s="28" t="str">
        <f t="shared" si="148"/>
        <v>GROWTH</v>
      </c>
      <c r="T685" s="24">
        <v>110.5</v>
      </c>
      <c r="U685" s="29" t="str">
        <f t="shared" si="149"/>
        <v>May</v>
      </c>
      <c r="V685" s="24">
        <f t="shared" si="150"/>
        <v>110.5</v>
      </c>
      <c r="W685" s="30">
        <f t="shared" si="151"/>
        <v>-10.5</v>
      </c>
      <c r="X685" s="31" t="b">
        <f t="shared" si="152"/>
        <v>0</v>
      </c>
      <c r="Y685" s="32" t="str">
        <f t="shared" si="153"/>
        <v>GROWTH</v>
      </c>
      <c r="Z685" s="41">
        <v>0</v>
      </c>
      <c r="AA685" s="36"/>
      <c r="AB685" s="36" t="s">
        <v>24</v>
      </c>
      <c r="AC685" s="36" t="s">
        <v>848</v>
      </c>
      <c r="AD685" s="34"/>
      <c r="AE685" s="35">
        <f>IFERROR(INDEX([1]Last6M_AvgSales_Ref!$B$2:$B$12659,MATCH(D685,[1]Last6M_AvgSales_Ref!$A$2:$A$12659,0)),"")</f>
        <v>160.28333333333299</v>
      </c>
    </row>
    <row r="686" spans="1:31" ht="14.25" customHeight="1" x14ac:dyDescent="0.3">
      <c r="A686" s="36" t="s">
        <v>848</v>
      </c>
      <c r="B686" s="38" t="s">
        <v>1329</v>
      </c>
      <c r="C686" s="38" t="s">
        <v>1412</v>
      </c>
      <c r="D686" s="38">
        <v>1000003249</v>
      </c>
      <c r="E686" s="38" t="s">
        <v>1413</v>
      </c>
      <c r="F686" s="40">
        <v>44944</v>
      </c>
      <c r="G686" s="22" t="str">
        <f t="shared" si="140"/>
        <v>Targeted Dealer</v>
      </c>
      <c r="H686" s="22"/>
      <c r="I686" s="23">
        <v>180</v>
      </c>
      <c r="J686" s="23">
        <f t="shared" si="141"/>
        <v>180</v>
      </c>
      <c r="K686" s="24">
        <v>206.7</v>
      </c>
      <c r="L686" s="24">
        <f t="shared" si="142"/>
        <v>-26.699999999999989</v>
      </c>
      <c r="M686" s="24">
        <f t="shared" si="143"/>
        <v>114.83333333333333</v>
      </c>
      <c r="N686" s="25">
        <v>151</v>
      </c>
      <c r="O686" s="26" t="str">
        <f t="shared" si="144"/>
        <v>June</v>
      </c>
      <c r="P686" s="25">
        <f t="shared" si="145"/>
        <v>151</v>
      </c>
      <c r="Q686" s="27">
        <f t="shared" si="146"/>
        <v>55.699999999999989</v>
      </c>
      <c r="R686" s="26" t="b">
        <f t="shared" si="147"/>
        <v>0</v>
      </c>
      <c r="S686" s="28" t="str">
        <f t="shared" si="148"/>
        <v>GROWTH</v>
      </c>
      <c r="T686" s="24">
        <v>60</v>
      </c>
      <c r="U686" s="29" t="str">
        <f t="shared" si="149"/>
        <v>May</v>
      </c>
      <c r="V686" s="24">
        <f t="shared" si="150"/>
        <v>60</v>
      </c>
      <c r="W686" s="30">
        <f t="shared" si="151"/>
        <v>146.69999999999999</v>
      </c>
      <c r="X686" s="31" t="b">
        <f t="shared" si="152"/>
        <v>0</v>
      </c>
      <c r="Y686" s="32" t="str">
        <f t="shared" si="153"/>
        <v>GROWTH</v>
      </c>
      <c r="Z686" s="41">
        <v>0</v>
      </c>
      <c r="AA686" s="36"/>
      <c r="AB686" s="36" t="s">
        <v>24</v>
      </c>
      <c r="AC686" s="36" t="s">
        <v>848</v>
      </c>
      <c r="AD686" s="34"/>
      <c r="AE686" s="35">
        <f>IFERROR(INDEX([1]Last6M_AvgSales_Ref!$B$2:$B$12659,MATCH(D686,[1]Last6M_AvgSales_Ref!$A$2:$A$12659,0)),"")</f>
        <v>176</v>
      </c>
    </row>
    <row r="687" spans="1:31" ht="14.25" customHeight="1" x14ac:dyDescent="0.3">
      <c r="A687" s="36" t="s">
        <v>848</v>
      </c>
      <c r="B687" s="38" t="s">
        <v>1329</v>
      </c>
      <c r="C687" s="38" t="s">
        <v>1414</v>
      </c>
      <c r="D687" s="38">
        <v>1000003783</v>
      </c>
      <c r="E687" s="38" t="s">
        <v>1415</v>
      </c>
      <c r="F687" s="40">
        <v>45271</v>
      </c>
      <c r="G687" s="22" t="str">
        <f t="shared" si="140"/>
        <v>Targeted Dealer</v>
      </c>
      <c r="H687" s="22"/>
      <c r="I687" s="23">
        <v>40</v>
      </c>
      <c r="J687" s="23">
        <f t="shared" si="141"/>
        <v>40</v>
      </c>
      <c r="K687" s="24">
        <v>0</v>
      </c>
      <c r="L687" s="24">
        <f t="shared" si="142"/>
        <v>40</v>
      </c>
      <c r="M687" s="24">
        <f t="shared" si="143"/>
        <v>0</v>
      </c>
      <c r="N687" s="25">
        <v>22.5</v>
      </c>
      <c r="O687" s="26" t="str">
        <f t="shared" si="144"/>
        <v>June</v>
      </c>
      <c r="P687" s="25">
        <f t="shared" si="145"/>
        <v>22.5</v>
      </c>
      <c r="Q687" s="27">
        <f t="shared" si="146"/>
        <v>-22.5</v>
      </c>
      <c r="R687" s="26" t="b">
        <f t="shared" si="147"/>
        <v>0</v>
      </c>
      <c r="S687" s="28" t="str">
        <f t="shared" si="148"/>
        <v>GROWTH</v>
      </c>
      <c r="T687" s="24">
        <v>7.5</v>
      </c>
      <c r="U687" s="29" t="str">
        <f t="shared" si="149"/>
        <v>May</v>
      </c>
      <c r="V687" s="24">
        <f t="shared" si="150"/>
        <v>7.5</v>
      </c>
      <c r="W687" s="30">
        <f t="shared" si="151"/>
        <v>-7.5</v>
      </c>
      <c r="X687" s="31" t="b">
        <f t="shared" si="152"/>
        <v>0</v>
      </c>
      <c r="Y687" s="32" t="str">
        <f t="shared" si="153"/>
        <v>GROWTH</v>
      </c>
      <c r="Z687" s="41">
        <v>0</v>
      </c>
      <c r="AA687" s="36"/>
      <c r="AB687" s="36" t="s">
        <v>24</v>
      </c>
      <c r="AC687" s="36" t="s">
        <v>848</v>
      </c>
      <c r="AD687" s="34"/>
      <c r="AE687" s="35">
        <f>IFERROR(INDEX([1]Last6M_AvgSales_Ref!$B$2:$B$12659,MATCH(D687,[1]Last6M_AvgSales_Ref!$A$2:$A$12659,0)),"")</f>
        <v>7.9166666666666696</v>
      </c>
    </row>
    <row r="688" spans="1:31" ht="14.25" customHeight="1" x14ac:dyDescent="0.3">
      <c r="A688" s="41" t="s">
        <v>848</v>
      </c>
      <c r="B688" s="44" t="s">
        <v>1329</v>
      </c>
      <c r="C688" s="44" t="s">
        <v>1416</v>
      </c>
      <c r="D688" s="44">
        <v>1000003963</v>
      </c>
      <c r="E688" s="44" t="s">
        <v>1417</v>
      </c>
      <c r="F688" s="40">
        <v>45429</v>
      </c>
      <c r="G688" s="22" t="str">
        <f t="shared" si="140"/>
        <v>Targeted Dealer</v>
      </c>
      <c r="H688" s="22"/>
      <c r="I688" s="23">
        <v>100</v>
      </c>
      <c r="J688" s="23">
        <f t="shared" si="141"/>
        <v>100</v>
      </c>
      <c r="K688" s="24">
        <v>7.5</v>
      </c>
      <c r="L688" s="24">
        <f t="shared" si="142"/>
        <v>92.5</v>
      </c>
      <c r="M688" s="24">
        <f t="shared" si="143"/>
        <v>7.5</v>
      </c>
      <c r="N688" s="25">
        <v>35</v>
      </c>
      <c r="O688" s="26" t="str">
        <f t="shared" si="144"/>
        <v>June</v>
      </c>
      <c r="P688" s="25">
        <f t="shared" si="145"/>
        <v>35</v>
      </c>
      <c r="Q688" s="27">
        <f t="shared" si="146"/>
        <v>-27.5</v>
      </c>
      <c r="R688" s="26" t="b">
        <f t="shared" si="147"/>
        <v>0</v>
      </c>
      <c r="S688" s="28" t="str">
        <f t="shared" si="148"/>
        <v>GROWTH</v>
      </c>
      <c r="T688" s="24">
        <v>25.5</v>
      </c>
      <c r="U688" s="29" t="str">
        <f t="shared" si="149"/>
        <v>May</v>
      </c>
      <c r="V688" s="24">
        <f t="shared" si="150"/>
        <v>25.5</v>
      </c>
      <c r="W688" s="30">
        <f t="shared" si="151"/>
        <v>-18</v>
      </c>
      <c r="X688" s="31" t="b">
        <f t="shared" si="152"/>
        <v>0</v>
      </c>
      <c r="Y688" s="32" t="str">
        <f t="shared" si="153"/>
        <v>GROWTH</v>
      </c>
      <c r="Z688" s="41">
        <v>0</v>
      </c>
      <c r="AA688" s="36"/>
      <c r="AB688" s="36" t="s">
        <v>24</v>
      </c>
      <c r="AC688" s="41" t="s">
        <v>848</v>
      </c>
      <c r="AD688" s="34"/>
      <c r="AE688" s="35">
        <f>IFERROR(INDEX([1]Last6M_AvgSales_Ref!$B$2:$B$12659,MATCH(D688,[1]Last6M_AvgSales_Ref!$A$2:$A$12659,0)),"")</f>
        <v>37.0833333333333</v>
      </c>
    </row>
    <row r="689" spans="1:31" ht="14.25" customHeight="1" x14ac:dyDescent="0.3">
      <c r="A689" s="41" t="s">
        <v>848</v>
      </c>
      <c r="B689" s="44" t="s">
        <v>1329</v>
      </c>
      <c r="C689" s="44" t="s">
        <v>1418</v>
      </c>
      <c r="D689" s="44">
        <v>1000003964</v>
      </c>
      <c r="E689" s="44" t="s">
        <v>1419</v>
      </c>
      <c r="F689" s="40">
        <v>45429</v>
      </c>
      <c r="G689" s="22" t="str">
        <f t="shared" si="140"/>
        <v>Targeted Dealer</v>
      </c>
      <c r="H689" s="22"/>
      <c r="I689" s="23">
        <v>100</v>
      </c>
      <c r="J689" s="23">
        <f t="shared" si="141"/>
        <v>100</v>
      </c>
      <c r="K689" s="24">
        <v>26</v>
      </c>
      <c r="L689" s="24">
        <f t="shared" si="142"/>
        <v>74</v>
      </c>
      <c r="M689" s="24">
        <f t="shared" si="143"/>
        <v>26</v>
      </c>
      <c r="N689" s="25">
        <v>25</v>
      </c>
      <c r="O689" s="26" t="str">
        <f t="shared" si="144"/>
        <v>June</v>
      </c>
      <c r="P689" s="25">
        <f t="shared" si="145"/>
        <v>25</v>
      </c>
      <c r="Q689" s="27">
        <f t="shared" si="146"/>
        <v>1</v>
      </c>
      <c r="R689" s="26" t="b">
        <f t="shared" si="147"/>
        <v>0</v>
      </c>
      <c r="S689" s="28" t="str">
        <f t="shared" si="148"/>
        <v>GROWTH</v>
      </c>
      <c r="T689" s="24">
        <v>33.5</v>
      </c>
      <c r="U689" s="29" t="str">
        <f t="shared" si="149"/>
        <v>May</v>
      </c>
      <c r="V689" s="24">
        <f t="shared" si="150"/>
        <v>33.5</v>
      </c>
      <c r="W689" s="30">
        <f t="shared" si="151"/>
        <v>-7.5</v>
      </c>
      <c r="X689" s="31" t="b">
        <f t="shared" si="152"/>
        <v>0</v>
      </c>
      <c r="Y689" s="32" t="str">
        <f t="shared" si="153"/>
        <v>GROWTH</v>
      </c>
      <c r="Z689" s="41">
        <v>0</v>
      </c>
      <c r="AA689" s="36"/>
      <c r="AB689" s="36" t="s">
        <v>24</v>
      </c>
      <c r="AC689" s="41" t="s">
        <v>848</v>
      </c>
      <c r="AD689" s="34"/>
      <c r="AE689" s="35">
        <f>IFERROR(INDEX([1]Last6M_AvgSales_Ref!$B$2:$B$12659,MATCH(D689,[1]Last6M_AvgSales_Ref!$A$2:$A$12659,0)),"")</f>
        <v>59.0833333333333</v>
      </c>
    </row>
    <row r="690" spans="1:31" ht="14.25" customHeight="1" x14ac:dyDescent="0.3">
      <c r="A690" s="36" t="s">
        <v>848</v>
      </c>
      <c r="B690" s="38" t="s">
        <v>1420</v>
      </c>
      <c r="C690" s="38" t="s">
        <v>1421</v>
      </c>
      <c r="D690" s="38">
        <v>1000000790</v>
      </c>
      <c r="E690" s="39" t="s">
        <v>1422</v>
      </c>
      <c r="F690" s="40">
        <v>38565</v>
      </c>
      <c r="G690" s="22" t="str">
        <f t="shared" si="140"/>
        <v>Targeted Dealer</v>
      </c>
      <c r="H690" s="22"/>
      <c r="I690" s="23">
        <v>1600</v>
      </c>
      <c r="J690" s="23">
        <f t="shared" si="141"/>
        <v>1600</v>
      </c>
      <c r="K690" s="24">
        <v>866.5</v>
      </c>
      <c r="L690" s="24">
        <f t="shared" si="142"/>
        <v>733.5</v>
      </c>
      <c r="M690" s="24">
        <f t="shared" si="143"/>
        <v>54.15625</v>
      </c>
      <c r="N690" s="25">
        <v>800</v>
      </c>
      <c r="O690" s="26" t="str">
        <f t="shared" si="144"/>
        <v>June</v>
      </c>
      <c r="P690" s="25">
        <f t="shared" si="145"/>
        <v>800</v>
      </c>
      <c r="Q690" s="27">
        <f t="shared" si="146"/>
        <v>66.5</v>
      </c>
      <c r="R690" s="26" t="b">
        <f t="shared" si="147"/>
        <v>0</v>
      </c>
      <c r="S690" s="28" t="str">
        <f t="shared" si="148"/>
        <v>GROWTH</v>
      </c>
      <c r="T690" s="24">
        <v>747.5</v>
      </c>
      <c r="U690" s="29" t="str">
        <f t="shared" si="149"/>
        <v>May</v>
      </c>
      <c r="V690" s="24">
        <f t="shared" si="150"/>
        <v>747.5</v>
      </c>
      <c r="W690" s="30">
        <f t="shared" si="151"/>
        <v>119</v>
      </c>
      <c r="X690" s="31" t="b">
        <f t="shared" si="152"/>
        <v>0</v>
      </c>
      <c r="Y690" s="32" t="str">
        <f t="shared" si="153"/>
        <v>GROWTH</v>
      </c>
      <c r="Z690" s="41">
        <v>0</v>
      </c>
      <c r="AA690" s="36"/>
      <c r="AB690" s="36" t="s">
        <v>24</v>
      </c>
      <c r="AC690" s="36" t="s">
        <v>848</v>
      </c>
      <c r="AD690" s="34"/>
      <c r="AE690" s="35">
        <f>IFERROR(INDEX([1]Last6M_AvgSales_Ref!$B$2:$B$12659,MATCH(D690,[1]Last6M_AvgSales_Ref!$A$2:$A$12659,0)),"")</f>
        <v>1164.50833333333</v>
      </c>
    </row>
    <row r="691" spans="1:31" ht="14.25" customHeight="1" x14ac:dyDescent="0.3">
      <c r="A691" s="36" t="s">
        <v>848</v>
      </c>
      <c r="B691" s="38" t="s">
        <v>1420</v>
      </c>
      <c r="C691" s="38" t="s">
        <v>1423</v>
      </c>
      <c r="D691" s="38">
        <v>1000000804</v>
      </c>
      <c r="E691" s="39" t="s">
        <v>1424</v>
      </c>
      <c r="F691" s="40">
        <v>38565</v>
      </c>
      <c r="G691" s="22" t="str">
        <f t="shared" si="140"/>
        <v>Targeted Dealer</v>
      </c>
      <c r="H691" s="22"/>
      <c r="I691" s="23">
        <v>70</v>
      </c>
      <c r="J691" s="23">
        <f t="shared" si="141"/>
        <v>70</v>
      </c>
      <c r="K691" s="24">
        <v>40</v>
      </c>
      <c r="L691" s="24">
        <f t="shared" si="142"/>
        <v>30</v>
      </c>
      <c r="M691" s="24">
        <f t="shared" si="143"/>
        <v>57.142857142857146</v>
      </c>
      <c r="N691" s="25">
        <v>15</v>
      </c>
      <c r="O691" s="26" t="str">
        <f t="shared" si="144"/>
        <v>June</v>
      </c>
      <c r="P691" s="25">
        <f t="shared" si="145"/>
        <v>15</v>
      </c>
      <c r="Q691" s="27">
        <f t="shared" si="146"/>
        <v>25</v>
      </c>
      <c r="R691" s="26" t="b">
        <f t="shared" si="147"/>
        <v>0</v>
      </c>
      <c r="S691" s="28" t="str">
        <f t="shared" si="148"/>
        <v>GROWTH</v>
      </c>
      <c r="T691" s="24">
        <v>15</v>
      </c>
      <c r="U691" s="29" t="str">
        <f t="shared" si="149"/>
        <v>May</v>
      </c>
      <c r="V691" s="24">
        <f t="shared" si="150"/>
        <v>15</v>
      </c>
      <c r="W691" s="30">
        <f t="shared" si="151"/>
        <v>25</v>
      </c>
      <c r="X691" s="31" t="b">
        <f t="shared" si="152"/>
        <v>0</v>
      </c>
      <c r="Y691" s="32" t="str">
        <f t="shared" si="153"/>
        <v>GROWTH</v>
      </c>
      <c r="Z691" s="41">
        <v>0</v>
      </c>
      <c r="AA691" s="36"/>
      <c r="AB691" s="36" t="s">
        <v>24</v>
      </c>
      <c r="AC691" s="36" t="s">
        <v>848</v>
      </c>
      <c r="AD691" s="34"/>
      <c r="AE691" s="35">
        <f>IFERROR(INDEX([1]Last6M_AvgSales_Ref!$B$2:$B$12659,MATCH(D691,[1]Last6M_AvgSales_Ref!$A$2:$A$12659,0)),"")</f>
        <v>23.75</v>
      </c>
    </row>
    <row r="692" spans="1:31" ht="14.25" customHeight="1" x14ac:dyDescent="0.3">
      <c r="A692" s="36" t="s">
        <v>848</v>
      </c>
      <c r="B692" s="38" t="s">
        <v>1420</v>
      </c>
      <c r="C692" s="38" t="s">
        <v>1425</v>
      </c>
      <c r="D692" s="38">
        <v>1000000794</v>
      </c>
      <c r="E692" s="39" t="s">
        <v>1426</v>
      </c>
      <c r="F692" s="40">
        <v>38654</v>
      </c>
      <c r="G692" s="22" t="str">
        <f t="shared" si="140"/>
        <v>Targeted Dealer</v>
      </c>
      <c r="H692" s="22"/>
      <c r="I692" s="23">
        <v>100</v>
      </c>
      <c r="J692" s="23">
        <f t="shared" si="141"/>
        <v>100</v>
      </c>
      <c r="K692" s="24">
        <v>65.5</v>
      </c>
      <c r="L692" s="24">
        <f t="shared" si="142"/>
        <v>34.5</v>
      </c>
      <c r="M692" s="24">
        <f t="shared" si="143"/>
        <v>65.5</v>
      </c>
      <c r="N692" s="25">
        <v>40</v>
      </c>
      <c r="O692" s="26" t="str">
        <f t="shared" si="144"/>
        <v>June</v>
      </c>
      <c r="P692" s="25">
        <f t="shared" si="145"/>
        <v>40</v>
      </c>
      <c r="Q692" s="27">
        <f t="shared" si="146"/>
        <v>25.5</v>
      </c>
      <c r="R692" s="26" t="b">
        <f t="shared" si="147"/>
        <v>0</v>
      </c>
      <c r="S692" s="28" t="str">
        <f t="shared" si="148"/>
        <v>GROWTH</v>
      </c>
      <c r="T692" s="24">
        <v>15</v>
      </c>
      <c r="U692" s="29" t="str">
        <f t="shared" si="149"/>
        <v>May</v>
      </c>
      <c r="V692" s="24">
        <f t="shared" si="150"/>
        <v>15</v>
      </c>
      <c r="W692" s="30">
        <f t="shared" si="151"/>
        <v>50.5</v>
      </c>
      <c r="X692" s="31" t="b">
        <f t="shared" si="152"/>
        <v>0</v>
      </c>
      <c r="Y692" s="32" t="str">
        <f t="shared" si="153"/>
        <v>GROWTH</v>
      </c>
      <c r="Z692" s="41">
        <v>0</v>
      </c>
      <c r="AA692" s="36"/>
      <c r="AB692" s="36" t="s">
        <v>24</v>
      </c>
      <c r="AC692" s="36" t="s">
        <v>848</v>
      </c>
      <c r="AD692" s="34"/>
      <c r="AE692" s="35">
        <f>IFERROR(INDEX([1]Last6M_AvgSales_Ref!$B$2:$B$12659,MATCH(D692,[1]Last6M_AvgSales_Ref!$A$2:$A$12659,0)),"")</f>
        <v>49.358333333333299</v>
      </c>
    </row>
    <row r="693" spans="1:31" ht="14.25" customHeight="1" x14ac:dyDescent="0.3">
      <c r="A693" s="36" t="s">
        <v>848</v>
      </c>
      <c r="B693" s="38" t="s">
        <v>1420</v>
      </c>
      <c r="C693" s="38" t="s">
        <v>1427</v>
      </c>
      <c r="D693" s="38">
        <v>1000000806</v>
      </c>
      <c r="E693" s="39" t="s">
        <v>1428</v>
      </c>
      <c r="F693" s="40">
        <v>40794</v>
      </c>
      <c r="G693" s="22" t="str">
        <f t="shared" si="140"/>
        <v>Targeted Dealer</v>
      </c>
      <c r="H693" s="22"/>
      <c r="I693" s="23">
        <v>510</v>
      </c>
      <c r="J693" s="23">
        <f t="shared" si="141"/>
        <v>510</v>
      </c>
      <c r="K693" s="24">
        <v>262.5</v>
      </c>
      <c r="L693" s="24">
        <f t="shared" si="142"/>
        <v>247.5</v>
      </c>
      <c r="M693" s="24">
        <f t="shared" si="143"/>
        <v>51.470588235294123</v>
      </c>
      <c r="N693" s="25">
        <v>276.7</v>
      </c>
      <c r="O693" s="26" t="str">
        <f t="shared" si="144"/>
        <v>June</v>
      </c>
      <c r="P693" s="25">
        <f t="shared" si="145"/>
        <v>276.7</v>
      </c>
      <c r="Q693" s="27">
        <f t="shared" si="146"/>
        <v>-14.199999999999989</v>
      </c>
      <c r="R693" s="26" t="b">
        <f t="shared" si="147"/>
        <v>0</v>
      </c>
      <c r="S693" s="28" t="str">
        <f t="shared" si="148"/>
        <v>GROWTH</v>
      </c>
      <c r="T693" s="24">
        <v>225.5</v>
      </c>
      <c r="U693" s="29" t="str">
        <f t="shared" si="149"/>
        <v>May</v>
      </c>
      <c r="V693" s="24">
        <f t="shared" si="150"/>
        <v>225.5</v>
      </c>
      <c r="W693" s="30">
        <f t="shared" si="151"/>
        <v>37</v>
      </c>
      <c r="X693" s="31" t="b">
        <f t="shared" si="152"/>
        <v>0</v>
      </c>
      <c r="Y693" s="32" t="str">
        <f t="shared" si="153"/>
        <v>GROWTH</v>
      </c>
      <c r="Z693" s="41">
        <v>0</v>
      </c>
      <c r="AA693" s="36"/>
      <c r="AB693" s="36" t="s">
        <v>24</v>
      </c>
      <c r="AC693" s="36" t="s">
        <v>848</v>
      </c>
      <c r="AD693" s="34"/>
      <c r="AE693" s="35">
        <f>IFERROR(INDEX([1]Last6M_AvgSales_Ref!$B$2:$B$12659,MATCH(D693,[1]Last6M_AvgSales_Ref!$A$2:$A$12659,0)),"")</f>
        <v>296.04166666666703</v>
      </c>
    </row>
    <row r="694" spans="1:31" ht="14.25" customHeight="1" x14ac:dyDescent="0.3">
      <c r="A694" s="36" t="s">
        <v>848</v>
      </c>
      <c r="B694" s="38" t="s">
        <v>1420</v>
      </c>
      <c r="C694" s="38" t="s">
        <v>1429</v>
      </c>
      <c r="D694" s="38">
        <v>1000000789</v>
      </c>
      <c r="E694" s="39" t="s">
        <v>1430</v>
      </c>
      <c r="F694" s="40">
        <v>41398</v>
      </c>
      <c r="G694" s="22" t="str">
        <f t="shared" si="140"/>
        <v>Targeted Dealer</v>
      </c>
      <c r="H694" s="22"/>
      <c r="I694" s="23">
        <v>130</v>
      </c>
      <c r="J694" s="23">
        <f t="shared" si="141"/>
        <v>130</v>
      </c>
      <c r="K694" s="24">
        <v>20</v>
      </c>
      <c r="L694" s="24">
        <f t="shared" si="142"/>
        <v>110</v>
      </c>
      <c r="M694" s="24">
        <f t="shared" si="143"/>
        <v>15.384615384615383</v>
      </c>
      <c r="N694" s="25">
        <v>52.5</v>
      </c>
      <c r="O694" s="26" t="str">
        <f t="shared" si="144"/>
        <v>June</v>
      </c>
      <c r="P694" s="25">
        <f t="shared" si="145"/>
        <v>52.5</v>
      </c>
      <c r="Q694" s="27">
        <f t="shared" si="146"/>
        <v>-32.5</v>
      </c>
      <c r="R694" s="26" t="b">
        <f t="shared" si="147"/>
        <v>0</v>
      </c>
      <c r="S694" s="28" t="str">
        <f t="shared" si="148"/>
        <v>GROWTH</v>
      </c>
      <c r="T694" s="24">
        <v>82.5</v>
      </c>
      <c r="U694" s="29" t="str">
        <f t="shared" si="149"/>
        <v>May</v>
      </c>
      <c r="V694" s="24">
        <f t="shared" si="150"/>
        <v>82.5</v>
      </c>
      <c r="W694" s="30">
        <f t="shared" si="151"/>
        <v>-62.5</v>
      </c>
      <c r="X694" s="31" t="b">
        <f t="shared" si="152"/>
        <v>0</v>
      </c>
      <c r="Y694" s="32" t="str">
        <f t="shared" si="153"/>
        <v>GROWTH</v>
      </c>
      <c r="Z694" s="41">
        <v>0</v>
      </c>
      <c r="AA694" s="36"/>
      <c r="AB694" s="36" t="s">
        <v>24</v>
      </c>
      <c r="AC694" s="36" t="s">
        <v>848</v>
      </c>
      <c r="AD694" s="34"/>
      <c r="AE694" s="35">
        <f>IFERROR(INDEX([1]Last6M_AvgSales_Ref!$B$2:$B$12659,MATCH(D694,[1]Last6M_AvgSales_Ref!$A$2:$A$12659,0)),"")</f>
        <v>61</v>
      </c>
    </row>
    <row r="695" spans="1:31" ht="14.25" customHeight="1" x14ac:dyDescent="0.3">
      <c r="A695" s="36" t="s">
        <v>848</v>
      </c>
      <c r="B695" s="38" t="s">
        <v>1420</v>
      </c>
      <c r="C695" s="38" t="s">
        <v>1431</v>
      </c>
      <c r="D695" s="38">
        <v>1000000805</v>
      </c>
      <c r="E695" s="39" t="s">
        <v>1432</v>
      </c>
      <c r="F695" s="40">
        <v>41403</v>
      </c>
      <c r="G695" s="22" t="str">
        <f t="shared" si="140"/>
        <v>Targeted Dealer</v>
      </c>
      <c r="H695" s="22"/>
      <c r="I695" s="23">
        <v>200</v>
      </c>
      <c r="J695" s="23">
        <f t="shared" si="141"/>
        <v>200</v>
      </c>
      <c r="K695" s="24">
        <v>97.5</v>
      </c>
      <c r="L695" s="24">
        <f t="shared" si="142"/>
        <v>102.5</v>
      </c>
      <c r="M695" s="24">
        <f t="shared" si="143"/>
        <v>48.75</v>
      </c>
      <c r="N695" s="25">
        <v>145</v>
      </c>
      <c r="O695" s="26" t="str">
        <f t="shared" si="144"/>
        <v>June</v>
      </c>
      <c r="P695" s="25">
        <f t="shared" si="145"/>
        <v>145</v>
      </c>
      <c r="Q695" s="27">
        <f t="shared" si="146"/>
        <v>-47.5</v>
      </c>
      <c r="R695" s="26" t="b">
        <f t="shared" si="147"/>
        <v>0</v>
      </c>
      <c r="S695" s="28" t="str">
        <f t="shared" si="148"/>
        <v>GROWTH</v>
      </c>
      <c r="T695" s="24">
        <v>98.5</v>
      </c>
      <c r="U695" s="29" t="str">
        <f t="shared" si="149"/>
        <v>May</v>
      </c>
      <c r="V695" s="24">
        <f t="shared" si="150"/>
        <v>98.5</v>
      </c>
      <c r="W695" s="30">
        <f t="shared" si="151"/>
        <v>-1</v>
      </c>
      <c r="X695" s="31" t="b">
        <f t="shared" si="152"/>
        <v>0</v>
      </c>
      <c r="Y695" s="32" t="str">
        <f t="shared" si="153"/>
        <v>GROWTH</v>
      </c>
      <c r="Z695" s="41">
        <v>0</v>
      </c>
      <c r="AA695" s="36"/>
      <c r="AB695" s="36" t="s">
        <v>24</v>
      </c>
      <c r="AC695" s="36" t="s">
        <v>848</v>
      </c>
      <c r="AD695" s="34"/>
      <c r="AE695" s="35">
        <f>IFERROR(INDEX([1]Last6M_AvgSales_Ref!$B$2:$B$12659,MATCH(D695,[1]Last6M_AvgSales_Ref!$A$2:$A$12659,0)),"")</f>
        <v>155.9</v>
      </c>
    </row>
    <row r="696" spans="1:31" ht="14.25" customHeight="1" x14ac:dyDescent="0.3">
      <c r="A696" s="36" t="s">
        <v>848</v>
      </c>
      <c r="B696" s="38" t="s">
        <v>1420</v>
      </c>
      <c r="C696" s="38" t="s">
        <v>1433</v>
      </c>
      <c r="D696" s="38">
        <v>1000000808</v>
      </c>
      <c r="E696" s="39" t="s">
        <v>1434</v>
      </c>
      <c r="F696" s="40">
        <v>41411</v>
      </c>
      <c r="G696" s="22" t="str">
        <f t="shared" si="140"/>
        <v>Targeted Dealer</v>
      </c>
      <c r="H696" s="22"/>
      <c r="I696" s="23">
        <v>600</v>
      </c>
      <c r="J696" s="23">
        <f t="shared" si="141"/>
        <v>600</v>
      </c>
      <c r="K696" s="24">
        <v>281</v>
      </c>
      <c r="L696" s="24">
        <f t="shared" si="142"/>
        <v>319</v>
      </c>
      <c r="M696" s="24">
        <f t="shared" si="143"/>
        <v>46.833333333333336</v>
      </c>
      <c r="N696" s="25">
        <v>241</v>
      </c>
      <c r="O696" s="26" t="str">
        <f t="shared" si="144"/>
        <v>June</v>
      </c>
      <c r="P696" s="25">
        <f t="shared" si="145"/>
        <v>241</v>
      </c>
      <c r="Q696" s="27">
        <f t="shared" si="146"/>
        <v>40</v>
      </c>
      <c r="R696" s="26" t="b">
        <f t="shared" si="147"/>
        <v>0</v>
      </c>
      <c r="S696" s="28" t="str">
        <f t="shared" si="148"/>
        <v>GROWTH</v>
      </c>
      <c r="T696" s="24">
        <v>322.5</v>
      </c>
      <c r="U696" s="29" t="str">
        <f t="shared" si="149"/>
        <v>May</v>
      </c>
      <c r="V696" s="24">
        <f t="shared" si="150"/>
        <v>322.5</v>
      </c>
      <c r="W696" s="30">
        <f t="shared" si="151"/>
        <v>-41.5</v>
      </c>
      <c r="X696" s="31" t="b">
        <f t="shared" si="152"/>
        <v>0</v>
      </c>
      <c r="Y696" s="32" t="str">
        <f t="shared" si="153"/>
        <v>GROWTH</v>
      </c>
      <c r="Z696" s="41">
        <v>0</v>
      </c>
      <c r="AA696" s="36"/>
      <c r="AB696" s="36" t="s">
        <v>24</v>
      </c>
      <c r="AC696" s="36" t="s">
        <v>848</v>
      </c>
      <c r="AD696" s="34"/>
      <c r="AE696" s="35">
        <f>IFERROR(INDEX([1]Last6M_AvgSales_Ref!$B$2:$B$12659,MATCH(D696,[1]Last6M_AvgSales_Ref!$A$2:$A$12659,0)),"")</f>
        <v>283.691666666667</v>
      </c>
    </row>
    <row r="697" spans="1:31" ht="14.25" customHeight="1" x14ac:dyDescent="0.3">
      <c r="A697" s="36" t="s">
        <v>848</v>
      </c>
      <c r="B697" s="38" t="s">
        <v>1420</v>
      </c>
      <c r="C697" s="38" t="s">
        <v>1435</v>
      </c>
      <c r="D697" s="38">
        <v>1000000798</v>
      </c>
      <c r="E697" s="39" t="s">
        <v>1436</v>
      </c>
      <c r="F697" s="40">
        <v>41416</v>
      </c>
      <c r="G697" s="22" t="str">
        <f t="shared" si="140"/>
        <v>Targeted Dealer</v>
      </c>
      <c r="H697" s="22"/>
      <c r="I697" s="23">
        <v>130</v>
      </c>
      <c r="J697" s="23">
        <f t="shared" si="141"/>
        <v>130</v>
      </c>
      <c r="K697" s="24">
        <v>65.5</v>
      </c>
      <c r="L697" s="24">
        <f t="shared" si="142"/>
        <v>64.5</v>
      </c>
      <c r="M697" s="24">
        <f t="shared" si="143"/>
        <v>50.38461538461538</v>
      </c>
      <c r="N697" s="25">
        <v>60</v>
      </c>
      <c r="O697" s="26" t="str">
        <f t="shared" si="144"/>
        <v>June</v>
      </c>
      <c r="P697" s="25">
        <f t="shared" si="145"/>
        <v>60</v>
      </c>
      <c r="Q697" s="27">
        <f t="shared" si="146"/>
        <v>5.5</v>
      </c>
      <c r="R697" s="26" t="b">
        <f t="shared" si="147"/>
        <v>0</v>
      </c>
      <c r="S697" s="28" t="str">
        <f t="shared" si="148"/>
        <v>GROWTH</v>
      </c>
      <c r="T697" s="24">
        <v>75</v>
      </c>
      <c r="U697" s="29" t="str">
        <f t="shared" si="149"/>
        <v>May</v>
      </c>
      <c r="V697" s="24">
        <f t="shared" si="150"/>
        <v>75</v>
      </c>
      <c r="W697" s="30">
        <f t="shared" si="151"/>
        <v>-9.5</v>
      </c>
      <c r="X697" s="31" t="b">
        <f t="shared" si="152"/>
        <v>0</v>
      </c>
      <c r="Y697" s="32" t="str">
        <f t="shared" si="153"/>
        <v>GROWTH</v>
      </c>
      <c r="Z697" s="41">
        <v>0</v>
      </c>
      <c r="AA697" s="36"/>
      <c r="AB697" s="36" t="s">
        <v>24</v>
      </c>
      <c r="AC697" s="36" t="s">
        <v>848</v>
      </c>
      <c r="AD697" s="34"/>
      <c r="AE697" s="35">
        <f>IFERROR(INDEX([1]Last6M_AvgSales_Ref!$B$2:$B$12659,MATCH(D697,[1]Last6M_AvgSales_Ref!$A$2:$A$12659,0)),"")</f>
        <v>62.6666666666667</v>
      </c>
    </row>
    <row r="698" spans="1:31" ht="14.25" customHeight="1" x14ac:dyDescent="0.3">
      <c r="A698" s="36" t="s">
        <v>848</v>
      </c>
      <c r="B698" s="38" t="s">
        <v>1420</v>
      </c>
      <c r="C698" s="38" t="s">
        <v>1437</v>
      </c>
      <c r="D698" s="38">
        <v>1000000797</v>
      </c>
      <c r="E698" s="39" t="s">
        <v>1438</v>
      </c>
      <c r="F698" s="40">
        <v>41422</v>
      </c>
      <c r="G698" s="22" t="str">
        <f t="shared" si="140"/>
        <v>Targeted Dealer</v>
      </c>
      <c r="H698" s="22"/>
      <c r="I698" s="23">
        <v>320</v>
      </c>
      <c r="J698" s="23">
        <f t="shared" si="141"/>
        <v>320</v>
      </c>
      <c r="K698" s="24">
        <v>180</v>
      </c>
      <c r="L698" s="24">
        <f t="shared" si="142"/>
        <v>140</v>
      </c>
      <c r="M698" s="24">
        <f t="shared" si="143"/>
        <v>56.25</v>
      </c>
      <c r="N698" s="25">
        <v>201</v>
      </c>
      <c r="O698" s="26" t="str">
        <f t="shared" si="144"/>
        <v>June</v>
      </c>
      <c r="P698" s="25">
        <f t="shared" si="145"/>
        <v>201</v>
      </c>
      <c r="Q698" s="27">
        <f t="shared" si="146"/>
        <v>-21</v>
      </c>
      <c r="R698" s="26" t="b">
        <f t="shared" si="147"/>
        <v>0</v>
      </c>
      <c r="S698" s="28" t="str">
        <f t="shared" si="148"/>
        <v>GROWTH</v>
      </c>
      <c r="T698" s="24">
        <v>163.5</v>
      </c>
      <c r="U698" s="29" t="str">
        <f t="shared" si="149"/>
        <v>May</v>
      </c>
      <c r="V698" s="24">
        <f t="shared" si="150"/>
        <v>163.5</v>
      </c>
      <c r="W698" s="30">
        <f t="shared" si="151"/>
        <v>16.5</v>
      </c>
      <c r="X698" s="31" t="b">
        <f t="shared" si="152"/>
        <v>0</v>
      </c>
      <c r="Y698" s="32" t="str">
        <f t="shared" si="153"/>
        <v>GROWTH</v>
      </c>
      <c r="Z698" s="41">
        <v>0</v>
      </c>
      <c r="AA698" s="36"/>
      <c r="AB698" s="36" t="s">
        <v>24</v>
      </c>
      <c r="AC698" s="36" t="s">
        <v>848</v>
      </c>
      <c r="AD698" s="34"/>
      <c r="AE698" s="35">
        <f>IFERROR(INDEX([1]Last6M_AvgSales_Ref!$B$2:$B$12659,MATCH(D698,[1]Last6M_AvgSales_Ref!$A$2:$A$12659,0)),"")</f>
        <v>250.875</v>
      </c>
    </row>
    <row r="699" spans="1:31" ht="14.25" customHeight="1" x14ac:dyDescent="0.3">
      <c r="A699" s="36" t="s">
        <v>848</v>
      </c>
      <c r="B699" s="38" t="s">
        <v>1420</v>
      </c>
      <c r="C699" s="38" t="s">
        <v>1439</v>
      </c>
      <c r="D699" s="38">
        <v>1000000803</v>
      </c>
      <c r="E699" s="39" t="s">
        <v>1440</v>
      </c>
      <c r="F699" s="40">
        <v>41523</v>
      </c>
      <c r="G699" s="22" t="str">
        <f t="shared" si="140"/>
        <v>Targeted Dealer</v>
      </c>
      <c r="H699" s="22"/>
      <c r="I699" s="23">
        <v>140</v>
      </c>
      <c r="J699" s="23">
        <f t="shared" si="141"/>
        <v>140</v>
      </c>
      <c r="K699" s="24">
        <v>39.5</v>
      </c>
      <c r="L699" s="24">
        <f t="shared" si="142"/>
        <v>100.5</v>
      </c>
      <c r="M699" s="24">
        <f t="shared" si="143"/>
        <v>28.214285714285715</v>
      </c>
      <c r="N699" s="25">
        <v>33.5</v>
      </c>
      <c r="O699" s="26" t="str">
        <f t="shared" si="144"/>
        <v>June</v>
      </c>
      <c r="P699" s="25">
        <f t="shared" si="145"/>
        <v>33.5</v>
      </c>
      <c r="Q699" s="27">
        <f t="shared" si="146"/>
        <v>6</v>
      </c>
      <c r="R699" s="26" t="b">
        <f t="shared" si="147"/>
        <v>0</v>
      </c>
      <c r="S699" s="28" t="str">
        <f t="shared" si="148"/>
        <v>GROWTH</v>
      </c>
      <c r="T699" s="24">
        <v>65.8</v>
      </c>
      <c r="U699" s="29" t="str">
        <f t="shared" si="149"/>
        <v>May</v>
      </c>
      <c r="V699" s="24">
        <f t="shared" si="150"/>
        <v>65.8</v>
      </c>
      <c r="W699" s="30">
        <f t="shared" si="151"/>
        <v>-26.299999999999997</v>
      </c>
      <c r="X699" s="31" t="b">
        <f t="shared" si="152"/>
        <v>0</v>
      </c>
      <c r="Y699" s="32" t="str">
        <f t="shared" si="153"/>
        <v>GROWTH</v>
      </c>
      <c r="Z699" s="41">
        <v>0</v>
      </c>
      <c r="AA699" s="36"/>
      <c r="AB699" s="36" t="s">
        <v>24</v>
      </c>
      <c r="AC699" s="36" t="s">
        <v>848</v>
      </c>
      <c r="AD699" s="34"/>
      <c r="AE699" s="35">
        <f>IFERROR(INDEX([1]Last6M_AvgSales_Ref!$B$2:$B$12659,MATCH(D699,[1]Last6M_AvgSales_Ref!$A$2:$A$12659,0)),"")</f>
        <v>75.174999999999997</v>
      </c>
    </row>
    <row r="700" spans="1:31" ht="14.25" customHeight="1" x14ac:dyDescent="0.3">
      <c r="A700" s="36" t="s">
        <v>848</v>
      </c>
      <c r="B700" s="38" t="s">
        <v>1420</v>
      </c>
      <c r="C700" s="38" t="s">
        <v>1441</v>
      </c>
      <c r="D700" s="38">
        <v>1000000802</v>
      </c>
      <c r="E700" s="39" t="s">
        <v>1442</v>
      </c>
      <c r="F700" s="40">
        <v>41823</v>
      </c>
      <c r="G700" s="22" t="str">
        <f t="shared" si="140"/>
        <v>Targeted Dealer</v>
      </c>
      <c r="H700" s="22"/>
      <c r="I700" s="23">
        <v>80</v>
      </c>
      <c r="J700" s="23">
        <f t="shared" si="141"/>
        <v>80</v>
      </c>
      <c r="K700" s="24">
        <v>20.95</v>
      </c>
      <c r="L700" s="24">
        <f t="shared" si="142"/>
        <v>59.05</v>
      </c>
      <c r="M700" s="24">
        <f t="shared" si="143"/>
        <v>26.187499999999996</v>
      </c>
      <c r="N700" s="25">
        <v>20</v>
      </c>
      <c r="O700" s="26" t="str">
        <f t="shared" si="144"/>
        <v>June</v>
      </c>
      <c r="P700" s="25">
        <f t="shared" si="145"/>
        <v>20</v>
      </c>
      <c r="Q700" s="27">
        <f t="shared" si="146"/>
        <v>0.94999999999999929</v>
      </c>
      <c r="R700" s="26" t="b">
        <f t="shared" si="147"/>
        <v>0</v>
      </c>
      <c r="S700" s="28" t="str">
        <f t="shared" si="148"/>
        <v>GROWTH</v>
      </c>
      <c r="T700" s="24">
        <v>16</v>
      </c>
      <c r="U700" s="29" t="str">
        <f t="shared" si="149"/>
        <v>May</v>
      </c>
      <c r="V700" s="24">
        <f t="shared" si="150"/>
        <v>16</v>
      </c>
      <c r="W700" s="30">
        <f t="shared" si="151"/>
        <v>4.9499999999999993</v>
      </c>
      <c r="X700" s="31" t="b">
        <f t="shared" si="152"/>
        <v>0</v>
      </c>
      <c r="Y700" s="32" t="str">
        <f t="shared" si="153"/>
        <v>GROWTH</v>
      </c>
      <c r="Z700" s="41">
        <v>0</v>
      </c>
      <c r="AA700" s="36"/>
      <c r="AB700" s="36" t="s">
        <v>24</v>
      </c>
      <c r="AC700" s="36" t="s">
        <v>848</v>
      </c>
      <c r="AD700" s="34"/>
      <c r="AE700" s="35">
        <f>IFERROR(INDEX([1]Last6M_AvgSales_Ref!$B$2:$B$12659,MATCH(D700,[1]Last6M_AvgSales_Ref!$A$2:$A$12659,0)),"")</f>
        <v>42.866666666666703</v>
      </c>
    </row>
    <row r="701" spans="1:31" ht="14.25" customHeight="1" x14ac:dyDescent="0.3">
      <c r="A701" s="36" t="s">
        <v>848</v>
      </c>
      <c r="B701" s="38" t="s">
        <v>1420</v>
      </c>
      <c r="C701" s="38" t="s">
        <v>1443</v>
      </c>
      <c r="D701" s="38">
        <v>1000000801</v>
      </c>
      <c r="E701" s="39" t="s">
        <v>1444</v>
      </c>
      <c r="F701" s="40">
        <v>42563</v>
      </c>
      <c r="G701" s="22" t="str">
        <f t="shared" si="140"/>
        <v>Targeted Dealer</v>
      </c>
      <c r="H701" s="22"/>
      <c r="I701" s="23">
        <v>200</v>
      </c>
      <c r="J701" s="23">
        <f t="shared" si="141"/>
        <v>200</v>
      </c>
      <c r="K701" s="24">
        <v>140</v>
      </c>
      <c r="L701" s="24">
        <f t="shared" si="142"/>
        <v>60</v>
      </c>
      <c r="M701" s="24">
        <f t="shared" si="143"/>
        <v>70</v>
      </c>
      <c r="N701" s="25">
        <v>160</v>
      </c>
      <c r="O701" s="26" t="str">
        <f t="shared" si="144"/>
        <v>June</v>
      </c>
      <c r="P701" s="25">
        <f t="shared" si="145"/>
        <v>160</v>
      </c>
      <c r="Q701" s="27">
        <f t="shared" si="146"/>
        <v>-20</v>
      </c>
      <c r="R701" s="26" t="b">
        <f t="shared" si="147"/>
        <v>0</v>
      </c>
      <c r="S701" s="28" t="str">
        <f t="shared" si="148"/>
        <v>GROWTH</v>
      </c>
      <c r="T701" s="24">
        <v>94.8</v>
      </c>
      <c r="U701" s="29" t="str">
        <f t="shared" si="149"/>
        <v>May</v>
      </c>
      <c r="V701" s="24">
        <f t="shared" si="150"/>
        <v>94.8</v>
      </c>
      <c r="W701" s="30">
        <f t="shared" si="151"/>
        <v>45.2</v>
      </c>
      <c r="X701" s="31" t="b">
        <f t="shared" si="152"/>
        <v>0</v>
      </c>
      <c r="Y701" s="32" t="str">
        <f t="shared" si="153"/>
        <v>GROWTH</v>
      </c>
      <c r="Z701" s="41">
        <v>0</v>
      </c>
      <c r="AA701" s="36"/>
      <c r="AB701" s="36" t="s">
        <v>24</v>
      </c>
      <c r="AC701" s="36" t="s">
        <v>848</v>
      </c>
      <c r="AD701" s="34"/>
      <c r="AE701" s="35">
        <f>IFERROR(INDEX([1]Last6M_AvgSales_Ref!$B$2:$B$12659,MATCH(D701,[1]Last6M_AvgSales_Ref!$A$2:$A$12659,0)),"")</f>
        <v>103.7</v>
      </c>
    </row>
    <row r="702" spans="1:31" ht="14.25" customHeight="1" x14ac:dyDescent="0.3">
      <c r="A702" s="36" t="s">
        <v>848</v>
      </c>
      <c r="B702" s="38" t="s">
        <v>1420</v>
      </c>
      <c r="C702" s="38" t="s">
        <v>1445</v>
      </c>
      <c r="D702" s="38">
        <v>1000000809</v>
      </c>
      <c r="E702" s="39" t="s">
        <v>1446</v>
      </c>
      <c r="F702" s="40">
        <v>42878</v>
      </c>
      <c r="G702" s="22" t="str">
        <f t="shared" si="140"/>
        <v>Targeted Dealer</v>
      </c>
      <c r="H702" s="22"/>
      <c r="I702" s="23">
        <v>360</v>
      </c>
      <c r="J702" s="23">
        <f t="shared" si="141"/>
        <v>360</v>
      </c>
      <c r="K702" s="24">
        <v>270.7</v>
      </c>
      <c r="L702" s="24">
        <f t="shared" si="142"/>
        <v>89.300000000000011</v>
      </c>
      <c r="M702" s="24">
        <f t="shared" si="143"/>
        <v>75.194444444444443</v>
      </c>
      <c r="N702" s="25">
        <v>200</v>
      </c>
      <c r="O702" s="26" t="str">
        <f t="shared" si="144"/>
        <v>June</v>
      </c>
      <c r="P702" s="25">
        <f t="shared" si="145"/>
        <v>200</v>
      </c>
      <c r="Q702" s="27">
        <f t="shared" si="146"/>
        <v>70.699999999999989</v>
      </c>
      <c r="R702" s="26" t="b">
        <f t="shared" si="147"/>
        <v>0</v>
      </c>
      <c r="S702" s="28" t="str">
        <f t="shared" si="148"/>
        <v>GROWTH</v>
      </c>
      <c r="T702" s="24">
        <v>133</v>
      </c>
      <c r="U702" s="29" t="str">
        <f t="shared" si="149"/>
        <v>May</v>
      </c>
      <c r="V702" s="24">
        <f t="shared" si="150"/>
        <v>133</v>
      </c>
      <c r="W702" s="30">
        <f t="shared" si="151"/>
        <v>137.69999999999999</v>
      </c>
      <c r="X702" s="31" t="b">
        <f t="shared" si="152"/>
        <v>0</v>
      </c>
      <c r="Y702" s="32" t="str">
        <f t="shared" si="153"/>
        <v>GROWTH</v>
      </c>
      <c r="Z702" s="41">
        <v>0</v>
      </c>
      <c r="AA702" s="36"/>
      <c r="AB702" s="36" t="s">
        <v>24</v>
      </c>
      <c r="AC702" s="36" t="s">
        <v>848</v>
      </c>
      <c r="AD702" s="34"/>
      <c r="AE702" s="35">
        <f>IFERROR(INDEX([1]Last6M_AvgSales_Ref!$B$2:$B$12659,MATCH(D702,[1]Last6M_AvgSales_Ref!$A$2:$A$12659,0)),"")</f>
        <v>316.32499999999999</v>
      </c>
    </row>
    <row r="703" spans="1:31" ht="14.25" customHeight="1" x14ac:dyDescent="0.3">
      <c r="A703" s="36" t="s">
        <v>848</v>
      </c>
      <c r="B703" s="38" t="s">
        <v>1420</v>
      </c>
      <c r="C703" s="38" t="s">
        <v>1447</v>
      </c>
      <c r="D703" s="38">
        <v>1000000807</v>
      </c>
      <c r="E703" s="39" t="s">
        <v>1448</v>
      </c>
      <c r="F703" s="40">
        <v>43414</v>
      </c>
      <c r="G703" s="22" t="str">
        <f t="shared" si="140"/>
        <v>Targeted Dealer</v>
      </c>
      <c r="H703" s="22"/>
      <c r="I703" s="23">
        <v>100</v>
      </c>
      <c r="J703" s="23">
        <f t="shared" si="141"/>
        <v>100</v>
      </c>
      <c r="K703" s="24">
        <v>42.5</v>
      </c>
      <c r="L703" s="24">
        <f t="shared" si="142"/>
        <v>57.5</v>
      </c>
      <c r="M703" s="24">
        <f t="shared" si="143"/>
        <v>42.5</v>
      </c>
      <c r="N703" s="25">
        <v>31</v>
      </c>
      <c r="O703" s="26" t="str">
        <f t="shared" si="144"/>
        <v>June</v>
      </c>
      <c r="P703" s="25">
        <f t="shared" si="145"/>
        <v>31</v>
      </c>
      <c r="Q703" s="27">
        <f t="shared" si="146"/>
        <v>11.5</v>
      </c>
      <c r="R703" s="26" t="b">
        <f t="shared" si="147"/>
        <v>0</v>
      </c>
      <c r="S703" s="28" t="str">
        <f t="shared" si="148"/>
        <v>GROWTH</v>
      </c>
      <c r="T703" s="24">
        <v>43.5</v>
      </c>
      <c r="U703" s="29" t="str">
        <f t="shared" si="149"/>
        <v>May</v>
      </c>
      <c r="V703" s="24">
        <f t="shared" si="150"/>
        <v>43.5</v>
      </c>
      <c r="W703" s="30">
        <f t="shared" si="151"/>
        <v>-1</v>
      </c>
      <c r="X703" s="31" t="b">
        <f t="shared" si="152"/>
        <v>0</v>
      </c>
      <c r="Y703" s="32" t="str">
        <f t="shared" si="153"/>
        <v>GROWTH</v>
      </c>
      <c r="Z703" s="41">
        <v>0</v>
      </c>
      <c r="AA703" s="36"/>
      <c r="AB703" s="36" t="s">
        <v>24</v>
      </c>
      <c r="AC703" s="36" t="s">
        <v>848</v>
      </c>
      <c r="AD703" s="34"/>
      <c r="AE703" s="35">
        <f>IFERROR(INDEX([1]Last6M_AvgSales_Ref!$B$2:$B$12659,MATCH(D703,[1]Last6M_AvgSales_Ref!$A$2:$A$12659,0)),"")</f>
        <v>93.3333333333333</v>
      </c>
    </row>
    <row r="704" spans="1:31" ht="14.25" customHeight="1" x14ac:dyDescent="0.3">
      <c r="A704" s="36" t="s">
        <v>848</v>
      </c>
      <c r="B704" s="38" t="s">
        <v>1420</v>
      </c>
      <c r="C704" s="38" t="s">
        <v>1449</v>
      </c>
      <c r="D704" s="38">
        <v>1000000799</v>
      </c>
      <c r="E704" s="39" t="s">
        <v>1450</v>
      </c>
      <c r="F704" s="40">
        <v>43419</v>
      </c>
      <c r="G704" s="22" t="str">
        <f t="shared" si="140"/>
        <v>Targeted Dealer</v>
      </c>
      <c r="H704" s="22"/>
      <c r="I704" s="23">
        <v>60</v>
      </c>
      <c r="J704" s="23">
        <f t="shared" si="141"/>
        <v>60</v>
      </c>
      <c r="K704" s="24">
        <v>20</v>
      </c>
      <c r="L704" s="24">
        <f t="shared" si="142"/>
        <v>40</v>
      </c>
      <c r="M704" s="24">
        <f t="shared" si="143"/>
        <v>33.333333333333336</v>
      </c>
      <c r="N704" s="25">
        <v>20</v>
      </c>
      <c r="O704" s="26" t="str">
        <f t="shared" si="144"/>
        <v>June</v>
      </c>
      <c r="P704" s="25">
        <f t="shared" si="145"/>
        <v>20</v>
      </c>
      <c r="Q704" s="27">
        <f t="shared" si="146"/>
        <v>0</v>
      </c>
      <c r="R704" s="26" t="b">
        <f t="shared" si="147"/>
        <v>0</v>
      </c>
      <c r="S704" s="28" t="str">
        <f t="shared" si="148"/>
        <v>GROWTH</v>
      </c>
      <c r="T704" s="24">
        <v>25.5</v>
      </c>
      <c r="U704" s="29" t="str">
        <f t="shared" si="149"/>
        <v>May</v>
      </c>
      <c r="V704" s="24">
        <f t="shared" si="150"/>
        <v>25.5</v>
      </c>
      <c r="W704" s="30">
        <f t="shared" si="151"/>
        <v>-5.5</v>
      </c>
      <c r="X704" s="31" t="b">
        <f t="shared" si="152"/>
        <v>0</v>
      </c>
      <c r="Y704" s="32" t="str">
        <f t="shared" si="153"/>
        <v>GROWTH</v>
      </c>
      <c r="Z704" s="41">
        <v>0</v>
      </c>
      <c r="AA704" s="36"/>
      <c r="AB704" s="36" t="s">
        <v>24</v>
      </c>
      <c r="AC704" s="36" t="s">
        <v>848</v>
      </c>
      <c r="AD704" s="34"/>
      <c r="AE704" s="35">
        <f>IFERROR(INDEX([1]Last6M_AvgSales_Ref!$B$2:$B$12659,MATCH(D704,[1]Last6M_AvgSales_Ref!$A$2:$A$12659,0)),"")</f>
        <v>36.75</v>
      </c>
    </row>
    <row r="705" spans="1:31" ht="14.25" customHeight="1" x14ac:dyDescent="0.3">
      <c r="A705" s="36" t="s">
        <v>848</v>
      </c>
      <c r="B705" s="38" t="s">
        <v>1420</v>
      </c>
      <c r="C705" s="38" t="s">
        <v>1451</v>
      </c>
      <c r="D705" s="38">
        <v>1000000792</v>
      </c>
      <c r="E705" s="39" t="s">
        <v>1452</v>
      </c>
      <c r="F705" s="40">
        <v>43430</v>
      </c>
      <c r="G705" s="22" t="str">
        <f t="shared" si="140"/>
        <v>Targeted Dealer</v>
      </c>
      <c r="H705" s="22"/>
      <c r="I705" s="23">
        <v>50</v>
      </c>
      <c r="J705" s="23">
        <f t="shared" si="141"/>
        <v>50</v>
      </c>
      <c r="K705" s="24">
        <v>20</v>
      </c>
      <c r="L705" s="24">
        <f t="shared" si="142"/>
        <v>30</v>
      </c>
      <c r="M705" s="24">
        <f t="shared" si="143"/>
        <v>40</v>
      </c>
      <c r="N705" s="25">
        <v>10</v>
      </c>
      <c r="O705" s="26" t="str">
        <f t="shared" si="144"/>
        <v>June</v>
      </c>
      <c r="P705" s="25">
        <f t="shared" si="145"/>
        <v>10</v>
      </c>
      <c r="Q705" s="27">
        <f t="shared" si="146"/>
        <v>10</v>
      </c>
      <c r="R705" s="26" t="b">
        <f t="shared" si="147"/>
        <v>0</v>
      </c>
      <c r="S705" s="28" t="str">
        <f t="shared" si="148"/>
        <v>GROWTH</v>
      </c>
      <c r="T705" s="24">
        <v>10</v>
      </c>
      <c r="U705" s="29" t="str">
        <f t="shared" si="149"/>
        <v>May</v>
      </c>
      <c r="V705" s="24">
        <f t="shared" si="150"/>
        <v>10</v>
      </c>
      <c r="W705" s="30">
        <f t="shared" si="151"/>
        <v>10</v>
      </c>
      <c r="X705" s="31" t="b">
        <f t="shared" si="152"/>
        <v>0</v>
      </c>
      <c r="Y705" s="32" t="str">
        <f t="shared" si="153"/>
        <v>GROWTH</v>
      </c>
      <c r="Z705" s="41">
        <v>0</v>
      </c>
      <c r="AA705" s="36"/>
      <c r="AB705" s="36" t="s">
        <v>24</v>
      </c>
      <c r="AC705" s="36" t="s">
        <v>848</v>
      </c>
      <c r="AD705" s="34"/>
      <c r="AE705" s="35">
        <f>IFERROR(INDEX([1]Last6M_AvgSales_Ref!$B$2:$B$12659,MATCH(D705,[1]Last6M_AvgSales_Ref!$A$2:$A$12659,0)),"")</f>
        <v>10.8333333333333</v>
      </c>
    </row>
    <row r="706" spans="1:31" ht="14.25" customHeight="1" x14ac:dyDescent="0.3">
      <c r="A706" s="36" t="s">
        <v>848</v>
      </c>
      <c r="B706" s="38" t="s">
        <v>1420</v>
      </c>
      <c r="C706" s="38" t="s">
        <v>1453</v>
      </c>
      <c r="D706" s="38">
        <v>1000000800</v>
      </c>
      <c r="E706" s="39" t="s">
        <v>1454</v>
      </c>
      <c r="F706" s="40">
        <v>43470</v>
      </c>
      <c r="G706" s="22" t="str">
        <f t="shared" si="140"/>
        <v>Targeted Dealer</v>
      </c>
      <c r="H706" s="22"/>
      <c r="I706" s="23">
        <v>80</v>
      </c>
      <c r="J706" s="23">
        <f t="shared" si="141"/>
        <v>80</v>
      </c>
      <c r="K706" s="24">
        <v>33.5</v>
      </c>
      <c r="L706" s="24">
        <f t="shared" si="142"/>
        <v>46.5</v>
      </c>
      <c r="M706" s="24">
        <f t="shared" si="143"/>
        <v>41.875</v>
      </c>
      <c r="N706" s="25">
        <v>53.5</v>
      </c>
      <c r="O706" s="26" t="str">
        <f t="shared" si="144"/>
        <v>June</v>
      </c>
      <c r="P706" s="25">
        <f t="shared" si="145"/>
        <v>53.5</v>
      </c>
      <c r="Q706" s="27">
        <f t="shared" si="146"/>
        <v>-20</v>
      </c>
      <c r="R706" s="26" t="b">
        <f t="shared" si="147"/>
        <v>0</v>
      </c>
      <c r="S706" s="28" t="str">
        <f t="shared" si="148"/>
        <v>GROWTH</v>
      </c>
      <c r="T706" s="24">
        <v>37.5</v>
      </c>
      <c r="U706" s="29" t="str">
        <f t="shared" si="149"/>
        <v>May</v>
      </c>
      <c r="V706" s="24">
        <f t="shared" si="150"/>
        <v>37.5</v>
      </c>
      <c r="W706" s="30">
        <f t="shared" si="151"/>
        <v>-4</v>
      </c>
      <c r="X706" s="31" t="b">
        <f t="shared" si="152"/>
        <v>0</v>
      </c>
      <c r="Y706" s="32" t="str">
        <f t="shared" si="153"/>
        <v>GROWTH</v>
      </c>
      <c r="Z706" s="41">
        <v>0</v>
      </c>
      <c r="AA706" s="36"/>
      <c r="AB706" s="36" t="s">
        <v>24</v>
      </c>
      <c r="AC706" s="36" t="s">
        <v>848</v>
      </c>
      <c r="AD706" s="34"/>
      <c r="AE706" s="35">
        <f>IFERROR(INDEX([1]Last6M_AvgSales_Ref!$B$2:$B$12659,MATCH(D706,[1]Last6M_AvgSales_Ref!$A$2:$A$12659,0)),"")</f>
        <v>73.4166666666667</v>
      </c>
    </row>
    <row r="707" spans="1:31" ht="14.25" customHeight="1" x14ac:dyDescent="0.3">
      <c r="A707" s="36" t="s">
        <v>848</v>
      </c>
      <c r="B707" s="38" t="s">
        <v>1420</v>
      </c>
      <c r="C707" s="38" t="s">
        <v>1455</v>
      </c>
      <c r="D707" s="38">
        <v>1000001102</v>
      </c>
      <c r="E707" s="39" t="s">
        <v>1456</v>
      </c>
      <c r="F707" s="40">
        <v>43568</v>
      </c>
      <c r="G707" s="22" t="str">
        <f t="shared" ref="G707:G770" si="154">IF(I707&gt;0,"Targeted Dealer","-")</f>
        <v>Targeted Dealer</v>
      </c>
      <c r="H707" s="22"/>
      <c r="I707" s="23">
        <v>270</v>
      </c>
      <c r="J707" s="23">
        <f t="shared" ref="J707:J770" si="155">I707/$J$1*($J$1-$E$1)</f>
        <v>270</v>
      </c>
      <c r="K707" s="24">
        <v>140</v>
      </c>
      <c r="L707" s="24">
        <f t="shared" ref="L707:L770" si="156">I707-K707</f>
        <v>130</v>
      </c>
      <c r="M707" s="24">
        <f t="shared" ref="M707:M770" si="157">IFERROR((K707/J707%),"-")</f>
        <v>51.851851851851848</v>
      </c>
      <c r="N707" s="25">
        <v>80</v>
      </c>
      <c r="O707" s="26" t="str">
        <f t="shared" ref="O707:O770" si="158">IF(F707&lt;=$P$2,"June","")</f>
        <v>June</v>
      </c>
      <c r="P707" s="25">
        <f t="shared" ref="P707:P770" si="159">N707</f>
        <v>80</v>
      </c>
      <c r="Q707" s="27">
        <f t="shared" ref="Q707:Q770" si="160">K707-P707</f>
        <v>60</v>
      </c>
      <c r="R707" s="26" t="b">
        <f t="shared" ref="R707:R770" si="161">IFERROR(IF(O707="May",(K707/P707-1))," ")</f>
        <v>0</v>
      </c>
      <c r="S707" s="28" t="str">
        <f t="shared" ref="S707:S770" si="162">IF(N707&gt;0,IF(O707="","-",IF(R707&lt;0%,"DEGROWTH","GROWTH")))</f>
        <v>GROWTH</v>
      </c>
      <c r="T707" s="24">
        <v>105.5</v>
      </c>
      <c r="U707" s="29" t="str">
        <f t="shared" ref="U707:U770" si="163">IF(F707&lt;=$V$2,"May","")</f>
        <v>May</v>
      </c>
      <c r="V707" s="24">
        <f t="shared" ref="V707:V770" si="164">T707</f>
        <v>105.5</v>
      </c>
      <c r="W707" s="30">
        <f t="shared" ref="W707:W770" si="165">K707-V707</f>
        <v>34.5</v>
      </c>
      <c r="X707" s="31" t="b">
        <f t="shared" ref="X707:X770" si="166">IFERROR(IF(U707="June",(K707/V707-1)),0)</f>
        <v>0</v>
      </c>
      <c r="Y707" s="32" t="str">
        <f t="shared" ref="Y707:Y770" si="167">IF(T707&gt;0,IF(U707="","-",IF(X707&lt;0%,"DEGROWTH","GROWTH")))</f>
        <v>GROWTH</v>
      </c>
      <c r="Z707" s="41">
        <v>0</v>
      </c>
      <c r="AA707" s="36"/>
      <c r="AB707" s="36" t="s">
        <v>24</v>
      </c>
      <c r="AC707" s="36" t="s">
        <v>848</v>
      </c>
      <c r="AD707" s="34"/>
      <c r="AE707" s="35">
        <f>IFERROR(INDEX([1]Last6M_AvgSales_Ref!$B$2:$B$12659,MATCH(D707,[1]Last6M_AvgSales_Ref!$A$2:$A$12659,0)),"")</f>
        <v>149.75</v>
      </c>
    </row>
    <row r="708" spans="1:31" ht="14.25" customHeight="1" x14ac:dyDescent="0.3">
      <c r="A708" s="36" t="s">
        <v>848</v>
      </c>
      <c r="B708" s="38" t="s">
        <v>1420</v>
      </c>
      <c r="C708" s="38" t="s">
        <v>1457</v>
      </c>
      <c r="D708" s="38">
        <v>1000001099</v>
      </c>
      <c r="E708" s="39" t="s">
        <v>1458</v>
      </c>
      <c r="F708" s="40">
        <v>43790</v>
      </c>
      <c r="G708" s="22" t="str">
        <f t="shared" si="154"/>
        <v>Targeted Dealer</v>
      </c>
      <c r="H708" s="22"/>
      <c r="I708" s="23">
        <v>240</v>
      </c>
      <c r="J708" s="23">
        <f t="shared" si="155"/>
        <v>240</v>
      </c>
      <c r="K708" s="24">
        <v>152.5</v>
      </c>
      <c r="L708" s="24">
        <f t="shared" si="156"/>
        <v>87.5</v>
      </c>
      <c r="M708" s="24">
        <f t="shared" si="157"/>
        <v>63.541666666666671</v>
      </c>
      <c r="N708" s="25">
        <v>175</v>
      </c>
      <c r="O708" s="26" t="str">
        <f t="shared" si="158"/>
        <v>June</v>
      </c>
      <c r="P708" s="25">
        <f t="shared" si="159"/>
        <v>175</v>
      </c>
      <c r="Q708" s="27">
        <f t="shared" si="160"/>
        <v>-22.5</v>
      </c>
      <c r="R708" s="26" t="b">
        <f t="shared" si="161"/>
        <v>0</v>
      </c>
      <c r="S708" s="28" t="str">
        <f t="shared" si="162"/>
        <v>GROWTH</v>
      </c>
      <c r="T708" s="24">
        <v>111.75</v>
      </c>
      <c r="U708" s="29" t="str">
        <f t="shared" si="163"/>
        <v>May</v>
      </c>
      <c r="V708" s="24">
        <f t="shared" si="164"/>
        <v>111.75</v>
      </c>
      <c r="W708" s="30">
        <f t="shared" si="165"/>
        <v>40.75</v>
      </c>
      <c r="X708" s="31" t="b">
        <f t="shared" si="166"/>
        <v>0</v>
      </c>
      <c r="Y708" s="32" t="str">
        <f t="shared" si="167"/>
        <v>GROWTH</v>
      </c>
      <c r="Z708" s="41">
        <v>0</v>
      </c>
      <c r="AA708" s="36"/>
      <c r="AB708" s="36" t="s">
        <v>24</v>
      </c>
      <c r="AC708" s="36" t="s">
        <v>848</v>
      </c>
      <c r="AD708" s="34"/>
      <c r="AE708" s="35">
        <f>IFERROR(INDEX([1]Last6M_AvgSales_Ref!$B$2:$B$12659,MATCH(D708,[1]Last6M_AvgSales_Ref!$A$2:$A$12659,0)),"")</f>
        <v>154.57499999999999</v>
      </c>
    </row>
    <row r="709" spans="1:31" ht="14.25" customHeight="1" x14ac:dyDescent="0.3">
      <c r="A709" s="36" t="s">
        <v>848</v>
      </c>
      <c r="B709" s="38" t="s">
        <v>1420</v>
      </c>
      <c r="C709" s="38" t="s">
        <v>1459</v>
      </c>
      <c r="D709" s="38">
        <v>1000001103</v>
      </c>
      <c r="E709" s="39" t="s">
        <v>1460</v>
      </c>
      <c r="F709" s="40">
        <v>43883</v>
      </c>
      <c r="G709" s="22" t="str">
        <f t="shared" si="154"/>
        <v>Targeted Dealer</v>
      </c>
      <c r="H709" s="22"/>
      <c r="I709" s="23">
        <v>90</v>
      </c>
      <c r="J709" s="23">
        <f t="shared" si="155"/>
        <v>90</v>
      </c>
      <c r="K709" s="24">
        <v>5</v>
      </c>
      <c r="L709" s="24">
        <f t="shared" si="156"/>
        <v>85</v>
      </c>
      <c r="M709" s="24">
        <f t="shared" si="157"/>
        <v>5.5555555555555554</v>
      </c>
      <c r="N709" s="25">
        <v>10</v>
      </c>
      <c r="O709" s="26" t="str">
        <f t="shared" si="158"/>
        <v>June</v>
      </c>
      <c r="P709" s="25">
        <f t="shared" si="159"/>
        <v>10</v>
      </c>
      <c r="Q709" s="27">
        <f t="shared" si="160"/>
        <v>-5</v>
      </c>
      <c r="R709" s="26" t="b">
        <f t="shared" si="161"/>
        <v>0</v>
      </c>
      <c r="S709" s="28" t="str">
        <f t="shared" si="162"/>
        <v>GROWTH</v>
      </c>
      <c r="T709" s="24">
        <v>90</v>
      </c>
      <c r="U709" s="29" t="str">
        <f t="shared" si="163"/>
        <v>May</v>
      </c>
      <c r="V709" s="24">
        <f t="shared" si="164"/>
        <v>90</v>
      </c>
      <c r="W709" s="30">
        <f t="shared" si="165"/>
        <v>-85</v>
      </c>
      <c r="X709" s="31" t="b">
        <f t="shared" si="166"/>
        <v>0</v>
      </c>
      <c r="Y709" s="32" t="str">
        <f t="shared" si="167"/>
        <v>GROWTH</v>
      </c>
      <c r="Z709" s="41">
        <v>0</v>
      </c>
      <c r="AA709" s="36"/>
      <c r="AB709" s="36" t="s">
        <v>24</v>
      </c>
      <c r="AC709" s="36" t="s">
        <v>848</v>
      </c>
      <c r="AD709" s="34"/>
      <c r="AE709" s="35">
        <f>IFERROR(INDEX([1]Last6M_AvgSales_Ref!$B$2:$B$12659,MATCH(D709,[1]Last6M_AvgSales_Ref!$A$2:$A$12659,0)),"")</f>
        <v>80.6666666666667</v>
      </c>
    </row>
    <row r="710" spans="1:31" ht="14.25" customHeight="1" x14ac:dyDescent="0.3">
      <c r="A710" s="36" t="s">
        <v>848</v>
      </c>
      <c r="B710" s="38" t="s">
        <v>1420</v>
      </c>
      <c r="C710" s="38" t="s">
        <v>1461</v>
      </c>
      <c r="D710" s="38">
        <v>1000001109</v>
      </c>
      <c r="E710" s="39" t="s">
        <v>1462</v>
      </c>
      <c r="F710" s="40">
        <v>43982</v>
      </c>
      <c r="G710" s="22" t="str">
        <f t="shared" si="154"/>
        <v>Targeted Dealer</v>
      </c>
      <c r="H710" s="22"/>
      <c r="I710" s="23">
        <v>150</v>
      </c>
      <c r="J710" s="23">
        <f t="shared" si="155"/>
        <v>150</v>
      </c>
      <c r="K710" s="24">
        <v>69.5</v>
      </c>
      <c r="L710" s="24">
        <f t="shared" si="156"/>
        <v>80.5</v>
      </c>
      <c r="M710" s="24">
        <f t="shared" si="157"/>
        <v>46.333333333333336</v>
      </c>
      <c r="N710" s="25">
        <v>62</v>
      </c>
      <c r="O710" s="26" t="str">
        <f t="shared" si="158"/>
        <v>June</v>
      </c>
      <c r="P710" s="25">
        <f t="shared" si="159"/>
        <v>62</v>
      </c>
      <c r="Q710" s="27">
        <f t="shared" si="160"/>
        <v>7.5</v>
      </c>
      <c r="R710" s="26" t="b">
        <f t="shared" si="161"/>
        <v>0</v>
      </c>
      <c r="S710" s="28" t="str">
        <f t="shared" si="162"/>
        <v>GROWTH</v>
      </c>
      <c r="T710" s="24">
        <v>80</v>
      </c>
      <c r="U710" s="29" t="str">
        <f t="shared" si="163"/>
        <v>May</v>
      </c>
      <c r="V710" s="24">
        <f t="shared" si="164"/>
        <v>80</v>
      </c>
      <c r="W710" s="30">
        <f t="shared" si="165"/>
        <v>-10.5</v>
      </c>
      <c r="X710" s="31" t="b">
        <f t="shared" si="166"/>
        <v>0</v>
      </c>
      <c r="Y710" s="32" t="str">
        <f t="shared" si="167"/>
        <v>GROWTH</v>
      </c>
      <c r="Z710" s="41">
        <v>0</v>
      </c>
      <c r="AA710" s="36"/>
      <c r="AB710" s="36" t="s">
        <v>24</v>
      </c>
      <c r="AC710" s="36" t="s">
        <v>848</v>
      </c>
      <c r="AD710" s="34"/>
      <c r="AE710" s="35">
        <f>IFERROR(INDEX([1]Last6M_AvgSales_Ref!$B$2:$B$12659,MATCH(D710,[1]Last6M_AvgSales_Ref!$A$2:$A$12659,0)),"")</f>
        <v>99.883333333333297</v>
      </c>
    </row>
    <row r="711" spans="1:31" ht="14.25" customHeight="1" x14ac:dyDescent="0.3">
      <c r="A711" s="36" t="s">
        <v>848</v>
      </c>
      <c r="B711" s="38" t="s">
        <v>1420</v>
      </c>
      <c r="C711" s="38" t="s">
        <v>1463</v>
      </c>
      <c r="D711" s="38">
        <v>1000001105</v>
      </c>
      <c r="E711" s="39" t="s">
        <v>1464</v>
      </c>
      <c r="F711" s="40">
        <v>43984</v>
      </c>
      <c r="G711" s="22" t="str">
        <f t="shared" si="154"/>
        <v>Targeted Dealer</v>
      </c>
      <c r="H711" s="22"/>
      <c r="I711" s="23">
        <v>100</v>
      </c>
      <c r="J711" s="23">
        <f t="shared" si="155"/>
        <v>100</v>
      </c>
      <c r="K711" s="24">
        <v>48</v>
      </c>
      <c r="L711" s="24">
        <f t="shared" si="156"/>
        <v>52</v>
      </c>
      <c r="M711" s="24">
        <f t="shared" si="157"/>
        <v>48</v>
      </c>
      <c r="N711" s="25">
        <v>75</v>
      </c>
      <c r="O711" s="26" t="str">
        <f t="shared" si="158"/>
        <v>June</v>
      </c>
      <c r="P711" s="25">
        <f t="shared" si="159"/>
        <v>75</v>
      </c>
      <c r="Q711" s="27">
        <f t="shared" si="160"/>
        <v>-27</v>
      </c>
      <c r="R711" s="26" t="b">
        <f t="shared" si="161"/>
        <v>0</v>
      </c>
      <c r="S711" s="28" t="str">
        <f t="shared" si="162"/>
        <v>GROWTH</v>
      </c>
      <c r="T711" s="24">
        <v>20</v>
      </c>
      <c r="U711" s="29" t="str">
        <f t="shared" si="163"/>
        <v>May</v>
      </c>
      <c r="V711" s="24">
        <f t="shared" si="164"/>
        <v>20</v>
      </c>
      <c r="W711" s="30">
        <f t="shared" si="165"/>
        <v>28</v>
      </c>
      <c r="X711" s="31" t="b">
        <f t="shared" si="166"/>
        <v>0</v>
      </c>
      <c r="Y711" s="32" t="str">
        <f t="shared" si="167"/>
        <v>GROWTH</v>
      </c>
      <c r="Z711" s="41">
        <v>0</v>
      </c>
      <c r="AA711" s="36"/>
      <c r="AB711" s="36" t="s">
        <v>24</v>
      </c>
      <c r="AC711" s="36" t="s">
        <v>848</v>
      </c>
      <c r="AD711" s="34"/>
      <c r="AE711" s="35">
        <f>IFERROR(INDEX([1]Last6M_AvgSales_Ref!$B$2:$B$12659,MATCH(D711,[1]Last6M_AvgSales_Ref!$A$2:$A$12659,0)),"")</f>
        <v>62.5</v>
      </c>
    </row>
    <row r="712" spans="1:31" ht="14.25" customHeight="1" x14ac:dyDescent="0.3">
      <c r="A712" s="36" t="s">
        <v>848</v>
      </c>
      <c r="B712" s="38" t="s">
        <v>1420</v>
      </c>
      <c r="C712" s="38" t="s">
        <v>1465</v>
      </c>
      <c r="D712" s="38">
        <v>1000001107</v>
      </c>
      <c r="E712" s="39" t="s">
        <v>1466</v>
      </c>
      <c r="F712" s="40">
        <v>44002</v>
      </c>
      <c r="G712" s="22" t="str">
        <f t="shared" si="154"/>
        <v>Targeted Dealer</v>
      </c>
      <c r="H712" s="22"/>
      <c r="I712" s="23">
        <v>1700</v>
      </c>
      <c r="J712" s="23">
        <f t="shared" si="155"/>
        <v>1700</v>
      </c>
      <c r="K712" s="24">
        <v>1029.75</v>
      </c>
      <c r="L712" s="24">
        <f t="shared" si="156"/>
        <v>670.25</v>
      </c>
      <c r="M712" s="24">
        <f t="shared" si="157"/>
        <v>60.573529411764703</v>
      </c>
      <c r="N712" s="25">
        <v>930.9</v>
      </c>
      <c r="O712" s="26" t="str">
        <f t="shared" si="158"/>
        <v>June</v>
      </c>
      <c r="P712" s="25">
        <f t="shared" si="159"/>
        <v>930.9</v>
      </c>
      <c r="Q712" s="27">
        <f t="shared" si="160"/>
        <v>98.850000000000023</v>
      </c>
      <c r="R712" s="26" t="b">
        <f t="shared" si="161"/>
        <v>0</v>
      </c>
      <c r="S712" s="28" t="str">
        <f t="shared" si="162"/>
        <v>GROWTH</v>
      </c>
      <c r="T712" s="24">
        <v>702.4</v>
      </c>
      <c r="U712" s="29" t="str">
        <f t="shared" si="163"/>
        <v>May</v>
      </c>
      <c r="V712" s="24">
        <f t="shared" si="164"/>
        <v>702.4</v>
      </c>
      <c r="W712" s="30">
        <f t="shared" si="165"/>
        <v>327.35000000000002</v>
      </c>
      <c r="X712" s="31" t="b">
        <f t="shared" si="166"/>
        <v>0</v>
      </c>
      <c r="Y712" s="32" t="str">
        <f t="shared" si="167"/>
        <v>GROWTH</v>
      </c>
      <c r="Z712" s="41">
        <v>0</v>
      </c>
      <c r="AA712" s="36"/>
      <c r="AB712" s="36" t="s">
        <v>24</v>
      </c>
      <c r="AC712" s="36" t="s">
        <v>848</v>
      </c>
      <c r="AD712" s="34"/>
      <c r="AE712" s="35">
        <f>IFERROR(INDEX([1]Last6M_AvgSales_Ref!$B$2:$B$12659,MATCH(D712,[1]Last6M_AvgSales_Ref!$A$2:$A$12659,0)),"")</f>
        <v>1273.4166666666699</v>
      </c>
    </row>
    <row r="713" spans="1:31" ht="14.25" customHeight="1" x14ac:dyDescent="0.3">
      <c r="A713" s="36" t="s">
        <v>848</v>
      </c>
      <c r="B713" s="38" t="s">
        <v>1420</v>
      </c>
      <c r="C713" s="38" t="s">
        <v>1467</v>
      </c>
      <c r="D713" s="38">
        <v>1000001108</v>
      </c>
      <c r="E713" s="39" t="s">
        <v>1468</v>
      </c>
      <c r="F713" s="40">
        <v>44147</v>
      </c>
      <c r="G713" s="22" t="str">
        <f t="shared" si="154"/>
        <v>Targeted Dealer</v>
      </c>
      <c r="H713" s="22"/>
      <c r="I713" s="23">
        <v>70</v>
      </c>
      <c r="J713" s="23">
        <f t="shared" si="155"/>
        <v>70</v>
      </c>
      <c r="K713" s="24">
        <v>25</v>
      </c>
      <c r="L713" s="24">
        <f t="shared" si="156"/>
        <v>45</v>
      </c>
      <c r="M713" s="24">
        <f t="shared" si="157"/>
        <v>35.714285714285715</v>
      </c>
      <c r="N713" s="25">
        <v>40</v>
      </c>
      <c r="O713" s="26" t="str">
        <f t="shared" si="158"/>
        <v>June</v>
      </c>
      <c r="P713" s="25">
        <f t="shared" si="159"/>
        <v>40</v>
      </c>
      <c r="Q713" s="27">
        <f t="shared" si="160"/>
        <v>-15</v>
      </c>
      <c r="R713" s="26" t="b">
        <f t="shared" si="161"/>
        <v>0</v>
      </c>
      <c r="S713" s="28" t="str">
        <f t="shared" si="162"/>
        <v>GROWTH</v>
      </c>
      <c r="T713" s="24">
        <v>0</v>
      </c>
      <c r="U713" s="29" t="str">
        <f t="shared" si="163"/>
        <v>May</v>
      </c>
      <c r="V713" s="24">
        <f t="shared" si="164"/>
        <v>0</v>
      </c>
      <c r="W713" s="30">
        <f t="shared" si="165"/>
        <v>25</v>
      </c>
      <c r="X713" s="31" t="b">
        <f t="shared" si="166"/>
        <v>0</v>
      </c>
      <c r="Y713" s="32" t="b">
        <f t="shared" si="167"/>
        <v>0</v>
      </c>
      <c r="Z713" s="41">
        <v>0</v>
      </c>
      <c r="AA713" s="36"/>
      <c r="AB713" s="36" t="s">
        <v>24</v>
      </c>
      <c r="AC713" s="36" t="s">
        <v>848</v>
      </c>
      <c r="AD713" s="34"/>
      <c r="AE713" s="35">
        <f>IFERROR(INDEX([1]Last6M_AvgSales_Ref!$B$2:$B$12659,MATCH(D713,[1]Last6M_AvgSales_Ref!$A$2:$A$12659,0)),"")</f>
        <v>21.6666666666667</v>
      </c>
    </row>
    <row r="714" spans="1:31" ht="14.25" customHeight="1" x14ac:dyDescent="0.3">
      <c r="A714" s="36" t="s">
        <v>848</v>
      </c>
      <c r="B714" s="38" t="s">
        <v>1420</v>
      </c>
      <c r="C714" s="38" t="s">
        <v>1469</v>
      </c>
      <c r="D714" s="38">
        <v>1000001098</v>
      </c>
      <c r="E714" s="39" t="s">
        <v>1470</v>
      </c>
      <c r="F714" s="40">
        <v>44366</v>
      </c>
      <c r="G714" s="22" t="str">
        <f t="shared" si="154"/>
        <v>Targeted Dealer</v>
      </c>
      <c r="H714" s="22"/>
      <c r="I714" s="23">
        <v>140</v>
      </c>
      <c r="J714" s="23">
        <f t="shared" si="155"/>
        <v>140</v>
      </c>
      <c r="K714" s="24">
        <v>25</v>
      </c>
      <c r="L714" s="24">
        <f t="shared" si="156"/>
        <v>115</v>
      </c>
      <c r="M714" s="24">
        <f t="shared" si="157"/>
        <v>17.857142857142858</v>
      </c>
      <c r="N714" s="25">
        <v>35</v>
      </c>
      <c r="O714" s="26" t="str">
        <f t="shared" si="158"/>
        <v>June</v>
      </c>
      <c r="P714" s="25">
        <f t="shared" si="159"/>
        <v>35</v>
      </c>
      <c r="Q714" s="27">
        <f t="shared" si="160"/>
        <v>-10</v>
      </c>
      <c r="R714" s="26" t="b">
        <f t="shared" si="161"/>
        <v>0</v>
      </c>
      <c r="S714" s="28" t="str">
        <f t="shared" si="162"/>
        <v>GROWTH</v>
      </c>
      <c r="T714" s="24">
        <v>30</v>
      </c>
      <c r="U714" s="29" t="str">
        <f t="shared" si="163"/>
        <v>May</v>
      </c>
      <c r="V714" s="24">
        <f t="shared" si="164"/>
        <v>30</v>
      </c>
      <c r="W714" s="30">
        <f t="shared" si="165"/>
        <v>-5</v>
      </c>
      <c r="X714" s="31" t="b">
        <f t="shared" si="166"/>
        <v>0</v>
      </c>
      <c r="Y714" s="32" t="str">
        <f t="shared" si="167"/>
        <v>GROWTH</v>
      </c>
      <c r="Z714" s="41">
        <v>0</v>
      </c>
      <c r="AA714" s="36"/>
      <c r="AB714" s="36" t="s">
        <v>24</v>
      </c>
      <c r="AC714" s="36" t="s">
        <v>848</v>
      </c>
      <c r="AD714" s="34"/>
      <c r="AE714" s="35">
        <f>IFERROR(INDEX([1]Last6M_AvgSales_Ref!$B$2:$B$12659,MATCH(D714,[1]Last6M_AvgSales_Ref!$A$2:$A$12659,0)),"")</f>
        <v>56.0833333333333</v>
      </c>
    </row>
    <row r="715" spans="1:31" ht="14.25" customHeight="1" x14ac:dyDescent="0.3">
      <c r="A715" s="36" t="s">
        <v>848</v>
      </c>
      <c r="B715" s="38" t="s">
        <v>1420</v>
      </c>
      <c r="C715" s="38" t="s">
        <v>1471</v>
      </c>
      <c r="D715" s="38">
        <v>1000002595</v>
      </c>
      <c r="E715" s="39" t="s">
        <v>1472</v>
      </c>
      <c r="F715" s="40">
        <v>44597</v>
      </c>
      <c r="G715" s="22" t="str">
        <f t="shared" si="154"/>
        <v>Targeted Dealer</v>
      </c>
      <c r="H715" s="22"/>
      <c r="I715" s="23">
        <v>80</v>
      </c>
      <c r="J715" s="23">
        <f t="shared" si="155"/>
        <v>80</v>
      </c>
      <c r="K715" s="24">
        <v>45</v>
      </c>
      <c r="L715" s="24">
        <f t="shared" si="156"/>
        <v>35</v>
      </c>
      <c r="M715" s="24">
        <f t="shared" si="157"/>
        <v>56.25</v>
      </c>
      <c r="N715" s="25">
        <v>69.25</v>
      </c>
      <c r="O715" s="26" t="str">
        <f t="shared" si="158"/>
        <v>June</v>
      </c>
      <c r="P715" s="25">
        <f t="shared" si="159"/>
        <v>69.25</v>
      </c>
      <c r="Q715" s="27">
        <f t="shared" si="160"/>
        <v>-24.25</v>
      </c>
      <c r="R715" s="26" t="b">
        <f t="shared" si="161"/>
        <v>0</v>
      </c>
      <c r="S715" s="28" t="str">
        <f t="shared" si="162"/>
        <v>GROWTH</v>
      </c>
      <c r="T715" s="24">
        <v>12</v>
      </c>
      <c r="U715" s="29" t="str">
        <f t="shared" si="163"/>
        <v>May</v>
      </c>
      <c r="V715" s="24">
        <f t="shared" si="164"/>
        <v>12</v>
      </c>
      <c r="W715" s="30">
        <f t="shared" si="165"/>
        <v>33</v>
      </c>
      <c r="X715" s="31" t="b">
        <f t="shared" si="166"/>
        <v>0</v>
      </c>
      <c r="Y715" s="32" t="str">
        <f t="shared" si="167"/>
        <v>GROWTH</v>
      </c>
      <c r="Z715" s="41">
        <v>0</v>
      </c>
      <c r="AA715" s="36"/>
      <c r="AB715" s="36" t="s">
        <v>24</v>
      </c>
      <c r="AC715" s="36" t="s">
        <v>848</v>
      </c>
      <c r="AD715" s="34"/>
      <c r="AE715" s="35">
        <f>IFERROR(INDEX([1]Last6M_AvgSales_Ref!$B$2:$B$12659,MATCH(D715,[1]Last6M_AvgSales_Ref!$A$2:$A$12659,0)),"")</f>
        <v>42.5</v>
      </c>
    </row>
    <row r="716" spans="1:31" ht="14.25" customHeight="1" x14ac:dyDescent="0.3">
      <c r="A716" s="36" t="s">
        <v>848</v>
      </c>
      <c r="B716" s="38" t="s">
        <v>1420</v>
      </c>
      <c r="C716" s="38" t="s">
        <v>1473</v>
      </c>
      <c r="D716" s="38">
        <v>1000003490</v>
      </c>
      <c r="E716" s="39" t="s">
        <v>1474</v>
      </c>
      <c r="F716" s="40">
        <v>45042</v>
      </c>
      <c r="G716" s="22" t="str">
        <f t="shared" si="154"/>
        <v>-</v>
      </c>
      <c r="H716" s="22"/>
      <c r="I716" s="23">
        <v>0</v>
      </c>
      <c r="J716" s="23">
        <f t="shared" si="155"/>
        <v>0</v>
      </c>
      <c r="K716" s="24">
        <v>0</v>
      </c>
      <c r="L716" s="24">
        <f t="shared" si="156"/>
        <v>0</v>
      </c>
      <c r="M716" s="24" t="str">
        <f t="shared" si="157"/>
        <v>-</v>
      </c>
      <c r="N716" s="25">
        <v>0</v>
      </c>
      <c r="O716" s="26" t="str">
        <f t="shared" si="158"/>
        <v>June</v>
      </c>
      <c r="P716" s="25">
        <f t="shared" si="159"/>
        <v>0</v>
      </c>
      <c r="Q716" s="27">
        <f t="shared" si="160"/>
        <v>0</v>
      </c>
      <c r="R716" s="26" t="b">
        <f t="shared" si="161"/>
        <v>0</v>
      </c>
      <c r="S716" s="28" t="b">
        <f t="shared" si="162"/>
        <v>0</v>
      </c>
      <c r="T716" s="24">
        <v>10</v>
      </c>
      <c r="U716" s="29" t="str">
        <f t="shared" si="163"/>
        <v>May</v>
      </c>
      <c r="V716" s="24">
        <f t="shared" si="164"/>
        <v>10</v>
      </c>
      <c r="W716" s="30">
        <f t="shared" si="165"/>
        <v>-10</v>
      </c>
      <c r="X716" s="31" t="b">
        <f t="shared" si="166"/>
        <v>0</v>
      </c>
      <c r="Y716" s="32" t="str">
        <f t="shared" si="167"/>
        <v>GROWTH</v>
      </c>
      <c r="Z716" s="41">
        <v>0</v>
      </c>
      <c r="AA716" s="36"/>
      <c r="AB716" s="36" t="s">
        <v>24</v>
      </c>
      <c r="AC716" s="36" t="s">
        <v>848</v>
      </c>
      <c r="AD716" s="34"/>
      <c r="AE716" s="35">
        <f>IFERROR(INDEX([1]Last6M_AvgSales_Ref!$B$2:$B$12659,MATCH(D716,[1]Last6M_AvgSales_Ref!$A$2:$A$12659,0)),"")</f>
        <v>9.1666666666666696</v>
      </c>
    </row>
    <row r="717" spans="1:31" ht="14.25" customHeight="1" x14ac:dyDescent="0.3">
      <c r="A717" s="36" t="s">
        <v>848</v>
      </c>
      <c r="B717" s="38" t="s">
        <v>1420</v>
      </c>
      <c r="C717" s="38" t="s">
        <v>1475</v>
      </c>
      <c r="D717" s="38">
        <v>1000003496</v>
      </c>
      <c r="E717" s="39" t="s">
        <v>1476</v>
      </c>
      <c r="F717" s="40">
        <v>45044</v>
      </c>
      <c r="G717" s="22" t="str">
        <f t="shared" si="154"/>
        <v>Targeted Dealer</v>
      </c>
      <c r="H717" s="22"/>
      <c r="I717" s="23">
        <v>150</v>
      </c>
      <c r="J717" s="23">
        <f t="shared" si="155"/>
        <v>150</v>
      </c>
      <c r="K717" s="24">
        <v>130.85</v>
      </c>
      <c r="L717" s="24">
        <f t="shared" si="156"/>
        <v>19.150000000000006</v>
      </c>
      <c r="M717" s="24">
        <f t="shared" si="157"/>
        <v>87.233333333333334</v>
      </c>
      <c r="N717" s="25">
        <v>150.1</v>
      </c>
      <c r="O717" s="26" t="str">
        <f t="shared" si="158"/>
        <v>June</v>
      </c>
      <c r="P717" s="25">
        <f t="shared" si="159"/>
        <v>150.1</v>
      </c>
      <c r="Q717" s="27">
        <f t="shared" si="160"/>
        <v>-19.25</v>
      </c>
      <c r="R717" s="26" t="b">
        <f t="shared" si="161"/>
        <v>0</v>
      </c>
      <c r="S717" s="28" t="str">
        <f t="shared" si="162"/>
        <v>GROWTH</v>
      </c>
      <c r="T717" s="24">
        <v>40.5</v>
      </c>
      <c r="U717" s="29" t="str">
        <f t="shared" si="163"/>
        <v>May</v>
      </c>
      <c r="V717" s="24">
        <f t="shared" si="164"/>
        <v>40.5</v>
      </c>
      <c r="W717" s="30">
        <f t="shared" si="165"/>
        <v>90.35</v>
      </c>
      <c r="X717" s="31" t="b">
        <f t="shared" si="166"/>
        <v>0</v>
      </c>
      <c r="Y717" s="32" t="str">
        <f t="shared" si="167"/>
        <v>GROWTH</v>
      </c>
      <c r="Z717" s="41">
        <v>0</v>
      </c>
      <c r="AA717" s="36"/>
      <c r="AB717" s="36" t="s">
        <v>24</v>
      </c>
      <c r="AC717" s="36" t="s">
        <v>848</v>
      </c>
      <c r="AD717" s="34"/>
      <c r="AE717" s="35">
        <f>IFERROR(INDEX([1]Last6M_AvgSales_Ref!$B$2:$B$12659,MATCH(D717,[1]Last6M_AvgSales_Ref!$A$2:$A$12659,0)),"")</f>
        <v>91.016666666666694</v>
      </c>
    </row>
    <row r="718" spans="1:31" ht="14.25" customHeight="1" x14ac:dyDescent="0.3">
      <c r="A718" s="36" t="s">
        <v>848</v>
      </c>
      <c r="B718" s="38" t="s">
        <v>1420</v>
      </c>
      <c r="C718" s="38" t="s">
        <v>1477</v>
      </c>
      <c r="D718" s="38">
        <v>1000003595</v>
      </c>
      <c r="E718" s="39" t="s">
        <v>1478</v>
      </c>
      <c r="F718" s="40">
        <v>45093</v>
      </c>
      <c r="G718" s="22" t="str">
        <f t="shared" si="154"/>
        <v>Targeted Dealer</v>
      </c>
      <c r="H718" s="22"/>
      <c r="I718" s="23">
        <v>100</v>
      </c>
      <c r="J718" s="23">
        <f t="shared" si="155"/>
        <v>100</v>
      </c>
      <c r="K718" s="24">
        <v>52</v>
      </c>
      <c r="L718" s="24">
        <f t="shared" si="156"/>
        <v>48</v>
      </c>
      <c r="M718" s="24">
        <f t="shared" si="157"/>
        <v>52</v>
      </c>
      <c r="N718" s="25">
        <v>46</v>
      </c>
      <c r="O718" s="26" t="str">
        <f t="shared" si="158"/>
        <v>June</v>
      </c>
      <c r="P718" s="25">
        <f t="shared" si="159"/>
        <v>46</v>
      </c>
      <c r="Q718" s="27">
        <f t="shared" si="160"/>
        <v>6</v>
      </c>
      <c r="R718" s="26" t="b">
        <f t="shared" si="161"/>
        <v>0</v>
      </c>
      <c r="S718" s="28" t="str">
        <f t="shared" si="162"/>
        <v>GROWTH</v>
      </c>
      <c r="T718" s="24">
        <v>34.5</v>
      </c>
      <c r="U718" s="29" t="str">
        <f t="shared" si="163"/>
        <v>May</v>
      </c>
      <c r="V718" s="24">
        <f t="shared" si="164"/>
        <v>34.5</v>
      </c>
      <c r="W718" s="30">
        <f t="shared" si="165"/>
        <v>17.5</v>
      </c>
      <c r="X718" s="31" t="b">
        <f t="shared" si="166"/>
        <v>0</v>
      </c>
      <c r="Y718" s="32" t="str">
        <f t="shared" si="167"/>
        <v>GROWTH</v>
      </c>
      <c r="Z718" s="41">
        <v>0</v>
      </c>
      <c r="AA718" s="36"/>
      <c r="AB718" s="36" t="s">
        <v>24</v>
      </c>
      <c r="AC718" s="36" t="s">
        <v>848</v>
      </c>
      <c r="AD718" s="34"/>
      <c r="AE718" s="35">
        <f>IFERROR(INDEX([1]Last6M_AvgSales_Ref!$B$2:$B$12659,MATCH(D718,[1]Last6M_AvgSales_Ref!$A$2:$A$12659,0)),"")</f>
        <v>32.5833333333333</v>
      </c>
    </row>
    <row r="719" spans="1:31" ht="14.25" customHeight="1" x14ac:dyDescent="0.3">
      <c r="A719" s="36" t="s">
        <v>848</v>
      </c>
      <c r="B719" s="38" t="s">
        <v>1420</v>
      </c>
      <c r="C719" s="38" t="s">
        <v>1479</v>
      </c>
      <c r="D719" s="38">
        <v>1000003692</v>
      </c>
      <c r="E719" s="39" t="s">
        <v>1480</v>
      </c>
      <c r="F719" s="40">
        <v>45150</v>
      </c>
      <c r="G719" s="22" t="str">
        <f t="shared" si="154"/>
        <v>Targeted Dealer</v>
      </c>
      <c r="H719" s="22"/>
      <c r="I719" s="23">
        <v>50</v>
      </c>
      <c r="J719" s="23">
        <f t="shared" si="155"/>
        <v>50</v>
      </c>
      <c r="K719" s="24">
        <v>30</v>
      </c>
      <c r="L719" s="24">
        <f t="shared" si="156"/>
        <v>20</v>
      </c>
      <c r="M719" s="24">
        <f t="shared" si="157"/>
        <v>60</v>
      </c>
      <c r="N719" s="25">
        <v>29.75</v>
      </c>
      <c r="O719" s="26" t="str">
        <f t="shared" si="158"/>
        <v>June</v>
      </c>
      <c r="P719" s="25">
        <f t="shared" si="159"/>
        <v>29.75</v>
      </c>
      <c r="Q719" s="27">
        <f t="shared" si="160"/>
        <v>0.25</v>
      </c>
      <c r="R719" s="26" t="b">
        <f t="shared" si="161"/>
        <v>0</v>
      </c>
      <c r="S719" s="28" t="str">
        <f t="shared" si="162"/>
        <v>GROWTH</v>
      </c>
      <c r="T719" s="24">
        <v>20</v>
      </c>
      <c r="U719" s="29" t="str">
        <f t="shared" si="163"/>
        <v>May</v>
      </c>
      <c r="V719" s="24">
        <f t="shared" si="164"/>
        <v>20</v>
      </c>
      <c r="W719" s="30">
        <f t="shared" si="165"/>
        <v>10</v>
      </c>
      <c r="X719" s="31" t="b">
        <f t="shared" si="166"/>
        <v>0</v>
      </c>
      <c r="Y719" s="32" t="str">
        <f t="shared" si="167"/>
        <v>GROWTH</v>
      </c>
      <c r="Z719" s="41">
        <v>0</v>
      </c>
      <c r="AA719" s="36"/>
      <c r="AB719" s="36" t="s">
        <v>24</v>
      </c>
      <c r="AC719" s="36" t="s">
        <v>848</v>
      </c>
      <c r="AD719" s="34"/>
      <c r="AE719" s="35">
        <f>IFERROR(INDEX([1]Last6M_AvgSales_Ref!$B$2:$B$12659,MATCH(D719,[1]Last6M_AvgSales_Ref!$A$2:$A$12659,0)),"")</f>
        <v>23.6666666666667</v>
      </c>
    </row>
    <row r="720" spans="1:31" ht="14.25" customHeight="1" x14ac:dyDescent="0.3">
      <c r="A720" s="41" t="s">
        <v>848</v>
      </c>
      <c r="B720" s="44" t="s">
        <v>1420</v>
      </c>
      <c r="C720" s="44" t="s">
        <v>1481</v>
      </c>
      <c r="D720" s="44">
        <v>1000003934</v>
      </c>
      <c r="E720" s="44" t="s">
        <v>1482</v>
      </c>
      <c r="F720" s="40">
        <v>45412</v>
      </c>
      <c r="G720" s="22" t="str">
        <f t="shared" si="154"/>
        <v>Targeted Dealer</v>
      </c>
      <c r="H720" s="22"/>
      <c r="I720" s="23">
        <v>60</v>
      </c>
      <c r="J720" s="23">
        <f t="shared" si="155"/>
        <v>60</v>
      </c>
      <c r="K720" s="24">
        <v>53</v>
      </c>
      <c r="L720" s="24">
        <f t="shared" si="156"/>
        <v>7</v>
      </c>
      <c r="M720" s="24">
        <f t="shared" si="157"/>
        <v>88.333333333333343</v>
      </c>
      <c r="N720" s="25">
        <v>25</v>
      </c>
      <c r="O720" s="26" t="str">
        <f t="shared" si="158"/>
        <v>June</v>
      </c>
      <c r="P720" s="25">
        <f t="shared" si="159"/>
        <v>25</v>
      </c>
      <c r="Q720" s="27">
        <f t="shared" si="160"/>
        <v>28</v>
      </c>
      <c r="R720" s="26" t="b">
        <f t="shared" si="161"/>
        <v>0</v>
      </c>
      <c r="S720" s="28" t="str">
        <f t="shared" si="162"/>
        <v>GROWTH</v>
      </c>
      <c r="T720" s="24">
        <v>10</v>
      </c>
      <c r="U720" s="29" t="str">
        <f t="shared" si="163"/>
        <v>May</v>
      </c>
      <c r="V720" s="24">
        <f t="shared" si="164"/>
        <v>10</v>
      </c>
      <c r="W720" s="30">
        <f t="shared" si="165"/>
        <v>43</v>
      </c>
      <c r="X720" s="31" t="b">
        <f t="shared" si="166"/>
        <v>0</v>
      </c>
      <c r="Y720" s="32" t="str">
        <f t="shared" si="167"/>
        <v>GROWTH</v>
      </c>
      <c r="Z720" s="41">
        <v>0</v>
      </c>
      <c r="AA720" s="36"/>
      <c r="AB720" s="36" t="s">
        <v>24</v>
      </c>
      <c r="AC720" s="41" t="s">
        <v>848</v>
      </c>
      <c r="AD720" s="34"/>
      <c r="AE720" s="35">
        <f>IFERROR(INDEX([1]Last6M_AvgSales_Ref!$B$2:$B$12659,MATCH(D720,[1]Last6M_AvgSales_Ref!$A$2:$A$12659,0)),"")</f>
        <v>19.883333333333301</v>
      </c>
    </row>
    <row r="721" spans="1:31" ht="14.25" customHeight="1" x14ac:dyDescent="0.3">
      <c r="A721" s="41" t="s">
        <v>848</v>
      </c>
      <c r="B721" s="44" t="s">
        <v>1420</v>
      </c>
      <c r="C721" s="44" t="s">
        <v>1483</v>
      </c>
      <c r="D721" s="44">
        <v>1000004039</v>
      </c>
      <c r="E721" s="44" t="s">
        <v>1484</v>
      </c>
      <c r="F721" s="40">
        <v>45484</v>
      </c>
      <c r="G721" s="22" t="str">
        <f t="shared" si="154"/>
        <v>Targeted Dealer</v>
      </c>
      <c r="H721" s="22"/>
      <c r="I721" s="23">
        <v>100</v>
      </c>
      <c r="J721" s="23">
        <f t="shared" si="155"/>
        <v>100</v>
      </c>
      <c r="K721" s="24">
        <v>49</v>
      </c>
      <c r="L721" s="24">
        <f t="shared" si="156"/>
        <v>51</v>
      </c>
      <c r="M721" s="24">
        <f t="shared" si="157"/>
        <v>49</v>
      </c>
      <c r="N721" s="25">
        <v>65.5</v>
      </c>
      <c r="O721" s="26" t="str">
        <f t="shared" si="158"/>
        <v>June</v>
      </c>
      <c r="P721" s="25">
        <f t="shared" si="159"/>
        <v>65.5</v>
      </c>
      <c r="Q721" s="27">
        <f t="shared" si="160"/>
        <v>-16.5</v>
      </c>
      <c r="R721" s="26" t="b">
        <f t="shared" si="161"/>
        <v>0</v>
      </c>
      <c r="S721" s="28" t="str">
        <f t="shared" si="162"/>
        <v>GROWTH</v>
      </c>
      <c r="T721" s="24">
        <v>24</v>
      </c>
      <c r="U721" s="29" t="str">
        <f t="shared" si="163"/>
        <v>May</v>
      </c>
      <c r="V721" s="24">
        <f t="shared" si="164"/>
        <v>24</v>
      </c>
      <c r="W721" s="30">
        <f t="shared" si="165"/>
        <v>25</v>
      </c>
      <c r="X721" s="31" t="b">
        <f t="shared" si="166"/>
        <v>0</v>
      </c>
      <c r="Y721" s="32" t="str">
        <f t="shared" si="167"/>
        <v>GROWTH</v>
      </c>
      <c r="Z721" s="41">
        <v>0</v>
      </c>
      <c r="AA721" s="36"/>
      <c r="AB721" s="36" t="s">
        <v>24</v>
      </c>
      <c r="AC721" s="41" t="s">
        <v>848</v>
      </c>
      <c r="AD721" s="34"/>
      <c r="AE721" s="35">
        <f>IFERROR(INDEX([1]Last6M_AvgSales_Ref!$B$2:$B$12659,MATCH(D721,[1]Last6M_AvgSales_Ref!$A$2:$A$12659,0)),"")</f>
        <v>51.0416666666667</v>
      </c>
    </row>
    <row r="722" spans="1:31" ht="14.25" customHeight="1" x14ac:dyDescent="0.3">
      <c r="A722" s="41" t="s">
        <v>848</v>
      </c>
      <c r="B722" s="44" t="s">
        <v>1420</v>
      </c>
      <c r="C722" s="44" t="s">
        <v>1485</v>
      </c>
      <c r="D722" s="44">
        <v>1000004042</v>
      </c>
      <c r="E722" s="44" t="s">
        <v>1486</v>
      </c>
      <c r="F722" s="40">
        <v>45488</v>
      </c>
      <c r="G722" s="22" t="str">
        <f t="shared" si="154"/>
        <v>Targeted Dealer</v>
      </c>
      <c r="H722" s="22"/>
      <c r="I722" s="23">
        <v>100</v>
      </c>
      <c r="J722" s="23">
        <f t="shared" si="155"/>
        <v>100</v>
      </c>
      <c r="K722" s="24">
        <v>31.5</v>
      </c>
      <c r="L722" s="24">
        <f t="shared" si="156"/>
        <v>68.5</v>
      </c>
      <c r="M722" s="24">
        <f t="shared" si="157"/>
        <v>31.5</v>
      </c>
      <c r="N722" s="25">
        <v>17.5</v>
      </c>
      <c r="O722" s="26" t="str">
        <f t="shared" si="158"/>
        <v>June</v>
      </c>
      <c r="P722" s="25">
        <f t="shared" si="159"/>
        <v>17.5</v>
      </c>
      <c r="Q722" s="27">
        <f t="shared" si="160"/>
        <v>14</v>
      </c>
      <c r="R722" s="26" t="b">
        <f t="shared" si="161"/>
        <v>0</v>
      </c>
      <c r="S722" s="28" t="str">
        <f t="shared" si="162"/>
        <v>GROWTH</v>
      </c>
      <c r="T722" s="24">
        <v>9.5</v>
      </c>
      <c r="U722" s="29" t="str">
        <f t="shared" si="163"/>
        <v>May</v>
      </c>
      <c r="V722" s="24">
        <f t="shared" si="164"/>
        <v>9.5</v>
      </c>
      <c r="W722" s="30">
        <f t="shared" si="165"/>
        <v>22</v>
      </c>
      <c r="X722" s="31" t="b">
        <f t="shared" si="166"/>
        <v>0</v>
      </c>
      <c r="Y722" s="32" t="str">
        <f t="shared" si="167"/>
        <v>GROWTH</v>
      </c>
      <c r="Z722" s="41">
        <v>0</v>
      </c>
      <c r="AA722" s="36"/>
      <c r="AB722" s="36" t="s">
        <v>24</v>
      </c>
      <c r="AC722" s="41" t="s">
        <v>848</v>
      </c>
      <c r="AD722" s="34"/>
      <c r="AE722" s="35">
        <f>IFERROR(INDEX([1]Last6M_AvgSales_Ref!$B$2:$B$12659,MATCH(D722,[1]Last6M_AvgSales_Ref!$A$2:$A$12659,0)),"")</f>
        <v>36.9583333333333</v>
      </c>
    </row>
    <row r="723" spans="1:31" ht="14.25" customHeight="1" x14ac:dyDescent="0.3">
      <c r="A723" s="36" t="s">
        <v>848</v>
      </c>
      <c r="B723" s="38" t="s">
        <v>1487</v>
      </c>
      <c r="C723" s="38" t="s">
        <v>1488</v>
      </c>
      <c r="D723" s="38">
        <v>1000000199</v>
      </c>
      <c r="E723" s="39" t="s">
        <v>1489</v>
      </c>
      <c r="F723" s="40">
        <v>38609</v>
      </c>
      <c r="G723" s="22" t="str">
        <f t="shared" si="154"/>
        <v>Targeted Dealer</v>
      </c>
      <c r="H723" s="22"/>
      <c r="I723" s="23">
        <v>280</v>
      </c>
      <c r="J723" s="23">
        <f t="shared" si="155"/>
        <v>280</v>
      </c>
      <c r="K723" s="24">
        <v>94.5</v>
      </c>
      <c r="L723" s="24">
        <f t="shared" si="156"/>
        <v>185.5</v>
      </c>
      <c r="M723" s="24">
        <f t="shared" si="157"/>
        <v>33.75</v>
      </c>
      <c r="N723" s="25">
        <v>120</v>
      </c>
      <c r="O723" s="26" t="str">
        <f t="shared" si="158"/>
        <v>June</v>
      </c>
      <c r="P723" s="25">
        <f t="shared" si="159"/>
        <v>120</v>
      </c>
      <c r="Q723" s="27">
        <f t="shared" si="160"/>
        <v>-25.5</v>
      </c>
      <c r="R723" s="26" t="b">
        <f t="shared" si="161"/>
        <v>0</v>
      </c>
      <c r="S723" s="28" t="str">
        <f t="shared" si="162"/>
        <v>GROWTH</v>
      </c>
      <c r="T723" s="24">
        <v>146</v>
      </c>
      <c r="U723" s="29" t="str">
        <f t="shared" si="163"/>
        <v>May</v>
      </c>
      <c r="V723" s="24">
        <f t="shared" si="164"/>
        <v>146</v>
      </c>
      <c r="W723" s="30">
        <f t="shared" si="165"/>
        <v>-51.5</v>
      </c>
      <c r="X723" s="31" t="b">
        <f t="shared" si="166"/>
        <v>0</v>
      </c>
      <c r="Y723" s="32" t="str">
        <f t="shared" si="167"/>
        <v>GROWTH</v>
      </c>
      <c r="Z723" s="41">
        <v>0</v>
      </c>
      <c r="AA723" s="36"/>
      <c r="AB723" s="36" t="s">
        <v>24</v>
      </c>
      <c r="AC723" s="36" t="s">
        <v>848</v>
      </c>
      <c r="AD723" s="34"/>
      <c r="AE723" s="35">
        <f>IFERROR(INDEX([1]Last6M_AvgSales_Ref!$B$2:$B$12659,MATCH(D723,[1]Last6M_AvgSales_Ref!$A$2:$A$12659,0)),"")</f>
        <v>133.583333333333</v>
      </c>
    </row>
    <row r="724" spans="1:31" ht="14.25" customHeight="1" x14ac:dyDescent="0.3">
      <c r="A724" s="36" t="s">
        <v>848</v>
      </c>
      <c r="B724" s="38" t="s">
        <v>1487</v>
      </c>
      <c r="C724" s="38" t="s">
        <v>1490</v>
      </c>
      <c r="D724" s="38">
        <v>1000000213</v>
      </c>
      <c r="E724" s="39" t="s">
        <v>1491</v>
      </c>
      <c r="F724" s="40">
        <v>38644</v>
      </c>
      <c r="G724" s="22" t="str">
        <f t="shared" si="154"/>
        <v>Targeted Dealer</v>
      </c>
      <c r="H724" s="22"/>
      <c r="I724" s="23">
        <v>80</v>
      </c>
      <c r="J724" s="23">
        <f t="shared" si="155"/>
        <v>80</v>
      </c>
      <c r="K724" s="24">
        <v>45</v>
      </c>
      <c r="L724" s="24">
        <f t="shared" si="156"/>
        <v>35</v>
      </c>
      <c r="M724" s="24">
        <f t="shared" si="157"/>
        <v>56.25</v>
      </c>
      <c r="N724" s="25">
        <v>31</v>
      </c>
      <c r="O724" s="26" t="str">
        <f t="shared" si="158"/>
        <v>June</v>
      </c>
      <c r="P724" s="25">
        <f t="shared" si="159"/>
        <v>31</v>
      </c>
      <c r="Q724" s="27">
        <f t="shared" si="160"/>
        <v>14</v>
      </c>
      <c r="R724" s="26" t="b">
        <f t="shared" si="161"/>
        <v>0</v>
      </c>
      <c r="S724" s="28" t="str">
        <f t="shared" si="162"/>
        <v>GROWTH</v>
      </c>
      <c r="T724" s="24">
        <v>22.5</v>
      </c>
      <c r="U724" s="29" t="str">
        <f t="shared" si="163"/>
        <v>May</v>
      </c>
      <c r="V724" s="24">
        <f t="shared" si="164"/>
        <v>22.5</v>
      </c>
      <c r="W724" s="30">
        <f t="shared" si="165"/>
        <v>22.5</v>
      </c>
      <c r="X724" s="31" t="b">
        <f t="shared" si="166"/>
        <v>0</v>
      </c>
      <c r="Y724" s="32" t="str">
        <f t="shared" si="167"/>
        <v>GROWTH</v>
      </c>
      <c r="Z724" s="41">
        <v>0</v>
      </c>
      <c r="AA724" s="36"/>
      <c r="AB724" s="36" t="s">
        <v>24</v>
      </c>
      <c r="AC724" s="36" t="s">
        <v>848</v>
      </c>
      <c r="AD724" s="34"/>
      <c r="AE724" s="35">
        <f>IFERROR(INDEX([1]Last6M_AvgSales_Ref!$B$2:$B$12659,MATCH(D724,[1]Last6M_AvgSales_Ref!$A$2:$A$12659,0)),"")</f>
        <v>36.3333333333333</v>
      </c>
    </row>
    <row r="725" spans="1:31" ht="14.25" customHeight="1" x14ac:dyDescent="0.3">
      <c r="A725" s="36" t="s">
        <v>848</v>
      </c>
      <c r="B725" s="38" t="s">
        <v>1487</v>
      </c>
      <c r="C725" s="38" t="s">
        <v>1492</v>
      </c>
      <c r="D725" s="38">
        <v>1000000222</v>
      </c>
      <c r="E725" s="39" t="s">
        <v>1493</v>
      </c>
      <c r="F725" s="40">
        <v>38647</v>
      </c>
      <c r="G725" s="22" t="str">
        <f t="shared" si="154"/>
        <v>Targeted Dealer</v>
      </c>
      <c r="H725" s="22"/>
      <c r="I725" s="23">
        <v>40</v>
      </c>
      <c r="J725" s="23">
        <f t="shared" si="155"/>
        <v>40</v>
      </c>
      <c r="K725" s="24">
        <v>7.5</v>
      </c>
      <c r="L725" s="24">
        <f t="shared" si="156"/>
        <v>32.5</v>
      </c>
      <c r="M725" s="24">
        <f t="shared" si="157"/>
        <v>18.75</v>
      </c>
      <c r="N725" s="25">
        <v>15</v>
      </c>
      <c r="O725" s="26" t="str">
        <f t="shared" si="158"/>
        <v>June</v>
      </c>
      <c r="P725" s="25">
        <f t="shared" si="159"/>
        <v>15</v>
      </c>
      <c r="Q725" s="27">
        <f t="shared" si="160"/>
        <v>-7.5</v>
      </c>
      <c r="R725" s="26" t="b">
        <f t="shared" si="161"/>
        <v>0</v>
      </c>
      <c r="S725" s="28" t="str">
        <f t="shared" si="162"/>
        <v>GROWTH</v>
      </c>
      <c r="T725" s="24">
        <v>10</v>
      </c>
      <c r="U725" s="29" t="str">
        <f t="shared" si="163"/>
        <v>May</v>
      </c>
      <c r="V725" s="24">
        <f t="shared" si="164"/>
        <v>10</v>
      </c>
      <c r="W725" s="30">
        <f t="shared" si="165"/>
        <v>-2.5</v>
      </c>
      <c r="X725" s="31" t="b">
        <f t="shared" si="166"/>
        <v>0</v>
      </c>
      <c r="Y725" s="32" t="str">
        <f t="shared" si="167"/>
        <v>GROWTH</v>
      </c>
      <c r="Z725" s="41">
        <v>0</v>
      </c>
      <c r="AA725" s="36"/>
      <c r="AB725" s="36" t="s">
        <v>24</v>
      </c>
      <c r="AC725" s="36" t="s">
        <v>848</v>
      </c>
      <c r="AD725" s="34"/>
      <c r="AE725" s="35">
        <f>IFERROR(INDEX([1]Last6M_AvgSales_Ref!$B$2:$B$12659,MATCH(D725,[1]Last6M_AvgSales_Ref!$A$2:$A$12659,0)),"")</f>
        <v>20.0833333333333</v>
      </c>
    </row>
    <row r="726" spans="1:31" ht="14.25" customHeight="1" x14ac:dyDescent="0.3">
      <c r="A726" s="36" t="s">
        <v>848</v>
      </c>
      <c r="B726" s="38" t="s">
        <v>1487</v>
      </c>
      <c r="C726" s="38" t="s">
        <v>1494</v>
      </c>
      <c r="D726" s="38">
        <v>1000000202</v>
      </c>
      <c r="E726" s="39" t="s">
        <v>1495</v>
      </c>
      <c r="F726" s="40">
        <v>39612</v>
      </c>
      <c r="G726" s="22" t="str">
        <f t="shared" si="154"/>
        <v>Targeted Dealer</v>
      </c>
      <c r="H726" s="22"/>
      <c r="I726" s="23">
        <v>200</v>
      </c>
      <c r="J726" s="23">
        <f t="shared" si="155"/>
        <v>200</v>
      </c>
      <c r="K726" s="24">
        <v>125</v>
      </c>
      <c r="L726" s="24">
        <f t="shared" si="156"/>
        <v>75</v>
      </c>
      <c r="M726" s="24">
        <f t="shared" si="157"/>
        <v>62.5</v>
      </c>
      <c r="N726" s="25">
        <v>75</v>
      </c>
      <c r="O726" s="26" t="str">
        <f t="shared" si="158"/>
        <v>June</v>
      </c>
      <c r="P726" s="25">
        <f t="shared" si="159"/>
        <v>75</v>
      </c>
      <c r="Q726" s="27">
        <f t="shared" si="160"/>
        <v>50</v>
      </c>
      <c r="R726" s="26" t="b">
        <f t="shared" si="161"/>
        <v>0</v>
      </c>
      <c r="S726" s="28" t="str">
        <f t="shared" si="162"/>
        <v>GROWTH</v>
      </c>
      <c r="T726" s="24">
        <v>60</v>
      </c>
      <c r="U726" s="29" t="str">
        <f t="shared" si="163"/>
        <v>May</v>
      </c>
      <c r="V726" s="24">
        <f t="shared" si="164"/>
        <v>60</v>
      </c>
      <c r="W726" s="30">
        <f t="shared" si="165"/>
        <v>65</v>
      </c>
      <c r="X726" s="31" t="b">
        <f t="shared" si="166"/>
        <v>0</v>
      </c>
      <c r="Y726" s="32" t="str">
        <f t="shared" si="167"/>
        <v>GROWTH</v>
      </c>
      <c r="Z726" s="41">
        <v>0</v>
      </c>
      <c r="AA726" s="36"/>
      <c r="AB726" s="36" t="s">
        <v>24</v>
      </c>
      <c r="AC726" s="36" t="s">
        <v>848</v>
      </c>
      <c r="AD726" s="34"/>
      <c r="AE726" s="35">
        <f>IFERROR(INDEX([1]Last6M_AvgSales_Ref!$B$2:$B$12659,MATCH(D726,[1]Last6M_AvgSales_Ref!$A$2:$A$12659,0)),"")</f>
        <v>125.75</v>
      </c>
    </row>
    <row r="727" spans="1:31" ht="14.25" customHeight="1" x14ac:dyDescent="0.3">
      <c r="A727" s="36" t="s">
        <v>848</v>
      </c>
      <c r="B727" s="38" t="s">
        <v>1487</v>
      </c>
      <c r="C727" s="38" t="s">
        <v>1496</v>
      </c>
      <c r="D727" s="38">
        <v>1000000224</v>
      </c>
      <c r="E727" s="39" t="s">
        <v>1497</v>
      </c>
      <c r="F727" s="40">
        <v>40816</v>
      </c>
      <c r="G727" s="22" t="str">
        <f t="shared" si="154"/>
        <v>Targeted Dealer</v>
      </c>
      <c r="H727" s="22"/>
      <c r="I727" s="23">
        <v>50</v>
      </c>
      <c r="J727" s="23">
        <f t="shared" si="155"/>
        <v>50</v>
      </c>
      <c r="K727" s="24">
        <v>30</v>
      </c>
      <c r="L727" s="24">
        <f t="shared" si="156"/>
        <v>20</v>
      </c>
      <c r="M727" s="24">
        <f t="shared" si="157"/>
        <v>60</v>
      </c>
      <c r="N727" s="25">
        <v>35</v>
      </c>
      <c r="O727" s="26" t="str">
        <f t="shared" si="158"/>
        <v>June</v>
      </c>
      <c r="P727" s="25">
        <f t="shared" si="159"/>
        <v>35</v>
      </c>
      <c r="Q727" s="27">
        <f t="shared" si="160"/>
        <v>-5</v>
      </c>
      <c r="R727" s="26" t="b">
        <f t="shared" si="161"/>
        <v>0</v>
      </c>
      <c r="S727" s="28" t="str">
        <f t="shared" si="162"/>
        <v>GROWTH</v>
      </c>
      <c r="T727" s="24">
        <v>50</v>
      </c>
      <c r="U727" s="29" t="str">
        <f t="shared" si="163"/>
        <v>May</v>
      </c>
      <c r="V727" s="24">
        <f t="shared" si="164"/>
        <v>50</v>
      </c>
      <c r="W727" s="30">
        <f t="shared" si="165"/>
        <v>-20</v>
      </c>
      <c r="X727" s="31" t="b">
        <f t="shared" si="166"/>
        <v>0</v>
      </c>
      <c r="Y727" s="32" t="str">
        <f t="shared" si="167"/>
        <v>GROWTH</v>
      </c>
      <c r="Z727" s="41">
        <v>0</v>
      </c>
      <c r="AA727" s="36"/>
      <c r="AB727" s="36" t="s">
        <v>24</v>
      </c>
      <c r="AC727" s="36" t="s">
        <v>848</v>
      </c>
      <c r="AD727" s="34"/>
      <c r="AE727" s="35">
        <f>IFERROR(INDEX([1]Last6M_AvgSales_Ref!$B$2:$B$12659,MATCH(D727,[1]Last6M_AvgSales_Ref!$A$2:$A$12659,0)),"")</f>
        <v>20.8333333333333</v>
      </c>
    </row>
    <row r="728" spans="1:31" ht="14.25" customHeight="1" x14ac:dyDescent="0.3">
      <c r="A728" s="36" t="s">
        <v>848</v>
      </c>
      <c r="B728" s="38" t="s">
        <v>1487</v>
      </c>
      <c r="C728" s="38" t="s">
        <v>1498</v>
      </c>
      <c r="D728" s="38">
        <v>1000000216</v>
      </c>
      <c r="E728" s="39" t="s">
        <v>1499</v>
      </c>
      <c r="F728" s="40">
        <v>40943</v>
      </c>
      <c r="G728" s="22" t="str">
        <f t="shared" si="154"/>
        <v>Targeted Dealer</v>
      </c>
      <c r="H728" s="22"/>
      <c r="I728" s="23">
        <v>550</v>
      </c>
      <c r="J728" s="23">
        <f t="shared" si="155"/>
        <v>550</v>
      </c>
      <c r="K728" s="24">
        <v>175</v>
      </c>
      <c r="L728" s="24">
        <f t="shared" si="156"/>
        <v>375</v>
      </c>
      <c r="M728" s="24">
        <f t="shared" si="157"/>
        <v>31.818181818181817</v>
      </c>
      <c r="N728" s="25">
        <v>117.5</v>
      </c>
      <c r="O728" s="26" t="str">
        <f t="shared" si="158"/>
        <v>June</v>
      </c>
      <c r="P728" s="25">
        <f t="shared" si="159"/>
        <v>117.5</v>
      </c>
      <c r="Q728" s="27">
        <f t="shared" si="160"/>
        <v>57.5</v>
      </c>
      <c r="R728" s="26" t="b">
        <f t="shared" si="161"/>
        <v>0</v>
      </c>
      <c r="S728" s="28" t="str">
        <f t="shared" si="162"/>
        <v>GROWTH</v>
      </c>
      <c r="T728" s="24">
        <v>250</v>
      </c>
      <c r="U728" s="29" t="str">
        <f t="shared" si="163"/>
        <v>May</v>
      </c>
      <c r="V728" s="24">
        <f t="shared" si="164"/>
        <v>250</v>
      </c>
      <c r="W728" s="30">
        <f t="shared" si="165"/>
        <v>-75</v>
      </c>
      <c r="X728" s="31" t="b">
        <f t="shared" si="166"/>
        <v>0</v>
      </c>
      <c r="Y728" s="32" t="str">
        <f t="shared" si="167"/>
        <v>GROWTH</v>
      </c>
      <c r="Z728" s="41">
        <v>0</v>
      </c>
      <c r="AA728" s="36"/>
      <c r="AB728" s="36" t="s">
        <v>24</v>
      </c>
      <c r="AC728" s="36" t="s">
        <v>848</v>
      </c>
      <c r="AD728" s="34"/>
      <c r="AE728" s="35">
        <f>IFERROR(INDEX([1]Last6M_AvgSales_Ref!$B$2:$B$12659,MATCH(D728,[1]Last6M_AvgSales_Ref!$A$2:$A$12659,0)),"")</f>
        <v>304.33333333333297</v>
      </c>
    </row>
    <row r="729" spans="1:31" ht="14.25" customHeight="1" x14ac:dyDescent="0.3">
      <c r="A729" s="36" t="s">
        <v>848</v>
      </c>
      <c r="B729" s="38" t="s">
        <v>1487</v>
      </c>
      <c r="C729" s="38" t="s">
        <v>1500</v>
      </c>
      <c r="D729" s="38">
        <v>1000000231</v>
      </c>
      <c r="E729" s="39" t="s">
        <v>1501</v>
      </c>
      <c r="F729" s="40">
        <v>41054</v>
      </c>
      <c r="G729" s="22" t="str">
        <f t="shared" si="154"/>
        <v>Targeted Dealer</v>
      </c>
      <c r="H729" s="22"/>
      <c r="I729" s="23">
        <v>100</v>
      </c>
      <c r="J729" s="23">
        <f t="shared" si="155"/>
        <v>100</v>
      </c>
      <c r="K729" s="24">
        <v>50</v>
      </c>
      <c r="L729" s="24">
        <f t="shared" si="156"/>
        <v>50</v>
      </c>
      <c r="M729" s="24">
        <f t="shared" si="157"/>
        <v>50</v>
      </c>
      <c r="N729" s="25">
        <v>75</v>
      </c>
      <c r="O729" s="26" t="str">
        <f t="shared" si="158"/>
        <v>June</v>
      </c>
      <c r="P729" s="25">
        <f t="shared" si="159"/>
        <v>75</v>
      </c>
      <c r="Q729" s="27">
        <f t="shared" si="160"/>
        <v>-25</v>
      </c>
      <c r="R729" s="26" t="b">
        <f t="shared" si="161"/>
        <v>0</v>
      </c>
      <c r="S729" s="28" t="str">
        <f t="shared" si="162"/>
        <v>GROWTH</v>
      </c>
      <c r="T729" s="24">
        <v>42.5</v>
      </c>
      <c r="U729" s="29" t="str">
        <f t="shared" si="163"/>
        <v>May</v>
      </c>
      <c r="V729" s="24">
        <f t="shared" si="164"/>
        <v>42.5</v>
      </c>
      <c r="W729" s="30">
        <f t="shared" si="165"/>
        <v>7.5</v>
      </c>
      <c r="X729" s="31" t="b">
        <f t="shared" si="166"/>
        <v>0</v>
      </c>
      <c r="Y729" s="32" t="str">
        <f t="shared" si="167"/>
        <v>GROWTH</v>
      </c>
      <c r="Z729" s="41">
        <v>0</v>
      </c>
      <c r="AA729" s="36"/>
      <c r="AB729" s="36" t="s">
        <v>24</v>
      </c>
      <c r="AC729" s="36" t="s">
        <v>848</v>
      </c>
      <c r="AD729" s="34"/>
      <c r="AE729" s="35">
        <f>IFERROR(INDEX([1]Last6M_AvgSales_Ref!$B$2:$B$12659,MATCH(D729,[1]Last6M_AvgSales_Ref!$A$2:$A$12659,0)),"")</f>
        <v>75</v>
      </c>
    </row>
    <row r="730" spans="1:31" ht="14.25" customHeight="1" x14ac:dyDescent="0.3">
      <c r="A730" s="36" t="s">
        <v>848</v>
      </c>
      <c r="B730" s="38" t="s">
        <v>1487</v>
      </c>
      <c r="C730" s="38" t="s">
        <v>1502</v>
      </c>
      <c r="D730" s="38">
        <v>1000000208</v>
      </c>
      <c r="E730" s="39" t="s">
        <v>1503</v>
      </c>
      <c r="F730" s="40">
        <v>41207</v>
      </c>
      <c r="G730" s="22" t="str">
        <f t="shared" si="154"/>
        <v>Targeted Dealer</v>
      </c>
      <c r="H730" s="22"/>
      <c r="I730" s="23">
        <v>340</v>
      </c>
      <c r="J730" s="23">
        <f t="shared" si="155"/>
        <v>340</v>
      </c>
      <c r="K730" s="24">
        <v>62.5</v>
      </c>
      <c r="L730" s="24">
        <f t="shared" si="156"/>
        <v>277.5</v>
      </c>
      <c r="M730" s="24">
        <f t="shared" si="157"/>
        <v>18.382352941176471</v>
      </c>
      <c r="N730" s="25">
        <v>75</v>
      </c>
      <c r="O730" s="26" t="str">
        <f t="shared" si="158"/>
        <v>June</v>
      </c>
      <c r="P730" s="25">
        <f t="shared" si="159"/>
        <v>75</v>
      </c>
      <c r="Q730" s="27">
        <f t="shared" si="160"/>
        <v>-12.5</v>
      </c>
      <c r="R730" s="26" t="b">
        <f t="shared" si="161"/>
        <v>0</v>
      </c>
      <c r="S730" s="28" t="str">
        <f t="shared" si="162"/>
        <v>GROWTH</v>
      </c>
      <c r="T730" s="24">
        <v>179</v>
      </c>
      <c r="U730" s="29" t="str">
        <f t="shared" si="163"/>
        <v>May</v>
      </c>
      <c r="V730" s="24">
        <f t="shared" si="164"/>
        <v>179</v>
      </c>
      <c r="W730" s="30">
        <f t="shared" si="165"/>
        <v>-116.5</v>
      </c>
      <c r="X730" s="31" t="b">
        <f t="shared" si="166"/>
        <v>0</v>
      </c>
      <c r="Y730" s="32" t="str">
        <f t="shared" si="167"/>
        <v>GROWTH</v>
      </c>
      <c r="Z730" s="41">
        <v>0</v>
      </c>
      <c r="AA730" s="36"/>
      <c r="AB730" s="36" t="s">
        <v>24</v>
      </c>
      <c r="AC730" s="36" t="s">
        <v>848</v>
      </c>
      <c r="AD730" s="34"/>
      <c r="AE730" s="35">
        <f>IFERROR(INDEX([1]Last6M_AvgSales_Ref!$B$2:$B$12659,MATCH(D730,[1]Last6M_AvgSales_Ref!$A$2:$A$12659,0)),"")</f>
        <v>179</v>
      </c>
    </row>
    <row r="731" spans="1:31" ht="14.25" customHeight="1" x14ac:dyDescent="0.3">
      <c r="A731" s="36" t="s">
        <v>848</v>
      </c>
      <c r="B731" s="38" t="s">
        <v>1487</v>
      </c>
      <c r="C731" s="38" t="s">
        <v>1504</v>
      </c>
      <c r="D731" s="38">
        <v>1000000210</v>
      </c>
      <c r="E731" s="39" t="s">
        <v>1505</v>
      </c>
      <c r="F731" s="40">
        <v>41352</v>
      </c>
      <c r="G731" s="22" t="str">
        <f t="shared" si="154"/>
        <v>Targeted Dealer</v>
      </c>
      <c r="H731" s="22"/>
      <c r="I731" s="23">
        <v>120</v>
      </c>
      <c r="J731" s="23">
        <f t="shared" si="155"/>
        <v>120</v>
      </c>
      <c r="K731" s="24">
        <v>54</v>
      </c>
      <c r="L731" s="24">
        <f t="shared" si="156"/>
        <v>66</v>
      </c>
      <c r="M731" s="24">
        <f t="shared" si="157"/>
        <v>45</v>
      </c>
      <c r="N731" s="25">
        <v>77.5</v>
      </c>
      <c r="O731" s="26" t="str">
        <f t="shared" si="158"/>
        <v>June</v>
      </c>
      <c r="P731" s="25">
        <f t="shared" si="159"/>
        <v>77.5</v>
      </c>
      <c r="Q731" s="27">
        <f t="shared" si="160"/>
        <v>-23.5</v>
      </c>
      <c r="R731" s="26" t="b">
        <f t="shared" si="161"/>
        <v>0</v>
      </c>
      <c r="S731" s="28" t="str">
        <f t="shared" si="162"/>
        <v>GROWTH</v>
      </c>
      <c r="T731" s="24">
        <v>55</v>
      </c>
      <c r="U731" s="29" t="str">
        <f t="shared" si="163"/>
        <v>May</v>
      </c>
      <c r="V731" s="24">
        <f t="shared" si="164"/>
        <v>55</v>
      </c>
      <c r="W731" s="30">
        <f t="shared" si="165"/>
        <v>-1</v>
      </c>
      <c r="X731" s="31" t="b">
        <f t="shared" si="166"/>
        <v>0</v>
      </c>
      <c r="Y731" s="32" t="str">
        <f t="shared" si="167"/>
        <v>GROWTH</v>
      </c>
      <c r="Z731" s="41">
        <v>0</v>
      </c>
      <c r="AA731" s="36"/>
      <c r="AB731" s="36" t="s">
        <v>24</v>
      </c>
      <c r="AC731" s="36" t="s">
        <v>848</v>
      </c>
      <c r="AD731" s="34"/>
      <c r="AE731" s="35">
        <f>IFERROR(INDEX([1]Last6M_AvgSales_Ref!$B$2:$B$12659,MATCH(D731,[1]Last6M_AvgSales_Ref!$A$2:$A$12659,0)),"")</f>
        <v>85.9166666666667</v>
      </c>
    </row>
    <row r="732" spans="1:31" ht="14.25" customHeight="1" x14ac:dyDescent="0.3">
      <c r="A732" s="36" t="s">
        <v>848</v>
      </c>
      <c r="B732" s="38" t="s">
        <v>1487</v>
      </c>
      <c r="C732" s="38" t="s">
        <v>1506</v>
      </c>
      <c r="D732" s="38">
        <v>1000000219</v>
      </c>
      <c r="E732" s="39" t="s">
        <v>1507</v>
      </c>
      <c r="F732" s="40">
        <v>41436</v>
      </c>
      <c r="G732" s="22" t="str">
        <f t="shared" si="154"/>
        <v>Targeted Dealer</v>
      </c>
      <c r="H732" s="22"/>
      <c r="I732" s="23">
        <v>140</v>
      </c>
      <c r="J732" s="23">
        <f t="shared" si="155"/>
        <v>140</v>
      </c>
      <c r="K732" s="24">
        <v>75</v>
      </c>
      <c r="L732" s="24">
        <f t="shared" si="156"/>
        <v>65</v>
      </c>
      <c r="M732" s="24">
        <f t="shared" si="157"/>
        <v>53.571428571428577</v>
      </c>
      <c r="N732" s="25">
        <v>75</v>
      </c>
      <c r="O732" s="26" t="str">
        <f t="shared" si="158"/>
        <v>June</v>
      </c>
      <c r="P732" s="25">
        <f t="shared" si="159"/>
        <v>75</v>
      </c>
      <c r="Q732" s="27">
        <f t="shared" si="160"/>
        <v>0</v>
      </c>
      <c r="R732" s="26" t="b">
        <f t="shared" si="161"/>
        <v>0</v>
      </c>
      <c r="S732" s="28" t="str">
        <f t="shared" si="162"/>
        <v>GROWTH</v>
      </c>
      <c r="T732" s="24">
        <v>50</v>
      </c>
      <c r="U732" s="29" t="str">
        <f t="shared" si="163"/>
        <v>May</v>
      </c>
      <c r="V732" s="24">
        <f t="shared" si="164"/>
        <v>50</v>
      </c>
      <c r="W732" s="30">
        <f t="shared" si="165"/>
        <v>25</v>
      </c>
      <c r="X732" s="31" t="b">
        <f t="shared" si="166"/>
        <v>0</v>
      </c>
      <c r="Y732" s="32" t="str">
        <f t="shared" si="167"/>
        <v>GROWTH</v>
      </c>
      <c r="Z732" s="41">
        <v>0</v>
      </c>
      <c r="AA732" s="36"/>
      <c r="AB732" s="36" t="s">
        <v>24</v>
      </c>
      <c r="AC732" s="36" t="s">
        <v>848</v>
      </c>
      <c r="AD732" s="34"/>
      <c r="AE732" s="35">
        <f>IFERROR(INDEX([1]Last6M_AvgSales_Ref!$B$2:$B$12659,MATCH(D732,[1]Last6M_AvgSales_Ref!$A$2:$A$12659,0)),"")</f>
        <v>130.833333333333</v>
      </c>
    </row>
    <row r="733" spans="1:31" ht="14.25" customHeight="1" x14ac:dyDescent="0.3">
      <c r="A733" s="36" t="s">
        <v>848</v>
      </c>
      <c r="B733" s="38" t="s">
        <v>1487</v>
      </c>
      <c r="C733" s="38" t="s">
        <v>1508</v>
      </c>
      <c r="D733" s="38">
        <v>1000000207</v>
      </c>
      <c r="E733" s="39" t="s">
        <v>1509</v>
      </c>
      <c r="F733" s="40">
        <v>41848</v>
      </c>
      <c r="G733" s="22" t="str">
        <f t="shared" si="154"/>
        <v>Targeted Dealer</v>
      </c>
      <c r="H733" s="22"/>
      <c r="I733" s="23">
        <v>340</v>
      </c>
      <c r="J733" s="23">
        <f t="shared" si="155"/>
        <v>340</v>
      </c>
      <c r="K733" s="24">
        <v>126</v>
      </c>
      <c r="L733" s="24">
        <f t="shared" si="156"/>
        <v>214</v>
      </c>
      <c r="M733" s="24">
        <f t="shared" si="157"/>
        <v>37.058823529411768</v>
      </c>
      <c r="N733" s="25">
        <v>100</v>
      </c>
      <c r="O733" s="26" t="str">
        <f t="shared" si="158"/>
        <v>June</v>
      </c>
      <c r="P733" s="25">
        <f t="shared" si="159"/>
        <v>100</v>
      </c>
      <c r="Q733" s="27">
        <f t="shared" si="160"/>
        <v>26</v>
      </c>
      <c r="R733" s="26" t="b">
        <f t="shared" si="161"/>
        <v>0</v>
      </c>
      <c r="S733" s="28" t="str">
        <f t="shared" si="162"/>
        <v>GROWTH</v>
      </c>
      <c r="T733" s="24">
        <v>152.5</v>
      </c>
      <c r="U733" s="29" t="str">
        <f t="shared" si="163"/>
        <v>May</v>
      </c>
      <c r="V733" s="24">
        <f t="shared" si="164"/>
        <v>152.5</v>
      </c>
      <c r="W733" s="30">
        <f t="shared" si="165"/>
        <v>-26.5</v>
      </c>
      <c r="X733" s="31" t="b">
        <f t="shared" si="166"/>
        <v>0</v>
      </c>
      <c r="Y733" s="32" t="str">
        <f t="shared" si="167"/>
        <v>GROWTH</v>
      </c>
      <c r="Z733" s="41">
        <v>0</v>
      </c>
      <c r="AA733" s="36"/>
      <c r="AB733" s="36" t="s">
        <v>24</v>
      </c>
      <c r="AC733" s="36" t="s">
        <v>848</v>
      </c>
      <c r="AD733" s="34"/>
      <c r="AE733" s="35">
        <f>IFERROR(INDEX([1]Last6M_AvgSales_Ref!$B$2:$B$12659,MATCH(D733,[1]Last6M_AvgSales_Ref!$A$2:$A$12659,0)),"")</f>
        <v>186.083333333333</v>
      </c>
    </row>
    <row r="734" spans="1:31" ht="14.25" customHeight="1" x14ac:dyDescent="0.3">
      <c r="A734" s="36" t="s">
        <v>848</v>
      </c>
      <c r="B734" s="38" t="s">
        <v>1487</v>
      </c>
      <c r="C734" s="38" t="s">
        <v>1510</v>
      </c>
      <c r="D734" s="38">
        <v>1000000209</v>
      </c>
      <c r="E734" s="39" t="s">
        <v>1511</v>
      </c>
      <c r="F734" s="40">
        <v>41880</v>
      </c>
      <c r="G734" s="22" t="str">
        <f t="shared" si="154"/>
        <v>Targeted Dealer</v>
      </c>
      <c r="H734" s="22"/>
      <c r="I734" s="23">
        <v>60</v>
      </c>
      <c r="J734" s="23">
        <f t="shared" si="155"/>
        <v>60</v>
      </c>
      <c r="K734" s="24">
        <v>10</v>
      </c>
      <c r="L734" s="24">
        <f t="shared" si="156"/>
        <v>50</v>
      </c>
      <c r="M734" s="24">
        <f t="shared" si="157"/>
        <v>16.666666666666668</v>
      </c>
      <c r="N734" s="25">
        <v>0</v>
      </c>
      <c r="O734" s="26" t="str">
        <f t="shared" si="158"/>
        <v>June</v>
      </c>
      <c r="P734" s="25">
        <f t="shared" si="159"/>
        <v>0</v>
      </c>
      <c r="Q734" s="27">
        <f t="shared" si="160"/>
        <v>10</v>
      </c>
      <c r="R734" s="26" t="b">
        <f t="shared" si="161"/>
        <v>0</v>
      </c>
      <c r="S734" s="28" t="b">
        <f t="shared" si="162"/>
        <v>0</v>
      </c>
      <c r="T734" s="24">
        <v>30</v>
      </c>
      <c r="U734" s="29" t="str">
        <f t="shared" si="163"/>
        <v>May</v>
      </c>
      <c r="V734" s="24">
        <f t="shared" si="164"/>
        <v>30</v>
      </c>
      <c r="W734" s="30">
        <f t="shared" si="165"/>
        <v>-20</v>
      </c>
      <c r="X734" s="31" t="b">
        <f t="shared" si="166"/>
        <v>0</v>
      </c>
      <c r="Y734" s="32" t="str">
        <f t="shared" si="167"/>
        <v>GROWTH</v>
      </c>
      <c r="Z734" s="41">
        <v>0</v>
      </c>
      <c r="AA734" s="36"/>
      <c r="AB734" s="36" t="s">
        <v>24</v>
      </c>
      <c r="AC734" s="36" t="s">
        <v>848</v>
      </c>
      <c r="AD734" s="34"/>
      <c r="AE734" s="35">
        <f>IFERROR(INDEX([1]Last6M_AvgSales_Ref!$B$2:$B$12659,MATCH(D734,[1]Last6M_AvgSales_Ref!$A$2:$A$12659,0)),"")</f>
        <v>29.6666666666667</v>
      </c>
    </row>
    <row r="735" spans="1:31" ht="14.25" customHeight="1" x14ac:dyDescent="0.3">
      <c r="A735" s="36" t="s">
        <v>848</v>
      </c>
      <c r="B735" s="38" t="s">
        <v>1487</v>
      </c>
      <c r="C735" s="38" t="s">
        <v>1512</v>
      </c>
      <c r="D735" s="38">
        <v>1000000198</v>
      </c>
      <c r="E735" s="39" t="s">
        <v>1513</v>
      </c>
      <c r="F735" s="40">
        <v>42257</v>
      </c>
      <c r="G735" s="22" t="str">
        <f t="shared" si="154"/>
        <v>Targeted Dealer</v>
      </c>
      <c r="H735" s="22"/>
      <c r="I735" s="23">
        <v>620</v>
      </c>
      <c r="J735" s="23">
        <f t="shared" si="155"/>
        <v>620</v>
      </c>
      <c r="K735" s="24">
        <v>487</v>
      </c>
      <c r="L735" s="24">
        <f t="shared" si="156"/>
        <v>133</v>
      </c>
      <c r="M735" s="24">
        <f t="shared" si="157"/>
        <v>78.548387096774192</v>
      </c>
      <c r="N735" s="25">
        <v>250</v>
      </c>
      <c r="O735" s="26" t="str">
        <f t="shared" si="158"/>
        <v>June</v>
      </c>
      <c r="P735" s="25">
        <f t="shared" si="159"/>
        <v>250</v>
      </c>
      <c r="Q735" s="27">
        <f t="shared" si="160"/>
        <v>237</v>
      </c>
      <c r="R735" s="26" t="b">
        <f t="shared" si="161"/>
        <v>0</v>
      </c>
      <c r="S735" s="28" t="str">
        <f t="shared" si="162"/>
        <v>GROWTH</v>
      </c>
      <c r="T735" s="24">
        <v>254</v>
      </c>
      <c r="U735" s="29" t="str">
        <f t="shared" si="163"/>
        <v>May</v>
      </c>
      <c r="V735" s="24">
        <f t="shared" si="164"/>
        <v>254</v>
      </c>
      <c r="W735" s="30">
        <f t="shared" si="165"/>
        <v>233</v>
      </c>
      <c r="X735" s="31" t="b">
        <f t="shared" si="166"/>
        <v>0</v>
      </c>
      <c r="Y735" s="32" t="str">
        <f t="shared" si="167"/>
        <v>GROWTH</v>
      </c>
      <c r="Z735" s="41">
        <v>0</v>
      </c>
      <c r="AA735" s="36"/>
      <c r="AB735" s="36" t="s">
        <v>24</v>
      </c>
      <c r="AC735" s="36" t="s">
        <v>848</v>
      </c>
      <c r="AD735" s="34"/>
      <c r="AE735" s="35">
        <f>IFERROR(INDEX([1]Last6M_AvgSales_Ref!$B$2:$B$12659,MATCH(D735,[1]Last6M_AvgSales_Ref!$A$2:$A$12659,0)),"")</f>
        <v>558.41666666666697</v>
      </c>
    </row>
    <row r="736" spans="1:31" ht="14.25" customHeight="1" x14ac:dyDescent="0.3">
      <c r="A736" s="36" t="s">
        <v>848</v>
      </c>
      <c r="B736" s="38" t="s">
        <v>1487</v>
      </c>
      <c r="C736" s="38" t="s">
        <v>1514</v>
      </c>
      <c r="D736" s="38">
        <v>1000000221</v>
      </c>
      <c r="E736" s="39" t="s">
        <v>1515</v>
      </c>
      <c r="F736" s="40">
        <v>42388</v>
      </c>
      <c r="G736" s="22" t="str">
        <f t="shared" si="154"/>
        <v>Targeted Dealer</v>
      </c>
      <c r="H736" s="22"/>
      <c r="I736" s="23">
        <v>350</v>
      </c>
      <c r="J736" s="23">
        <f t="shared" si="155"/>
        <v>350</v>
      </c>
      <c r="K736" s="24">
        <v>125</v>
      </c>
      <c r="L736" s="24">
        <f t="shared" si="156"/>
        <v>225</v>
      </c>
      <c r="M736" s="24">
        <f t="shared" si="157"/>
        <v>35.714285714285715</v>
      </c>
      <c r="N736" s="25">
        <v>160</v>
      </c>
      <c r="O736" s="26" t="str">
        <f t="shared" si="158"/>
        <v>June</v>
      </c>
      <c r="P736" s="25">
        <f t="shared" si="159"/>
        <v>160</v>
      </c>
      <c r="Q736" s="27">
        <f t="shared" si="160"/>
        <v>-35</v>
      </c>
      <c r="R736" s="26" t="b">
        <f t="shared" si="161"/>
        <v>0</v>
      </c>
      <c r="S736" s="28" t="str">
        <f t="shared" si="162"/>
        <v>GROWTH</v>
      </c>
      <c r="T736" s="24">
        <v>132.5</v>
      </c>
      <c r="U736" s="29" t="str">
        <f t="shared" si="163"/>
        <v>May</v>
      </c>
      <c r="V736" s="24">
        <f t="shared" si="164"/>
        <v>132.5</v>
      </c>
      <c r="W736" s="30">
        <f t="shared" si="165"/>
        <v>-7.5</v>
      </c>
      <c r="X736" s="31" t="b">
        <f t="shared" si="166"/>
        <v>0</v>
      </c>
      <c r="Y736" s="32" t="str">
        <f t="shared" si="167"/>
        <v>GROWTH</v>
      </c>
      <c r="Z736" s="41">
        <v>0</v>
      </c>
      <c r="AA736" s="36"/>
      <c r="AB736" s="36" t="s">
        <v>24</v>
      </c>
      <c r="AC736" s="36" t="s">
        <v>848</v>
      </c>
      <c r="AD736" s="34"/>
      <c r="AE736" s="35">
        <f>IFERROR(INDEX([1]Last6M_AvgSales_Ref!$B$2:$B$12659,MATCH(D736,[1]Last6M_AvgSales_Ref!$A$2:$A$12659,0)),"")</f>
        <v>295.83333333333297</v>
      </c>
    </row>
    <row r="737" spans="1:31" ht="14.25" customHeight="1" x14ac:dyDescent="0.3">
      <c r="A737" s="36" t="s">
        <v>848</v>
      </c>
      <c r="B737" s="38" t="s">
        <v>1487</v>
      </c>
      <c r="C737" s="38" t="s">
        <v>1516</v>
      </c>
      <c r="D737" s="38">
        <v>1000000218</v>
      </c>
      <c r="E737" s="39" t="s">
        <v>1517</v>
      </c>
      <c r="F737" s="40">
        <v>42522</v>
      </c>
      <c r="G737" s="22" t="str">
        <f t="shared" si="154"/>
        <v>Targeted Dealer</v>
      </c>
      <c r="H737" s="22"/>
      <c r="I737" s="23">
        <v>300</v>
      </c>
      <c r="J737" s="23">
        <f t="shared" si="155"/>
        <v>300</v>
      </c>
      <c r="K737" s="24">
        <v>176</v>
      </c>
      <c r="L737" s="24">
        <f t="shared" si="156"/>
        <v>124</v>
      </c>
      <c r="M737" s="24">
        <f t="shared" si="157"/>
        <v>58.666666666666664</v>
      </c>
      <c r="N737" s="25">
        <v>125</v>
      </c>
      <c r="O737" s="26" t="str">
        <f t="shared" si="158"/>
        <v>June</v>
      </c>
      <c r="P737" s="25">
        <f t="shared" si="159"/>
        <v>125</v>
      </c>
      <c r="Q737" s="27">
        <f t="shared" si="160"/>
        <v>51</v>
      </c>
      <c r="R737" s="26" t="b">
        <f t="shared" si="161"/>
        <v>0</v>
      </c>
      <c r="S737" s="28" t="str">
        <f t="shared" si="162"/>
        <v>GROWTH</v>
      </c>
      <c r="T737" s="24">
        <v>130</v>
      </c>
      <c r="U737" s="29" t="str">
        <f t="shared" si="163"/>
        <v>May</v>
      </c>
      <c r="V737" s="24">
        <f t="shared" si="164"/>
        <v>130</v>
      </c>
      <c r="W737" s="30">
        <f t="shared" si="165"/>
        <v>46</v>
      </c>
      <c r="X737" s="31" t="b">
        <f t="shared" si="166"/>
        <v>0</v>
      </c>
      <c r="Y737" s="32" t="str">
        <f t="shared" si="167"/>
        <v>GROWTH</v>
      </c>
      <c r="Z737" s="41">
        <v>0</v>
      </c>
      <c r="AA737" s="36"/>
      <c r="AB737" s="36" t="s">
        <v>24</v>
      </c>
      <c r="AC737" s="36" t="s">
        <v>848</v>
      </c>
      <c r="AD737" s="34"/>
      <c r="AE737" s="35">
        <f>IFERROR(INDEX([1]Last6M_AvgSales_Ref!$B$2:$B$12659,MATCH(D737,[1]Last6M_AvgSales_Ref!$A$2:$A$12659,0)),"")</f>
        <v>174.166666666667</v>
      </c>
    </row>
    <row r="738" spans="1:31" ht="14.25" customHeight="1" x14ac:dyDescent="0.3">
      <c r="A738" s="36" t="s">
        <v>848</v>
      </c>
      <c r="B738" s="38" t="s">
        <v>1487</v>
      </c>
      <c r="C738" s="38" t="s">
        <v>1518</v>
      </c>
      <c r="D738" s="38">
        <v>1000000200</v>
      </c>
      <c r="E738" s="39" t="s">
        <v>1519</v>
      </c>
      <c r="F738" s="40">
        <v>42991</v>
      </c>
      <c r="G738" s="22" t="str">
        <f t="shared" si="154"/>
        <v>Targeted Dealer</v>
      </c>
      <c r="H738" s="22"/>
      <c r="I738" s="23">
        <v>60</v>
      </c>
      <c r="J738" s="23">
        <f t="shared" si="155"/>
        <v>60</v>
      </c>
      <c r="K738" s="24">
        <v>47.5</v>
      </c>
      <c r="L738" s="24">
        <f t="shared" si="156"/>
        <v>12.5</v>
      </c>
      <c r="M738" s="24">
        <f t="shared" si="157"/>
        <v>79.166666666666671</v>
      </c>
      <c r="N738" s="25">
        <v>27.5</v>
      </c>
      <c r="O738" s="26" t="str">
        <f t="shared" si="158"/>
        <v>June</v>
      </c>
      <c r="P738" s="25">
        <f t="shared" si="159"/>
        <v>27.5</v>
      </c>
      <c r="Q738" s="27">
        <f t="shared" si="160"/>
        <v>20</v>
      </c>
      <c r="R738" s="26" t="b">
        <f t="shared" si="161"/>
        <v>0</v>
      </c>
      <c r="S738" s="28" t="str">
        <f t="shared" si="162"/>
        <v>GROWTH</v>
      </c>
      <c r="T738" s="24">
        <v>12</v>
      </c>
      <c r="U738" s="29" t="str">
        <f t="shared" si="163"/>
        <v>May</v>
      </c>
      <c r="V738" s="24">
        <f t="shared" si="164"/>
        <v>12</v>
      </c>
      <c r="W738" s="30">
        <f t="shared" si="165"/>
        <v>35.5</v>
      </c>
      <c r="X738" s="31" t="b">
        <f t="shared" si="166"/>
        <v>0</v>
      </c>
      <c r="Y738" s="32" t="str">
        <f t="shared" si="167"/>
        <v>GROWTH</v>
      </c>
      <c r="Z738" s="41">
        <v>0</v>
      </c>
      <c r="AA738" s="36"/>
      <c r="AB738" s="36" t="s">
        <v>24</v>
      </c>
      <c r="AC738" s="36" t="s">
        <v>848</v>
      </c>
      <c r="AD738" s="34"/>
      <c r="AE738" s="35">
        <f>IFERROR(INDEX([1]Last6M_AvgSales_Ref!$B$2:$B$12659,MATCH(D738,[1]Last6M_AvgSales_Ref!$A$2:$A$12659,0)),"")</f>
        <v>61.5833333333333</v>
      </c>
    </row>
    <row r="739" spans="1:31" ht="14.25" customHeight="1" x14ac:dyDescent="0.3">
      <c r="A739" s="36" t="s">
        <v>848</v>
      </c>
      <c r="B739" s="38" t="s">
        <v>1487</v>
      </c>
      <c r="C739" s="38" t="s">
        <v>1520</v>
      </c>
      <c r="D739" s="38">
        <v>1000000204</v>
      </c>
      <c r="E739" s="39" t="s">
        <v>1521</v>
      </c>
      <c r="F739" s="40">
        <v>43054</v>
      </c>
      <c r="G739" s="22" t="str">
        <f t="shared" si="154"/>
        <v>Targeted Dealer</v>
      </c>
      <c r="H739" s="22"/>
      <c r="I739" s="23">
        <v>440</v>
      </c>
      <c r="J739" s="23">
        <f t="shared" si="155"/>
        <v>440</v>
      </c>
      <c r="K739" s="24">
        <v>288.5</v>
      </c>
      <c r="L739" s="24">
        <f t="shared" si="156"/>
        <v>151.5</v>
      </c>
      <c r="M739" s="24">
        <f t="shared" si="157"/>
        <v>65.568181818181813</v>
      </c>
      <c r="N739" s="25">
        <v>311.5</v>
      </c>
      <c r="O739" s="26" t="str">
        <f t="shared" si="158"/>
        <v>June</v>
      </c>
      <c r="P739" s="25">
        <f t="shared" si="159"/>
        <v>311.5</v>
      </c>
      <c r="Q739" s="27">
        <f t="shared" si="160"/>
        <v>-23</v>
      </c>
      <c r="R739" s="26" t="b">
        <f t="shared" si="161"/>
        <v>0</v>
      </c>
      <c r="S739" s="28" t="str">
        <f t="shared" si="162"/>
        <v>GROWTH</v>
      </c>
      <c r="T739" s="24">
        <v>221.85</v>
      </c>
      <c r="U739" s="29" t="str">
        <f t="shared" si="163"/>
        <v>May</v>
      </c>
      <c r="V739" s="24">
        <f t="shared" si="164"/>
        <v>221.85</v>
      </c>
      <c r="W739" s="30">
        <f t="shared" si="165"/>
        <v>66.650000000000006</v>
      </c>
      <c r="X739" s="31" t="b">
        <f t="shared" si="166"/>
        <v>0</v>
      </c>
      <c r="Y739" s="32" t="str">
        <f t="shared" si="167"/>
        <v>GROWTH</v>
      </c>
      <c r="Z739" s="41">
        <v>0</v>
      </c>
      <c r="AA739" s="36"/>
      <c r="AB739" s="36" t="s">
        <v>24</v>
      </c>
      <c r="AC739" s="36" t="s">
        <v>848</v>
      </c>
      <c r="AD739" s="34"/>
      <c r="AE739" s="35">
        <f>IFERROR(INDEX([1]Last6M_AvgSales_Ref!$B$2:$B$12659,MATCH(D739,[1]Last6M_AvgSales_Ref!$A$2:$A$12659,0)),"")</f>
        <v>292.70833333333297</v>
      </c>
    </row>
    <row r="740" spans="1:31" ht="14.25" customHeight="1" x14ac:dyDescent="0.3">
      <c r="A740" s="36" t="s">
        <v>848</v>
      </c>
      <c r="B740" s="38" t="s">
        <v>1487</v>
      </c>
      <c r="C740" s="38" t="s">
        <v>1522</v>
      </c>
      <c r="D740" s="38">
        <v>1000000211</v>
      </c>
      <c r="E740" s="39" t="s">
        <v>1523</v>
      </c>
      <c r="F740" s="40">
        <v>43263</v>
      </c>
      <c r="G740" s="22" t="str">
        <f t="shared" si="154"/>
        <v>Targeted Dealer</v>
      </c>
      <c r="H740" s="22"/>
      <c r="I740" s="23">
        <v>250</v>
      </c>
      <c r="J740" s="23">
        <f t="shared" si="155"/>
        <v>250.00000000000003</v>
      </c>
      <c r="K740" s="24">
        <v>125</v>
      </c>
      <c r="L740" s="24">
        <f t="shared" si="156"/>
        <v>125</v>
      </c>
      <c r="M740" s="24">
        <f t="shared" si="157"/>
        <v>49.999999999999993</v>
      </c>
      <c r="N740" s="25">
        <v>100</v>
      </c>
      <c r="O740" s="26" t="str">
        <f t="shared" si="158"/>
        <v>June</v>
      </c>
      <c r="P740" s="25">
        <f t="shared" si="159"/>
        <v>100</v>
      </c>
      <c r="Q740" s="27">
        <f t="shared" si="160"/>
        <v>25</v>
      </c>
      <c r="R740" s="26" t="b">
        <f t="shared" si="161"/>
        <v>0</v>
      </c>
      <c r="S740" s="28" t="str">
        <f t="shared" si="162"/>
        <v>GROWTH</v>
      </c>
      <c r="T740" s="24">
        <v>100</v>
      </c>
      <c r="U740" s="29" t="str">
        <f t="shared" si="163"/>
        <v>May</v>
      </c>
      <c r="V740" s="24">
        <f t="shared" si="164"/>
        <v>100</v>
      </c>
      <c r="W740" s="30">
        <f t="shared" si="165"/>
        <v>25</v>
      </c>
      <c r="X740" s="31" t="b">
        <f t="shared" si="166"/>
        <v>0</v>
      </c>
      <c r="Y740" s="32" t="str">
        <f t="shared" si="167"/>
        <v>GROWTH</v>
      </c>
      <c r="Z740" s="41">
        <v>0</v>
      </c>
      <c r="AA740" s="36"/>
      <c r="AB740" s="36" t="s">
        <v>24</v>
      </c>
      <c r="AC740" s="36" t="s">
        <v>848</v>
      </c>
      <c r="AD740" s="34"/>
      <c r="AE740" s="35">
        <f>IFERROR(INDEX([1]Last6M_AvgSales_Ref!$B$2:$B$12659,MATCH(D740,[1]Last6M_AvgSales_Ref!$A$2:$A$12659,0)),"")</f>
        <v>154.083333333333</v>
      </c>
    </row>
    <row r="741" spans="1:31" ht="14.25" customHeight="1" x14ac:dyDescent="0.3">
      <c r="A741" s="36" t="s">
        <v>848</v>
      </c>
      <c r="B741" s="38" t="s">
        <v>1487</v>
      </c>
      <c r="C741" s="38" t="s">
        <v>1524</v>
      </c>
      <c r="D741" s="38">
        <v>1000000223</v>
      </c>
      <c r="E741" s="39" t="s">
        <v>1525</v>
      </c>
      <c r="F741" s="40">
        <v>43379</v>
      </c>
      <c r="G741" s="22" t="str">
        <f t="shared" si="154"/>
        <v>Targeted Dealer</v>
      </c>
      <c r="H741" s="22"/>
      <c r="I741" s="23">
        <v>300</v>
      </c>
      <c r="J741" s="23">
        <f t="shared" si="155"/>
        <v>300</v>
      </c>
      <c r="K741" s="24">
        <v>117</v>
      </c>
      <c r="L741" s="24">
        <f t="shared" si="156"/>
        <v>183</v>
      </c>
      <c r="M741" s="24">
        <f t="shared" si="157"/>
        <v>39</v>
      </c>
      <c r="N741" s="25">
        <v>107.5</v>
      </c>
      <c r="O741" s="26" t="str">
        <f t="shared" si="158"/>
        <v>June</v>
      </c>
      <c r="P741" s="25">
        <f t="shared" si="159"/>
        <v>107.5</v>
      </c>
      <c r="Q741" s="27">
        <f t="shared" si="160"/>
        <v>9.5</v>
      </c>
      <c r="R741" s="26" t="b">
        <f t="shared" si="161"/>
        <v>0</v>
      </c>
      <c r="S741" s="28" t="str">
        <f t="shared" si="162"/>
        <v>GROWTH</v>
      </c>
      <c r="T741" s="24">
        <v>139</v>
      </c>
      <c r="U741" s="29" t="str">
        <f t="shared" si="163"/>
        <v>May</v>
      </c>
      <c r="V741" s="24">
        <f t="shared" si="164"/>
        <v>139</v>
      </c>
      <c r="W741" s="30">
        <f t="shared" si="165"/>
        <v>-22</v>
      </c>
      <c r="X741" s="31" t="b">
        <f t="shared" si="166"/>
        <v>0</v>
      </c>
      <c r="Y741" s="32" t="str">
        <f t="shared" si="167"/>
        <v>GROWTH</v>
      </c>
      <c r="Z741" s="41">
        <v>0</v>
      </c>
      <c r="AA741" s="36"/>
      <c r="AB741" s="36" t="s">
        <v>24</v>
      </c>
      <c r="AC741" s="36" t="s">
        <v>848</v>
      </c>
      <c r="AD741" s="34"/>
      <c r="AE741" s="35">
        <f>IFERROR(INDEX([1]Last6M_AvgSales_Ref!$B$2:$B$12659,MATCH(D741,[1]Last6M_AvgSales_Ref!$A$2:$A$12659,0)),"")</f>
        <v>219</v>
      </c>
    </row>
    <row r="742" spans="1:31" ht="14.25" customHeight="1" x14ac:dyDescent="0.3">
      <c r="A742" s="36" t="s">
        <v>848</v>
      </c>
      <c r="B742" s="38" t="s">
        <v>1487</v>
      </c>
      <c r="C742" s="38" t="s">
        <v>1526</v>
      </c>
      <c r="D742" s="38">
        <v>1000000206</v>
      </c>
      <c r="E742" s="39" t="s">
        <v>1527</v>
      </c>
      <c r="F742" s="40">
        <v>43452</v>
      </c>
      <c r="G742" s="22" t="str">
        <f t="shared" si="154"/>
        <v>Targeted Dealer</v>
      </c>
      <c r="H742" s="22"/>
      <c r="I742" s="23">
        <v>250</v>
      </c>
      <c r="J742" s="23">
        <f t="shared" si="155"/>
        <v>250.00000000000003</v>
      </c>
      <c r="K742" s="24">
        <v>75</v>
      </c>
      <c r="L742" s="24">
        <f t="shared" si="156"/>
        <v>175</v>
      </c>
      <c r="M742" s="24">
        <f t="shared" si="157"/>
        <v>29.999999999999993</v>
      </c>
      <c r="N742" s="25">
        <v>125</v>
      </c>
      <c r="O742" s="26" t="str">
        <f t="shared" si="158"/>
        <v>June</v>
      </c>
      <c r="P742" s="25">
        <f t="shared" si="159"/>
        <v>125</v>
      </c>
      <c r="Q742" s="27">
        <f t="shared" si="160"/>
        <v>-50</v>
      </c>
      <c r="R742" s="26" t="b">
        <f t="shared" si="161"/>
        <v>0</v>
      </c>
      <c r="S742" s="28" t="str">
        <f t="shared" si="162"/>
        <v>GROWTH</v>
      </c>
      <c r="T742" s="24">
        <v>100</v>
      </c>
      <c r="U742" s="29" t="str">
        <f t="shared" si="163"/>
        <v>May</v>
      </c>
      <c r="V742" s="24">
        <f t="shared" si="164"/>
        <v>100</v>
      </c>
      <c r="W742" s="30">
        <f t="shared" si="165"/>
        <v>-25</v>
      </c>
      <c r="X742" s="31" t="b">
        <f t="shared" si="166"/>
        <v>0</v>
      </c>
      <c r="Y742" s="32" t="str">
        <f t="shared" si="167"/>
        <v>GROWTH</v>
      </c>
      <c r="Z742" s="41">
        <v>0</v>
      </c>
      <c r="AA742" s="36"/>
      <c r="AB742" s="36" t="s">
        <v>24</v>
      </c>
      <c r="AC742" s="36" t="s">
        <v>848</v>
      </c>
      <c r="AD742" s="34"/>
      <c r="AE742" s="35">
        <f>IFERROR(INDEX([1]Last6M_AvgSales_Ref!$B$2:$B$12659,MATCH(D742,[1]Last6M_AvgSales_Ref!$A$2:$A$12659,0)),"")</f>
        <v>162.5</v>
      </c>
    </row>
    <row r="743" spans="1:31" ht="14.25" customHeight="1" x14ac:dyDescent="0.3">
      <c r="A743" s="36" t="s">
        <v>848</v>
      </c>
      <c r="B743" s="38" t="s">
        <v>1487</v>
      </c>
      <c r="C743" s="38" t="s">
        <v>1528</v>
      </c>
      <c r="D743" s="38">
        <v>1000000229</v>
      </c>
      <c r="E743" s="39" t="s">
        <v>1529</v>
      </c>
      <c r="F743" s="40">
        <v>43817</v>
      </c>
      <c r="G743" s="22" t="str">
        <f t="shared" si="154"/>
        <v>Targeted Dealer</v>
      </c>
      <c r="H743" s="22"/>
      <c r="I743" s="23">
        <v>80</v>
      </c>
      <c r="J743" s="23">
        <f t="shared" si="155"/>
        <v>80</v>
      </c>
      <c r="K743" s="24">
        <v>14</v>
      </c>
      <c r="L743" s="24">
        <f t="shared" si="156"/>
        <v>66</v>
      </c>
      <c r="M743" s="24">
        <f t="shared" si="157"/>
        <v>17.5</v>
      </c>
      <c r="N743" s="25">
        <v>17.5</v>
      </c>
      <c r="O743" s="26" t="str">
        <f t="shared" si="158"/>
        <v>June</v>
      </c>
      <c r="P743" s="25">
        <f t="shared" si="159"/>
        <v>17.5</v>
      </c>
      <c r="Q743" s="27">
        <f t="shared" si="160"/>
        <v>-3.5</v>
      </c>
      <c r="R743" s="26" t="b">
        <f t="shared" si="161"/>
        <v>0</v>
      </c>
      <c r="S743" s="28" t="str">
        <f t="shared" si="162"/>
        <v>GROWTH</v>
      </c>
      <c r="T743" s="24">
        <v>17.5</v>
      </c>
      <c r="U743" s="29" t="str">
        <f t="shared" si="163"/>
        <v>May</v>
      </c>
      <c r="V743" s="24">
        <f t="shared" si="164"/>
        <v>17.5</v>
      </c>
      <c r="W743" s="30">
        <f t="shared" si="165"/>
        <v>-3.5</v>
      </c>
      <c r="X743" s="31" t="b">
        <f t="shared" si="166"/>
        <v>0</v>
      </c>
      <c r="Y743" s="32" t="str">
        <f t="shared" si="167"/>
        <v>GROWTH</v>
      </c>
      <c r="Z743" s="41">
        <v>0</v>
      </c>
      <c r="AA743" s="36"/>
      <c r="AB743" s="36" t="s">
        <v>24</v>
      </c>
      <c r="AC743" s="36" t="s">
        <v>848</v>
      </c>
      <c r="AD743" s="34"/>
      <c r="AE743" s="35">
        <f>IFERROR(INDEX([1]Last6M_AvgSales_Ref!$B$2:$B$12659,MATCH(D743,[1]Last6M_AvgSales_Ref!$A$2:$A$12659,0)),"")</f>
        <v>18.3333333333333</v>
      </c>
    </row>
    <row r="744" spans="1:31" ht="14.25" customHeight="1" x14ac:dyDescent="0.3">
      <c r="A744" s="36" t="s">
        <v>848</v>
      </c>
      <c r="B744" s="38" t="s">
        <v>1487</v>
      </c>
      <c r="C744" s="38" t="s">
        <v>1530</v>
      </c>
      <c r="D744" s="38">
        <v>1000000214</v>
      </c>
      <c r="E744" s="39" t="s">
        <v>1531</v>
      </c>
      <c r="F744" s="40">
        <v>43992</v>
      </c>
      <c r="G744" s="22" t="str">
        <f t="shared" si="154"/>
        <v>Targeted Dealer</v>
      </c>
      <c r="H744" s="22"/>
      <c r="I744" s="23">
        <v>60</v>
      </c>
      <c r="J744" s="23">
        <f t="shared" si="155"/>
        <v>60</v>
      </c>
      <c r="K744" s="24">
        <v>36</v>
      </c>
      <c r="L744" s="24">
        <f t="shared" si="156"/>
        <v>24</v>
      </c>
      <c r="M744" s="24">
        <f t="shared" si="157"/>
        <v>60</v>
      </c>
      <c r="N744" s="25">
        <v>34</v>
      </c>
      <c r="O744" s="26" t="str">
        <f t="shared" si="158"/>
        <v>June</v>
      </c>
      <c r="P744" s="25">
        <f t="shared" si="159"/>
        <v>34</v>
      </c>
      <c r="Q744" s="27">
        <f t="shared" si="160"/>
        <v>2</v>
      </c>
      <c r="R744" s="26" t="b">
        <f t="shared" si="161"/>
        <v>0</v>
      </c>
      <c r="S744" s="28" t="str">
        <f t="shared" si="162"/>
        <v>GROWTH</v>
      </c>
      <c r="T744" s="24">
        <v>15</v>
      </c>
      <c r="U744" s="29" t="str">
        <f t="shared" si="163"/>
        <v>May</v>
      </c>
      <c r="V744" s="24">
        <f t="shared" si="164"/>
        <v>15</v>
      </c>
      <c r="W744" s="30">
        <f t="shared" si="165"/>
        <v>21</v>
      </c>
      <c r="X744" s="31" t="b">
        <f t="shared" si="166"/>
        <v>0</v>
      </c>
      <c r="Y744" s="32" t="str">
        <f t="shared" si="167"/>
        <v>GROWTH</v>
      </c>
      <c r="Z744" s="41">
        <v>0</v>
      </c>
      <c r="AA744" s="36"/>
      <c r="AB744" s="36" t="s">
        <v>24</v>
      </c>
      <c r="AC744" s="36" t="s">
        <v>848</v>
      </c>
      <c r="AD744" s="34"/>
      <c r="AE744" s="35">
        <f>IFERROR(INDEX([1]Last6M_AvgSales_Ref!$B$2:$B$12659,MATCH(D744,[1]Last6M_AvgSales_Ref!$A$2:$A$12659,0)),"")</f>
        <v>26.25</v>
      </c>
    </row>
    <row r="745" spans="1:31" ht="14.25" customHeight="1" x14ac:dyDescent="0.3">
      <c r="A745" s="36" t="s">
        <v>848</v>
      </c>
      <c r="B745" s="38" t="s">
        <v>1487</v>
      </c>
      <c r="C745" s="38" t="s">
        <v>1532</v>
      </c>
      <c r="D745" s="38">
        <v>1000000205</v>
      </c>
      <c r="E745" s="39" t="s">
        <v>1533</v>
      </c>
      <c r="F745" s="40">
        <v>44068</v>
      </c>
      <c r="G745" s="22" t="str">
        <f t="shared" si="154"/>
        <v>Targeted Dealer</v>
      </c>
      <c r="H745" s="22"/>
      <c r="I745" s="23">
        <v>100</v>
      </c>
      <c r="J745" s="23">
        <f t="shared" si="155"/>
        <v>100</v>
      </c>
      <c r="K745" s="24">
        <v>15</v>
      </c>
      <c r="L745" s="24">
        <f t="shared" si="156"/>
        <v>85</v>
      </c>
      <c r="M745" s="24">
        <f t="shared" si="157"/>
        <v>15</v>
      </c>
      <c r="N745" s="25">
        <v>12.5</v>
      </c>
      <c r="O745" s="26" t="str">
        <f t="shared" si="158"/>
        <v>June</v>
      </c>
      <c r="P745" s="25">
        <f t="shared" si="159"/>
        <v>12.5</v>
      </c>
      <c r="Q745" s="27">
        <f t="shared" si="160"/>
        <v>2.5</v>
      </c>
      <c r="R745" s="26" t="b">
        <f t="shared" si="161"/>
        <v>0</v>
      </c>
      <c r="S745" s="28" t="str">
        <f t="shared" si="162"/>
        <v>GROWTH</v>
      </c>
      <c r="T745" s="24">
        <v>25</v>
      </c>
      <c r="U745" s="29" t="str">
        <f t="shared" si="163"/>
        <v>May</v>
      </c>
      <c r="V745" s="24">
        <f t="shared" si="164"/>
        <v>25</v>
      </c>
      <c r="W745" s="30">
        <f t="shared" si="165"/>
        <v>-10</v>
      </c>
      <c r="X745" s="31" t="b">
        <f t="shared" si="166"/>
        <v>0</v>
      </c>
      <c r="Y745" s="32" t="str">
        <f t="shared" si="167"/>
        <v>GROWTH</v>
      </c>
      <c r="Z745" s="41">
        <v>0</v>
      </c>
      <c r="AA745" s="36"/>
      <c r="AB745" s="36" t="s">
        <v>24</v>
      </c>
      <c r="AC745" s="36" t="s">
        <v>848</v>
      </c>
      <c r="AD745" s="34"/>
      <c r="AE745" s="35">
        <f>IFERROR(INDEX([1]Last6M_AvgSales_Ref!$B$2:$B$12659,MATCH(D745,[1]Last6M_AvgSales_Ref!$A$2:$A$12659,0)),"")</f>
        <v>7.0833333333333304</v>
      </c>
    </row>
    <row r="746" spans="1:31" ht="14.25" customHeight="1" x14ac:dyDescent="0.3">
      <c r="A746" s="36" t="s">
        <v>848</v>
      </c>
      <c r="B746" s="38" t="s">
        <v>1487</v>
      </c>
      <c r="C746" s="38" t="s">
        <v>1534</v>
      </c>
      <c r="D746" s="38">
        <v>1000000215</v>
      </c>
      <c r="E746" s="39" t="s">
        <v>1535</v>
      </c>
      <c r="F746" s="40">
        <v>44145</v>
      </c>
      <c r="G746" s="22" t="str">
        <f t="shared" si="154"/>
        <v>Targeted Dealer</v>
      </c>
      <c r="H746" s="22"/>
      <c r="I746" s="23">
        <v>140</v>
      </c>
      <c r="J746" s="23">
        <f t="shared" si="155"/>
        <v>140</v>
      </c>
      <c r="K746" s="24">
        <v>95</v>
      </c>
      <c r="L746" s="24">
        <f t="shared" si="156"/>
        <v>45</v>
      </c>
      <c r="M746" s="24">
        <f t="shared" si="157"/>
        <v>67.857142857142861</v>
      </c>
      <c r="N746" s="25">
        <v>84</v>
      </c>
      <c r="O746" s="26" t="str">
        <f t="shared" si="158"/>
        <v>June</v>
      </c>
      <c r="P746" s="25">
        <f t="shared" si="159"/>
        <v>84</v>
      </c>
      <c r="Q746" s="27">
        <f t="shared" si="160"/>
        <v>11</v>
      </c>
      <c r="R746" s="26" t="b">
        <f t="shared" si="161"/>
        <v>0</v>
      </c>
      <c r="S746" s="28" t="str">
        <f t="shared" si="162"/>
        <v>GROWTH</v>
      </c>
      <c r="T746" s="24">
        <v>57.5</v>
      </c>
      <c r="U746" s="29" t="str">
        <f t="shared" si="163"/>
        <v>May</v>
      </c>
      <c r="V746" s="24">
        <f t="shared" si="164"/>
        <v>57.5</v>
      </c>
      <c r="W746" s="30">
        <f t="shared" si="165"/>
        <v>37.5</v>
      </c>
      <c r="X746" s="31" t="b">
        <f t="shared" si="166"/>
        <v>0</v>
      </c>
      <c r="Y746" s="32" t="str">
        <f t="shared" si="167"/>
        <v>GROWTH</v>
      </c>
      <c r="Z746" s="41">
        <v>0</v>
      </c>
      <c r="AA746" s="36"/>
      <c r="AB746" s="36" t="s">
        <v>24</v>
      </c>
      <c r="AC746" s="36" t="s">
        <v>848</v>
      </c>
      <c r="AD746" s="34"/>
      <c r="AE746" s="35">
        <f>IFERROR(INDEX([1]Last6M_AvgSales_Ref!$B$2:$B$12659,MATCH(D746,[1]Last6M_AvgSales_Ref!$A$2:$A$12659,0)),"")</f>
        <v>95.5</v>
      </c>
    </row>
    <row r="747" spans="1:31" ht="14.25" customHeight="1" x14ac:dyDescent="0.3">
      <c r="A747" s="36" t="s">
        <v>848</v>
      </c>
      <c r="B747" s="38" t="s">
        <v>1487</v>
      </c>
      <c r="C747" s="38" t="s">
        <v>1536</v>
      </c>
      <c r="D747" s="38">
        <v>1000000226</v>
      </c>
      <c r="E747" s="39" t="s">
        <v>1537</v>
      </c>
      <c r="F747" s="40">
        <v>44179</v>
      </c>
      <c r="G747" s="22" t="str">
        <f t="shared" si="154"/>
        <v>Targeted Dealer</v>
      </c>
      <c r="H747" s="22"/>
      <c r="I747" s="23">
        <v>200</v>
      </c>
      <c r="J747" s="23">
        <f t="shared" si="155"/>
        <v>200</v>
      </c>
      <c r="K747" s="24">
        <v>25</v>
      </c>
      <c r="L747" s="24">
        <f t="shared" si="156"/>
        <v>175</v>
      </c>
      <c r="M747" s="24">
        <f t="shared" si="157"/>
        <v>12.5</v>
      </c>
      <c r="N747" s="25">
        <v>75</v>
      </c>
      <c r="O747" s="26" t="str">
        <f t="shared" si="158"/>
        <v>June</v>
      </c>
      <c r="P747" s="25">
        <f t="shared" si="159"/>
        <v>75</v>
      </c>
      <c r="Q747" s="27">
        <f t="shared" si="160"/>
        <v>-50</v>
      </c>
      <c r="R747" s="26" t="b">
        <f t="shared" si="161"/>
        <v>0</v>
      </c>
      <c r="S747" s="28" t="str">
        <f t="shared" si="162"/>
        <v>GROWTH</v>
      </c>
      <c r="T747" s="24">
        <v>125</v>
      </c>
      <c r="U747" s="29" t="str">
        <f t="shared" si="163"/>
        <v>May</v>
      </c>
      <c r="V747" s="24">
        <f t="shared" si="164"/>
        <v>125</v>
      </c>
      <c r="W747" s="30">
        <f t="shared" si="165"/>
        <v>-100</v>
      </c>
      <c r="X747" s="31" t="b">
        <f t="shared" si="166"/>
        <v>0</v>
      </c>
      <c r="Y747" s="32" t="str">
        <f t="shared" si="167"/>
        <v>GROWTH</v>
      </c>
      <c r="Z747" s="41">
        <v>0</v>
      </c>
      <c r="AA747" s="36"/>
      <c r="AB747" s="36" t="s">
        <v>24</v>
      </c>
      <c r="AC747" s="36" t="s">
        <v>848</v>
      </c>
      <c r="AD747" s="34"/>
      <c r="AE747" s="35">
        <f>IFERROR(INDEX([1]Last6M_AvgSales_Ref!$B$2:$B$12659,MATCH(D747,[1]Last6M_AvgSales_Ref!$A$2:$A$12659,0)),"")</f>
        <v>127.366666666667</v>
      </c>
    </row>
    <row r="748" spans="1:31" ht="14.25" customHeight="1" x14ac:dyDescent="0.3">
      <c r="A748" s="36" t="s">
        <v>848</v>
      </c>
      <c r="B748" s="38" t="s">
        <v>1487</v>
      </c>
      <c r="C748" s="38" t="s">
        <v>1538</v>
      </c>
      <c r="D748" s="38">
        <v>1000000225</v>
      </c>
      <c r="E748" s="39" t="s">
        <v>1539</v>
      </c>
      <c r="F748" s="40">
        <v>44335</v>
      </c>
      <c r="G748" s="22" t="str">
        <f t="shared" si="154"/>
        <v>Targeted Dealer</v>
      </c>
      <c r="H748" s="22"/>
      <c r="I748" s="23">
        <v>60</v>
      </c>
      <c r="J748" s="23">
        <f t="shared" si="155"/>
        <v>60</v>
      </c>
      <c r="K748" s="24">
        <v>0</v>
      </c>
      <c r="L748" s="24">
        <f t="shared" si="156"/>
        <v>60</v>
      </c>
      <c r="M748" s="24">
        <f t="shared" si="157"/>
        <v>0</v>
      </c>
      <c r="N748" s="25">
        <v>10</v>
      </c>
      <c r="O748" s="26" t="str">
        <f t="shared" si="158"/>
        <v>June</v>
      </c>
      <c r="P748" s="25">
        <f t="shared" si="159"/>
        <v>10</v>
      </c>
      <c r="Q748" s="27">
        <f t="shared" si="160"/>
        <v>-10</v>
      </c>
      <c r="R748" s="26" t="b">
        <f t="shared" si="161"/>
        <v>0</v>
      </c>
      <c r="S748" s="28" t="str">
        <f t="shared" si="162"/>
        <v>GROWTH</v>
      </c>
      <c r="T748" s="24">
        <v>25</v>
      </c>
      <c r="U748" s="29" t="str">
        <f t="shared" si="163"/>
        <v>May</v>
      </c>
      <c r="V748" s="24">
        <f t="shared" si="164"/>
        <v>25</v>
      </c>
      <c r="W748" s="30">
        <f t="shared" si="165"/>
        <v>-25</v>
      </c>
      <c r="X748" s="31" t="b">
        <f t="shared" si="166"/>
        <v>0</v>
      </c>
      <c r="Y748" s="32" t="str">
        <f t="shared" si="167"/>
        <v>GROWTH</v>
      </c>
      <c r="Z748" s="41">
        <v>0</v>
      </c>
      <c r="AA748" s="36"/>
      <c r="AB748" s="36" t="s">
        <v>24</v>
      </c>
      <c r="AC748" s="36" t="s">
        <v>848</v>
      </c>
      <c r="AD748" s="34"/>
      <c r="AE748" s="35">
        <f>IFERROR(INDEX([1]Last6M_AvgSales_Ref!$B$2:$B$12659,MATCH(D748,[1]Last6M_AvgSales_Ref!$A$2:$A$12659,0)),"")</f>
        <v>24.0833333333333</v>
      </c>
    </row>
    <row r="749" spans="1:31" ht="14.25" customHeight="1" x14ac:dyDescent="0.3">
      <c r="A749" s="36" t="s">
        <v>848</v>
      </c>
      <c r="B749" s="38" t="s">
        <v>1487</v>
      </c>
      <c r="C749" s="38" t="s">
        <v>1540</v>
      </c>
      <c r="D749" s="38">
        <v>1000002612</v>
      </c>
      <c r="E749" s="39" t="s">
        <v>1541</v>
      </c>
      <c r="F749" s="40">
        <v>44623</v>
      </c>
      <c r="G749" s="22" t="str">
        <f t="shared" si="154"/>
        <v>Targeted Dealer</v>
      </c>
      <c r="H749" s="22"/>
      <c r="I749" s="23">
        <v>350</v>
      </c>
      <c r="J749" s="23">
        <f t="shared" si="155"/>
        <v>350</v>
      </c>
      <c r="K749" s="24">
        <v>125</v>
      </c>
      <c r="L749" s="24">
        <f t="shared" si="156"/>
        <v>225</v>
      </c>
      <c r="M749" s="24">
        <f t="shared" si="157"/>
        <v>35.714285714285715</v>
      </c>
      <c r="N749" s="25">
        <v>100</v>
      </c>
      <c r="O749" s="26" t="str">
        <f t="shared" si="158"/>
        <v>June</v>
      </c>
      <c r="P749" s="25">
        <f t="shared" si="159"/>
        <v>100</v>
      </c>
      <c r="Q749" s="27">
        <f t="shared" si="160"/>
        <v>25</v>
      </c>
      <c r="R749" s="26" t="b">
        <f t="shared" si="161"/>
        <v>0</v>
      </c>
      <c r="S749" s="28" t="str">
        <f t="shared" si="162"/>
        <v>GROWTH</v>
      </c>
      <c r="T749" s="24">
        <v>125</v>
      </c>
      <c r="U749" s="29" t="str">
        <f t="shared" si="163"/>
        <v>May</v>
      </c>
      <c r="V749" s="24">
        <f t="shared" si="164"/>
        <v>125</v>
      </c>
      <c r="W749" s="30">
        <f t="shared" si="165"/>
        <v>0</v>
      </c>
      <c r="X749" s="31" t="b">
        <f t="shared" si="166"/>
        <v>0</v>
      </c>
      <c r="Y749" s="32" t="str">
        <f t="shared" si="167"/>
        <v>GROWTH</v>
      </c>
      <c r="Z749" s="41">
        <v>0</v>
      </c>
      <c r="AA749" s="36"/>
      <c r="AB749" s="36" t="s">
        <v>24</v>
      </c>
      <c r="AC749" s="36" t="s">
        <v>848</v>
      </c>
      <c r="AD749" s="34"/>
      <c r="AE749" s="35">
        <f>IFERROR(INDEX([1]Last6M_AvgSales_Ref!$B$2:$B$12659,MATCH(D749,[1]Last6M_AvgSales_Ref!$A$2:$A$12659,0)),"")</f>
        <v>141.5</v>
      </c>
    </row>
    <row r="750" spans="1:31" ht="14.25" customHeight="1" x14ac:dyDescent="0.3">
      <c r="A750" s="36" t="s">
        <v>848</v>
      </c>
      <c r="B750" s="38" t="s">
        <v>1487</v>
      </c>
      <c r="C750" s="38" t="s">
        <v>1542</v>
      </c>
      <c r="D750" s="38">
        <v>1000002751</v>
      </c>
      <c r="E750" s="39" t="s">
        <v>1543</v>
      </c>
      <c r="F750" s="40">
        <v>44700</v>
      </c>
      <c r="G750" s="22" t="str">
        <f t="shared" si="154"/>
        <v>Targeted Dealer</v>
      </c>
      <c r="H750" s="22"/>
      <c r="I750" s="23">
        <v>150</v>
      </c>
      <c r="J750" s="23">
        <f t="shared" si="155"/>
        <v>150</v>
      </c>
      <c r="K750" s="24">
        <v>56</v>
      </c>
      <c r="L750" s="24">
        <f t="shared" si="156"/>
        <v>94</v>
      </c>
      <c r="M750" s="24">
        <f t="shared" si="157"/>
        <v>37.333333333333336</v>
      </c>
      <c r="N750" s="25">
        <v>50</v>
      </c>
      <c r="O750" s="26" t="str">
        <f t="shared" si="158"/>
        <v>June</v>
      </c>
      <c r="P750" s="25">
        <f t="shared" si="159"/>
        <v>50</v>
      </c>
      <c r="Q750" s="27">
        <f t="shared" si="160"/>
        <v>6</v>
      </c>
      <c r="R750" s="26" t="b">
        <f t="shared" si="161"/>
        <v>0</v>
      </c>
      <c r="S750" s="28" t="str">
        <f t="shared" si="162"/>
        <v>GROWTH</v>
      </c>
      <c r="T750" s="24">
        <v>50</v>
      </c>
      <c r="U750" s="29" t="str">
        <f t="shared" si="163"/>
        <v>May</v>
      </c>
      <c r="V750" s="24">
        <f t="shared" si="164"/>
        <v>50</v>
      </c>
      <c r="W750" s="30">
        <f t="shared" si="165"/>
        <v>6</v>
      </c>
      <c r="X750" s="31" t="b">
        <f t="shared" si="166"/>
        <v>0</v>
      </c>
      <c r="Y750" s="32" t="str">
        <f t="shared" si="167"/>
        <v>GROWTH</v>
      </c>
      <c r="Z750" s="41">
        <v>0</v>
      </c>
      <c r="AA750" s="36"/>
      <c r="AB750" s="36" t="s">
        <v>24</v>
      </c>
      <c r="AC750" s="36" t="s">
        <v>848</v>
      </c>
      <c r="AD750" s="34"/>
      <c r="AE750" s="35">
        <f>IFERROR(INDEX([1]Last6M_AvgSales_Ref!$B$2:$B$12659,MATCH(D750,[1]Last6M_AvgSales_Ref!$A$2:$A$12659,0)),"")</f>
        <v>73.3333333333333</v>
      </c>
    </row>
    <row r="751" spans="1:31" ht="14.25" customHeight="1" x14ac:dyDescent="0.3">
      <c r="A751" s="36" t="s">
        <v>848</v>
      </c>
      <c r="B751" s="38" t="s">
        <v>1487</v>
      </c>
      <c r="C751" s="38" t="s">
        <v>1544</v>
      </c>
      <c r="D751" s="38">
        <v>1000002837</v>
      </c>
      <c r="E751" s="39" t="s">
        <v>1545</v>
      </c>
      <c r="F751" s="40">
        <v>44760</v>
      </c>
      <c r="G751" s="22" t="str">
        <f t="shared" si="154"/>
        <v>Targeted Dealer</v>
      </c>
      <c r="H751" s="22"/>
      <c r="I751" s="23">
        <v>200</v>
      </c>
      <c r="J751" s="23">
        <f t="shared" si="155"/>
        <v>200</v>
      </c>
      <c r="K751" s="24">
        <v>124.5</v>
      </c>
      <c r="L751" s="24">
        <f t="shared" si="156"/>
        <v>75.5</v>
      </c>
      <c r="M751" s="24">
        <f t="shared" si="157"/>
        <v>62.25</v>
      </c>
      <c r="N751" s="25">
        <v>61.5</v>
      </c>
      <c r="O751" s="26" t="str">
        <f t="shared" si="158"/>
        <v>June</v>
      </c>
      <c r="P751" s="25">
        <f t="shared" si="159"/>
        <v>61.5</v>
      </c>
      <c r="Q751" s="27">
        <f t="shared" si="160"/>
        <v>63</v>
      </c>
      <c r="R751" s="26" t="b">
        <f t="shared" si="161"/>
        <v>0</v>
      </c>
      <c r="S751" s="28" t="str">
        <f t="shared" si="162"/>
        <v>GROWTH</v>
      </c>
      <c r="T751" s="24">
        <v>83</v>
      </c>
      <c r="U751" s="29" t="str">
        <f t="shared" si="163"/>
        <v>May</v>
      </c>
      <c r="V751" s="24">
        <f t="shared" si="164"/>
        <v>83</v>
      </c>
      <c r="W751" s="30">
        <f t="shared" si="165"/>
        <v>41.5</v>
      </c>
      <c r="X751" s="31" t="b">
        <f t="shared" si="166"/>
        <v>0</v>
      </c>
      <c r="Y751" s="32" t="str">
        <f t="shared" si="167"/>
        <v>GROWTH</v>
      </c>
      <c r="Z751" s="41">
        <v>0</v>
      </c>
      <c r="AA751" s="36"/>
      <c r="AB751" s="36" t="s">
        <v>24</v>
      </c>
      <c r="AC751" s="36" t="s">
        <v>848</v>
      </c>
      <c r="AD751" s="34"/>
      <c r="AE751" s="35">
        <f>IFERROR(INDEX([1]Last6M_AvgSales_Ref!$B$2:$B$12659,MATCH(D751,[1]Last6M_AvgSales_Ref!$A$2:$A$12659,0)),"")</f>
        <v>151.333333333333</v>
      </c>
    </row>
    <row r="752" spans="1:31" ht="14.25" customHeight="1" x14ac:dyDescent="0.3">
      <c r="A752" s="36" t="s">
        <v>848</v>
      </c>
      <c r="B752" s="38" t="s">
        <v>1487</v>
      </c>
      <c r="C752" s="38" t="s">
        <v>1546</v>
      </c>
      <c r="D752" s="38">
        <v>1000002903</v>
      </c>
      <c r="E752" s="39" t="s">
        <v>1547</v>
      </c>
      <c r="F752" s="40">
        <v>44799</v>
      </c>
      <c r="G752" s="22" t="str">
        <f t="shared" si="154"/>
        <v>Targeted Dealer</v>
      </c>
      <c r="H752" s="22"/>
      <c r="I752" s="23">
        <v>200</v>
      </c>
      <c r="J752" s="23">
        <f t="shared" si="155"/>
        <v>200</v>
      </c>
      <c r="K752" s="24">
        <v>138</v>
      </c>
      <c r="L752" s="24">
        <f t="shared" si="156"/>
        <v>62</v>
      </c>
      <c r="M752" s="24">
        <f t="shared" si="157"/>
        <v>69</v>
      </c>
      <c r="N752" s="25">
        <v>100</v>
      </c>
      <c r="O752" s="26" t="str">
        <f t="shared" si="158"/>
        <v>June</v>
      </c>
      <c r="P752" s="25">
        <f t="shared" si="159"/>
        <v>100</v>
      </c>
      <c r="Q752" s="27">
        <f t="shared" si="160"/>
        <v>38</v>
      </c>
      <c r="R752" s="26" t="b">
        <f t="shared" si="161"/>
        <v>0</v>
      </c>
      <c r="S752" s="28" t="str">
        <f t="shared" si="162"/>
        <v>GROWTH</v>
      </c>
      <c r="T752" s="24">
        <v>100</v>
      </c>
      <c r="U752" s="29" t="str">
        <f t="shared" si="163"/>
        <v>May</v>
      </c>
      <c r="V752" s="24">
        <f t="shared" si="164"/>
        <v>100</v>
      </c>
      <c r="W752" s="30">
        <f t="shared" si="165"/>
        <v>38</v>
      </c>
      <c r="X752" s="31" t="b">
        <f t="shared" si="166"/>
        <v>0</v>
      </c>
      <c r="Y752" s="32" t="str">
        <f t="shared" si="167"/>
        <v>GROWTH</v>
      </c>
      <c r="Z752" s="41">
        <v>0</v>
      </c>
      <c r="AA752" s="36"/>
      <c r="AB752" s="36" t="s">
        <v>24</v>
      </c>
      <c r="AC752" s="36" t="s">
        <v>848</v>
      </c>
      <c r="AD752" s="34"/>
      <c r="AE752" s="35">
        <f>IFERROR(INDEX([1]Last6M_AvgSales_Ref!$B$2:$B$12659,MATCH(D752,[1]Last6M_AvgSales_Ref!$A$2:$A$12659,0)),"")</f>
        <v>167.25</v>
      </c>
    </row>
    <row r="753" spans="1:31" ht="14.25" customHeight="1" x14ac:dyDescent="0.3">
      <c r="A753" s="36" t="s">
        <v>848</v>
      </c>
      <c r="B753" s="38" t="s">
        <v>1487</v>
      </c>
      <c r="C753" s="38" t="s">
        <v>1548</v>
      </c>
      <c r="D753" s="38">
        <v>1000003120</v>
      </c>
      <c r="E753" s="39" t="s">
        <v>1549</v>
      </c>
      <c r="F753" s="40">
        <v>44895</v>
      </c>
      <c r="G753" s="22" t="str">
        <f t="shared" si="154"/>
        <v>Targeted Dealer</v>
      </c>
      <c r="H753" s="22"/>
      <c r="I753" s="23">
        <v>180</v>
      </c>
      <c r="J753" s="23">
        <f t="shared" si="155"/>
        <v>180</v>
      </c>
      <c r="K753" s="24">
        <v>95</v>
      </c>
      <c r="L753" s="24">
        <f t="shared" si="156"/>
        <v>85</v>
      </c>
      <c r="M753" s="24">
        <f t="shared" si="157"/>
        <v>52.777777777777779</v>
      </c>
      <c r="N753" s="25">
        <v>98.5</v>
      </c>
      <c r="O753" s="26" t="str">
        <f t="shared" si="158"/>
        <v>June</v>
      </c>
      <c r="P753" s="25">
        <f t="shared" si="159"/>
        <v>98.5</v>
      </c>
      <c r="Q753" s="27">
        <f t="shared" si="160"/>
        <v>-3.5</v>
      </c>
      <c r="R753" s="26" t="b">
        <f t="shared" si="161"/>
        <v>0</v>
      </c>
      <c r="S753" s="28" t="str">
        <f t="shared" si="162"/>
        <v>GROWTH</v>
      </c>
      <c r="T753" s="24">
        <v>78.5</v>
      </c>
      <c r="U753" s="29" t="str">
        <f t="shared" si="163"/>
        <v>May</v>
      </c>
      <c r="V753" s="24">
        <f t="shared" si="164"/>
        <v>78.5</v>
      </c>
      <c r="W753" s="30">
        <f t="shared" si="165"/>
        <v>16.5</v>
      </c>
      <c r="X753" s="31" t="b">
        <f t="shared" si="166"/>
        <v>0</v>
      </c>
      <c r="Y753" s="32" t="str">
        <f t="shared" si="167"/>
        <v>GROWTH</v>
      </c>
      <c r="Z753" s="41">
        <v>0</v>
      </c>
      <c r="AA753" s="36"/>
      <c r="AB753" s="36" t="s">
        <v>24</v>
      </c>
      <c r="AC753" s="36" t="s">
        <v>848</v>
      </c>
      <c r="AD753" s="34"/>
      <c r="AE753" s="35">
        <f>IFERROR(INDEX([1]Last6M_AvgSales_Ref!$B$2:$B$12659,MATCH(D753,[1]Last6M_AvgSales_Ref!$A$2:$A$12659,0)),"")</f>
        <v>91.8333333333333</v>
      </c>
    </row>
    <row r="754" spans="1:31" ht="14.25" customHeight="1" x14ac:dyDescent="0.3">
      <c r="A754" s="36" t="s">
        <v>848</v>
      </c>
      <c r="B754" s="38" t="s">
        <v>1487</v>
      </c>
      <c r="C754" s="38" t="s">
        <v>1550</v>
      </c>
      <c r="D754" s="38">
        <v>1000003125</v>
      </c>
      <c r="E754" s="39" t="s">
        <v>1551</v>
      </c>
      <c r="F754" s="40">
        <v>44907</v>
      </c>
      <c r="G754" s="22" t="str">
        <f t="shared" si="154"/>
        <v>-</v>
      </c>
      <c r="H754" s="22"/>
      <c r="I754" s="23">
        <v>0</v>
      </c>
      <c r="J754" s="23">
        <f t="shared" si="155"/>
        <v>0</v>
      </c>
      <c r="K754" s="24">
        <v>31.5</v>
      </c>
      <c r="L754" s="24">
        <f t="shared" si="156"/>
        <v>-31.5</v>
      </c>
      <c r="M754" s="24" t="str">
        <f t="shared" si="157"/>
        <v>-</v>
      </c>
      <c r="N754" s="25">
        <v>25</v>
      </c>
      <c r="O754" s="26" t="str">
        <f t="shared" si="158"/>
        <v>June</v>
      </c>
      <c r="P754" s="25">
        <f t="shared" si="159"/>
        <v>25</v>
      </c>
      <c r="Q754" s="27">
        <f t="shared" si="160"/>
        <v>6.5</v>
      </c>
      <c r="R754" s="26" t="b">
        <f t="shared" si="161"/>
        <v>0</v>
      </c>
      <c r="S754" s="28" t="str">
        <f t="shared" si="162"/>
        <v>GROWTH</v>
      </c>
      <c r="T754" s="24">
        <v>0</v>
      </c>
      <c r="U754" s="29" t="str">
        <f t="shared" si="163"/>
        <v>May</v>
      </c>
      <c r="V754" s="24">
        <f t="shared" si="164"/>
        <v>0</v>
      </c>
      <c r="W754" s="30">
        <f t="shared" si="165"/>
        <v>31.5</v>
      </c>
      <c r="X754" s="31" t="b">
        <f t="shared" si="166"/>
        <v>0</v>
      </c>
      <c r="Y754" s="32" t="b">
        <f t="shared" si="167"/>
        <v>0</v>
      </c>
      <c r="Z754" s="41">
        <v>0</v>
      </c>
      <c r="AA754" s="36"/>
      <c r="AB754" s="36" t="s">
        <v>24</v>
      </c>
      <c r="AC754" s="36" t="s">
        <v>848</v>
      </c>
      <c r="AD754" s="34"/>
      <c r="AE754" s="35">
        <f>IFERROR(INDEX([1]Last6M_AvgSales_Ref!$B$2:$B$12659,MATCH(D754,[1]Last6M_AvgSales_Ref!$A$2:$A$12659,0)),"")</f>
        <v>12.5</v>
      </c>
    </row>
    <row r="755" spans="1:31" ht="14.25" customHeight="1" x14ac:dyDescent="0.3">
      <c r="A755" s="36" t="s">
        <v>848</v>
      </c>
      <c r="B755" s="38" t="s">
        <v>1487</v>
      </c>
      <c r="C755" s="38" t="s">
        <v>1552</v>
      </c>
      <c r="D755" s="38">
        <v>1000003768</v>
      </c>
      <c r="E755" s="39" t="s">
        <v>1553</v>
      </c>
      <c r="F755" s="40">
        <v>45259</v>
      </c>
      <c r="G755" s="22" t="str">
        <f t="shared" si="154"/>
        <v>Targeted Dealer</v>
      </c>
      <c r="H755" s="22"/>
      <c r="I755" s="23">
        <v>90</v>
      </c>
      <c r="J755" s="23">
        <f t="shared" si="155"/>
        <v>90</v>
      </c>
      <c r="K755" s="24">
        <v>50</v>
      </c>
      <c r="L755" s="24">
        <f t="shared" si="156"/>
        <v>40</v>
      </c>
      <c r="M755" s="24">
        <f t="shared" si="157"/>
        <v>55.555555555555557</v>
      </c>
      <c r="N755" s="25">
        <v>25</v>
      </c>
      <c r="O755" s="26" t="str">
        <f t="shared" si="158"/>
        <v>June</v>
      </c>
      <c r="P755" s="25">
        <f t="shared" si="159"/>
        <v>25</v>
      </c>
      <c r="Q755" s="27">
        <f t="shared" si="160"/>
        <v>25</v>
      </c>
      <c r="R755" s="26" t="b">
        <f t="shared" si="161"/>
        <v>0</v>
      </c>
      <c r="S755" s="28" t="str">
        <f t="shared" si="162"/>
        <v>GROWTH</v>
      </c>
      <c r="T755" s="24">
        <v>50</v>
      </c>
      <c r="U755" s="29" t="str">
        <f t="shared" si="163"/>
        <v>May</v>
      </c>
      <c r="V755" s="24">
        <f t="shared" si="164"/>
        <v>50</v>
      </c>
      <c r="W755" s="30">
        <f t="shared" si="165"/>
        <v>0</v>
      </c>
      <c r="X755" s="31" t="b">
        <f t="shared" si="166"/>
        <v>0</v>
      </c>
      <c r="Y755" s="32" t="str">
        <f t="shared" si="167"/>
        <v>GROWTH</v>
      </c>
      <c r="Z755" s="41">
        <v>0</v>
      </c>
      <c r="AA755" s="36"/>
      <c r="AB755" s="36" t="s">
        <v>24</v>
      </c>
      <c r="AC755" s="36" t="s">
        <v>848</v>
      </c>
      <c r="AD755" s="34"/>
      <c r="AE755" s="35">
        <f>IFERROR(INDEX([1]Last6M_AvgSales_Ref!$B$2:$B$12659,MATCH(D755,[1]Last6M_AvgSales_Ref!$A$2:$A$12659,0)),"")</f>
        <v>52</v>
      </c>
    </row>
    <row r="756" spans="1:31" ht="14.25" customHeight="1" x14ac:dyDescent="0.3">
      <c r="A756" s="36" t="s">
        <v>848</v>
      </c>
      <c r="B756" s="38" t="s">
        <v>1487</v>
      </c>
      <c r="C756" s="38" t="s">
        <v>1554</v>
      </c>
      <c r="D756" s="38">
        <v>1000003803</v>
      </c>
      <c r="E756" s="38" t="s">
        <v>1555</v>
      </c>
      <c r="F756" s="40">
        <v>45283</v>
      </c>
      <c r="G756" s="22" t="str">
        <f t="shared" si="154"/>
        <v>Targeted Dealer</v>
      </c>
      <c r="H756" s="22"/>
      <c r="I756" s="23">
        <v>160</v>
      </c>
      <c r="J756" s="23">
        <f t="shared" si="155"/>
        <v>160</v>
      </c>
      <c r="K756" s="24">
        <v>50.5</v>
      </c>
      <c r="L756" s="24">
        <f t="shared" si="156"/>
        <v>109.5</v>
      </c>
      <c r="M756" s="24">
        <f t="shared" si="157"/>
        <v>31.5625</v>
      </c>
      <c r="N756" s="25">
        <v>76.5</v>
      </c>
      <c r="O756" s="26" t="str">
        <f t="shared" si="158"/>
        <v>June</v>
      </c>
      <c r="P756" s="25">
        <f t="shared" si="159"/>
        <v>76.5</v>
      </c>
      <c r="Q756" s="27">
        <f t="shared" si="160"/>
        <v>-26</v>
      </c>
      <c r="R756" s="26" t="b">
        <f t="shared" si="161"/>
        <v>0</v>
      </c>
      <c r="S756" s="28" t="str">
        <f t="shared" si="162"/>
        <v>GROWTH</v>
      </c>
      <c r="T756" s="24">
        <v>76.75</v>
      </c>
      <c r="U756" s="29" t="str">
        <f t="shared" si="163"/>
        <v>May</v>
      </c>
      <c r="V756" s="24">
        <f t="shared" si="164"/>
        <v>76.75</v>
      </c>
      <c r="W756" s="30">
        <f t="shared" si="165"/>
        <v>-26.25</v>
      </c>
      <c r="X756" s="31" t="b">
        <f t="shared" si="166"/>
        <v>0</v>
      </c>
      <c r="Y756" s="32" t="str">
        <f t="shared" si="167"/>
        <v>GROWTH</v>
      </c>
      <c r="Z756" s="41">
        <v>0</v>
      </c>
      <c r="AA756" s="36"/>
      <c r="AB756" s="36" t="s">
        <v>24</v>
      </c>
      <c r="AC756" s="36" t="s">
        <v>848</v>
      </c>
      <c r="AD756" s="34"/>
      <c r="AE756" s="35">
        <f>IFERROR(INDEX([1]Last6M_AvgSales_Ref!$B$2:$B$12659,MATCH(D756,[1]Last6M_AvgSales_Ref!$A$2:$A$12659,0)),"")</f>
        <v>68.75</v>
      </c>
    </row>
    <row r="757" spans="1:31" ht="14.25" customHeight="1" x14ac:dyDescent="0.3">
      <c r="A757" s="41" t="s">
        <v>848</v>
      </c>
      <c r="B757" s="44" t="s">
        <v>1487</v>
      </c>
      <c r="C757" s="44" t="s">
        <v>1556</v>
      </c>
      <c r="D757" s="44">
        <v>1000004026</v>
      </c>
      <c r="E757" s="44" t="s">
        <v>1557</v>
      </c>
      <c r="F757" s="40">
        <v>45473</v>
      </c>
      <c r="G757" s="22" t="str">
        <f t="shared" si="154"/>
        <v>Targeted Dealer</v>
      </c>
      <c r="H757" s="22"/>
      <c r="I757" s="23">
        <v>40</v>
      </c>
      <c r="J757" s="23">
        <f t="shared" si="155"/>
        <v>40</v>
      </c>
      <c r="K757" s="24">
        <v>10</v>
      </c>
      <c r="L757" s="24">
        <f t="shared" si="156"/>
        <v>30</v>
      </c>
      <c r="M757" s="24">
        <f t="shared" si="157"/>
        <v>25</v>
      </c>
      <c r="N757" s="25">
        <v>15.5</v>
      </c>
      <c r="O757" s="26" t="str">
        <f t="shared" si="158"/>
        <v>June</v>
      </c>
      <c r="P757" s="25">
        <f t="shared" si="159"/>
        <v>15.5</v>
      </c>
      <c r="Q757" s="27">
        <f t="shared" si="160"/>
        <v>-5.5</v>
      </c>
      <c r="R757" s="26" t="b">
        <f t="shared" si="161"/>
        <v>0</v>
      </c>
      <c r="S757" s="28" t="str">
        <f t="shared" si="162"/>
        <v>GROWTH</v>
      </c>
      <c r="T757" s="24">
        <v>12.5</v>
      </c>
      <c r="U757" s="29" t="str">
        <f t="shared" si="163"/>
        <v>May</v>
      </c>
      <c r="V757" s="24">
        <f t="shared" si="164"/>
        <v>12.5</v>
      </c>
      <c r="W757" s="30">
        <f t="shared" si="165"/>
        <v>-2.5</v>
      </c>
      <c r="X757" s="31" t="b">
        <f t="shared" si="166"/>
        <v>0</v>
      </c>
      <c r="Y757" s="32" t="str">
        <f t="shared" si="167"/>
        <v>GROWTH</v>
      </c>
      <c r="Z757" s="41">
        <v>0</v>
      </c>
      <c r="AA757" s="36"/>
      <c r="AB757" s="36" t="s">
        <v>24</v>
      </c>
      <c r="AC757" s="41" t="s">
        <v>848</v>
      </c>
      <c r="AD757" s="34"/>
      <c r="AE757" s="35">
        <f>IFERROR(INDEX([1]Last6M_AvgSales_Ref!$B$2:$B$12659,MATCH(D757,[1]Last6M_AvgSales_Ref!$A$2:$A$12659,0)),"")</f>
        <v>15.75</v>
      </c>
    </row>
    <row r="758" spans="1:31" ht="14.25" customHeight="1" x14ac:dyDescent="0.3">
      <c r="A758" s="36" t="s">
        <v>848</v>
      </c>
      <c r="B758" s="38" t="s">
        <v>1558</v>
      </c>
      <c r="C758" s="38" t="s">
        <v>1559</v>
      </c>
      <c r="D758" s="38">
        <v>1000000137</v>
      </c>
      <c r="E758" s="39" t="s">
        <v>1560</v>
      </c>
      <c r="F758" s="40">
        <v>38385</v>
      </c>
      <c r="G758" s="22" t="str">
        <f t="shared" si="154"/>
        <v>Targeted Dealer</v>
      </c>
      <c r="H758" s="22"/>
      <c r="I758" s="23">
        <v>40</v>
      </c>
      <c r="J758" s="23">
        <f t="shared" si="155"/>
        <v>40</v>
      </c>
      <c r="K758" s="24">
        <v>32.5</v>
      </c>
      <c r="L758" s="24">
        <f t="shared" si="156"/>
        <v>7.5</v>
      </c>
      <c r="M758" s="24">
        <f t="shared" si="157"/>
        <v>81.25</v>
      </c>
      <c r="N758" s="25">
        <v>25</v>
      </c>
      <c r="O758" s="26" t="str">
        <f t="shared" si="158"/>
        <v>June</v>
      </c>
      <c r="P758" s="25">
        <f t="shared" si="159"/>
        <v>25</v>
      </c>
      <c r="Q758" s="27">
        <f t="shared" si="160"/>
        <v>7.5</v>
      </c>
      <c r="R758" s="26" t="b">
        <f t="shared" si="161"/>
        <v>0</v>
      </c>
      <c r="S758" s="28" t="str">
        <f t="shared" si="162"/>
        <v>GROWTH</v>
      </c>
      <c r="T758" s="24">
        <v>5</v>
      </c>
      <c r="U758" s="29" t="str">
        <f t="shared" si="163"/>
        <v>May</v>
      </c>
      <c r="V758" s="24">
        <f t="shared" si="164"/>
        <v>5</v>
      </c>
      <c r="W758" s="30">
        <f t="shared" si="165"/>
        <v>27.5</v>
      </c>
      <c r="X758" s="31" t="b">
        <f t="shared" si="166"/>
        <v>0</v>
      </c>
      <c r="Y758" s="32" t="str">
        <f t="shared" si="167"/>
        <v>GROWTH</v>
      </c>
      <c r="Z758" s="41">
        <v>0</v>
      </c>
      <c r="AA758" s="36"/>
      <c r="AB758" s="36" t="s">
        <v>24</v>
      </c>
      <c r="AC758" s="36" t="s">
        <v>848</v>
      </c>
      <c r="AD758" s="34"/>
      <c r="AE758" s="35">
        <f>IFERROR(INDEX([1]Last6M_AvgSales_Ref!$B$2:$B$12659,MATCH(D758,[1]Last6M_AvgSales_Ref!$A$2:$A$12659,0)),"")</f>
        <v>24.3333333333333</v>
      </c>
    </row>
    <row r="759" spans="1:31" ht="14.25" customHeight="1" x14ac:dyDescent="0.3">
      <c r="A759" s="36" t="s">
        <v>848</v>
      </c>
      <c r="B759" s="38" t="s">
        <v>1558</v>
      </c>
      <c r="C759" s="38" t="s">
        <v>1561</v>
      </c>
      <c r="D759" s="38">
        <v>1000000144</v>
      </c>
      <c r="E759" s="39" t="s">
        <v>1562</v>
      </c>
      <c r="F759" s="40">
        <v>38385</v>
      </c>
      <c r="G759" s="22" t="str">
        <f t="shared" si="154"/>
        <v>Targeted Dealer</v>
      </c>
      <c r="H759" s="22"/>
      <c r="I759" s="23">
        <v>480</v>
      </c>
      <c r="J759" s="23">
        <f t="shared" si="155"/>
        <v>480</v>
      </c>
      <c r="K759" s="24">
        <v>192</v>
      </c>
      <c r="L759" s="24">
        <f t="shared" si="156"/>
        <v>288</v>
      </c>
      <c r="M759" s="24">
        <f t="shared" si="157"/>
        <v>40</v>
      </c>
      <c r="N759" s="25">
        <v>122.5</v>
      </c>
      <c r="O759" s="26" t="str">
        <f t="shared" si="158"/>
        <v>June</v>
      </c>
      <c r="P759" s="25">
        <f t="shared" si="159"/>
        <v>122.5</v>
      </c>
      <c r="Q759" s="27">
        <f t="shared" si="160"/>
        <v>69.5</v>
      </c>
      <c r="R759" s="26" t="b">
        <f t="shared" si="161"/>
        <v>0</v>
      </c>
      <c r="S759" s="28" t="str">
        <f t="shared" si="162"/>
        <v>GROWTH</v>
      </c>
      <c r="T759" s="24">
        <v>236.85</v>
      </c>
      <c r="U759" s="29" t="str">
        <f t="shared" si="163"/>
        <v>May</v>
      </c>
      <c r="V759" s="24">
        <f t="shared" si="164"/>
        <v>236.85</v>
      </c>
      <c r="W759" s="30">
        <f t="shared" si="165"/>
        <v>-44.849999999999994</v>
      </c>
      <c r="X759" s="31" t="b">
        <f t="shared" si="166"/>
        <v>0</v>
      </c>
      <c r="Y759" s="32" t="str">
        <f t="shared" si="167"/>
        <v>GROWTH</v>
      </c>
      <c r="Z759" s="41">
        <v>0</v>
      </c>
      <c r="AA759" s="36"/>
      <c r="AB759" s="36" t="s">
        <v>24</v>
      </c>
      <c r="AC759" s="36" t="s">
        <v>848</v>
      </c>
      <c r="AD759" s="34"/>
      <c r="AE759" s="35">
        <f>IFERROR(INDEX([1]Last6M_AvgSales_Ref!$B$2:$B$12659,MATCH(D759,[1]Last6M_AvgSales_Ref!$A$2:$A$12659,0)),"")</f>
        <v>225.59166666666701</v>
      </c>
    </row>
    <row r="760" spans="1:31" ht="14.25" customHeight="1" x14ac:dyDescent="0.3">
      <c r="A760" s="36" t="s">
        <v>848</v>
      </c>
      <c r="B760" s="38" t="s">
        <v>1558</v>
      </c>
      <c r="C760" s="38" t="s">
        <v>1563</v>
      </c>
      <c r="D760" s="38">
        <v>1000000129</v>
      </c>
      <c r="E760" s="39" t="s">
        <v>1564</v>
      </c>
      <c r="F760" s="40">
        <v>38560</v>
      </c>
      <c r="G760" s="22" t="str">
        <f t="shared" si="154"/>
        <v>Targeted Dealer</v>
      </c>
      <c r="H760" s="22"/>
      <c r="I760" s="23">
        <v>2500</v>
      </c>
      <c r="J760" s="23">
        <f t="shared" si="155"/>
        <v>2500</v>
      </c>
      <c r="K760" s="24">
        <v>1185</v>
      </c>
      <c r="L760" s="24">
        <f t="shared" si="156"/>
        <v>1315</v>
      </c>
      <c r="M760" s="24">
        <f t="shared" si="157"/>
        <v>47.4</v>
      </c>
      <c r="N760" s="25">
        <v>78</v>
      </c>
      <c r="O760" s="26" t="str">
        <f t="shared" si="158"/>
        <v>June</v>
      </c>
      <c r="P760" s="25">
        <f t="shared" si="159"/>
        <v>78</v>
      </c>
      <c r="Q760" s="27">
        <f t="shared" si="160"/>
        <v>1107</v>
      </c>
      <c r="R760" s="26" t="b">
        <f t="shared" si="161"/>
        <v>0</v>
      </c>
      <c r="S760" s="28" t="str">
        <f t="shared" si="162"/>
        <v>GROWTH</v>
      </c>
      <c r="T760" s="24">
        <v>2.5</v>
      </c>
      <c r="U760" s="29" t="str">
        <f t="shared" si="163"/>
        <v>May</v>
      </c>
      <c r="V760" s="24">
        <f t="shared" si="164"/>
        <v>2.5</v>
      </c>
      <c r="W760" s="30">
        <f t="shared" si="165"/>
        <v>1182.5</v>
      </c>
      <c r="X760" s="31" t="b">
        <f t="shared" si="166"/>
        <v>0</v>
      </c>
      <c r="Y760" s="32" t="str">
        <f t="shared" si="167"/>
        <v>GROWTH</v>
      </c>
      <c r="Z760" s="41">
        <v>0</v>
      </c>
      <c r="AA760" s="36"/>
      <c r="AB760" s="36" t="s">
        <v>24</v>
      </c>
      <c r="AC760" s="36" t="s">
        <v>848</v>
      </c>
      <c r="AD760" s="34"/>
      <c r="AE760" s="35">
        <f>IFERROR(INDEX([1]Last6M_AvgSales_Ref!$B$2:$B$12659,MATCH(D760,[1]Last6M_AvgSales_Ref!$A$2:$A$12659,0)),"")</f>
        <v>1642.6583333333299</v>
      </c>
    </row>
    <row r="761" spans="1:31" ht="14.25" customHeight="1" x14ac:dyDescent="0.3">
      <c r="A761" s="36" t="s">
        <v>848</v>
      </c>
      <c r="B761" s="38" t="s">
        <v>1558</v>
      </c>
      <c r="C761" s="38" t="s">
        <v>1565</v>
      </c>
      <c r="D761" s="38">
        <v>1000000158</v>
      </c>
      <c r="E761" s="39" t="s">
        <v>1566</v>
      </c>
      <c r="F761" s="40">
        <v>38590</v>
      </c>
      <c r="G761" s="22" t="str">
        <f t="shared" si="154"/>
        <v>Targeted Dealer</v>
      </c>
      <c r="H761" s="22"/>
      <c r="I761" s="23">
        <v>720</v>
      </c>
      <c r="J761" s="23">
        <f t="shared" si="155"/>
        <v>720</v>
      </c>
      <c r="K761" s="24">
        <v>283.05</v>
      </c>
      <c r="L761" s="24">
        <f t="shared" si="156"/>
        <v>436.95</v>
      </c>
      <c r="M761" s="24">
        <f t="shared" si="157"/>
        <v>39.3125</v>
      </c>
      <c r="N761" s="25">
        <v>183.5</v>
      </c>
      <c r="O761" s="26" t="str">
        <f t="shared" si="158"/>
        <v>June</v>
      </c>
      <c r="P761" s="25">
        <f t="shared" si="159"/>
        <v>183.5</v>
      </c>
      <c r="Q761" s="27">
        <f t="shared" si="160"/>
        <v>99.550000000000011</v>
      </c>
      <c r="R761" s="26" t="b">
        <f t="shared" si="161"/>
        <v>0</v>
      </c>
      <c r="S761" s="28" t="str">
        <f t="shared" si="162"/>
        <v>GROWTH</v>
      </c>
      <c r="T761" s="24">
        <v>354.5</v>
      </c>
      <c r="U761" s="29" t="str">
        <f t="shared" si="163"/>
        <v>May</v>
      </c>
      <c r="V761" s="24">
        <f t="shared" si="164"/>
        <v>354.5</v>
      </c>
      <c r="W761" s="30">
        <f t="shared" si="165"/>
        <v>-71.449999999999989</v>
      </c>
      <c r="X761" s="31" t="b">
        <f t="shared" si="166"/>
        <v>0</v>
      </c>
      <c r="Y761" s="32" t="str">
        <f t="shared" si="167"/>
        <v>GROWTH</v>
      </c>
      <c r="Z761" s="41">
        <v>0</v>
      </c>
      <c r="AA761" s="36"/>
      <c r="AB761" s="36" t="s">
        <v>24</v>
      </c>
      <c r="AC761" s="36" t="s">
        <v>848</v>
      </c>
      <c r="AD761" s="34"/>
      <c r="AE761" s="35">
        <f>IFERROR(INDEX([1]Last6M_AvgSales_Ref!$B$2:$B$12659,MATCH(D761,[1]Last6M_AvgSales_Ref!$A$2:$A$12659,0)),"")</f>
        <v>291.375</v>
      </c>
    </row>
    <row r="762" spans="1:31" ht="14.25" customHeight="1" x14ac:dyDescent="0.3">
      <c r="A762" s="36" t="s">
        <v>848</v>
      </c>
      <c r="B762" s="38" t="s">
        <v>1558</v>
      </c>
      <c r="C762" s="38" t="s">
        <v>1567</v>
      </c>
      <c r="D762" s="38">
        <v>1000000120</v>
      </c>
      <c r="E762" s="39" t="s">
        <v>1568</v>
      </c>
      <c r="F762" s="40">
        <v>39000</v>
      </c>
      <c r="G762" s="22" t="str">
        <f t="shared" si="154"/>
        <v>Targeted Dealer</v>
      </c>
      <c r="H762" s="22"/>
      <c r="I762" s="23">
        <v>300</v>
      </c>
      <c r="J762" s="23">
        <f t="shared" si="155"/>
        <v>300</v>
      </c>
      <c r="K762" s="24">
        <v>152</v>
      </c>
      <c r="L762" s="24">
        <f t="shared" si="156"/>
        <v>148</v>
      </c>
      <c r="M762" s="24">
        <f t="shared" si="157"/>
        <v>50.666666666666664</v>
      </c>
      <c r="N762" s="25">
        <v>100</v>
      </c>
      <c r="O762" s="26" t="str">
        <f t="shared" si="158"/>
        <v>June</v>
      </c>
      <c r="P762" s="25">
        <f t="shared" si="159"/>
        <v>100</v>
      </c>
      <c r="Q762" s="27">
        <f t="shared" si="160"/>
        <v>52</v>
      </c>
      <c r="R762" s="26" t="b">
        <f t="shared" si="161"/>
        <v>0</v>
      </c>
      <c r="S762" s="28" t="str">
        <f t="shared" si="162"/>
        <v>GROWTH</v>
      </c>
      <c r="T762" s="24">
        <v>302.5</v>
      </c>
      <c r="U762" s="29" t="str">
        <f t="shared" si="163"/>
        <v>May</v>
      </c>
      <c r="V762" s="24">
        <f t="shared" si="164"/>
        <v>302.5</v>
      </c>
      <c r="W762" s="30">
        <f t="shared" si="165"/>
        <v>-150.5</v>
      </c>
      <c r="X762" s="31" t="b">
        <f t="shared" si="166"/>
        <v>0</v>
      </c>
      <c r="Y762" s="32" t="str">
        <f t="shared" si="167"/>
        <v>GROWTH</v>
      </c>
      <c r="Z762" s="41">
        <v>0</v>
      </c>
      <c r="AA762" s="36"/>
      <c r="AB762" s="36" t="s">
        <v>24</v>
      </c>
      <c r="AC762" s="36" t="s">
        <v>848</v>
      </c>
      <c r="AD762" s="34"/>
      <c r="AE762" s="35">
        <f>IFERROR(INDEX([1]Last6M_AvgSales_Ref!$B$2:$B$12659,MATCH(D762,[1]Last6M_AvgSales_Ref!$A$2:$A$12659,0)),"")</f>
        <v>222.25</v>
      </c>
    </row>
    <row r="763" spans="1:31" ht="14.25" customHeight="1" x14ac:dyDescent="0.3">
      <c r="A763" s="36" t="s">
        <v>848</v>
      </c>
      <c r="B763" s="38" t="s">
        <v>1558</v>
      </c>
      <c r="C763" s="38" t="s">
        <v>1569</v>
      </c>
      <c r="D763" s="38">
        <v>1000000126</v>
      </c>
      <c r="E763" s="39" t="s">
        <v>1570</v>
      </c>
      <c r="F763" s="40">
        <v>39001</v>
      </c>
      <c r="G763" s="22" t="str">
        <f t="shared" si="154"/>
        <v>Targeted Dealer</v>
      </c>
      <c r="H763" s="22"/>
      <c r="I763" s="23">
        <v>320</v>
      </c>
      <c r="J763" s="23">
        <f t="shared" si="155"/>
        <v>320</v>
      </c>
      <c r="K763" s="24">
        <v>142.5</v>
      </c>
      <c r="L763" s="24">
        <f t="shared" si="156"/>
        <v>177.5</v>
      </c>
      <c r="M763" s="24">
        <f t="shared" si="157"/>
        <v>44.53125</v>
      </c>
      <c r="N763" s="25">
        <v>113.5</v>
      </c>
      <c r="O763" s="26" t="str">
        <f t="shared" si="158"/>
        <v>June</v>
      </c>
      <c r="P763" s="25">
        <f t="shared" si="159"/>
        <v>113.5</v>
      </c>
      <c r="Q763" s="27">
        <f t="shared" si="160"/>
        <v>29</v>
      </c>
      <c r="R763" s="26" t="b">
        <f t="shared" si="161"/>
        <v>0</v>
      </c>
      <c r="S763" s="28" t="str">
        <f t="shared" si="162"/>
        <v>GROWTH</v>
      </c>
      <c r="T763" s="24">
        <v>156</v>
      </c>
      <c r="U763" s="29" t="str">
        <f t="shared" si="163"/>
        <v>May</v>
      </c>
      <c r="V763" s="24">
        <f t="shared" si="164"/>
        <v>156</v>
      </c>
      <c r="W763" s="30">
        <f t="shared" si="165"/>
        <v>-13.5</v>
      </c>
      <c r="X763" s="31" t="b">
        <f t="shared" si="166"/>
        <v>0</v>
      </c>
      <c r="Y763" s="32" t="str">
        <f t="shared" si="167"/>
        <v>GROWTH</v>
      </c>
      <c r="Z763" s="41">
        <v>0</v>
      </c>
      <c r="AA763" s="36"/>
      <c r="AB763" s="36" t="s">
        <v>24</v>
      </c>
      <c r="AC763" s="36" t="s">
        <v>848</v>
      </c>
      <c r="AD763" s="34"/>
      <c r="AE763" s="35">
        <f>IFERROR(INDEX([1]Last6M_AvgSales_Ref!$B$2:$B$12659,MATCH(D763,[1]Last6M_AvgSales_Ref!$A$2:$A$12659,0)),"")</f>
        <v>196.25</v>
      </c>
    </row>
    <row r="764" spans="1:31" ht="14.25" customHeight="1" x14ac:dyDescent="0.3">
      <c r="A764" s="36" t="s">
        <v>848</v>
      </c>
      <c r="B764" s="38" t="s">
        <v>1558</v>
      </c>
      <c r="C764" s="38" t="s">
        <v>1571</v>
      </c>
      <c r="D764" s="38">
        <v>1000000155</v>
      </c>
      <c r="E764" s="39" t="s">
        <v>1572</v>
      </c>
      <c r="F764" s="40">
        <v>40361</v>
      </c>
      <c r="G764" s="22" t="str">
        <f t="shared" si="154"/>
        <v>Targeted Dealer</v>
      </c>
      <c r="H764" s="22"/>
      <c r="I764" s="23">
        <v>450</v>
      </c>
      <c r="J764" s="23">
        <f t="shared" si="155"/>
        <v>450</v>
      </c>
      <c r="K764" s="24">
        <v>364.75</v>
      </c>
      <c r="L764" s="24">
        <f t="shared" si="156"/>
        <v>85.25</v>
      </c>
      <c r="M764" s="24">
        <f t="shared" si="157"/>
        <v>81.055555555555557</v>
      </c>
      <c r="N764" s="25">
        <v>311.8</v>
      </c>
      <c r="O764" s="26" t="str">
        <f t="shared" si="158"/>
        <v>June</v>
      </c>
      <c r="P764" s="25">
        <f t="shared" si="159"/>
        <v>311.8</v>
      </c>
      <c r="Q764" s="27">
        <f t="shared" si="160"/>
        <v>52.949999999999989</v>
      </c>
      <c r="R764" s="26" t="b">
        <f t="shared" si="161"/>
        <v>0</v>
      </c>
      <c r="S764" s="28" t="str">
        <f t="shared" si="162"/>
        <v>GROWTH</v>
      </c>
      <c r="T764" s="24">
        <v>405</v>
      </c>
      <c r="U764" s="29" t="str">
        <f t="shared" si="163"/>
        <v>May</v>
      </c>
      <c r="V764" s="24">
        <f t="shared" si="164"/>
        <v>405</v>
      </c>
      <c r="W764" s="30">
        <f t="shared" si="165"/>
        <v>-40.25</v>
      </c>
      <c r="X764" s="31" t="b">
        <f t="shared" si="166"/>
        <v>0</v>
      </c>
      <c r="Y764" s="32" t="str">
        <f t="shared" si="167"/>
        <v>GROWTH</v>
      </c>
      <c r="Z764" s="41">
        <v>0</v>
      </c>
      <c r="AA764" s="36"/>
      <c r="AB764" s="36" t="s">
        <v>24</v>
      </c>
      <c r="AC764" s="36" t="s">
        <v>848</v>
      </c>
      <c r="AD764" s="34"/>
      <c r="AE764" s="35">
        <f>IFERROR(INDEX([1]Last6M_AvgSales_Ref!$B$2:$B$12659,MATCH(D764,[1]Last6M_AvgSales_Ref!$A$2:$A$12659,0)),"")</f>
        <v>449.20833333333297</v>
      </c>
    </row>
    <row r="765" spans="1:31" ht="14.25" customHeight="1" x14ac:dyDescent="0.3">
      <c r="A765" s="36" t="s">
        <v>848</v>
      </c>
      <c r="B765" s="38" t="s">
        <v>1558</v>
      </c>
      <c r="C765" s="38" t="s">
        <v>1573</v>
      </c>
      <c r="D765" s="38">
        <v>1000000150</v>
      </c>
      <c r="E765" s="39" t="s">
        <v>1574</v>
      </c>
      <c r="F765" s="40">
        <v>40373</v>
      </c>
      <c r="G765" s="22" t="str">
        <f t="shared" si="154"/>
        <v>Targeted Dealer</v>
      </c>
      <c r="H765" s="22"/>
      <c r="I765" s="23">
        <v>400</v>
      </c>
      <c r="J765" s="23">
        <f t="shared" si="155"/>
        <v>400</v>
      </c>
      <c r="K765" s="24">
        <v>169</v>
      </c>
      <c r="L765" s="24">
        <f t="shared" si="156"/>
        <v>231</v>
      </c>
      <c r="M765" s="24">
        <f t="shared" si="157"/>
        <v>42.25</v>
      </c>
      <c r="N765" s="25">
        <v>184</v>
      </c>
      <c r="O765" s="26" t="str">
        <f t="shared" si="158"/>
        <v>June</v>
      </c>
      <c r="P765" s="25">
        <f t="shared" si="159"/>
        <v>184</v>
      </c>
      <c r="Q765" s="27">
        <f t="shared" si="160"/>
        <v>-15</v>
      </c>
      <c r="R765" s="26" t="b">
        <f t="shared" si="161"/>
        <v>0</v>
      </c>
      <c r="S765" s="28" t="str">
        <f t="shared" si="162"/>
        <v>GROWTH</v>
      </c>
      <c r="T765" s="24">
        <v>178.25</v>
      </c>
      <c r="U765" s="29" t="str">
        <f t="shared" si="163"/>
        <v>May</v>
      </c>
      <c r="V765" s="24">
        <f t="shared" si="164"/>
        <v>178.25</v>
      </c>
      <c r="W765" s="30">
        <f t="shared" si="165"/>
        <v>-9.25</v>
      </c>
      <c r="X765" s="31" t="b">
        <f t="shared" si="166"/>
        <v>0</v>
      </c>
      <c r="Y765" s="32" t="str">
        <f t="shared" si="167"/>
        <v>GROWTH</v>
      </c>
      <c r="Z765" s="41">
        <v>0</v>
      </c>
      <c r="AA765" s="36"/>
      <c r="AB765" s="36" t="s">
        <v>24</v>
      </c>
      <c r="AC765" s="36" t="s">
        <v>848</v>
      </c>
      <c r="AD765" s="34"/>
      <c r="AE765" s="35">
        <f>IFERROR(INDEX([1]Last6M_AvgSales_Ref!$B$2:$B$12659,MATCH(D765,[1]Last6M_AvgSales_Ref!$A$2:$A$12659,0)),"")</f>
        <v>231.541666666667</v>
      </c>
    </row>
    <row r="766" spans="1:31" ht="14.25" customHeight="1" x14ac:dyDescent="0.3">
      <c r="A766" s="36" t="s">
        <v>848</v>
      </c>
      <c r="B766" s="38" t="s">
        <v>1558</v>
      </c>
      <c r="C766" s="38" t="s">
        <v>1575</v>
      </c>
      <c r="D766" s="38">
        <v>1000000154</v>
      </c>
      <c r="E766" s="39" t="s">
        <v>1576</v>
      </c>
      <c r="F766" s="40">
        <v>40655</v>
      </c>
      <c r="G766" s="22" t="str">
        <f t="shared" si="154"/>
        <v>Targeted Dealer</v>
      </c>
      <c r="H766" s="22"/>
      <c r="I766" s="23">
        <v>40</v>
      </c>
      <c r="J766" s="23">
        <f t="shared" si="155"/>
        <v>40</v>
      </c>
      <c r="K766" s="24">
        <v>25.5</v>
      </c>
      <c r="L766" s="24">
        <f t="shared" si="156"/>
        <v>14.5</v>
      </c>
      <c r="M766" s="24">
        <f t="shared" si="157"/>
        <v>63.75</v>
      </c>
      <c r="N766" s="25">
        <v>22.5</v>
      </c>
      <c r="O766" s="26" t="str">
        <f t="shared" si="158"/>
        <v>June</v>
      </c>
      <c r="P766" s="25">
        <f t="shared" si="159"/>
        <v>22.5</v>
      </c>
      <c r="Q766" s="27">
        <f t="shared" si="160"/>
        <v>3</v>
      </c>
      <c r="R766" s="26" t="b">
        <f t="shared" si="161"/>
        <v>0</v>
      </c>
      <c r="S766" s="28" t="str">
        <f t="shared" si="162"/>
        <v>GROWTH</v>
      </c>
      <c r="T766" s="24">
        <v>0</v>
      </c>
      <c r="U766" s="29" t="str">
        <f t="shared" si="163"/>
        <v>May</v>
      </c>
      <c r="V766" s="24">
        <f t="shared" si="164"/>
        <v>0</v>
      </c>
      <c r="W766" s="30">
        <f t="shared" si="165"/>
        <v>25.5</v>
      </c>
      <c r="X766" s="31" t="b">
        <f t="shared" si="166"/>
        <v>0</v>
      </c>
      <c r="Y766" s="32" t="b">
        <f t="shared" si="167"/>
        <v>0</v>
      </c>
      <c r="Z766" s="41">
        <v>0</v>
      </c>
      <c r="AA766" s="36"/>
      <c r="AB766" s="36" t="s">
        <v>24</v>
      </c>
      <c r="AC766" s="36" t="s">
        <v>848</v>
      </c>
      <c r="AD766" s="34"/>
      <c r="AE766" s="35">
        <f>IFERROR(INDEX([1]Last6M_AvgSales_Ref!$B$2:$B$12659,MATCH(D766,[1]Last6M_AvgSales_Ref!$A$2:$A$12659,0)),"")</f>
        <v>28.375</v>
      </c>
    </row>
    <row r="767" spans="1:31" ht="14.25" customHeight="1" x14ac:dyDescent="0.3">
      <c r="A767" s="36" t="s">
        <v>848</v>
      </c>
      <c r="B767" s="38" t="s">
        <v>1558</v>
      </c>
      <c r="C767" s="38" t="s">
        <v>1577</v>
      </c>
      <c r="D767" s="38">
        <v>1000000147</v>
      </c>
      <c r="E767" s="39" t="s">
        <v>1578</v>
      </c>
      <c r="F767" s="40">
        <v>42107</v>
      </c>
      <c r="G767" s="22" t="str">
        <f t="shared" si="154"/>
        <v>Targeted Dealer</v>
      </c>
      <c r="H767" s="22"/>
      <c r="I767" s="23">
        <v>40</v>
      </c>
      <c r="J767" s="23">
        <f t="shared" si="155"/>
        <v>40</v>
      </c>
      <c r="K767" s="24">
        <v>42.5</v>
      </c>
      <c r="L767" s="24">
        <f t="shared" si="156"/>
        <v>-2.5</v>
      </c>
      <c r="M767" s="24">
        <f t="shared" si="157"/>
        <v>106.25</v>
      </c>
      <c r="N767" s="25">
        <v>37.5</v>
      </c>
      <c r="O767" s="26" t="str">
        <f t="shared" si="158"/>
        <v>June</v>
      </c>
      <c r="P767" s="25">
        <f t="shared" si="159"/>
        <v>37.5</v>
      </c>
      <c r="Q767" s="27">
        <f t="shared" si="160"/>
        <v>5</v>
      </c>
      <c r="R767" s="26" t="b">
        <f t="shared" si="161"/>
        <v>0</v>
      </c>
      <c r="S767" s="28" t="str">
        <f t="shared" si="162"/>
        <v>GROWTH</v>
      </c>
      <c r="T767" s="24">
        <v>15</v>
      </c>
      <c r="U767" s="29" t="str">
        <f t="shared" si="163"/>
        <v>May</v>
      </c>
      <c r="V767" s="24">
        <f t="shared" si="164"/>
        <v>15</v>
      </c>
      <c r="W767" s="30">
        <f t="shared" si="165"/>
        <v>27.5</v>
      </c>
      <c r="X767" s="31" t="b">
        <f t="shared" si="166"/>
        <v>0</v>
      </c>
      <c r="Y767" s="32" t="str">
        <f t="shared" si="167"/>
        <v>GROWTH</v>
      </c>
      <c r="Z767" s="41">
        <v>0</v>
      </c>
      <c r="AA767" s="36"/>
      <c r="AB767" s="36" t="s">
        <v>24</v>
      </c>
      <c r="AC767" s="36" t="s">
        <v>848</v>
      </c>
      <c r="AD767" s="34"/>
      <c r="AE767" s="35">
        <f>IFERROR(INDEX([1]Last6M_AvgSales_Ref!$B$2:$B$12659,MATCH(D767,[1]Last6M_AvgSales_Ref!$A$2:$A$12659,0)),"")</f>
        <v>4.1666666666666696</v>
      </c>
    </row>
    <row r="768" spans="1:31" ht="14.25" customHeight="1" x14ac:dyDescent="0.3">
      <c r="A768" s="36" t="s">
        <v>848</v>
      </c>
      <c r="B768" s="38" t="s">
        <v>1558</v>
      </c>
      <c r="C768" s="38" t="s">
        <v>1579</v>
      </c>
      <c r="D768" s="38">
        <v>1000000125</v>
      </c>
      <c r="E768" s="39" t="s">
        <v>1580</v>
      </c>
      <c r="F768" s="40">
        <v>42139</v>
      </c>
      <c r="G768" s="22" t="str">
        <f t="shared" si="154"/>
        <v>Targeted Dealer</v>
      </c>
      <c r="H768" s="22"/>
      <c r="I768" s="23">
        <v>10</v>
      </c>
      <c r="J768" s="23">
        <f t="shared" si="155"/>
        <v>10</v>
      </c>
      <c r="K768" s="24">
        <v>5</v>
      </c>
      <c r="L768" s="24">
        <f t="shared" si="156"/>
        <v>5</v>
      </c>
      <c r="M768" s="24">
        <f t="shared" si="157"/>
        <v>50</v>
      </c>
      <c r="N768" s="25">
        <v>5</v>
      </c>
      <c r="O768" s="26" t="str">
        <f t="shared" si="158"/>
        <v>June</v>
      </c>
      <c r="P768" s="25">
        <f t="shared" si="159"/>
        <v>5</v>
      </c>
      <c r="Q768" s="27">
        <f t="shared" si="160"/>
        <v>0</v>
      </c>
      <c r="R768" s="26" t="b">
        <f t="shared" si="161"/>
        <v>0</v>
      </c>
      <c r="S768" s="28" t="str">
        <f t="shared" si="162"/>
        <v>GROWTH</v>
      </c>
      <c r="T768" s="24">
        <v>0</v>
      </c>
      <c r="U768" s="29" t="str">
        <f t="shared" si="163"/>
        <v>May</v>
      </c>
      <c r="V768" s="24">
        <f t="shared" si="164"/>
        <v>0</v>
      </c>
      <c r="W768" s="30">
        <f t="shared" si="165"/>
        <v>5</v>
      </c>
      <c r="X768" s="31" t="b">
        <f t="shared" si="166"/>
        <v>0</v>
      </c>
      <c r="Y768" s="32" t="b">
        <f t="shared" si="167"/>
        <v>0</v>
      </c>
      <c r="Z768" s="41">
        <v>0</v>
      </c>
      <c r="AA768" s="36"/>
      <c r="AB768" s="36" t="s">
        <v>24</v>
      </c>
      <c r="AC768" s="36" t="s">
        <v>848</v>
      </c>
      <c r="AD768" s="34"/>
      <c r="AE768" s="35">
        <f>IFERROR(INDEX([1]Last6M_AvgSales_Ref!$B$2:$B$12659,MATCH(D768,[1]Last6M_AvgSales_Ref!$A$2:$A$12659,0)),"")</f>
        <v>8.1666666666666696</v>
      </c>
    </row>
    <row r="769" spans="1:31" ht="14.25" customHeight="1" x14ac:dyDescent="0.3">
      <c r="A769" s="36" t="s">
        <v>848</v>
      </c>
      <c r="B769" s="38" t="s">
        <v>1558</v>
      </c>
      <c r="C769" s="38" t="s">
        <v>1581</v>
      </c>
      <c r="D769" s="38">
        <v>1000000142</v>
      </c>
      <c r="E769" s="39" t="s">
        <v>1582</v>
      </c>
      <c r="F769" s="40">
        <v>42864</v>
      </c>
      <c r="G769" s="22" t="str">
        <f t="shared" si="154"/>
        <v>Targeted Dealer</v>
      </c>
      <c r="H769" s="22"/>
      <c r="I769" s="23">
        <v>70</v>
      </c>
      <c r="J769" s="23">
        <f t="shared" si="155"/>
        <v>70</v>
      </c>
      <c r="K769" s="24">
        <v>52.5</v>
      </c>
      <c r="L769" s="24">
        <f t="shared" si="156"/>
        <v>17.5</v>
      </c>
      <c r="M769" s="24">
        <f t="shared" si="157"/>
        <v>75</v>
      </c>
      <c r="N769" s="25">
        <v>42.5</v>
      </c>
      <c r="O769" s="26" t="str">
        <f t="shared" si="158"/>
        <v>June</v>
      </c>
      <c r="P769" s="25">
        <f t="shared" si="159"/>
        <v>42.5</v>
      </c>
      <c r="Q769" s="27">
        <f t="shared" si="160"/>
        <v>10</v>
      </c>
      <c r="R769" s="26" t="b">
        <f t="shared" si="161"/>
        <v>0</v>
      </c>
      <c r="S769" s="28" t="str">
        <f t="shared" si="162"/>
        <v>GROWTH</v>
      </c>
      <c r="T769" s="24">
        <v>30</v>
      </c>
      <c r="U769" s="29" t="str">
        <f t="shared" si="163"/>
        <v>May</v>
      </c>
      <c r="V769" s="24">
        <f t="shared" si="164"/>
        <v>30</v>
      </c>
      <c r="W769" s="30">
        <f t="shared" si="165"/>
        <v>22.5</v>
      </c>
      <c r="X769" s="31" t="b">
        <f t="shared" si="166"/>
        <v>0</v>
      </c>
      <c r="Y769" s="32" t="str">
        <f t="shared" si="167"/>
        <v>GROWTH</v>
      </c>
      <c r="Z769" s="41">
        <v>0</v>
      </c>
      <c r="AA769" s="36"/>
      <c r="AB769" s="36" t="s">
        <v>24</v>
      </c>
      <c r="AC769" s="36" t="s">
        <v>848</v>
      </c>
      <c r="AD769" s="34"/>
      <c r="AE769" s="35">
        <f>IFERROR(INDEX([1]Last6M_AvgSales_Ref!$B$2:$B$12659,MATCH(D769,[1]Last6M_AvgSales_Ref!$A$2:$A$12659,0)),"")</f>
        <v>35.6666666666667</v>
      </c>
    </row>
    <row r="770" spans="1:31" ht="14.25" customHeight="1" x14ac:dyDescent="0.3">
      <c r="A770" s="36" t="s">
        <v>848</v>
      </c>
      <c r="B770" s="38" t="s">
        <v>1558</v>
      </c>
      <c r="C770" s="38" t="s">
        <v>1583</v>
      </c>
      <c r="D770" s="38">
        <v>1000000157</v>
      </c>
      <c r="E770" s="39" t="s">
        <v>1584</v>
      </c>
      <c r="F770" s="40">
        <v>42970</v>
      </c>
      <c r="G770" s="22" t="str">
        <f t="shared" si="154"/>
        <v>Targeted Dealer</v>
      </c>
      <c r="H770" s="22"/>
      <c r="I770" s="23">
        <v>2650</v>
      </c>
      <c r="J770" s="23">
        <f t="shared" si="155"/>
        <v>2650</v>
      </c>
      <c r="K770" s="24">
        <v>1587.5</v>
      </c>
      <c r="L770" s="24">
        <f t="shared" si="156"/>
        <v>1062.5</v>
      </c>
      <c r="M770" s="24">
        <f t="shared" si="157"/>
        <v>59.905660377358494</v>
      </c>
      <c r="N770" s="25">
        <v>1341.7</v>
      </c>
      <c r="O770" s="26" t="str">
        <f t="shared" si="158"/>
        <v>June</v>
      </c>
      <c r="P770" s="25">
        <f t="shared" si="159"/>
        <v>1341.7</v>
      </c>
      <c r="Q770" s="27">
        <f t="shared" si="160"/>
        <v>245.79999999999995</v>
      </c>
      <c r="R770" s="26" t="b">
        <f t="shared" si="161"/>
        <v>0</v>
      </c>
      <c r="S770" s="28" t="str">
        <f t="shared" si="162"/>
        <v>GROWTH</v>
      </c>
      <c r="T770" s="24">
        <v>1284.75</v>
      </c>
      <c r="U770" s="29" t="str">
        <f t="shared" si="163"/>
        <v>May</v>
      </c>
      <c r="V770" s="24">
        <f t="shared" si="164"/>
        <v>1284.75</v>
      </c>
      <c r="W770" s="30">
        <f t="shared" si="165"/>
        <v>302.75</v>
      </c>
      <c r="X770" s="31" t="b">
        <f t="shared" si="166"/>
        <v>0</v>
      </c>
      <c r="Y770" s="32" t="str">
        <f t="shared" si="167"/>
        <v>GROWTH</v>
      </c>
      <c r="Z770" s="41">
        <v>0</v>
      </c>
      <c r="AA770" s="36"/>
      <c r="AB770" s="36" t="s">
        <v>24</v>
      </c>
      <c r="AC770" s="36" t="s">
        <v>848</v>
      </c>
      <c r="AD770" s="34"/>
      <c r="AE770" s="35">
        <f>IFERROR(INDEX([1]Last6M_AvgSales_Ref!$B$2:$B$12659,MATCH(D770,[1]Last6M_AvgSales_Ref!$A$2:$A$12659,0)),"")</f>
        <v>1635.7</v>
      </c>
    </row>
    <row r="771" spans="1:31" ht="14.25" customHeight="1" x14ac:dyDescent="0.3">
      <c r="A771" s="36" t="s">
        <v>848</v>
      </c>
      <c r="B771" s="38" t="s">
        <v>1558</v>
      </c>
      <c r="C771" s="38" t="s">
        <v>1585</v>
      </c>
      <c r="D771" s="38">
        <v>1000000138</v>
      </c>
      <c r="E771" s="39" t="s">
        <v>1586</v>
      </c>
      <c r="F771" s="40">
        <v>43232</v>
      </c>
      <c r="G771" s="22" t="str">
        <f t="shared" ref="G771:G834" si="168">IF(I771&gt;0,"Targeted Dealer","-")</f>
        <v>Targeted Dealer</v>
      </c>
      <c r="H771" s="22"/>
      <c r="I771" s="23">
        <v>350</v>
      </c>
      <c r="J771" s="23">
        <f t="shared" ref="J771:J834" si="169">I771/$J$1*($J$1-$E$1)</f>
        <v>350</v>
      </c>
      <c r="K771" s="24">
        <v>416.75</v>
      </c>
      <c r="L771" s="24">
        <f t="shared" ref="L771:L834" si="170">I771-K771</f>
        <v>-66.75</v>
      </c>
      <c r="M771" s="24">
        <f t="shared" ref="M771:M834" si="171">IFERROR((K771/J771%),"-")</f>
        <v>119.07142857142857</v>
      </c>
      <c r="N771" s="25">
        <v>602.75</v>
      </c>
      <c r="O771" s="26" t="str">
        <f t="shared" ref="O771:O834" si="172">IF(F771&lt;=$P$2,"June","")</f>
        <v>June</v>
      </c>
      <c r="P771" s="25">
        <f t="shared" ref="P771:P834" si="173">N771</f>
        <v>602.75</v>
      </c>
      <c r="Q771" s="27">
        <f t="shared" ref="Q771:Q834" si="174">K771-P771</f>
        <v>-186</v>
      </c>
      <c r="R771" s="26" t="b">
        <f t="shared" ref="R771:R834" si="175">IFERROR(IF(O771="May",(K771/P771-1))," ")</f>
        <v>0</v>
      </c>
      <c r="S771" s="28" t="str">
        <f t="shared" ref="S771:S834" si="176">IF(N771&gt;0,IF(O771="","-",IF(R771&lt;0%,"DEGROWTH","GROWTH")))</f>
        <v>GROWTH</v>
      </c>
      <c r="T771" s="24">
        <v>126</v>
      </c>
      <c r="U771" s="29" t="str">
        <f t="shared" ref="U771:U834" si="177">IF(F771&lt;=$V$2,"May","")</f>
        <v>May</v>
      </c>
      <c r="V771" s="24">
        <f t="shared" ref="V771:V834" si="178">T771</f>
        <v>126</v>
      </c>
      <c r="W771" s="30">
        <f t="shared" ref="W771:W834" si="179">K771-V771</f>
        <v>290.75</v>
      </c>
      <c r="X771" s="31" t="b">
        <f t="shared" ref="X771:X834" si="180">IFERROR(IF(U771="June",(K771/V771-1)),0)</f>
        <v>0</v>
      </c>
      <c r="Y771" s="32" t="str">
        <f t="shared" ref="Y771:Y834" si="181">IF(T771&gt;0,IF(U771="","-",IF(X771&lt;0%,"DEGROWTH","GROWTH")))</f>
        <v>GROWTH</v>
      </c>
      <c r="Z771" s="41">
        <v>0</v>
      </c>
      <c r="AA771" s="36"/>
      <c r="AB771" s="36" t="s">
        <v>24</v>
      </c>
      <c r="AC771" s="36" t="s">
        <v>848</v>
      </c>
      <c r="AD771" s="34"/>
      <c r="AE771" s="35">
        <f>IFERROR(INDEX([1]Last6M_AvgSales_Ref!$B$2:$B$12659,MATCH(D771,[1]Last6M_AvgSales_Ref!$A$2:$A$12659,0)),"")</f>
        <v>327.63333333333298</v>
      </c>
    </row>
    <row r="772" spans="1:31" ht="14.25" customHeight="1" x14ac:dyDescent="0.3">
      <c r="A772" s="36" t="s">
        <v>848</v>
      </c>
      <c r="B772" s="38" t="s">
        <v>1558</v>
      </c>
      <c r="C772" s="38" t="s">
        <v>1587</v>
      </c>
      <c r="D772" s="38">
        <v>1000000148</v>
      </c>
      <c r="E772" s="39" t="s">
        <v>1588</v>
      </c>
      <c r="F772" s="40">
        <v>43232</v>
      </c>
      <c r="G772" s="22" t="str">
        <f t="shared" si="168"/>
        <v>Targeted Dealer</v>
      </c>
      <c r="H772" s="22"/>
      <c r="I772" s="23">
        <v>140</v>
      </c>
      <c r="J772" s="23">
        <f t="shared" si="169"/>
        <v>140</v>
      </c>
      <c r="K772" s="24">
        <v>50</v>
      </c>
      <c r="L772" s="24">
        <f t="shared" si="170"/>
        <v>90</v>
      </c>
      <c r="M772" s="24">
        <f t="shared" si="171"/>
        <v>35.714285714285715</v>
      </c>
      <c r="N772" s="25">
        <v>57</v>
      </c>
      <c r="O772" s="26" t="str">
        <f t="shared" si="172"/>
        <v>June</v>
      </c>
      <c r="P772" s="25">
        <f t="shared" si="173"/>
        <v>57</v>
      </c>
      <c r="Q772" s="27">
        <f t="shared" si="174"/>
        <v>-7</v>
      </c>
      <c r="R772" s="26" t="b">
        <f t="shared" si="175"/>
        <v>0</v>
      </c>
      <c r="S772" s="28" t="str">
        <f t="shared" si="176"/>
        <v>GROWTH</v>
      </c>
      <c r="T772" s="24">
        <v>66</v>
      </c>
      <c r="U772" s="29" t="str">
        <f t="shared" si="177"/>
        <v>May</v>
      </c>
      <c r="V772" s="24">
        <f t="shared" si="178"/>
        <v>66</v>
      </c>
      <c r="W772" s="30">
        <f t="shared" si="179"/>
        <v>-16</v>
      </c>
      <c r="X772" s="31" t="b">
        <f t="shared" si="180"/>
        <v>0</v>
      </c>
      <c r="Y772" s="32" t="str">
        <f t="shared" si="181"/>
        <v>GROWTH</v>
      </c>
      <c r="Z772" s="41">
        <v>0</v>
      </c>
      <c r="AA772" s="36"/>
      <c r="AB772" s="36" t="s">
        <v>24</v>
      </c>
      <c r="AC772" s="36" t="s">
        <v>848</v>
      </c>
      <c r="AD772" s="34"/>
      <c r="AE772" s="35">
        <f>IFERROR(INDEX([1]Last6M_AvgSales_Ref!$B$2:$B$12659,MATCH(D772,[1]Last6M_AvgSales_Ref!$A$2:$A$12659,0)),"")</f>
        <v>99.3333333333333</v>
      </c>
    </row>
    <row r="773" spans="1:31" ht="14.25" customHeight="1" x14ac:dyDescent="0.3">
      <c r="A773" s="36" t="s">
        <v>848</v>
      </c>
      <c r="B773" s="38" t="s">
        <v>1558</v>
      </c>
      <c r="C773" s="38" t="s">
        <v>1589</v>
      </c>
      <c r="D773" s="38">
        <v>1000000152</v>
      </c>
      <c r="E773" s="39" t="s">
        <v>1590</v>
      </c>
      <c r="F773" s="40">
        <v>43246</v>
      </c>
      <c r="G773" s="22" t="str">
        <f t="shared" si="168"/>
        <v>Targeted Dealer</v>
      </c>
      <c r="H773" s="22"/>
      <c r="I773" s="23">
        <v>320</v>
      </c>
      <c r="J773" s="23">
        <f t="shared" si="169"/>
        <v>320</v>
      </c>
      <c r="K773" s="24">
        <v>176.5</v>
      </c>
      <c r="L773" s="24">
        <f t="shared" si="170"/>
        <v>143.5</v>
      </c>
      <c r="M773" s="24">
        <f t="shared" si="171"/>
        <v>55.15625</v>
      </c>
      <c r="N773" s="25">
        <v>75</v>
      </c>
      <c r="O773" s="26" t="str">
        <f t="shared" si="172"/>
        <v>June</v>
      </c>
      <c r="P773" s="25">
        <f t="shared" si="173"/>
        <v>75</v>
      </c>
      <c r="Q773" s="27">
        <f t="shared" si="174"/>
        <v>101.5</v>
      </c>
      <c r="R773" s="26" t="b">
        <f t="shared" si="175"/>
        <v>0</v>
      </c>
      <c r="S773" s="28" t="str">
        <f t="shared" si="176"/>
        <v>GROWTH</v>
      </c>
      <c r="T773" s="24">
        <v>207.5</v>
      </c>
      <c r="U773" s="29" t="str">
        <f t="shared" si="177"/>
        <v>May</v>
      </c>
      <c r="V773" s="24">
        <f t="shared" si="178"/>
        <v>207.5</v>
      </c>
      <c r="W773" s="30">
        <f t="shared" si="179"/>
        <v>-31</v>
      </c>
      <c r="X773" s="31" t="b">
        <f t="shared" si="180"/>
        <v>0</v>
      </c>
      <c r="Y773" s="32" t="str">
        <f t="shared" si="181"/>
        <v>GROWTH</v>
      </c>
      <c r="Z773" s="41">
        <v>0</v>
      </c>
      <c r="AA773" s="36"/>
      <c r="AB773" s="36" t="s">
        <v>24</v>
      </c>
      <c r="AC773" s="36" t="s">
        <v>848</v>
      </c>
      <c r="AD773" s="34"/>
      <c r="AE773" s="35">
        <f>IFERROR(INDEX([1]Last6M_AvgSales_Ref!$B$2:$B$12659,MATCH(D773,[1]Last6M_AvgSales_Ref!$A$2:$A$12659,0)),"")</f>
        <v>186.916666666667</v>
      </c>
    </row>
    <row r="774" spans="1:31" ht="14.25" customHeight="1" x14ac:dyDescent="0.3">
      <c r="A774" s="36" t="s">
        <v>848</v>
      </c>
      <c r="B774" s="38" t="s">
        <v>1558</v>
      </c>
      <c r="C774" s="38" t="s">
        <v>1591</v>
      </c>
      <c r="D774" s="38">
        <v>1000000145</v>
      </c>
      <c r="E774" s="39" t="s">
        <v>1592</v>
      </c>
      <c r="F774" s="40">
        <v>43337</v>
      </c>
      <c r="G774" s="22" t="str">
        <f t="shared" si="168"/>
        <v>Targeted Dealer</v>
      </c>
      <c r="H774" s="22"/>
      <c r="I774" s="23">
        <v>100</v>
      </c>
      <c r="J774" s="23">
        <f t="shared" si="169"/>
        <v>100</v>
      </c>
      <c r="K774" s="24">
        <v>78.5</v>
      </c>
      <c r="L774" s="24">
        <f t="shared" si="170"/>
        <v>21.5</v>
      </c>
      <c r="M774" s="24">
        <f t="shared" si="171"/>
        <v>78.5</v>
      </c>
      <c r="N774" s="25">
        <v>56.5</v>
      </c>
      <c r="O774" s="26" t="str">
        <f t="shared" si="172"/>
        <v>June</v>
      </c>
      <c r="P774" s="25">
        <f t="shared" si="173"/>
        <v>56.5</v>
      </c>
      <c r="Q774" s="27">
        <f t="shared" si="174"/>
        <v>22</v>
      </c>
      <c r="R774" s="26" t="b">
        <f t="shared" si="175"/>
        <v>0</v>
      </c>
      <c r="S774" s="28" t="str">
        <f t="shared" si="176"/>
        <v>GROWTH</v>
      </c>
      <c r="T774" s="24">
        <v>37.450000000000003</v>
      </c>
      <c r="U774" s="29" t="str">
        <f t="shared" si="177"/>
        <v>May</v>
      </c>
      <c r="V774" s="24">
        <f t="shared" si="178"/>
        <v>37.450000000000003</v>
      </c>
      <c r="W774" s="30">
        <f t="shared" si="179"/>
        <v>41.05</v>
      </c>
      <c r="X774" s="31" t="b">
        <f t="shared" si="180"/>
        <v>0</v>
      </c>
      <c r="Y774" s="32" t="str">
        <f t="shared" si="181"/>
        <v>GROWTH</v>
      </c>
      <c r="Z774" s="41">
        <v>0</v>
      </c>
      <c r="AA774" s="36"/>
      <c r="AB774" s="36" t="s">
        <v>24</v>
      </c>
      <c r="AC774" s="36" t="s">
        <v>848</v>
      </c>
      <c r="AD774" s="34"/>
      <c r="AE774" s="35">
        <f>IFERROR(INDEX([1]Last6M_AvgSales_Ref!$B$2:$B$12659,MATCH(D774,[1]Last6M_AvgSales_Ref!$A$2:$A$12659,0)),"")</f>
        <v>83.4166666666667</v>
      </c>
    </row>
    <row r="775" spans="1:31" ht="14.25" customHeight="1" x14ac:dyDescent="0.3">
      <c r="A775" s="36" t="s">
        <v>848</v>
      </c>
      <c r="B775" s="38" t="s">
        <v>1558</v>
      </c>
      <c r="C775" s="38" t="s">
        <v>1593</v>
      </c>
      <c r="D775" s="38">
        <v>1000000162</v>
      </c>
      <c r="E775" s="39" t="s">
        <v>1594</v>
      </c>
      <c r="F775" s="40">
        <v>43337</v>
      </c>
      <c r="G775" s="22" t="str">
        <f t="shared" si="168"/>
        <v>Targeted Dealer</v>
      </c>
      <c r="H775" s="22"/>
      <c r="I775" s="23">
        <v>60</v>
      </c>
      <c r="J775" s="23">
        <f t="shared" si="169"/>
        <v>60</v>
      </c>
      <c r="K775" s="24">
        <v>35</v>
      </c>
      <c r="L775" s="24">
        <f t="shared" si="170"/>
        <v>25</v>
      </c>
      <c r="M775" s="24">
        <f t="shared" si="171"/>
        <v>58.333333333333336</v>
      </c>
      <c r="N775" s="25">
        <v>30</v>
      </c>
      <c r="O775" s="26" t="str">
        <f t="shared" si="172"/>
        <v>June</v>
      </c>
      <c r="P775" s="25">
        <f t="shared" si="173"/>
        <v>30</v>
      </c>
      <c r="Q775" s="27">
        <f t="shared" si="174"/>
        <v>5</v>
      </c>
      <c r="R775" s="26" t="b">
        <f t="shared" si="175"/>
        <v>0</v>
      </c>
      <c r="S775" s="28" t="str">
        <f t="shared" si="176"/>
        <v>GROWTH</v>
      </c>
      <c r="T775" s="24">
        <v>25</v>
      </c>
      <c r="U775" s="29" t="str">
        <f t="shared" si="177"/>
        <v>May</v>
      </c>
      <c r="V775" s="24">
        <f t="shared" si="178"/>
        <v>25</v>
      </c>
      <c r="W775" s="30">
        <f t="shared" si="179"/>
        <v>10</v>
      </c>
      <c r="X775" s="31" t="b">
        <f t="shared" si="180"/>
        <v>0</v>
      </c>
      <c r="Y775" s="32" t="str">
        <f t="shared" si="181"/>
        <v>GROWTH</v>
      </c>
      <c r="Z775" s="41">
        <v>0</v>
      </c>
      <c r="AA775" s="36"/>
      <c r="AB775" s="36" t="s">
        <v>24</v>
      </c>
      <c r="AC775" s="36" t="s">
        <v>848</v>
      </c>
      <c r="AD775" s="34"/>
      <c r="AE775" s="35">
        <f>IFERROR(INDEX([1]Last6M_AvgSales_Ref!$B$2:$B$12659,MATCH(D775,[1]Last6M_AvgSales_Ref!$A$2:$A$12659,0)),"")</f>
        <v>28.55</v>
      </c>
    </row>
    <row r="776" spans="1:31" ht="14.25" customHeight="1" x14ac:dyDescent="0.3">
      <c r="A776" s="36" t="s">
        <v>848</v>
      </c>
      <c r="B776" s="38" t="s">
        <v>1558</v>
      </c>
      <c r="C776" s="38" t="s">
        <v>1595</v>
      </c>
      <c r="D776" s="38">
        <v>1000000122</v>
      </c>
      <c r="E776" s="39" t="s">
        <v>1596</v>
      </c>
      <c r="F776" s="40">
        <v>43430</v>
      </c>
      <c r="G776" s="22" t="str">
        <f t="shared" si="168"/>
        <v>Targeted Dealer</v>
      </c>
      <c r="H776" s="22"/>
      <c r="I776" s="23">
        <v>30</v>
      </c>
      <c r="J776" s="23">
        <f t="shared" si="169"/>
        <v>30</v>
      </c>
      <c r="K776" s="24">
        <v>4</v>
      </c>
      <c r="L776" s="24">
        <f t="shared" si="170"/>
        <v>26</v>
      </c>
      <c r="M776" s="24">
        <f t="shared" si="171"/>
        <v>13.333333333333334</v>
      </c>
      <c r="N776" s="25">
        <v>11.5</v>
      </c>
      <c r="O776" s="26" t="str">
        <f t="shared" si="172"/>
        <v>June</v>
      </c>
      <c r="P776" s="25">
        <f t="shared" si="173"/>
        <v>11.5</v>
      </c>
      <c r="Q776" s="27">
        <f t="shared" si="174"/>
        <v>-7.5</v>
      </c>
      <c r="R776" s="26" t="b">
        <f t="shared" si="175"/>
        <v>0</v>
      </c>
      <c r="S776" s="28" t="str">
        <f t="shared" si="176"/>
        <v>GROWTH</v>
      </c>
      <c r="T776" s="24">
        <v>2.5</v>
      </c>
      <c r="U776" s="29" t="str">
        <f t="shared" si="177"/>
        <v>May</v>
      </c>
      <c r="V776" s="24">
        <f t="shared" si="178"/>
        <v>2.5</v>
      </c>
      <c r="W776" s="30">
        <f t="shared" si="179"/>
        <v>1.5</v>
      </c>
      <c r="X776" s="31" t="b">
        <f t="shared" si="180"/>
        <v>0</v>
      </c>
      <c r="Y776" s="32" t="str">
        <f t="shared" si="181"/>
        <v>GROWTH</v>
      </c>
      <c r="Z776" s="41">
        <v>0</v>
      </c>
      <c r="AA776" s="36"/>
      <c r="AB776" s="36" t="s">
        <v>24</v>
      </c>
      <c r="AC776" s="36" t="s">
        <v>848</v>
      </c>
      <c r="AD776" s="34"/>
      <c r="AE776" s="35">
        <f>IFERROR(INDEX([1]Last6M_AvgSales_Ref!$B$2:$B$12659,MATCH(D776,[1]Last6M_AvgSales_Ref!$A$2:$A$12659,0)),"")</f>
        <v>17.0833333333333</v>
      </c>
    </row>
    <row r="777" spans="1:31" ht="14.25" customHeight="1" x14ac:dyDescent="0.3">
      <c r="A777" s="36" t="s">
        <v>848</v>
      </c>
      <c r="B777" s="38" t="s">
        <v>1558</v>
      </c>
      <c r="C777" s="38" t="s">
        <v>1597</v>
      </c>
      <c r="D777" s="38">
        <v>1000000136</v>
      </c>
      <c r="E777" s="39" t="s">
        <v>1598</v>
      </c>
      <c r="F777" s="40">
        <v>43439</v>
      </c>
      <c r="G777" s="22" t="str">
        <f t="shared" si="168"/>
        <v>Targeted Dealer</v>
      </c>
      <c r="H777" s="22"/>
      <c r="I777" s="23">
        <v>80</v>
      </c>
      <c r="J777" s="23">
        <f t="shared" si="169"/>
        <v>80</v>
      </c>
      <c r="K777" s="24">
        <v>65.5</v>
      </c>
      <c r="L777" s="24">
        <f t="shared" si="170"/>
        <v>14.5</v>
      </c>
      <c r="M777" s="24">
        <f t="shared" si="171"/>
        <v>81.875</v>
      </c>
      <c r="N777" s="25">
        <v>40</v>
      </c>
      <c r="O777" s="26" t="str">
        <f t="shared" si="172"/>
        <v>June</v>
      </c>
      <c r="P777" s="25">
        <f t="shared" si="173"/>
        <v>40</v>
      </c>
      <c r="Q777" s="27">
        <f t="shared" si="174"/>
        <v>25.5</v>
      </c>
      <c r="R777" s="26" t="b">
        <f t="shared" si="175"/>
        <v>0</v>
      </c>
      <c r="S777" s="28" t="str">
        <f t="shared" si="176"/>
        <v>GROWTH</v>
      </c>
      <c r="T777" s="24">
        <v>37.5</v>
      </c>
      <c r="U777" s="29" t="str">
        <f t="shared" si="177"/>
        <v>May</v>
      </c>
      <c r="V777" s="24">
        <f t="shared" si="178"/>
        <v>37.5</v>
      </c>
      <c r="W777" s="30">
        <f t="shared" si="179"/>
        <v>28</v>
      </c>
      <c r="X777" s="31" t="b">
        <f t="shared" si="180"/>
        <v>0</v>
      </c>
      <c r="Y777" s="32" t="str">
        <f t="shared" si="181"/>
        <v>GROWTH</v>
      </c>
      <c r="Z777" s="41">
        <v>0</v>
      </c>
      <c r="AA777" s="36"/>
      <c r="AB777" s="36" t="s">
        <v>24</v>
      </c>
      <c r="AC777" s="36" t="s">
        <v>848</v>
      </c>
      <c r="AD777" s="34"/>
      <c r="AE777" s="35">
        <f>IFERROR(INDEX([1]Last6M_AvgSales_Ref!$B$2:$B$12659,MATCH(D777,[1]Last6M_AvgSales_Ref!$A$2:$A$12659,0)),"")</f>
        <v>34</v>
      </c>
    </row>
    <row r="778" spans="1:31" ht="14.25" customHeight="1" x14ac:dyDescent="0.3">
      <c r="A778" s="36" t="s">
        <v>848</v>
      </c>
      <c r="B778" s="38" t="s">
        <v>1558</v>
      </c>
      <c r="C778" s="38" t="s">
        <v>1599</v>
      </c>
      <c r="D778" s="38">
        <v>1000000160</v>
      </c>
      <c r="E778" s="39" t="s">
        <v>1600</v>
      </c>
      <c r="F778" s="40">
        <v>43566</v>
      </c>
      <c r="G778" s="22" t="str">
        <f t="shared" si="168"/>
        <v>Targeted Dealer</v>
      </c>
      <c r="H778" s="22"/>
      <c r="I778" s="23">
        <v>60</v>
      </c>
      <c r="J778" s="23">
        <f t="shared" si="169"/>
        <v>60</v>
      </c>
      <c r="K778" s="24">
        <v>37.5</v>
      </c>
      <c r="L778" s="24">
        <f t="shared" si="170"/>
        <v>22.5</v>
      </c>
      <c r="M778" s="24">
        <f t="shared" si="171"/>
        <v>62.5</v>
      </c>
      <c r="N778" s="25">
        <v>5</v>
      </c>
      <c r="O778" s="26" t="str">
        <f t="shared" si="172"/>
        <v>June</v>
      </c>
      <c r="P778" s="25">
        <f t="shared" si="173"/>
        <v>5</v>
      </c>
      <c r="Q778" s="27">
        <f t="shared" si="174"/>
        <v>32.5</v>
      </c>
      <c r="R778" s="26" t="b">
        <f t="shared" si="175"/>
        <v>0</v>
      </c>
      <c r="S778" s="28" t="str">
        <f t="shared" si="176"/>
        <v>GROWTH</v>
      </c>
      <c r="T778" s="24">
        <v>25</v>
      </c>
      <c r="U778" s="29" t="str">
        <f t="shared" si="177"/>
        <v>May</v>
      </c>
      <c r="V778" s="24">
        <f t="shared" si="178"/>
        <v>25</v>
      </c>
      <c r="W778" s="30">
        <f t="shared" si="179"/>
        <v>12.5</v>
      </c>
      <c r="X778" s="31" t="b">
        <f t="shared" si="180"/>
        <v>0</v>
      </c>
      <c r="Y778" s="32" t="str">
        <f t="shared" si="181"/>
        <v>GROWTH</v>
      </c>
      <c r="Z778" s="41">
        <v>0</v>
      </c>
      <c r="AA778" s="36"/>
      <c r="AB778" s="36" t="s">
        <v>24</v>
      </c>
      <c r="AC778" s="36" t="s">
        <v>848</v>
      </c>
      <c r="AD778" s="34"/>
      <c r="AE778" s="35">
        <f>IFERROR(INDEX([1]Last6M_AvgSales_Ref!$B$2:$B$12659,MATCH(D778,[1]Last6M_AvgSales_Ref!$A$2:$A$12659,0)),"")</f>
        <v>28.7916666666667</v>
      </c>
    </row>
    <row r="779" spans="1:31" ht="14.25" customHeight="1" x14ac:dyDescent="0.3">
      <c r="A779" s="36" t="s">
        <v>848</v>
      </c>
      <c r="B779" s="38" t="s">
        <v>1558</v>
      </c>
      <c r="C779" s="38" t="s">
        <v>1601</v>
      </c>
      <c r="D779" s="38">
        <v>1000000141</v>
      </c>
      <c r="E779" s="39" t="s">
        <v>1602</v>
      </c>
      <c r="F779" s="40">
        <v>43647</v>
      </c>
      <c r="G779" s="22" t="str">
        <f t="shared" si="168"/>
        <v>Targeted Dealer</v>
      </c>
      <c r="H779" s="22"/>
      <c r="I779" s="23">
        <v>70</v>
      </c>
      <c r="J779" s="23">
        <f t="shared" si="169"/>
        <v>70</v>
      </c>
      <c r="K779" s="24">
        <v>0</v>
      </c>
      <c r="L779" s="24">
        <f t="shared" si="170"/>
        <v>70</v>
      </c>
      <c r="M779" s="24">
        <f t="shared" si="171"/>
        <v>0</v>
      </c>
      <c r="N779" s="25">
        <v>0</v>
      </c>
      <c r="O779" s="26" t="str">
        <f t="shared" si="172"/>
        <v>June</v>
      </c>
      <c r="P779" s="25">
        <f t="shared" si="173"/>
        <v>0</v>
      </c>
      <c r="Q779" s="27">
        <f t="shared" si="174"/>
        <v>0</v>
      </c>
      <c r="R779" s="26" t="b">
        <f t="shared" si="175"/>
        <v>0</v>
      </c>
      <c r="S779" s="28" t="b">
        <f t="shared" si="176"/>
        <v>0</v>
      </c>
      <c r="T779" s="24">
        <v>32.5</v>
      </c>
      <c r="U779" s="29" t="str">
        <f t="shared" si="177"/>
        <v>May</v>
      </c>
      <c r="V779" s="24">
        <f t="shared" si="178"/>
        <v>32.5</v>
      </c>
      <c r="W779" s="30">
        <f t="shared" si="179"/>
        <v>-32.5</v>
      </c>
      <c r="X779" s="31" t="b">
        <f t="shared" si="180"/>
        <v>0</v>
      </c>
      <c r="Y779" s="32" t="str">
        <f t="shared" si="181"/>
        <v>GROWTH</v>
      </c>
      <c r="Z779" s="41">
        <v>0</v>
      </c>
      <c r="AA779" s="36"/>
      <c r="AB779" s="36" t="s">
        <v>24</v>
      </c>
      <c r="AC779" s="36" t="s">
        <v>848</v>
      </c>
      <c r="AD779" s="34"/>
      <c r="AE779" s="35">
        <f>IFERROR(INDEX([1]Last6M_AvgSales_Ref!$B$2:$B$12659,MATCH(D779,[1]Last6M_AvgSales_Ref!$A$2:$A$12659,0)),"")</f>
        <v>36</v>
      </c>
    </row>
    <row r="780" spans="1:31" ht="14.25" customHeight="1" x14ac:dyDescent="0.3">
      <c r="A780" s="36" t="s">
        <v>848</v>
      </c>
      <c r="B780" s="38" t="s">
        <v>1558</v>
      </c>
      <c r="C780" s="38" t="s">
        <v>1603</v>
      </c>
      <c r="D780" s="38">
        <v>1000000143</v>
      </c>
      <c r="E780" s="39" t="s">
        <v>1604</v>
      </c>
      <c r="F780" s="40">
        <v>43675</v>
      </c>
      <c r="G780" s="22" t="str">
        <f t="shared" si="168"/>
        <v>Targeted Dealer</v>
      </c>
      <c r="H780" s="22"/>
      <c r="I780" s="23">
        <v>110</v>
      </c>
      <c r="J780" s="23">
        <f t="shared" si="169"/>
        <v>110</v>
      </c>
      <c r="K780" s="24">
        <v>40</v>
      </c>
      <c r="L780" s="24">
        <f t="shared" si="170"/>
        <v>70</v>
      </c>
      <c r="M780" s="24">
        <f t="shared" si="171"/>
        <v>36.36363636363636</v>
      </c>
      <c r="N780" s="25">
        <v>20</v>
      </c>
      <c r="O780" s="26" t="str">
        <f t="shared" si="172"/>
        <v>June</v>
      </c>
      <c r="P780" s="25">
        <f t="shared" si="173"/>
        <v>20</v>
      </c>
      <c r="Q780" s="27">
        <f t="shared" si="174"/>
        <v>20</v>
      </c>
      <c r="R780" s="26" t="b">
        <f t="shared" si="175"/>
        <v>0</v>
      </c>
      <c r="S780" s="28" t="str">
        <f t="shared" si="176"/>
        <v>GROWTH</v>
      </c>
      <c r="T780" s="24">
        <v>50</v>
      </c>
      <c r="U780" s="29" t="str">
        <f t="shared" si="177"/>
        <v>May</v>
      </c>
      <c r="V780" s="24">
        <f t="shared" si="178"/>
        <v>50</v>
      </c>
      <c r="W780" s="30">
        <f t="shared" si="179"/>
        <v>-10</v>
      </c>
      <c r="X780" s="31" t="b">
        <f t="shared" si="180"/>
        <v>0</v>
      </c>
      <c r="Y780" s="32" t="str">
        <f t="shared" si="181"/>
        <v>GROWTH</v>
      </c>
      <c r="Z780" s="41">
        <v>0</v>
      </c>
      <c r="AA780" s="36"/>
      <c r="AB780" s="36" t="s">
        <v>24</v>
      </c>
      <c r="AC780" s="36" t="s">
        <v>848</v>
      </c>
      <c r="AD780" s="34"/>
      <c r="AE780" s="35">
        <f>IFERROR(INDEX([1]Last6M_AvgSales_Ref!$B$2:$B$12659,MATCH(D780,[1]Last6M_AvgSales_Ref!$A$2:$A$12659,0)),"")</f>
        <v>44.1666666666667</v>
      </c>
    </row>
    <row r="781" spans="1:31" ht="14.25" customHeight="1" x14ac:dyDescent="0.3">
      <c r="A781" s="36" t="s">
        <v>848</v>
      </c>
      <c r="B781" s="38" t="s">
        <v>1558</v>
      </c>
      <c r="C781" s="38" t="s">
        <v>1605</v>
      </c>
      <c r="D781" s="38">
        <v>1000000153</v>
      </c>
      <c r="E781" s="39" t="s">
        <v>1606</v>
      </c>
      <c r="F781" s="40">
        <v>44041</v>
      </c>
      <c r="G781" s="22" t="str">
        <f t="shared" si="168"/>
        <v>Targeted Dealer</v>
      </c>
      <c r="H781" s="22"/>
      <c r="I781" s="23">
        <v>300</v>
      </c>
      <c r="J781" s="23">
        <f t="shared" si="169"/>
        <v>300</v>
      </c>
      <c r="K781" s="24">
        <v>149</v>
      </c>
      <c r="L781" s="24">
        <f t="shared" si="170"/>
        <v>151</v>
      </c>
      <c r="M781" s="24">
        <f t="shared" si="171"/>
        <v>49.666666666666664</v>
      </c>
      <c r="N781" s="25">
        <v>200.5</v>
      </c>
      <c r="O781" s="26" t="str">
        <f t="shared" si="172"/>
        <v>June</v>
      </c>
      <c r="P781" s="25">
        <f t="shared" si="173"/>
        <v>200.5</v>
      </c>
      <c r="Q781" s="27">
        <f t="shared" si="174"/>
        <v>-51.5</v>
      </c>
      <c r="R781" s="26" t="b">
        <f t="shared" si="175"/>
        <v>0</v>
      </c>
      <c r="S781" s="28" t="str">
        <f t="shared" si="176"/>
        <v>GROWTH</v>
      </c>
      <c r="T781" s="24">
        <v>130</v>
      </c>
      <c r="U781" s="29" t="str">
        <f t="shared" si="177"/>
        <v>May</v>
      </c>
      <c r="V781" s="24">
        <f t="shared" si="178"/>
        <v>130</v>
      </c>
      <c r="W781" s="30">
        <f t="shared" si="179"/>
        <v>19</v>
      </c>
      <c r="X781" s="31" t="b">
        <f t="shared" si="180"/>
        <v>0</v>
      </c>
      <c r="Y781" s="32" t="str">
        <f t="shared" si="181"/>
        <v>GROWTH</v>
      </c>
      <c r="Z781" s="41">
        <v>0</v>
      </c>
      <c r="AA781" s="36"/>
      <c r="AB781" s="36" t="s">
        <v>24</v>
      </c>
      <c r="AC781" s="36" t="s">
        <v>848</v>
      </c>
      <c r="AD781" s="34"/>
      <c r="AE781" s="35">
        <f>IFERROR(INDEX([1]Last6M_AvgSales_Ref!$B$2:$B$12659,MATCH(D781,[1]Last6M_AvgSales_Ref!$A$2:$A$12659,0)),"")</f>
        <v>189.72499999999999</v>
      </c>
    </row>
    <row r="782" spans="1:31" ht="14.25" customHeight="1" x14ac:dyDescent="0.3">
      <c r="A782" s="36" t="s">
        <v>848</v>
      </c>
      <c r="B782" s="38" t="s">
        <v>1558</v>
      </c>
      <c r="C782" s="38" t="s">
        <v>1607</v>
      </c>
      <c r="D782" s="38">
        <v>1000000836</v>
      </c>
      <c r="E782" s="39" t="s">
        <v>1608</v>
      </c>
      <c r="F782" s="40">
        <v>44123</v>
      </c>
      <c r="G782" s="22" t="str">
        <f t="shared" si="168"/>
        <v>Targeted Dealer</v>
      </c>
      <c r="H782" s="22"/>
      <c r="I782" s="23">
        <v>300</v>
      </c>
      <c r="J782" s="23">
        <f t="shared" si="169"/>
        <v>300</v>
      </c>
      <c r="K782" s="24">
        <v>166.75</v>
      </c>
      <c r="L782" s="24">
        <f t="shared" si="170"/>
        <v>133.25</v>
      </c>
      <c r="M782" s="24">
        <f t="shared" si="171"/>
        <v>55.583333333333336</v>
      </c>
      <c r="N782" s="25">
        <v>102.25</v>
      </c>
      <c r="O782" s="26" t="str">
        <f t="shared" si="172"/>
        <v>June</v>
      </c>
      <c r="P782" s="25">
        <f t="shared" si="173"/>
        <v>102.25</v>
      </c>
      <c r="Q782" s="27">
        <f t="shared" si="174"/>
        <v>64.5</v>
      </c>
      <c r="R782" s="26" t="b">
        <f t="shared" si="175"/>
        <v>0</v>
      </c>
      <c r="S782" s="28" t="str">
        <f t="shared" si="176"/>
        <v>GROWTH</v>
      </c>
      <c r="T782" s="24">
        <v>90.25</v>
      </c>
      <c r="U782" s="29" t="str">
        <f t="shared" si="177"/>
        <v>May</v>
      </c>
      <c r="V782" s="24">
        <f t="shared" si="178"/>
        <v>90.25</v>
      </c>
      <c r="W782" s="30">
        <f t="shared" si="179"/>
        <v>76.5</v>
      </c>
      <c r="X782" s="31" t="b">
        <f t="shared" si="180"/>
        <v>0</v>
      </c>
      <c r="Y782" s="32" t="str">
        <f t="shared" si="181"/>
        <v>GROWTH</v>
      </c>
      <c r="Z782" s="41">
        <v>0</v>
      </c>
      <c r="AA782" s="36"/>
      <c r="AB782" s="36" t="s">
        <v>24</v>
      </c>
      <c r="AC782" s="36" t="s">
        <v>848</v>
      </c>
      <c r="AD782" s="34"/>
      <c r="AE782" s="35">
        <f>IFERROR(INDEX([1]Last6M_AvgSales_Ref!$B$2:$B$12659,MATCH(D782,[1]Last6M_AvgSales_Ref!$A$2:$A$12659,0)),"")</f>
        <v>135.24166666666699</v>
      </c>
    </row>
    <row r="783" spans="1:31" ht="14.25" customHeight="1" x14ac:dyDescent="0.3">
      <c r="A783" s="36" t="s">
        <v>848</v>
      </c>
      <c r="B783" s="38" t="s">
        <v>1558</v>
      </c>
      <c r="C783" s="38" t="s">
        <v>1609</v>
      </c>
      <c r="D783" s="38">
        <v>1000000159</v>
      </c>
      <c r="E783" s="39" t="s">
        <v>1610</v>
      </c>
      <c r="F783" s="40">
        <v>44140</v>
      </c>
      <c r="G783" s="22" t="str">
        <f t="shared" si="168"/>
        <v>Targeted Dealer</v>
      </c>
      <c r="H783" s="22"/>
      <c r="I783" s="23">
        <v>50</v>
      </c>
      <c r="J783" s="23">
        <f t="shared" si="169"/>
        <v>50</v>
      </c>
      <c r="K783" s="24">
        <v>20</v>
      </c>
      <c r="L783" s="24">
        <f t="shared" si="170"/>
        <v>30</v>
      </c>
      <c r="M783" s="24">
        <f t="shared" si="171"/>
        <v>40</v>
      </c>
      <c r="N783" s="25">
        <v>5</v>
      </c>
      <c r="O783" s="26" t="str">
        <f t="shared" si="172"/>
        <v>June</v>
      </c>
      <c r="P783" s="25">
        <f t="shared" si="173"/>
        <v>5</v>
      </c>
      <c r="Q783" s="27">
        <f t="shared" si="174"/>
        <v>15</v>
      </c>
      <c r="R783" s="26" t="b">
        <f t="shared" si="175"/>
        <v>0</v>
      </c>
      <c r="S783" s="28" t="str">
        <f t="shared" si="176"/>
        <v>GROWTH</v>
      </c>
      <c r="T783" s="24">
        <v>16</v>
      </c>
      <c r="U783" s="29" t="str">
        <f t="shared" si="177"/>
        <v>May</v>
      </c>
      <c r="V783" s="24">
        <f t="shared" si="178"/>
        <v>16</v>
      </c>
      <c r="W783" s="30">
        <f t="shared" si="179"/>
        <v>4</v>
      </c>
      <c r="X783" s="31" t="b">
        <f t="shared" si="180"/>
        <v>0</v>
      </c>
      <c r="Y783" s="32" t="str">
        <f t="shared" si="181"/>
        <v>GROWTH</v>
      </c>
      <c r="Z783" s="41">
        <v>0</v>
      </c>
      <c r="AA783" s="36"/>
      <c r="AB783" s="36" t="s">
        <v>24</v>
      </c>
      <c r="AC783" s="36" t="s">
        <v>848</v>
      </c>
      <c r="AD783" s="34"/>
      <c r="AE783" s="35">
        <f>IFERROR(INDEX([1]Last6M_AvgSales_Ref!$B$2:$B$12659,MATCH(D783,[1]Last6M_AvgSales_Ref!$A$2:$A$12659,0)),"")</f>
        <v>17.966666666666701</v>
      </c>
    </row>
    <row r="784" spans="1:31" ht="14.25" customHeight="1" x14ac:dyDescent="0.3">
      <c r="A784" s="36" t="s">
        <v>848</v>
      </c>
      <c r="B784" s="38" t="s">
        <v>1558</v>
      </c>
      <c r="C784" s="38" t="s">
        <v>1611</v>
      </c>
      <c r="D784" s="38">
        <v>1000000133</v>
      </c>
      <c r="E784" s="39" t="s">
        <v>1612</v>
      </c>
      <c r="F784" s="40">
        <v>44215</v>
      </c>
      <c r="G784" s="22" t="str">
        <f t="shared" si="168"/>
        <v>Targeted Dealer</v>
      </c>
      <c r="H784" s="22"/>
      <c r="I784" s="23">
        <v>180</v>
      </c>
      <c r="J784" s="23">
        <f t="shared" si="169"/>
        <v>180</v>
      </c>
      <c r="K784" s="24">
        <v>64.75</v>
      </c>
      <c r="L784" s="24">
        <f t="shared" si="170"/>
        <v>115.25</v>
      </c>
      <c r="M784" s="24">
        <f t="shared" si="171"/>
        <v>35.972222222222221</v>
      </c>
      <c r="N784" s="25">
        <v>69.5</v>
      </c>
      <c r="O784" s="26" t="str">
        <f t="shared" si="172"/>
        <v>June</v>
      </c>
      <c r="P784" s="25">
        <f t="shared" si="173"/>
        <v>69.5</v>
      </c>
      <c r="Q784" s="27">
        <f t="shared" si="174"/>
        <v>-4.75</v>
      </c>
      <c r="R784" s="26" t="b">
        <f t="shared" si="175"/>
        <v>0</v>
      </c>
      <c r="S784" s="28" t="str">
        <f t="shared" si="176"/>
        <v>GROWTH</v>
      </c>
      <c r="T784" s="24">
        <v>77</v>
      </c>
      <c r="U784" s="29" t="str">
        <f t="shared" si="177"/>
        <v>May</v>
      </c>
      <c r="V784" s="24">
        <f t="shared" si="178"/>
        <v>77</v>
      </c>
      <c r="W784" s="30">
        <f t="shared" si="179"/>
        <v>-12.25</v>
      </c>
      <c r="X784" s="31" t="b">
        <f t="shared" si="180"/>
        <v>0</v>
      </c>
      <c r="Y784" s="32" t="str">
        <f t="shared" si="181"/>
        <v>GROWTH</v>
      </c>
      <c r="Z784" s="41">
        <v>0</v>
      </c>
      <c r="AA784" s="36"/>
      <c r="AB784" s="36" t="s">
        <v>24</v>
      </c>
      <c r="AC784" s="36" t="s">
        <v>848</v>
      </c>
      <c r="AD784" s="34"/>
      <c r="AE784" s="35">
        <f>IFERROR(INDEX([1]Last6M_AvgSales_Ref!$B$2:$B$12659,MATCH(D784,[1]Last6M_AvgSales_Ref!$A$2:$A$12659,0)),"")</f>
        <v>77.4583333333333</v>
      </c>
    </row>
    <row r="785" spans="1:31" ht="14.25" customHeight="1" x14ac:dyDescent="0.3">
      <c r="A785" s="36" t="s">
        <v>848</v>
      </c>
      <c r="B785" s="38" t="s">
        <v>1558</v>
      </c>
      <c r="C785" s="38" t="s">
        <v>1613</v>
      </c>
      <c r="D785" s="38">
        <v>1000000135</v>
      </c>
      <c r="E785" s="39" t="s">
        <v>1614</v>
      </c>
      <c r="F785" s="40">
        <v>44452</v>
      </c>
      <c r="G785" s="22" t="str">
        <f t="shared" si="168"/>
        <v>Targeted Dealer</v>
      </c>
      <c r="H785" s="22"/>
      <c r="I785" s="23">
        <v>80</v>
      </c>
      <c r="J785" s="23">
        <f t="shared" si="169"/>
        <v>80</v>
      </c>
      <c r="K785" s="24">
        <v>10</v>
      </c>
      <c r="L785" s="24">
        <f t="shared" si="170"/>
        <v>70</v>
      </c>
      <c r="M785" s="24">
        <f t="shared" si="171"/>
        <v>12.5</v>
      </c>
      <c r="N785" s="25">
        <v>20</v>
      </c>
      <c r="O785" s="26" t="str">
        <f t="shared" si="172"/>
        <v>June</v>
      </c>
      <c r="P785" s="25">
        <f t="shared" si="173"/>
        <v>20</v>
      </c>
      <c r="Q785" s="27">
        <f t="shared" si="174"/>
        <v>-10</v>
      </c>
      <c r="R785" s="26" t="b">
        <f t="shared" si="175"/>
        <v>0</v>
      </c>
      <c r="S785" s="28" t="str">
        <f t="shared" si="176"/>
        <v>GROWTH</v>
      </c>
      <c r="T785" s="24">
        <v>35</v>
      </c>
      <c r="U785" s="29" t="str">
        <f t="shared" si="177"/>
        <v>May</v>
      </c>
      <c r="V785" s="24">
        <f t="shared" si="178"/>
        <v>35</v>
      </c>
      <c r="W785" s="30">
        <f t="shared" si="179"/>
        <v>-25</v>
      </c>
      <c r="X785" s="31" t="b">
        <f t="shared" si="180"/>
        <v>0</v>
      </c>
      <c r="Y785" s="32" t="str">
        <f t="shared" si="181"/>
        <v>GROWTH</v>
      </c>
      <c r="Z785" s="41">
        <v>0</v>
      </c>
      <c r="AA785" s="36"/>
      <c r="AB785" s="36" t="s">
        <v>24</v>
      </c>
      <c r="AC785" s="36" t="s">
        <v>848</v>
      </c>
      <c r="AD785" s="34"/>
      <c r="AE785" s="35">
        <f>IFERROR(INDEX([1]Last6M_AvgSales_Ref!$B$2:$B$12659,MATCH(D785,[1]Last6M_AvgSales_Ref!$A$2:$A$12659,0)),"")</f>
        <v>24.125</v>
      </c>
    </row>
    <row r="786" spans="1:31" ht="14.25" customHeight="1" x14ac:dyDescent="0.3">
      <c r="A786" s="36" t="s">
        <v>848</v>
      </c>
      <c r="B786" s="38" t="s">
        <v>1558</v>
      </c>
      <c r="C786" s="38" t="s">
        <v>1615</v>
      </c>
      <c r="D786" s="38">
        <v>1000002609</v>
      </c>
      <c r="E786" s="39" t="s">
        <v>1616</v>
      </c>
      <c r="F786" s="40">
        <v>44616</v>
      </c>
      <c r="G786" s="22" t="str">
        <f t="shared" si="168"/>
        <v>Targeted Dealer</v>
      </c>
      <c r="H786" s="22"/>
      <c r="I786" s="23">
        <v>40</v>
      </c>
      <c r="J786" s="23">
        <f t="shared" si="169"/>
        <v>40</v>
      </c>
      <c r="K786" s="24">
        <v>2.5</v>
      </c>
      <c r="L786" s="24">
        <f t="shared" si="170"/>
        <v>37.5</v>
      </c>
      <c r="M786" s="24">
        <f t="shared" si="171"/>
        <v>6.25</v>
      </c>
      <c r="N786" s="25">
        <v>2.5</v>
      </c>
      <c r="O786" s="26" t="str">
        <f t="shared" si="172"/>
        <v>June</v>
      </c>
      <c r="P786" s="25">
        <f t="shared" si="173"/>
        <v>2.5</v>
      </c>
      <c r="Q786" s="27">
        <f t="shared" si="174"/>
        <v>0</v>
      </c>
      <c r="R786" s="26" t="b">
        <f t="shared" si="175"/>
        <v>0</v>
      </c>
      <c r="S786" s="28" t="str">
        <f t="shared" si="176"/>
        <v>GROWTH</v>
      </c>
      <c r="T786" s="24">
        <v>28</v>
      </c>
      <c r="U786" s="29" t="str">
        <f t="shared" si="177"/>
        <v>May</v>
      </c>
      <c r="V786" s="24">
        <f t="shared" si="178"/>
        <v>28</v>
      </c>
      <c r="W786" s="30">
        <f t="shared" si="179"/>
        <v>-25.5</v>
      </c>
      <c r="X786" s="31" t="b">
        <f t="shared" si="180"/>
        <v>0</v>
      </c>
      <c r="Y786" s="32" t="str">
        <f t="shared" si="181"/>
        <v>GROWTH</v>
      </c>
      <c r="Z786" s="41">
        <v>0</v>
      </c>
      <c r="AA786" s="36"/>
      <c r="AB786" s="36" t="s">
        <v>24</v>
      </c>
      <c r="AC786" s="36" t="s">
        <v>848</v>
      </c>
      <c r="AD786" s="34"/>
      <c r="AE786" s="35">
        <f>IFERROR(INDEX([1]Last6M_AvgSales_Ref!$B$2:$B$12659,MATCH(D786,[1]Last6M_AvgSales_Ref!$A$2:$A$12659,0)),"")</f>
        <v>19.625</v>
      </c>
    </row>
    <row r="787" spans="1:31" ht="14.25" customHeight="1" x14ac:dyDescent="0.3">
      <c r="A787" s="36" t="s">
        <v>848</v>
      </c>
      <c r="B787" s="38" t="s">
        <v>1558</v>
      </c>
      <c r="C787" s="38" t="s">
        <v>1617</v>
      </c>
      <c r="D787" s="38">
        <v>1000003168</v>
      </c>
      <c r="E787" s="38" t="s">
        <v>1618</v>
      </c>
      <c r="F787" s="40">
        <v>44918</v>
      </c>
      <c r="G787" s="22" t="str">
        <f t="shared" si="168"/>
        <v>Targeted Dealer</v>
      </c>
      <c r="H787" s="22"/>
      <c r="I787" s="23">
        <v>120</v>
      </c>
      <c r="J787" s="23">
        <f t="shared" si="169"/>
        <v>120</v>
      </c>
      <c r="K787" s="24">
        <v>70.5</v>
      </c>
      <c r="L787" s="24">
        <f t="shared" si="170"/>
        <v>49.5</v>
      </c>
      <c r="M787" s="24">
        <f t="shared" si="171"/>
        <v>58.75</v>
      </c>
      <c r="N787" s="25">
        <v>60</v>
      </c>
      <c r="O787" s="26" t="str">
        <f t="shared" si="172"/>
        <v>June</v>
      </c>
      <c r="P787" s="25">
        <f t="shared" si="173"/>
        <v>60</v>
      </c>
      <c r="Q787" s="27">
        <f t="shared" si="174"/>
        <v>10.5</v>
      </c>
      <c r="R787" s="26" t="b">
        <f t="shared" si="175"/>
        <v>0</v>
      </c>
      <c r="S787" s="28" t="str">
        <f t="shared" si="176"/>
        <v>GROWTH</v>
      </c>
      <c r="T787" s="24">
        <v>50</v>
      </c>
      <c r="U787" s="29" t="str">
        <f t="shared" si="177"/>
        <v>May</v>
      </c>
      <c r="V787" s="24">
        <f t="shared" si="178"/>
        <v>50</v>
      </c>
      <c r="W787" s="30">
        <f t="shared" si="179"/>
        <v>20.5</v>
      </c>
      <c r="X787" s="31" t="b">
        <f t="shared" si="180"/>
        <v>0</v>
      </c>
      <c r="Y787" s="32" t="str">
        <f t="shared" si="181"/>
        <v>GROWTH</v>
      </c>
      <c r="Z787" s="41">
        <v>0</v>
      </c>
      <c r="AA787" s="36"/>
      <c r="AB787" s="36" t="s">
        <v>24</v>
      </c>
      <c r="AC787" s="36" t="s">
        <v>848</v>
      </c>
      <c r="AD787" s="34"/>
      <c r="AE787" s="35">
        <f>IFERROR(INDEX([1]Last6M_AvgSales_Ref!$B$2:$B$12659,MATCH(D787,[1]Last6M_AvgSales_Ref!$A$2:$A$12659,0)),"")</f>
        <v>59.5</v>
      </c>
    </row>
    <row r="788" spans="1:31" ht="14.25" customHeight="1" x14ac:dyDescent="0.3">
      <c r="A788" s="36" t="s">
        <v>848</v>
      </c>
      <c r="B788" s="38" t="s">
        <v>1558</v>
      </c>
      <c r="C788" s="38" t="s">
        <v>1619</v>
      </c>
      <c r="D788" s="38">
        <v>1000003182</v>
      </c>
      <c r="E788" s="38" t="s">
        <v>1620</v>
      </c>
      <c r="F788" s="40">
        <v>44922</v>
      </c>
      <c r="G788" s="22" t="str">
        <f t="shared" si="168"/>
        <v>Targeted Dealer</v>
      </c>
      <c r="H788" s="22"/>
      <c r="I788" s="23">
        <v>10</v>
      </c>
      <c r="J788" s="23">
        <f t="shared" si="169"/>
        <v>10</v>
      </c>
      <c r="K788" s="24">
        <v>5</v>
      </c>
      <c r="L788" s="24">
        <f t="shared" si="170"/>
        <v>5</v>
      </c>
      <c r="M788" s="24">
        <f t="shared" si="171"/>
        <v>50</v>
      </c>
      <c r="N788" s="25">
        <v>5</v>
      </c>
      <c r="O788" s="26" t="str">
        <f t="shared" si="172"/>
        <v>June</v>
      </c>
      <c r="P788" s="25">
        <f t="shared" si="173"/>
        <v>5</v>
      </c>
      <c r="Q788" s="27">
        <f t="shared" si="174"/>
        <v>0</v>
      </c>
      <c r="R788" s="26" t="b">
        <f t="shared" si="175"/>
        <v>0</v>
      </c>
      <c r="S788" s="28" t="str">
        <f t="shared" si="176"/>
        <v>GROWTH</v>
      </c>
      <c r="T788" s="24">
        <v>0</v>
      </c>
      <c r="U788" s="29" t="str">
        <f t="shared" si="177"/>
        <v>May</v>
      </c>
      <c r="V788" s="24">
        <f t="shared" si="178"/>
        <v>0</v>
      </c>
      <c r="W788" s="30">
        <f t="shared" si="179"/>
        <v>5</v>
      </c>
      <c r="X788" s="31" t="b">
        <f t="shared" si="180"/>
        <v>0</v>
      </c>
      <c r="Y788" s="32" t="b">
        <f t="shared" si="181"/>
        <v>0</v>
      </c>
      <c r="Z788" s="41">
        <v>0</v>
      </c>
      <c r="AA788" s="36"/>
      <c r="AB788" s="36" t="s">
        <v>24</v>
      </c>
      <c r="AC788" s="36" t="s">
        <v>848</v>
      </c>
      <c r="AD788" s="34"/>
      <c r="AE788" s="35">
        <f>IFERROR(INDEX([1]Last6M_AvgSales_Ref!$B$2:$B$12659,MATCH(D788,[1]Last6M_AvgSales_Ref!$A$2:$A$12659,0)),"")</f>
        <v>10.8333333333333</v>
      </c>
    </row>
    <row r="789" spans="1:31" ht="14.25" customHeight="1" x14ac:dyDescent="0.3">
      <c r="A789" s="36" t="s">
        <v>848</v>
      </c>
      <c r="B789" s="38" t="s">
        <v>1558</v>
      </c>
      <c r="C789" s="38" t="s">
        <v>1621</v>
      </c>
      <c r="D789" s="38">
        <v>1000003184</v>
      </c>
      <c r="E789" s="38" t="s">
        <v>1622</v>
      </c>
      <c r="F789" s="40">
        <v>44923</v>
      </c>
      <c r="G789" s="22" t="str">
        <f t="shared" si="168"/>
        <v>Targeted Dealer</v>
      </c>
      <c r="H789" s="22"/>
      <c r="I789" s="23">
        <v>20</v>
      </c>
      <c r="J789" s="23">
        <f t="shared" si="169"/>
        <v>20</v>
      </c>
      <c r="K789" s="24">
        <v>15</v>
      </c>
      <c r="L789" s="24">
        <f t="shared" si="170"/>
        <v>5</v>
      </c>
      <c r="M789" s="24">
        <f t="shared" si="171"/>
        <v>75</v>
      </c>
      <c r="N789" s="25">
        <v>7.5</v>
      </c>
      <c r="O789" s="26" t="str">
        <f t="shared" si="172"/>
        <v>June</v>
      </c>
      <c r="P789" s="25">
        <f t="shared" si="173"/>
        <v>7.5</v>
      </c>
      <c r="Q789" s="27">
        <f t="shared" si="174"/>
        <v>7.5</v>
      </c>
      <c r="R789" s="26" t="b">
        <f t="shared" si="175"/>
        <v>0</v>
      </c>
      <c r="S789" s="28" t="str">
        <f t="shared" si="176"/>
        <v>GROWTH</v>
      </c>
      <c r="T789" s="24">
        <v>0</v>
      </c>
      <c r="U789" s="29" t="str">
        <f t="shared" si="177"/>
        <v>May</v>
      </c>
      <c r="V789" s="24">
        <f t="shared" si="178"/>
        <v>0</v>
      </c>
      <c r="W789" s="30">
        <f t="shared" si="179"/>
        <v>15</v>
      </c>
      <c r="X789" s="31" t="b">
        <f t="shared" si="180"/>
        <v>0</v>
      </c>
      <c r="Y789" s="32" t="b">
        <f t="shared" si="181"/>
        <v>0</v>
      </c>
      <c r="Z789" s="41">
        <v>0</v>
      </c>
      <c r="AA789" s="36"/>
      <c r="AB789" s="36" t="s">
        <v>24</v>
      </c>
      <c r="AC789" s="36" t="s">
        <v>848</v>
      </c>
      <c r="AD789" s="34"/>
      <c r="AE789" s="35">
        <f>IFERROR(INDEX([1]Last6M_AvgSales_Ref!$B$2:$B$12659,MATCH(D789,[1]Last6M_AvgSales_Ref!$A$2:$A$12659,0)),"")</f>
        <v>5</v>
      </c>
    </row>
    <row r="790" spans="1:31" ht="14.25" customHeight="1" x14ac:dyDescent="0.3">
      <c r="A790" s="36" t="s">
        <v>848</v>
      </c>
      <c r="B790" s="38" t="s">
        <v>1558</v>
      </c>
      <c r="C790" s="38" t="s">
        <v>1623</v>
      </c>
      <c r="D790" s="38">
        <v>1000003208</v>
      </c>
      <c r="E790" s="38" t="s">
        <v>1624</v>
      </c>
      <c r="F790" s="40">
        <v>44926</v>
      </c>
      <c r="G790" s="22" t="str">
        <f t="shared" si="168"/>
        <v>Targeted Dealer</v>
      </c>
      <c r="H790" s="22"/>
      <c r="I790" s="23">
        <v>800</v>
      </c>
      <c r="J790" s="23">
        <f t="shared" si="169"/>
        <v>800</v>
      </c>
      <c r="K790" s="24">
        <v>433.45</v>
      </c>
      <c r="L790" s="24">
        <f t="shared" si="170"/>
        <v>366.55</v>
      </c>
      <c r="M790" s="24">
        <f t="shared" si="171"/>
        <v>54.181249999999999</v>
      </c>
      <c r="N790" s="25">
        <v>185</v>
      </c>
      <c r="O790" s="26" t="str">
        <f t="shared" si="172"/>
        <v>June</v>
      </c>
      <c r="P790" s="25">
        <f t="shared" si="173"/>
        <v>185</v>
      </c>
      <c r="Q790" s="27">
        <f t="shared" si="174"/>
        <v>248.45</v>
      </c>
      <c r="R790" s="26" t="b">
        <f t="shared" si="175"/>
        <v>0</v>
      </c>
      <c r="S790" s="28" t="str">
        <f t="shared" si="176"/>
        <v>GROWTH</v>
      </c>
      <c r="T790" s="24">
        <v>338.5</v>
      </c>
      <c r="U790" s="29" t="str">
        <f t="shared" si="177"/>
        <v>May</v>
      </c>
      <c r="V790" s="24">
        <f t="shared" si="178"/>
        <v>338.5</v>
      </c>
      <c r="W790" s="30">
        <f t="shared" si="179"/>
        <v>94.949999999999989</v>
      </c>
      <c r="X790" s="31" t="b">
        <f t="shared" si="180"/>
        <v>0</v>
      </c>
      <c r="Y790" s="32" t="str">
        <f t="shared" si="181"/>
        <v>GROWTH</v>
      </c>
      <c r="Z790" s="41">
        <v>0</v>
      </c>
      <c r="AA790" s="36"/>
      <c r="AB790" s="36" t="s">
        <v>24</v>
      </c>
      <c r="AC790" s="36" t="s">
        <v>848</v>
      </c>
      <c r="AD790" s="34"/>
      <c r="AE790" s="35">
        <f>IFERROR(INDEX([1]Last6M_AvgSales_Ref!$B$2:$B$12659,MATCH(D790,[1]Last6M_AvgSales_Ref!$A$2:$A$12659,0)),"")</f>
        <v>464.20833333333297</v>
      </c>
    </row>
    <row r="791" spans="1:31" ht="14.25" customHeight="1" x14ac:dyDescent="0.3">
      <c r="A791" s="36" t="s">
        <v>848</v>
      </c>
      <c r="B791" s="38" t="s">
        <v>1558</v>
      </c>
      <c r="C791" s="38" t="s">
        <v>1625</v>
      </c>
      <c r="D791" s="38">
        <v>1000003382</v>
      </c>
      <c r="E791" s="38" t="s">
        <v>1626</v>
      </c>
      <c r="F791" s="40">
        <v>44978</v>
      </c>
      <c r="G791" s="22" t="str">
        <f t="shared" si="168"/>
        <v>Targeted Dealer</v>
      </c>
      <c r="H791" s="22"/>
      <c r="I791" s="23">
        <v>60</v>
      </c>
      <c r="J791" s="23">
        <f t="shared" si="169"/>
        <v>60</v>
      </c>
      <c r="K791" s="24">
        <v>0</v>
      </c>
      <c r="L791" s="24">
        <f t="shared" si="170"/>
        <v>60</v>
      </c>
      <c r="M791" s="24">
        <f t="shared" si="171"/>
        <v>0</v>
      </c>
      <c r="N791" s="25">
        <v>40</v>
      </c>
      <c r="O791" s="26" t="str">
        <f t="shared" si="172"/>
        <v>June</v>
      </c>
      <c r="P791" s="25">
        <f t="shared" si="173"/>
        <v>40</v>
      </c>
      <c r="Q791" s="27">
        <f t="shared" si="174"/>
        <v>-40</v>
      </c>
      <c r="R791" s="26" t="b">
        <f t="shared" si="175"/>
        <v>0</v>
      </c>
      <c r="S791" s="28" t="str">
        <f t="shared" si="176"/>
        <v>GROWTH</v>
      </c>
      <c r="T791" s="24">
        <v>10</v>
      </c>
      <c r="U791" s="29" t="str">
        <f t="shared" si="177"/>
        <v>May</v>
      </c>
      <c r="V791" s="24">
        <f t="shared" si="178"/>
        <v>10</v>
      </c>
      <c r="W791" s="30">
        <f t="shared" si="179"/>
        <v>-10</v>
      </c>
      <c r="X791" s="31" t="b">
        <f t="shared" si="180"/>
        <v>0</v>
      </c>
      <c r="Y791" s="32" t="str">
        <f t="shared" si="181"/>
        <v>GROWTH</v>
      </c>
      <c r="Z791" s="41">
        <v>0</v>
      </c>
      <c r="AA791" s="36"/>
      <c r="AB791" s="36" t="s">
        <v>24</v>
      </c>
      <c r="AC791" s="36" t="s">
        <v>848</v>
      </c>
      <c r="AD791" s="34"/>
      <c r="AE791" s="35">
        <f>IFERROR(INDEX([1]Last6M_AvgSales_Ref!$B$2:$B$12659,MATCH(D791,[1]Last6M_AvgSales_Ref!$A$2:$A$12659,0)),"")</f>
        <v>65.1666666666667</v>
      </c>
    </row>
    <row r="792" spans="1:31" ht="14.25" customHeight="1" x14ac:dyDescent="0.3">
      <c r="A792" s="36" t="s">
        <v>848</v>
      </c>
      <c r="B792" s="38" t="s">
        <v>1558</v>
      </c>
      <c r="C792" s="38" t="s">
        <v>1627</v>
      </c>
      <c r="D792" s="38">
        <v>1000003501</v>
      </c>
      <c r="E792" s="38" t="s">
        <v>1628</v>
      </c>
      <c r="F792" s="40">
        <v>45045</v>
      </c>
      <c r="G792" s="22" t="str">
        <f t="shared" si="168"/>
        <v>Targeted Dealer</v>
      </c>
      <c r="H792" s="22"/>
      <c r="I792" s="23">
        <v>50</v>
      </c>
      <c r="J792" s="23">
        <f t="shared" si="169"/>
        <v>50</v>
      </c>
      <c r="K792" s="24">
        <v>10</v>
      </c>
      <c r="L792" s="24">
        <f t="shared" si="170"/>
        <v>40</v>
      </c>
      <c r="M792" s="24">
        <f t="shared" si="171"/>
        <v>20</v>
      </c>
      <c r="N792" s="25">
        <v>3.25</v>
      </c>
      <c r="O792" s="26" t="str">
        <f t="shared" si="172"/>
        <v>June</v>
      </c>
      <c r="P792" s="25">
        <f t="shared" si="173"/>
        <v>3.25</v>
      </c>
      <c r="Q792" s="27">
        <f t="shared" si="174"/>
        <v>6.75</v>
      </c>
      <c r="R792" s="26" t="b">
        <f t="shared" si="175"/>
        <v>0</v>
      </c>
      <c r="S792" s="28" t="str">
        <f t="shared" si="176"/>
        <v>GROWTH</v>
      </c>
      <c r="T792" s="24">
        <v>16</v>
      </c>
      <c r="U792" s="29" t="str">
        <f t="shared" si="177"/>
        <v>May</v>
      </c>
      <c r="V792" s="24">
        <f t="shared" si="178"/>
        <v>16</v>
      </c>
      <c r="W792" s="30">
        <f t="shared" si="179"/>
        <v>-6</v>
      </c>
      <c r="X792" s="31" t="b">
        <f t="shared" si="180"/>
        <v>0</v>
      </c>
      <c r="Y792" s="32" t="str">
        <f t="shared" si="181"/>
        <v>GROWTH</v>
      </c>
      <c r="Z792" s="41">
        <v>0</v>
      </c>
      <c r="AA792" s="36"/>
      <c r="AB792" s="36" t="s">
        <v>24</v>
      </c>
      <c r="AC792" s="36" t="s">
        <v>848</v>
      </c>
      <c r="AD792" s="34"/>
      <c r="AE792" s="35">
        <f>IFERROR(INDEX([1]Last6M_AvgSales_Ref!$B$2:$B$12659,MATCH(D792,[1]Last6M_AvgSales_Ref!$A$2:$A$12659,0)),"")</f>
        <v>27.4166666666667</v>
      </c>
    </row>
    <row r="793" spans="1:31" ht="14.25" customHeight="1" x14ac:dyDescent="0.3">
      <c r="A793" s="36" t="s">
        <v>848</v>
      </c>
      <c r="B793" s="38" t="s">
        <v>1558</v>
      </c>
      <c r="C793" s="38" t="s">
        <v>1629</v>
      </c>
      <c r="D793" s="38">
        <v>1000003751</v>
      </c>
      <c r="E793" s="38" t="s">
        <v>1630</v>
      </c>
      <c r="F793" s="40">
        <v>45245</v>
      </c>
      <c r="G793" s="22" t="str">
        <f t="shared" si="168"/>
        <v>Targeted Dealer</v>
      </c>
      <c r="H793" s="22"/>
      <c r="I793" s="23">
        <v>60</v>
      </c>
      <c r="J793" s="23">
        <f t="shared" si="169"/>
        <v>60</v>
      </c>
      <c r="K793" s="24">
        <v>0</v>
      </c>
      <c r="L793" s="24">
        <f t="shared" si="170"/>
        <v>60</v>
      </c>
      <c r="M793" s="24">
        <f t="shared" si="171"/>
        <v>0</v>
      </c>
      <c r="N793" s="25">
        <v>0</v>
      </c>
      <c r="O793" s="26" t="str">
        <f t="shared" si="172"/>
        <v>June</v>
      </c>
      <c r="P793" s="25">
        <f t="shared" si="173"/>
        <v>0</v>
      </c>
      <c r="Q793" s="27">
        <f t="shared" si="174"/>
        <v>0</v>
      </c>
      <c r="R793" s="26" t="b">
        <f t="shared" si="175"/>
        <v>0</v>
      </c>
      <c r="S793" s="28" t="b">
        <f t="shared" si="176"/>
        <v>0</v>
      </c>
      <c r="T793" s="24">
        <v>20</v>
      </c>
      <c r="U793" s="29" t="str">
        <f t="shared" si="177"/>
        <v>May</v>
      </c>
      <c r="V793" s="24">
        <f t="shared" si="178"/>
        <v>20</v>
      </c>
      <c r="W793" s="30">
        <f t="shared" si="179"/>
        <v>-20</v>
      </c>
      <c r="X793" s="31" t="b">
        <f t="shared" si="180"/>
        <v>0</v>
      </c>
      <c r="Y793" s="32" t="str">
        <f t="shared" si="181"/>
        <v>GROWTH</v>
      </c>
      <c r="Z793" s="41">
        <v>0</v>
      </c>
      <c r="AA793" s="36"/>
      <c r="AB793" s="36" t="s">
        <v>24</v>
      </c>
      <c r="AC793" s="36" t="s">
        <v>848</v>
      </c>
      <c r="AD793" s="34"/>
      <c r="AE793" s="35">
        <f>IFERROR(INDEX([1]Last6M_AvgSales_Ref!$B$2:$B$12659,MATCH(D793,[1]Last6M_AvgSales_Ref!$A$2:$A$12659,0)),"")</f>
        <v>36.3333333333333</v>
      </c>
    </row>
    <row r="794" spans="1:31" ht="14.25" customHeight="1" x14ac:dyDescent="0.3">
      <c r="A794" s="36" t="s">
        <v>848</v>
      </c>
      <c r="B794" s="38" t="s">
        <v>1558</v>
      </c>
      <c r="C794" s="38" t="s">
        <v>1631</v>
      </c>
      <c r="D794" s="38">
        <v>1000003795</v>
      </c>
      <c r="E794" s="38" t="s">
        <v>1632</v>
      </c>
      <c r="F794" s="40">
        <v>45283</v>
      </c>
      <c r="G794" s="22" t="str">
        <f t="shared" si="168"/>
        <v>Targeted Dealer</v>
      </c>
      <c r="H794" s="22"/>
      <c r="I794" s="23">
        <v>120</v>
      </c>
      <c r="J794" s="23">
        <f t="shared" si="169"/>
        <v>120</v>
      </c>
      <c r="K794" s="24">
        <v>45</v>
      </c>
      <c r="L794" s="24">
        <f t="shared" si="170"/>
        <v>75</v>
      </c>
      <c r="M794" s="24">
        <f t="shared" si="171"/>
        <v>37.5</v>
      </c>
      <c r="N794" s="25">
        <v>21.25</v>
      </c>
      <c r="O794" s="26" t="str">
        <f t="shared" si="172"/>
        <v>June</v>
      </c>
      <c r="P794" s="25">
        <f t="shared" si="173"/>
        <v>21.25</v>
      </c>
      <c r="Q794" s="27">
        <f t="shared" si="174"/>
        <v>23.75</v>
      </c>
      <c r="R794" s="26" t="b">
        <f t="shared" si="175"/>
        <v>0</v>
      </c>
      <c r="S794" s="28" t="str">
        <f t="shared" si="176"/>
        <v>GROWTH</v>
      </c>
      <c r="T794" s="24">
        <v>55.5</v>
      </c>
      <c r="U794" s="29" t="str">
        <f t="shared" si="177"/>
        <v>May</v>
      </c>
      <c r="V794" s="24">
        <f t="shared" si="178"/>
        <v>55.5</v>
      </c>
      <c r="W794" s="30">
        <f t="shared" si="179"/>
        <v>-10.5</v>
      </c>
      <c r="X794" s="31" t="b">
        <f t="shared" si="180"/>
        <v>0</v>
      </c>
      <c r="Y794" s="32" t="str">
        <f t="shared" si="181"/>
        <v>GROWTH</v>
      </c>
      <c r="Z794" s="41">
        <v>0</v>
      </c>
      <c r="AA794" s="36"/>
      <c r="AB794" s="36" t="s">
        <v>24</v>
      </c>
      <c r="AC794" s="36" t="s">
        <v>848</v>
      </c>
      <c r="AD794" s="34"/>
      <c r="AE794" s="35">
        <f>IFERROR(INDEX([1]Last6M_AvgSales_Ref!$B$2:$B$12659,MATCH(D794,[1]Last6M_AvgSales_Ref!$A$2:$A$12659,0)),"")</f>
        <v>48.816666666666698</v>
      </c>
    </row>
    <row r="795" spans="1:31" ht="14.25" customHeight="1" x14ac:dyDescent="0.3">
      <c r="A795" s="36" t="s">
        <v>848</v>
      </c>
      <c r="B795" s="38" t="s">
        <v>1558</v>
      </c>
      <c r="C795" s="38" t="s">
        <v>1633</v>
      </c>
      <c r="D795" s="38">
        <v>1000003796</v>
      </c>
      <c r="E795" s="38" t="s">
        <v>1634</v>
      </c>
      <c r="F795" s="40">
        <v>45283</v>
      </c>
      <c r="G795" s="22" t="str">
        <f t="shared" si="168"/>
        <v>Targeted Dealer</v>
      </c>
      <c r="H795" s="22"/>
      <c r="I795" s="23">
        <v>40</v>
      </c>
      <c r="J795" s="23">
        <f t="shared" si="169"/>
        <v>40</v>
      </c>
      <c r="K795" s="24">
        <v>10.5</v>
      </c>
      <c r="L795" s="24">
        <f t="shared" si="170"/>
        <v>29.5</v>
      </c>
      <c r="M795" s="24">
        <f t="shared" si="171"/>
        <v>26.25</v>
      </c>
      <c r="N795" s="25">
        <v>2.5</v>
      </c>
      <c r="O795" s="26" t="str">
        <f t="shared" si="172"/>
        <v>June</v>
      </c>
      <c r="P795" s="25">
        <f t="shared" si="173"/>
        <v>2.5</v>
      </c>
      <c r="Q795" s="27">
        <f t="shared" si="174"/>
        <v>8</v>
      </c>
      <c r="R795" s="26" t="b">
        <f t="shared" si="175"/>
        <v>0</v>
      </c>
      <c r="S795" s="28" t="str">
        <f t="shared" si="176"/>
        <v>GROWTH</v>
      </c>
      <c r="T795" s="24">
        <v>10</v>
      </c>
      <c r="U795" s="29" t="str">
        <f t="shared" si="177"/>
        <v>May</v>
      </c>
      <c r="V795" s="24">
        <f t="shared" si="178"/>
        <v>10</v>
      </c>
      <c r="W795" s="30">
        <f t="shared" si="179"/>
        <v>0.5</v>
      </c>
      <c r="X795" s="31" t="b">
        <f t="shared" si="180"/>
        <v>0</v>
      </c>
      <c r="Y795" s="32" t="str">
        <f t="shared" si="181"/>
        <v>GROWTH</v>
      </c>
      <c r="Z795" s="41">
        <v>0</v>
      </c>
      <c r="AA795" s="36"/>
      <c r="AB795" s="36" t="s">
        <v>24</v>
      </c>
      <c r="AC795" s="36" t="s">
        <v>848</v>
      </c>
      <c r="AD795" s="34"/>
      <c r="AE795" s="35">
        <f>IFERROR(INDEX([1]Last6M_AvgSales_Ref!$B$2:$B$12659,MATCH(D795,[1]Last6M_AvgSales_Ref!$A$2:$A$12659,0)),"")</f>
        <v>2.75</v>
      </c>
    </row>
    <row r="796" spans="1:31" ht="14.25" customHeight="1" x14ac:dyDescent="0.3">
      <c r="A796" s="36" t="s">
        <v>848</v>
      </c>
      <c r="B796" s="38" t="s">
        <v>1558</v>
      </c>
      <c r="C796" s="38" t="s">
        <v>1635</v>
      </c>
      <c r="D796" s="38">
        <v>1000003807</v>
      </c>
      <c r="E796" s="38" t="s">
        <v>1636</v>
      </c>
      <c r="F796" s="40">
        <v>45289</v>
      </c>
      <c r="G796" s="22" t="str">
        <f t="shared" si="168"/>
        <v>Targeted Dealer</v>
      </c>
      <c r="H796" s="22"/>
      <c r="I796" s="23">
        <v>120</v>
      </c>
      <c r="J796" s="23">
        <f t="shared" si="169"/>
        <v>120</v>
      </c>
      <c r="K796" s="24">
        <v>35</v>
      </c>
      <c r="L796" s="24">
        <f t="shared" si="170"/>
        <v>85</v>
      </c>
      <c r="M796" s="24">
        <f t="shared" si="171"/>
        <v>29.166666666666668</v>
      </c>
      <c r="N796" s="25">
        <v>32</v>
      </c>
      <c r="O796" s="26" t="str">
        <f t="shared" si="172"/>
        <v>June</v>
      </c>
      <c r="P796" s="25">
        <f t="shared" si="173"/>
        <v>32</v>
      </c>
      <c r="Q796" s="27">
        <f t="shared" si="174"/>
        <v>3</v>
      </c>
      <c r="R796" s="26" t="b">
        <f t="shared" si="175"/>
        <v>0</v>
      </c>
      <c r="S796" s="28" t="str">
        <f t="shared" si="176"/>
        <v>GROWTH</v>
      </c>
      <c r="T796" s="24">
        <v>55</v>
      </c>
      <c r="U796" s="29" t="str">
        <f t="shared" si="177"/>
        <v>May</v>
      </c>
      <c r="V796" s="24">
        <f t="shared" si="178"/>
        <v>55</v>
      </c>
      <c r="W796" s="30">
        <f t="shared" si="179"/>
        <v>-20</v>
      </c>
      <c r="X796" s="31" t="b">
        <f t="shared" si="180"/>
        <v>0</v>
      </c>
      <c r="Y796" s="32" t="str">
        <f t="shared" si="181"/>
        <v>GROWTH</v>
      </c>
      <c r="Z796" s="41">
        <v>0</v>
      </c>
      <c r="AA796" s="36"/>
      <c r="AB796" s="36" t="s">
        <v>24</v>
      </c>
      <c r="AC796" s="36" t="s">
        <v>848</v>
      </c>
      <c r="AD796" s="34"/>
      <c r="AE796" s="35">
        <f>IFERROR(INDEX([1]Last6M_AvgSales_Ref!$B$2:$B$12659,MATCH(D796,[1]Last6M_AvgSales_Ref!$A$2:$A$12659,0)),"")</f>
        <v>51.6666666666667</v>
      </c>
    </row>
    <row r="797" spans="1:31" ht="14.25" customHeight="1" x14ac:dyDescent="0.3">
      <c r="A797" s="41" t="s">
        <v>848</v>
      </c>
      <c r="B797" s="44" t="s">
        <v>1558</v>
      </c>
      <c r="C797" s="44" t="s">
        <v>1637</v>
      </c>
      <c r="D797" s="44">
        <v>1000003881</v>
      </c>
      <c r="E797" s="44" t="s">
        <v>1638</v>
      </c>
      <c r="F797" s="40">
        <v>45355</v>
      </c>
      <c r="G797" s="22" t="str">
        <f t="shared" si="168"/>
        <v>Targeted Dealer</v>
      </c>
      <c r="H797" s="22"/>
      <c r="I797" s="23">
        <v>300</v>
      </c>
      <c r="J797" s="23">
        <f t="shared" si="169"/>
        <v>300</v>
      </c>
      <c r="K797" s="24">
        <v>169.5</v>
      </c>
      <c r="L797" s="24">
        <f t="shared" si="170"/>
        <v>130.5</v>
      </c>
      <c r="M797" s="24">
        <f t="shared" si="171"/>
        <v>56.5</v>
      </c>
      <c r="N797" s="25">
        <v>157.5</v>
      </c>
      <c r="O797" s="26" t="str">
        <f t="shared" si="172"/>
        <v>June</v>
      </c>
      <c r="P797" s="25">
        <f t="shared" si="173"/>
        <v>157.5</v>
      </c>
      <c r="Q797" s="27">
        <f t="shared" si="174"/>
        <v>12</v>
      </c>
      <c r="R797" s="26" t="b">
        <f t="shared" si="175"/>
        <v>0</v>
      </c>
      <c r="S797" s="28" t="str">
        <f t="shared" si="176"/>
        <v>GROWTH</v>
      </c>
      <c r="T797" s="24">
        <v>84.5</v>
      </c>
      <c r="U797" s="29" t="str">
        <f t="shared" si="177"/>
        <v>May</v>
      </c>
      <c r="V797" s="24">
        <f t="shared" si="178"/>
        <v>84.5</v>
      </c>
      <c r="W797" s="30">
        <f t="shared" si="179"/>
        <v>85</v>
      </c>
      <c r="X797" s="31" t="b">
        <f t="shared" si="180"/>
        <v>0</v>
      </c>
      <c r="Y797" s="32" t="str">
        <f t="shared" si="181"/>
        <v>GROWTH</v>
      </c>
      <c r="Z797" s="41">
        <v>0</v>
      </c>
      <c r="AA797" s="36"/>
      <c r="AB797" s="36" t="s">
        <v>24</v>
      </c>
      <c r="AC797" s="41" t="s">
        <v>848</v>
      </c>
      <c r="AD797" s="34"/>
      <c r="AE797" s="35">
        <f>IFERROR(INDEX([1]Last6M_AvgSales_Ref!$B$2:$B$12659,MATCH(D797,[1]Last6M_AvgSales_Ref!$A$2:$A$12659,0)),"")</f>
        <v>138.67500000000001</v>
      </c>
    </row>
    <row r="798" spans="1:31" ht="14.25" customHeight="1" x14ac:dyDescent="0.3">
      <c r="A798" s="41" t="s">
        <v>848</v>
      </c>
      <c r="B798" s="44" t="s">
        <v>1558</v>
      </c>
      <c r="C798" s="44" t="s">
        <v>1639</v>
      </c>
      <c r="D798" s="44">
        <v>1000003904</v>
      </c>
      <c r="E798" s="44" t="s">
        <v>1640</v>
      </c>
      <c r="F798" s="40">
        <v>45388</v>
      </c>
      <c r="G798" s="22" t="str">
        <f t="shared" si="168"/>
        <v>Targeted Dealer</v>
      </c>
      <c r="H798" s="22"/>
      <c r="I798" s="23">
        <v>70</v>
      </c>
      <c r="J798" s="23">
        <f t="shared" si="169"/>
        <v>70</v>
      </c>
      <c r="K798" s="24">
        <v>18</v>
      </c>
      <c r="L798" s="24">
        <f t="shared" si="170"/>
        <v>52</v>
      </c>
      <c r="M798" s="24">
        <f t="shared" si="171"/>
        <v>25.714285714285715</v>
      </c>
      <c r="N798" s="25">
        <v>36.5</v>
      </c>
      <c r="O798" s="26" t="str">
        <f t="shared" si="172"/>
        <v>June</v>
      </c>
      <c r="P798" s="25">
        <f t="shared" si="173"/>
        <v>36.5</v>
      </c>
      <c r="Q798" s="27">
        <f t="shared" si="174"/>
        <v>-18.5</v>
      </c>
      <c r="R798" s="26" t="b">
        <f t="shared" si="175"/>
        <v>0</v>
      </c>
      <c r="S798" s="28" t="str">
        <f t="shared" si="176"/>
        <v>GROWTH</v>
      </c>
      <c r="T798" s="24">
        <v>51.25</v>
      </c>
      <c r="U798" s="29" t="str">
        <f t="shared" si="177"/>
        <v>May</v>
      </c>
      <c r="V798" s="24">
        <f t="shared" si="178"/>
        <v>51.25</v>
      </c>
      <c r="W798" s="30">
        <f t="shared" si="179"/>
        <v>-33.25</v>
      </c>
      <c r="X798" s="31" t="b">
        <f t="shared" si="180"/>
        <v>0</v>
      </c>
      <c r="Y798" s="32" t="str">
        <f t="shared" si="181"/>
        <v>GROWTH</v>
      </c>
      <c r="Z798" s="41">
        <v>0</v>
      </c>
      <c r="AA798" s="36"/>
      <c r="AB798" s="36" t="s">
        <v>24</v>
      </c>
      <c r="AC798" s="41" t="s">
        <v>848</v>
      </c>
      <c r="AD798" s="34"/>
      <c r="AE798" s="35">
        <f>IFERROR(INDEX([1]Last6M_AvgSales_Ref!$B$2:$B$12659,MATCH(D798,[1]Last6M_AvgSales_Ref!$A$2:$A$12659,0)),"")</f>
        <v>22.875</v>
      </c>
    </row>
    <row r="799" spans="1:31" ht="14.25" customHeight="1" x14ac:dyDescent="0.3">
      <c r="A799" s="41" t="s">
        <v>848</v>
      </c>
      <c r="B799" s="44" t="s">
        <v>1558</v>
      </c>
      <c r="C799" s="44" t="s">
        <v>1641</v>
      </c>
      <c r="D799" s="44">
        <v>1000003920</v>
      </c>
      <c r="E799" s="44" t="s">
        <v>1642</v>
      </c>
      <c r="F799" s="40">
        <v>45409</v>
      </c>
      <c r="G799" s="22" t="str">
        <f t="shared" si="168"/>
        <v>Targeted Dealer</v>
      </c>
      <c r="H799" s="22"/>
      <c r="I799" s="23">
        <v>80</v>
      </c>
      <c r="J799" s="23">
        <f t="shared" si="169"/>
        <v>80</v>
      </c>
      <c r="K799" s="24">
        <v>105</v>
      </c>
      <c r="L799" s="24">
        <f t="shared" si="170"/>
        <v>-25</v>
      </c>
      <c r="M799" s="24">
        <f t="shared" si="171"/>
        <v>131.25</v>
      </c>
      <c r="N799" s="25">
        <v>62</v>
      </c>
      <c r="O799" s="26" t="str">
        <f t="shared" si="172"/>
        <v>June</v>
      </c>
      <c r="P799" s="25">
        <f t="shared" si="173"/>
        <v>62</v>
      </c>
      <c r="Q799" s="27">
        <f t="shared" si="174"/>
        <v>43</v>
      </c>
      <c r="R799" s="26" t="b">
        <f t="shared" si="175"/>
        <v>0</v>
      </c>
      <c r="S799" s="28" t="str">
        <f t="shared" si="176"/>
        <v>GROWTH</v>
      </c>
      <c r="T799" s="24">
        <v>10</v>
      </c>
      <c r="U799" s="29" t="str">
        <f t="shared" si="177"/>
        <v>May</v>
      </c>
      <c r="V799" s="24">
        <f t="shared" si="178"/>
        <v>10</v>
      </c>
      <c r="W799" s="30">
        <f t="shared" si="179"/>
        <v>95</v>
      </c>
      <c r="X799" s="31" t="b">
        <f t="shared" si="180"/>
        <v>0</v>
      </c>
      <c r="Y799" s="32" t="str">
        <f t="shared" si="181"/>
        <v>GROWTH</v>
      </c>
      <c r="Z799" s="41">
        <v>0</v>
      </c>
      <c r="AA799" s="36"/>
      <c r="AB799" s="36" t="s">
        <v>24</v>
      </c>
      <c r="AC799" s="41" t="s">
        <v>848</v>
      </c>
      <c r="AD799" s="34"/>
      <c r="AE799" s="35">
        <f>IFERROR(INDEX([1]Last6M_AvgSales_Ref!$B$2:$B$12659,MATCH(D799,[1]Last6M_AvgSales_Ref!$A$2:$A$12659,0)),"")</f>
        <v>60.4166666666667</v>
      </c>
    </row>
    <row r="800" spans="1:31" ht="14.25" customHeight="1" x14ac:dyDescent="0.3">
      <c r="A800" s="41" t="s">
        <v>848</v>
      </c>
      <c r="B800" s="44" t="s">
        <v>1558</v>
      </c>
      <c r="C800" s="44" t="s">
        <v>1643</v>
      </c>
      <c r="D800" s="44">
        <v>1000003936</v>
      </c>
      <c r="E800" s="44" t="s">
        <v>1644</v>
      </c>
      <c r="F800" s="40">
        <v>45412</v>
      </c>
      <c r="G800" s="22" t="str">
        <f t="shared" si="168"/>
        <v>Targeted Dealer</v>
      </c>
      <c r="H800" s="22"/>
      <c r="I800" s="23">
        <v>30</v>
      </c>
      <c r="J800" s="23">
        <f t="shared" si="169"/>
        <v>30</v>
      </c>
      <c r="K800" s="24">
        <v>3</v>
      </c>
      <c r="L800" s="24">
        <f t="shared" si="170"/>
        <v>27</v>
      </c>
      <c r="M800" s="24">
        <f t="shared" si="171"/>
        <v>10</v>
      </c>
      <c r="N800" s="25">
        <v>0</v>
      </c>
      <c r="O800" s="26" t="str">
        <f t="shared" si="172"/>
        <v>June</v>
      </c>
      <c r="P800" s="25">
        <f t="shared" si="173"/>
        <v>0</v>
      </c>
      <c r="Q800" s="27">
        <f t="shared" si="174"/>
        <v>3</v>
      </c>
      <c r="R800" s="26" t="b">
        <f t="shared" si="175"/>
        <v>0</v>
      </c>
      <c r="S800" s="28" t="b">
        <f t="shared" si="176"/>
        <v>0</v>
      </c>
      <c r="T800" s="24">
        <v>20</v>
      </c>
      <c r="U800" s="29" t="str">
        <f t="shared" si="177"/>
        <v>May</v>
      </c>
      <c r="V800" s="24">
        <f t="shared" si="178"/>
        <v>20</v>
      </c>
      <c r="W800" s="30">
        <f t="shared" si="179"/>
        <v>-17</v>
      </c>
      <c r="X800" s="31" t="b">
        <f t="shared" si="180"/>
        <v>0</v>
      </c>
      <c r="Y800" s="32" t="str">
        <f t="shared" si="181"/>
        <v>GROWTH</v>
      </c>
      <c r="Z800" s="41">
        <v>0</v>
      </c>
      <c r="AA800" s="36"/>
      <c r="AB800" s="36" t="s">
        <v>24</v>
      </c>
      <c r="AC800" s="41" t="s">
        <v>848</v>
      </c>
      <c r="AD800" s="34"/>
      <c r="AE800" s="35">
        <f>IFERROR(INDEX([1]Last6M_AvgSales_Ref!$B$2:$B$12659,MATCH(D800,[1]Last6M_AvgSales_Ref!$A$2:$A$12659,0)),"")</f>
        <v>5.4166666666666696</v>
      </c>
    </row>
    <row r="801" spans="1:31" ht="14.25" customHeight="1" x14ac:dyDescent="0.3">
      <c r="A801" s="41" t="s">
        <v>848</v>
      </c>
      <c r="B801" s="44" t="s">
        <v>1558</v>
      </c>
      <c r="C801" s="44" t="s">
        <v>1645</v>
      </c>
      <c r="D801" s="44">
        <v>1000004067</v>
      </c>
      <c r="E801" s="44" t="s">
        <v>1646</v>
      </c>
      <c r="F801" s="40">
        <v>45503</v>
      </c>
      <c r="G801" s="22" t="str">
        <f t="shared" si="168"/>
        <v>Targeted Dealer</v>
      </c>
      <c r="H801" s="22"/>
      <c r="I801" s="23">
        <v>80</v>
      </c>
      <c r="J801" s="23">
        <f t="shared" si="169"/>
        <v>80</v>
      </c>
      <c r="K801" s="24">
        <v>20</v>
      </c>
      <c r="L801" s="24">
        <f t="shared" si="170"/>
        <v>60</v>
      </c>
      <c r="M801" s="24">
        <f t="shared" si="171"/>
        <v>25</v>
      </c>
      <c r="N801" s="25">
        <v>0</v>
      </c>
      <c r="O801" s="26" t="str">
        <f t="shared" si="172"/>
        <v>June</v>
      </c>
      <c r="P801" s="25">
        <f t="shared" si="173"/>
        <v>0</v>
      </c>
      <c r="Q801" s="27">
        <f t="shared" si="174"/>
        <v>20</v>
      </c>
      <c r="R801" s="26" t="b">
        <f t="shared" si="175"/>
        <v>0</v>
      </c>
      <c r="S801" s="28" t="b">
        <f t="shared" si="176"/>
        <v>0</v>
      </c>
      <c r="T801" s="24">
        <v>37.5</v>
      </c>
      <c r="U801" s="29" t="str">
        <f t="shared" si="177"/>
        <v>May</v>
      </c>
      <c r="V801" s="24">
        <f t="shared" si="178"/>
        <v>37.5</v>
      </c>
      <c r="W801" s="30">
        <f t="shared" si="179"/>
        <v>-17.5</v>
      </c>
      <c r="X801" s="31" t="b">
        <f t="shared" si="180"/>
        <v>0</v>
      </c>
      <c r="Y801" s="32" t="str">
        <f t="shared" si="181"/>
        <v>GROWTH</v>
      </c>
      <c r="Z801" s="41">
        <v>0</v>
      </c>
      <c r="AA801" s="36"/>
      <c r="AB801" s="36" t="s">
        <v>24</v>
      </c>
      <c r="AC801" s="41" t="s">
        <v>848</v>
      </c>
      <c r="AD801" s="34"/>
      <c r="AE801" s="35">
        <f>IFERROR(INDEX([1]Last6M_AvgSales_Ref!$B$2:$B$12659,MATCH(D801,[1]Last6M_AvgSales_Ref!$A$2:$A$12659,0)),"")</f>
        <v>34.1666666666667</v>
      </c>
    </row>
    <row r="802" spans="1:31" ht="14.25" customHeight="1" x14ac:dyDescent="0.3">
      <c r="A802" s="36" t="s">
        <v>848</v>
      </c>
      <c r="B802" s="38" t="s">
        <v>1647</v>
      </c>
      <c r="C802" s="38" t="s">
        <v>1648</v>
      </c>
      <c r="D802" s="38">
        <v>1000000377</v>
      </c>
      <c r="E802" s="39" t="s">
        <v>1649</v>
      </c>
      <c r="F802" s="40">
        <v>38385</v>
      </c>
      <c r="G802" s="22" t="str">
        <f t="shared" si="168"/>
        <v>Targeted Dealer</v>
      </c>
      <c r="H802" s="22"/>
      <c r="I802" s="23">
        <v>100</v>
      </c>
      <c r="J802" s="23">
        <f t="shared" si="169"/>
        <v>100</v>
      </c>
      <c r="K802" s="24">
        <v>31.5</v>
      </c>
      <c r="L802" s="24">
        <f t="shared" si="170"/>
        <v>68.5</v>
      </c>
      <c r="M802" s="24">
        <f t="shared" si="171"/>
        <v>31.5</v>
      </c>
      <c r="N802" s="25">
        <v>14</v>
      </c>
      <c r="O802" s="26" t="str">
        <f t="shared" si="172"/>
        <v>June</v>
      </c>
      <c r="P802" s="25">
        <f t="shared" si="173"/>
        <v>14</v>
      </c>
      <c r="Q802" s="27">
        <f t="shared" si="174"/>
        <v>17.5</v>
      </c>
      <c r="R802" s="26" t="b">
        <f t="shared" si="175"/>
        <v>0</v>
      </c>
      <c r="S802" s="28" t="str">
        <f t="shared" si="176"/>
        <v>GROWTH</v>
      </c>
      <c r="T802" s="24">
        <v>62</v>
      </c>
      <c r="U802" s="29" t="str">
        <f t="shared" si="177"/>
        <v>May</v>
      </c>
      <c r="V802" s="24">
        <f t="shared" si="178"/>
        <v>62</v>
      </c>
      <c r="W802" s="30">
        <f t="shared" si="179"/>
        <v>-30.5</v>
      </c>
      <c r="X802" s="31" t="b">
        <f t="shared" si="180"/>
        <v>0</v>
      </c>
      <c r="Y802" s="32" t="str">
        <f t="shared" si="181"/>
        <v>GROWTH</v>
      </c>
      <c r="Z802" s="41">
        <v>0</v>
      </c>
      <c r="AA802" s="36"/>
      <c r="AB802" s="36" t="s">
        <v>24</v>
      </c>
      <c r="AC802" s="36" t="s">
        <v>848</v>
      </c>
      <c r="AD802" s="34"/>
      <c r="AE802" s="35">
        <f>IFERROR(INDEX([1]Last6M_AvgSales_Ref!$B$2:$B$12659,MATCH(D802,[1]Last6M_AvgSales_Ref!$A$2:$A$12659,0)),"")</f>
        <v>56.933333333333302</v>
      </c>
    </row>
    <row r="803" spans="1:31" ht="14.25" customHeight="1" x14ac:dyDescent="0.3">
      <c r="A803" s="36" t="s">
        <v>848</v>
      </c>
      <c r="B803" s="38" t="s">
        <v>1647</v>
      </c>
      <c r="C803" s="38" t="s">
        <v>1650</v>
      </c>
      <c r="D803" s="38">
        <v>1000000130</v>
      </c>
      <c r="E803" s="39" t="s">
        <v>1651</v>
      </c>
      <c r="F803" s="40">
        <v>38443</v>
      </c>
      <c r="G803" s="22" t="str">
        <f t="shared" si="168"/>
        <v>Targeted Dealer</v>
      </c>
      <c r="H803" s="22"/>
      <c r="I803" s="23">
        <v>1000</v>
      </c>
      <c r="J803" s="23">
        <f t="shared" si="169"/>
        <v>1000.0000000000001</v>
      </c>
      <c r="K803" s="24">
        <v>966.75</v>
      </c>
      <c r="L803" s="24">
        <f t="shared" si="170"/>
        <v>33.25</v>
      </c>
      <c r="M803" s="24">
        <f t="shared" si="171"/>
        <v>96.674999999999983</v>
      </c>
      <c r="N803" s="25">
        <v>926.25</v>
      </c>
      <c r="O803" s="26" t="str">
        <f t="shared" si="172"/>
        <v>June</v>
      </c>
      <c r="P803" s="25">
        <f t="shared" si="173"/>
        <v>926.25</v>
      </c>
      <c r="Q803" s="27">
        <f t="shared" si="174"/>
        <v>40.5</v>
      </c>
      <c r="R803" s="26" t="b">
        <f t="shared" si="175"/>
        <v>0</v>
      </c>
      <c r="S803" s="28" t="str">
        <f t="shared" si="176"/>
        <v>GROWTH</v>
      </c>
      <c r="T803" s="24">
        <v>0</v>
      </c>
      <c r="U803" s="29" t="str">
        <f t="shared" si="177"/>
        <v>May</v>
      </c>
      <c r="V803" s="24">
        <f t="shared" si="178"/>
        <v>0</v>
      </c>
      <c r="W803" s="30">
        <f t="shared" si="179"/>
        <v>966.75</v>
      </c>
      <c r="X803" s="31" t="b">
        <f t="shared" si="180"/>
        <v>0</v>
      </c>
      <c r="Y803" s="32" t="b">
        <f t="shared" si="181"/>
        <v>0</v>
      </c>
      <c r="Z803" s="41">
        <v>0</v>
      </c>
      <c r="AA803" s="36"/>
      <c r="AB803" s="36" t="s">
        <v>24</v>
      </c>
      <c r="AC803" s="36" t="s">
        <v>848</v>
      </c>
      <c r="AD803" s="34"/>
      <c r="AE803" s="35">
        <f>IFERROR(INDEX([1]Last6M_AvgSales_Ref!$B$2:$B$12659,MATCH(D803,[1]Last6M_AvgSales_Ref!$A$2:$A$12659,0)),"")</f>
        <v>512.95833333333303</v>
      </c>
    </row>
    <row r="804" spans="1:31" ht="14.25" customHeight="1" x14ac:dyDescent="0.3">
      <c r="A804" s="36" t="s">
        <v>848</v>
      </c>
      <c r="B804" s="38" t="s">
        <v>1647</v>
      </c>
      <c r="C804" s="38" t="s">
        <v>1652</v>
      </c>
      <c r="D804" s="38">
        <v>1000000375</v>
      </c>
      <c r="E804" s="39" t="s">
        <v>1653</v>
      </c>
      <c r="F804" s="40">
        <v>40196</v>
      </c>
      <c r="G804" s="22" t="str">
        <f t="shared" si="168"/>
        <v>Targeted Dealer</v>
      </c>
      <c r="H804" s="22"/>
      <c r="I804" s="23">
        <v>250</v>
      </c>
      <c r="J804" s="23">
        <f t="shared" si="169"/>
        <v>250.00000000000003</v>
      </c>
      <c r="K804" s="24">
        <v>157</v>
      </c>
      <c r="L804" s="24">
        <f t="shared" si="170"/>
        <v>93</v>
      </c>
      <c r="M804" s="24">
        <f t="shared" si="171"/>
        <v>62.79999999999999</v>
      </c>
      <c r="N804" s="25">
        <v>141</v>
      </c>
      <c r="O804" s="26" t="str">
        <f t="shared" si="172"/>
        <v>June</v>
      </c>
      <c r="P804" s="25">
        <f t="shared" si="173"/>
        <v>141</v>
      </c>
      <c r="Q804" s="27">
        <f t="shared" si="174"/>
        <v>16</v>
      </c>
      <c r="R804" s="26" t="b">
        <f t="shared" si="175"/>
        <v>0</v>
      </c>
      <c r="S804" s="28" t="str">
        <f t="shared" si="176"/>
        <v>GROWTH</v>
      </c>
      <c r="T804" s="24">
        <v>87.5</v>
      </c>
      <c r="U804" s="29" t="str">
        <f t="shared" si="177"/>
        <v>May</v>
      </c>
      <c r="V804" s="24">
        <f t="shared" si="178"/>
        <v>87.5</v>
      </c>
      <c r="W804" s="30">
        <f t="shared" si="179"/>
        <v>69.5</v>
      </c>
      <c r="X804" s="31" t="b">
        <f t="shared" si="180"/>
        <v>0</v>
      </c>
      <c r="Y804" s="32" t="str">
        <f t="shared" si="181"/>
        <v>GROWTH</v>
      </c>
      <c r="Z804" s="41">
        <v>0</v>
      </c>
      <c r="AA804" s="36"/>
      <c r="AB804" s="36" t="s">
        <v>24</v>
      </c>
      <c r="AC804" s="36" t="s">
        <v>848</v>
      </c>
      <c r="AD804" s="34"/>
      <c r="AE804" s="35">
        <f>IFERROR(INDEX([1]Last6M_AvgSales_Ref!$B$2:$B$12659,MATCH(D804,[1]Last6M_AvgSales_Ref!$A$2:$A$12659,0)),"")</f>
        <v>134.333333333333</v>
      </c>
    </row>
    <row r="805" spans="1:31" ht="14.25" customHeight="1" x14ac:dyDescent="0.3">
      <c r="A805" s="36" t="s">
        <v>848</v>
      </c>
      <c r="B805" s="38" t="s">
        <v>1647</v>
      </c>
      <c r="C805" s="38" t="s">
        <v>1654</v>
      </c>
      <c r="D805" s="38">
        <v>1000000373</v>
      </c>
      <c r="E805" s="39" t="s">
        <v>1655</v>
      </c>
      <c r="F805" s="40">
        <v>40711</v>
      </c>
      <c r="G805" s="22" t="str">
        <f t="shared" si="168"/>
        <v>Targeted Dealer</v>
      </c>
      <c r="H805" s="22"/>
      <c r="I805" s="23">
        <v>1100</v>
      </c>
      <c r="J805" s="23">
        <f t="shared" si="169"/>
        <v>1100</v>
      </c>
      <c r="K805" s="24">
        <v>678.6</v>
      </c>
      <c r="L805" s="24">
        <f t="shared" si="170"/>
        <v>421.4</v>
      </c>
      <c r="M805" s="24">
        <f t="shared" si="171"/>
        <v>61.690909090909095</v>
      </c>
      <c r="N805" s="25">
        <v>843.4</v>
      </c>
      <c r="O805" s="26" t="str">
        <f t="shared" si="172"/>
        <v>June</v>
      </c>
      <c r="P805" s="25">
        <f t="shared" si="173"/>
        <v>843.4</v>
      </c>
      <c r="Q805" s="27">
        <f t="shared" si="174"/>
        <v>-164.79999999999995</v>
      </c>
      <c r="R805" s="26" t="b">
        <f t="shared" si="175"/>
        <v>0</v>
      </c>
      <c r="S805" s="28" t="str">
        <f t="shared" si="176"/>
        <v>GROWTH</v>
      </c>
      <c r="T805" s="24">
        <v>503.3</v>
      </c>
      <c r="U805" s="29" t="str">
        <f t="shared" si="177"/>
        <v>May</v>
      </c>
      <c r="V805" s="24">
        <f t="shared" si="178"/>
        <v>503.3</v>
      </c>
      <c r="W805" s="30">
        <f t="shared" si="179"/>
        <v>175.3</v>
      </c>
      <c r="X805" s="31" t="b">
        <f t="shared" si="180"/>
        <v>0</v>
      </c>
      <c r="Y805" s="32" t="str">
        <f t="shared" si="181"/>
        <v>GROWTH</v>
      </c>
      <c r="Z805" s="41">
        <v>0</v>
      </c>
      <c r="AA805" s="36"/>
      <c r="AB805" s="36" t="s">
        <v>24</v>
      </c>
      <c r="AC805" s="36" t="s">
        <v>848</v>
      </c>
      <c r="AD805" s="34"/>
      <c r="AE805" s="35">
        <f>IFERROR(INDEX([1]Last6M_AvgSales_Ref!$B$2:$B$12659,MATCH(D805,[1]Last6M_AvgSales_Ref!$A$2:$A$12659,0)),"")</f>
        <v>766.8</v>
      </c>
    </row>
    <row r="806" spans="1:31" ht="14.25" customHeight="1" x14ac:dyDescent="0.3">
      <c r="A806" s="36" t="s">
        <v>848</v>
      </c>
      <c r="B806" s="38" t="s">
        <v>1647</v>
      </c>
      <c r="C806" s="38" t="s">
        <v>1656</v>
      </c>
      <c r="D806" s="38">
        <v>1000000372</v>
      </c>
      <c r="E806" s="39" t="s">
        <v>1657</v>
      </c>
      <c r="F806" s="40">
        <v>43237</v>
      </c>
      <c r="G806" s="22" t="str">
        <f t="shared" si="168"/>
        <v>Targeted Dealer</v>
      </c>
      <c r="H806" s="22"/>
      <c r="I806" s="23">
        <v>200</v>
      </c>
      <c r="J806" s="23">
        <f t="shared" si="169"/>
        <v>200</v>
      </c>
      <c r="K806" s="24">
        <v>47.9</v>
      </c>
      <c r="L806" s="24">
        <f t="shared" si="170"/>
        <v>152.1</v>
      </c>
      <c r="M806" s="24">
        <f t="shared" si="171"/>
        <v>23.95</v>
      </c>
      <c r="N806" s="25">
        <v>67.5</v>
      </c>
      <c r="O806" s="26" t="str">
        <f t="shared" si="172"/>
        <v>June</v>
      </c>
      <c r="P806" s="25">
        <f t="shared" si="173"/>
        <v>67.5</v>
      </c>
      <c r="Q806" s="27">
        <f t="shared" si="174"/>
        <v>-19.600000000000001</v>
      </c>
      <c r="R806" s="26" t="b">
        <f t="shared" si="175"/>
        <v>0</v>
      </c>
      <c r="S806" s="28" t="str">
        <f t="shared" si="176"/>
        <v>GROWTH</v>
      </c>
      <c r="T806" s="24">
        <v>100.75</v>
      </c>
      <c r="U806" s="29" t="str">
        <f t="shared" si="177"/>
        <v>May</v>
      </c>
      <c r="V806" s="24">
        <f t="shared" si="178"/>
        <v>100.75</v>
      </c>
      <c r="W806" s="30">
        <f t="shared" si="179"/>
        <v>-52.85</v>
      </c>
      <c r="X806" s="31" t="b">
        <f t="shared" si="180"/>
        <v>0</v>
      </c>
      <c r="Y806" s="32" t="str">
        <f t="shared" si="181"/>
        <v>GROWTH</v>
      </c>
      <c r="Z806" s="41">
        <v>0</v>
      </c>
      <c r="AA806" s="36"/>
      <c r="AB806" s="36" t="s">
        <v>24</v>
      </c>
      <c r="AC806" s="36" t="s">
        <v>848</v>
      </c>
      <c r="AD806" s="34"/>
      <c r="AE806" s="35">
        <f>IFERROR(INDEX([1]Last6M_AvgSales_Ref!$B$2:$B$12659,MATCH(D806,[1]Last6M_AvgSales_Ref!$A$2:$A$12659,0)),"")</f>
        <v>87.625</v>
      </c>
    </row>
    <row r="807" spans="1:31" ht="14.25" customHeight="1" x14ac:dyDescent="0.3">
      <c r="A807" s="36" t="s">
        <v>848</v>
      </c>
      <c r="B807" s="38" t="s">
        <v>1647</v>
      </c>
      <c r="C807" s="38" t="s">
        <v>1658</v>
      </c>
      <c r="D807" s="38">
        <v>1000001111</v>
      </c>
      <c r="E807" s="39" t="s">
        <v>1659</v>
      </c>
      <c r="F807" s="40">
        <v>44501</v>
      </c>
      <c r="G807" s="22" t="str">
        <f t="shared" si="168"/>
        <v>Targeted Dealer</v>
      </c>
      <c r="H807" s="22"/>
      <c r="I807" s="23">
        <v>40</v>
      </c>
      <c r="J807" s="23">
        <f t="shared" si="169"/>
        <v>40</v>
      </c>
      <c r="K807" s="24">
        <v>0</v>
      </c>
      <c r="L807" s="24">
        <f t="shared" si="170"/>
        <v>40</v>
      </c>
      <c r="M807" s="24">
        <f t="shared" si="171"/>
        <v>0</v>
      </c>
      <c r="N807" s="25">
        <v>0</v>
      </c>
      <c r="O807" s="26" t="str">
        <f t="shared" si="172"/>
        <v>June</v>
      </c>
      <c r="P807" s="25">
        <f t="shared" si="173"/>
        <v>0</v>
      </c>
      <c r="Q807" s="27">
        <f t="shared" si="174"/>
        <v>0</v>
      </c>
      <c r="R807" s="26" t="b">
        <f t="shared" si="175"/>
        <v>0</v>
      </c>
      <c r="S807" s="28" t="b">
        <f t="shared" si="176"/>
        <v>0</v>
      </c>
      <c r="T807" s="24">
        <v>5</v>
      </c>
      <c r="U807" s="29" t="str">
        <f t="shared" si="177"/>
        <v>May</v>
      </c>
      <c r="V807" s="24">
        <f t="shared" si="178"/>
        <v>5</v>
      </c>
      <c r="W807" s="30">
        <f t="shared" si="179"/>
        <v>-5</v>
      </c>
      <c r="X807" s="31" t="b">
        <f t="shared" si="180"/>
        <v>0</v>
      </c>
      <c r="Y807" s="32" t="str">
        <f t="shared" si="181"/>
        <v>GROWTH</v>
      </c>
      <c r="Z807" s="41">
        <v>0</v>
      </c>
      <c r="AA807" s="36"/>
      <c r="AB807" s="36" t="s">
        <v>24</v>
      </c>
      <c r="AC807" s="36" t="s">
        <v>848</v>
      </c>
      <c r="AD807" s="34"/>
      <c r="AE807" s="35">
        <f>IFERROR(INDEX([1]Last6M_AvgSales_Ref!$B$2:$B$12659,MATCH(D807,[1]Last6M_AvgSales_Ref!$A$2:$A$12659,0)),"")</f>
        <v>9.5833333333333304</v>
      </c>
    </row>
    <row r="808" spans="1:31" ht="14.25" customHeight="1" x14ac:dyDescent="0.3">
      <c r="A808" s="36" t="s">
        <v>848</v>
      </c>
      <c r="B808" s="38" t="s">
        <v>1647</v>
      </c>
      <c r="C808" s="38" t="s">
        <v>1660</v>
      </c>
      <c r="D808" s="38">
        <v>1000003211</v>
      </c>
      <c r="E808" s="38" t="s">
        <v>1661</v>
      </c>
      <c r="F808" s="40">
        <v>44930</v>
      </c>
      <c r="G808" s="22" t="str">
        <f t="shared" si="168"/>
        <v>-</v>
      </c>
      <c r="H808" s="22"/>
      <c r="I808" s="23">
        <v>0</v>
      </c>
      <c r="J808" s="23">
        <f t="shared" si="169"/>
        <v>0</v>
      </c>
      <c r="K808" s="24">
        <v>0</v>
      </c>
      <c r="L808" s="24">
        <f t="shared" si="170"/>
        <v>0</v>
      </c>
      <c r="M808" s="24" t="str">
        <f t="shared" si="171"/>
        <v>-</v>
      </c>
      <c r="N808" s="25">
        <v>0</v>
      </c>
      <c r="O808" s="26" t="str">
        <f t="shared" si="172"/>
        <v>June</v>
      </c>
      <c r="P808" s="25">
        <f t="shared" si="173"/>
        <v>0</v>
      </c>
      <c r="Q808" s="27">
        <f t="shared" si="174"/>
        <v>0</v>
      </c>
      <c r="R808" s="26" t="b">
        <f t="shared" si="175"/>
        <v>0</v>
      </c>
      <c r="S808" s="28" t="b">
        <f t="shared" si="176"/>
        <v>0</v>
      </c>
      <c r="T808" s="24">
        <v>0</v>
      </c>
      <c r="U808" s="29" t="str">
        <f t="shared" si="177"/>
        <v>May</v>
      </c>
      <c r="V808" s="24">
        <f t="shared" si="178"/>
        <v>0</v>
      </c>
      <c r="W808" s="30">
        <f t="shared" si="179"/>
        <v>0</v>
      </c>
      <c r="X808" s="31" t="b">
        <f t="shared" si="180"/>
        <v>0</v>
      </c>
      <c r="Y808" s="32" t="b">
        <f t="shared" si="181"/>
        <v>0</v>
      </c>
      <c r="Z808" s="41">
        <v>0</v>
      </c>
      <c r="AA808" s="36"/>
      <c r="AB808" s="36" t="s">
        <v>24</v>
      </c>
      <c r="AC808" s="36" t="s">
        <v>848</v>
      </c>
      <c r="AD808" s="34"/>
      <c r="AE808" s="35">
        <f>IFERROR(INDEX([1]Last6M_AvgSales_Ref!$B$2:$B$12659,MATCH(D808,[1]Last6M_AvgSales_Ref!$A$2:$A$12659,0)),"")</f>
        <v>16.0833333333333</v>
      </c>
    </row>
    <row r="809" spans="1:31" ht="14.25" customHeight="1" x14ac:dyDescent="0.3">
      <c r="A809" s="41" t="s">
        <v>848</v>
      </c>
      <c r="B809" s="44" t="s">
        <v>1647</v>
      </c>
      <c r="C809" s="44" t="s">
        <v>1662</v>
      </c>
      <c r="D809" s="44">
        <v>1000003863</v>
      </c>
      <c r="E809" s="44" t="s">
        <v>1663</v>
      </c>
      <c r="F809" s="40">
        <v>45338</v>
      </c>
      <c r="G809" s="22" t="str">
        <f t="shared" si="168"/>
        <v>Targeted Dealer</v>
      </c>
      <c r="H809" s="22"/>
      <c r="I809" s="23">
        <v>50</v>
      </c>
      <c r="J809" s="23">
        <f t="shared" si="169"/>
        <v>50</v>
      </c>
      <c r="K809" s="24">
        <v>10</v>
      </c>
      <c r="L809" s="24">
        <f t="shared" si="170"/>
        <v>40</v>
      </c>
      <c r="M809" s="24">
        <f t="shared" si="171"/>
        <v>20</v>
      </c>
      <c r="N809" s="25">
        <v>0</v>
      </c>
      <c r="O809" s="26" t="str">
        <f t="shared" si="172"/>
        <v>June</v>
      </c>
      <c r="P809" s="25">
        <f t="shared" si="173"/>
        <v>0</v>
      </c>
      <c r="Q809" s="27">
        <f t="shared" si="174"/>
        <v>10</v>
      </c>
      <c r="R809" s="26" t="b">
        <f t="shared" si="175"/>
        <v>0</v>
      </c>
      <c r="S809" s="28" t="b">
        <f t="shared" si="176"/>
        <v>0</v>
      </c>
      <c r="T809" s="24">
        <v>15</v>
      </c>
      <c r="U809" s="29" t="str">
        <f t="shared" si="177"/>
        <v>May</v>
      </c>
      <c r="V809" s="24">
        <f t="shared" si="178"/>
        <v>15</v>
      </c>
      <c r="W809" s="30">
        <f t="shared" si="179"/>
        <v>-5</v>
      </c>
      <c r="X809" s="31" t="b">
        <f t="shared" si="180"/>
        <v>0</v>
      </c>
      <c r="Y809" s="32" t="str">
        <f t="shared" si="181"/>
        <v>GROWTH</v>
      </c>
      <c r="Z809" s="41">
        <v>0</v>
      </c>
      <c r="AA809" s="36"/>
      <c r="AB809" s="36" t="s">
        <v>24</v>
      </c>
      <c r="AC809" s="41" t="s">
        <v>848</v>
      </c>
      <c r="AD809" s="34"/>
      <c r="AE809" s="35">
        <f>IFERROR(INDEX([1]Last6M_AvgSales_Ref!$B$2:$B$12659,MATCH(D809,[1]Last6M_AvgSales_Ref!$A$2:$A$12659,0)),"")</f>
        <v>18.3333333333333</v>
      </c>
    </row>
    <row r="810" spans="1:31" ht="14.25" customHeight="1" x14ac:dyDescent="0.3">
      <c r="A810" s="41" t="s">
        <v>848</v>
      </c>
      <c r="B810" s="44" t="s">
        <v>1647</v>
      </c>
      <c r="C810" s="44" t="s">
        <v>1664</v>
      </c>
      <c r="D810" s="44">
        <v>1000003895</v>
      </c>
      <c r="E810" s="44" t="s">
        <v>1665</v>
      </c>
      <c r="F810" s="40">
        <v>45377</v>
      </c>
      <c r="G810" s="22" t="str">
        <f t="shared" si="168"/>
        <v>-</v>
      </c>
      <c r="H810" s="22"/>
      <c r="I810" s="23">
        <v>0</v>
      </c>
      <c r="J810" s="23">
        <f t="shared" si="169"/>
        <v>0</v>
      </c>
      <c r="K810" s="24">
        <v>0</v>
      </c>
      <c r="L810" s="24">
        <f t="shared" si="170"/>
        <v>0</v>
      </c>
      <c r="M810" s="24" t="str">
        <f t="shared" si="171"/>
        <v>-</v>
      </c>
      <c r="N810" s="25">
        <v>0</v>
      </c>
      <c r="O810" s="26" t="str">
        <f t="shared" si="172"/>
        <v>June</v>
      </c>
      <c r="P810" s="25">
        <f t="shared" si="173"/>
        <v>0</v>
      </c>
      <c r="Q810" s="27">
        <f t="shared" si="174"/>
        <v>0</v>
      </c>
      <c r="R810" s="26" t="b">
        <f t="shared" si="175"/>
        <v>0</v>
      </c>
      <c r="S810" s="28" t="b">
        <f t="shared" si="176"/>
        <v>0</v>
      </c>
      <c r="T810" s="24">
        <v>21</v>
      </c>
      <c r="U810" s="29" t="str">
        <f t="shared" si="177"/>
        <v>May</v>
      </c>
      <c r="V810" s="24">
        <f t="shared" si="178"/>
        <v>21</v>
      </c>
      <c r="W810" s="30">
        <f t="shared" si="179"/>
        <v>-21</v>
      </c>
      <c r="X810" s="31" t="b">
        <f t="shared" si="180"/>
        <v>0</v>
      </c>
      <c r="Y810" s="32" t="str">
        <f t="shared" si="181"/>
        <v>GROWTH</v>
      </c>
      <c r="Z810" s="41">
        <v>0</v>
      </c>
      <c r="AA810" s="36"/>
      <c r="AB810" s="36" t="s">
        <v>24</v>
      </c>
      <c r="AC810" s="41" t="s">
        <v>848</v>
      </c>
      <c r="AD810" s="34"/>
      <c r="AE810" s="35">
        <f>IFERROR(INDEX([1]Last6M_AvgSales_Ref!$B$2:$B$12659,MATCH(D810,[1]Last6M_AvgSales_Ref!$A$2:$A$12659,0)),"")</f>
        <v>0.83333333333333304</v>
      </c>
    </row>
    <row r="811" spans="1:31" ht="14.25" customHeight="1" x14ac:dyDescent="0.3">
      <c r="A811" s="36" t="s">
        <v>848</v>
      </c>
      <c r="B811" s="38" t="s">
        <v>1666</v>
      </c>
      <c r="C811" s="38" t="s">
        <v>1667</v>
      </c>
      <c r="D811" s="38">
        <v>1000000437</v>
      </c>
      <c r="E811" s="39" t="s">
        <v>1668</v>
      </c>
      <c r="F811" s="40">
        <v>38385</v>
      </c>
      <c r="G811" s="22" t="str">
        <f t="shared" si="168"/>
        <v>Targeted Dealer</v>
      </c>
      <c r="H811" s="22"/>
      <c r="I811" s="23">
        <v>40</v>
      </c>
      <c r="J811" s="23">
        <f t="shared" si="169"/>
        <v>40</v>
      </c>
      <c r="K811" s="24">
        <v>34.5</v>
      </c>
      <c r="L811" s="24">
        <f t="shared" si="170"/>
        <v>5.5</v>
      </c>
      <c r="M811" s="24">
        <f t="shared" si="171"/>
        <v>86.25</v>
      </c>
      <c r="N811" s="25">
        <v>15</v>
      </c>
      <c r="O811" s="26" t="str">
        <f t="shared" si="172"/>
        <v>June</v>
      </c>
      <c r="P811" s="25">
        <f t="shared" si="173"/>
        <v>15</v>
      </c>
      <c r="Q811" s="27">
        <f t="shared" si="174"/>
        <v>19.5</v>
      </c>
      <c r="R811" s="26" t="b">
        <f t="shared" si="175"/>
        <v>0</v>
      </c>
      <c r="S811" s="28" t="str">
        <f t="shared" si="176"/>
        <v>GROWTH</v>
      </c>
      <c r="T811" s="24">
        <v>0</v>
      </c>
      <c r="U811" s="29" t="str">
        <f t="shared" si="177"/>
        <v>May</v>
      </c>
      <c r="V811" s="24">
        <f t="shared" si="178"/>
        <v>0</v>
      </c>
      <c r="W811" s="30">
        <f t="shared" si="179"/>
        <v>34.5</v>
      </c>
      <c r="X811" s="31" t="b">
        <f t="shared" si="180"/>
        <v>0</v>
      </c>
      <c r="Y811" s="32" t="b">
        <f t="shared" si="181"/>
        <v>0</v>
      </c>
      <c r="Z811" s="41">
        <v>0</v>
      </c>
      <c r="AA811" s="36"/>
      <c r="AB811" s="36" t="s">
        <v>24</v>
      </c>
      <c r="AC811" s="36" t="s">
        <v>848</v>
      </c>
      <c r="AD811" s="34"/>
      <c r="AE811" s="35">
        <f>IFERROR(INDEX([1]Last6M_AvgSales_Ref!$B$2:$B$12659,MATCH(D811,[1]Last6M_AvgSales_Ref!$A$2:$A$12659,0)),"")</f>
        <v>11.8333333333333</v>
      </c>
    </row>
    <row r="812" spans="1:31" ht="14.25" customHeight="1" x14ac:dyDescent="0.3">
      <c r="A812" s="36" t="s">
        <v>848</v>
      </c>
      <c r="B812" s="38" t="s">
        <v>1666</v>
      </c>
      <c r="C812" s="38" t="s">
        <v>1669</v>
      </c>
      <c r="D812" s="38">
        <v>1000000140</v>
      </c>
      <c r="E812" s="39" t="s">
        <v>1670</v>
      </c>
      <c r="F812" s="40">
        <v>38443</v>
      </c>
      <c r="G812" s="22" t="str">
        <f t="shared" si="168"/>
        <v>Targeted Dealer</v>
      </c>
      <c r="H812" s="22"/>
      <c r="I812" s="23">
        <v>1920</v>
      </c>
      <c r="J812" s="23">
        <f t="shared" si="169"/>
        <v>1920</v>
      </c>
      <c r="K812" s="24">
        <v>678.45</v>
      </c>
      <c r="L812" s="24">
        <f t="shared" si="170"/>
        <v>1241.55</v>
      </c>
      <c r="M812" s="24">
        <f t="shared" si="171"/>
        <v>35.335937500000007</v>
      </c>
      <c r="N812" s="25">
        <v>0</v>
      </c>
      <c r="O812" s="26" t="str">
        <f t="shared" si="172"/>
        <v>June</v>
      </c>
      <c r="P812" s="25">
        <f t="shared" si="173"/>
        <v>0</v>
      </c>
      <c r="Q812" s="27">
        <f t="shared" si="174"/>
        <v>678.45</v>
      </c>
      <c r="R812" s="26" t="b">
        <f t="shared" si="175"/>
        <v>0</v>
      </c>
      <c r="S812" s="28" t="b">
        <f t="shared" si="176"/>
        <v>0</v>
      </c>
      <c r="T812" s="24">
        <v>1205.95</v>
      </c>
      <c r="U812" s="29" t="str">
        <f t="shared" si="177"/>
        <v>May</v>
      </c>
      <c r="V812" s="24">
        <f t="shared" si="178"/>
        <v>1205.95</v>
      </c>
      <c r="W812" s="30">
        <f t="shared" si="179"/>
        <v>-527.5</v>
      </c>
      <c r="X812" s="31" t="b">
        <f t="shared" si="180"/>
        <v>0</v>
      </c>
      <c r="Y812" s="32" t="str">
        <f t="shared" si="181"/>
        <v>GROWTH</v>
      </c>
      <c r="Z812" s="41">
        <v>0</v>
      </c>
      <c r="AA812" s="36"/>
      <c r="AB812" s="36" t="s">
        <v>24</v>
      </c>
      <c r="AC812" s="36" t="s">
        <v>848</v>
      </c>
      <c r="AD812" s="34"/>
      <c r="AE812" s="35">
        <f>IFERROR(INDEX([1]Last6M_AvgSales_Ref!$B$2:$B$12659,MATCH(D812,[1]Last6M_AvgSales_Ref!$A$2:$A$12659,0)),"")</f>
        <v>553.67499999999995</v>
      </c>
    </row>
    <row r="813" spans="1:31" ht="14.25" customHeight="1" x14ac:dyDescent="0.3">
      <c r="A813" s="36" t="s">
        <v>848</v>
      </c>
      <c r="B813" s="38" t="s">
        <v>1666</v>
      </c>
      <c r="C813" s="38" t="s">
        <v>1671</v>
      </c>
      <c r="D813" s="38">
        <v>1000000434</v>
      </c>
      <c r="E813" s="39" t="s">
        <v>1672</v>
      </c>
      <c r="F813" s="40">
        <v>39220</v>
      </c>
      <c r="G813" s="22" t="str">
        <f t="shared" si="168"/>
        <v>Targeted Dealer</v>
      </c>
      <c r="H813" s="22"/>
      <c r="I813" s="23">
        <v>80</v>
      </c>
      <c r="J813" s="23">
        <f t="shared" si="169"/>
        <v>80</v>
      </c>
      <c r="K813" s="24">
        <v>50</v>
      </c>
      <c r="L813" s="24">
        <f t="shared" si="170"/>
        <v>30</v>
      </c>
      <c r="M813" s="24">
        <f t="shared" si="171"/>
        <v>62.5</v>
      </c>
      <c r="N813" s="25">
        <v>60</v>
      </c>
      <c r="O813" s="26" t="str">
        <f t="shared" si="172"/>
        <v>June</v>
      </c>
      <c r="P813" s="25">
        <f t="shared" si="173"/>
        <v>60</v>
      </c>
      <c r="Q813" s="27">
        <f t="shared" si="174"/>
        <v>-10</v>
      </c>
      <c r="R813" s="26" t="b">
        <f t="shared" si="175"/>
        <v>0</v>
      </c>
      <c r="S813" s="28" t="str">
        <f t="shared" si="176"/>
        <v>GROWTH</v>
      </c>
      <c r="T813" s="24">
        <v>37</v>
      </c>
      <c r="U813" s="29" t="str">
        <f t="shared" si="177"/>
        <v>May</v>
      </c>
      <c r="V813" s="24">
        <f t="shared" si="178"/>
        <v>37</v>
      </c>
      <c r="W813" s="30">
        <f t="shared" si="179"/>
        <v>13</v>
      </c>
      <c r="X813" s="31" t="b">
        <f t="shared" si="180"/>
        <v>0</v>
      </c>
      <c r="Y813" s="32" t="str">
        <f t="shared" si="181"/>
        <v>GROWTH</v>
      </c>
      <c r="Z813" s="41">
        <v>0</v>
      </c>
      <c r="AA813" s="36"/>
      <c r="AB813" s="36" t="s">
        <v>24</v>
      </c>
      <c r="AC813" s="36" t="s">
        <v>848</v>
      </c>
      <c r="AD813" s="34"/>
      <c r="AE813" s="35">
        <f>IFERROR(INDEX([1]Last6M_AvgSales_Ref!$B$2:$B$12659,MATCH(D813,[1]Last6M_AvgSales_Ref!$A$2:$A$12659,0)),"")</f>
        <v>41.6666666666667</v>
      </c>
    </row>
    <row r="814" spans="1:31" ht="14.25" customHeight="1" x14ac:dyDescent="0.3">
      <c r="A814" s="36" t="s">
        <v>848</v>
      </c>
      <c r="B814" s="38" t="s">
        <v>1666</v>
      </c>
      <c r="C814" s="38" t="s">
        <v>1673</v>
      </c>
      <c r="D814" s="38">
        <v>1000000432</v>
      </c>
      <c r="E814" s="39" t="s">
        <v>1674</v>
      </c>
      <c r="F814" s="40">
        <v>39316</v>
      </c>
      <c r="G814" s="22" t="str">
        <f t="shared" si="168"/>
        <v>Targeted Dealer</v>
      </c>
      <c r="H814" s="22"/>
      <c r="I814" s="23">
        <v>320</v>
      </c>
      <c r="J814" s="23">
        <f t="shared" si="169"/>
        <v>320</v>
      </c>
      <c r="K814" s="24">
        <v>77.5</v>
      </c>
      <c r="L814" s="24">
        <f t="shared" si="170"/>
        <v>242.5</v>
      </c>
      <c r="M814" s="24">
        <f t="shared" si="171"/>
        <v>24.21875</v>
      </c>
      <c r="N814" s="25">
        <v>113.95</v>
      </c>
      <c r="O814" s="26" t="str">
        <f t="shared" si="172"/>
        <v>June</v>
      </c>
      <c r="P814" s="25">
        <f t="shared" si="173"/>
        <v>113.95</v>
      </c>
      <c r="Q814" s="27">
        <f t="shared" si="174"/>
        <v>-36.450000000000003</v>
      </c>
      <c r="R814" s="26" t="b">
        <f t="shared" si="175"/>
        <v>0</v>
      </c>
      <c r="S814" s="28" t="str">
        <f t="shared" si="176"/>
        <v>GROWTH</v>
      </c>
      <c r="T814" s="24">
        <v>160</v>
      </c>
      <c r="U814" s="29" t="str">
        <f t="shared" si="177"/>
        <v>May</v>
      </c>
      <c r="V814" s="24">
        <f t="shared" si="178"/>
        <v>160</v>
      </c>
      <c r="W814" s="30">
        <f t="shared" si="179"/>
        <v>-82.5</v>
      </c>
      <c r="X814" s="31" t="b">
        <f t="shared" si="180"/>
        <v>0</v>
      </c>
      <c r="Y814" s="32" t="str">
        <f t="shared" si="181"/>
        <v>GROWTH</v>
      </c>
      <c r="Z814" s="41">
        <v>0</v>
      </c>
      <c r="AA814" s="36"/>
      <c r="AB814" s="36" t="s">
        <v>24</v>
      </c>
      <c r="AC814" s="36" t="s">
        <v>848</v>
      </c>
      <c r="AD814" s="34"/>
      <c r="AE814" s="35">
        <f>IFERROR(INDEX([1]Last6M_AvgSales_Ref!$B$2:$B$12659,MATCH(D814,[1]Last6M_AvgSales_Ref!$A$2:$A$12659,0)),"")</f>
        <v>140.85833333333301</v>
      </c>
    </row>
    <row r="815" spans="1:31" ht="14.25" customHeight="1" x14ac:dyDescent="0.3">
      <c r="A815" s="36" t="s">
        <v>848</v>
      </c>
      <c r="B815" s="38" t="s">
        <v>1666</v>
      </c>
      <c r="C815" s="38" t="s">
        <v>1675</v>
      </c>
      <c r="D815" s="38">
        <v>1000000428</v>
      </c>
      <c r="E815" s="39" t="s">
        <v>1676</v>
      </c>
      <c r="F815" s="40">
        <v>39609</v>
      </c>
      <c r="G815" s="22" t="str">
        <f t="shared" si="168"/>
        <v>Targeted Dealer</v>
      </c>
      <c r="H815" s="22"/>
      <c r="I815" s="23">
        <v>100</v>
      </c>
      <c r="J815" s="23">
        <f t="shared" si="169"/>
        <v>100</v>
      </c>
      <c r="K815" s="24">
        <v>26</v>
      </c>
      <c r="L815" s="24">
        <f t="shared" si="170"/>
        <v>74</v>
      </c>
      <c r="M815" s="24">
        <f t="shared" si="171"/>
        <v>26</v>
      </c>
      <c r="N815" s="25">
        <v>26</v>
      </c>
      <c r="O815" s="26" t="str">
        <f t="shared" si="172"/>
        <v>June</v>
      </c>
      <c r="P815" s="25">
        <f t="shared" si="173"/>
        <v>26</v>
      </c>
      <c r="Q815" s="27">
        <f t="shared" si="174"/>
        <v>0</v>
      </c>
      <c r="R815" s="26" t="b">
        <f t="shared" si="175"/>
        <v>0</v>
      </c>
      <c r="S815" s="28" t="str">
        <f t="shared" si="176"/>
        <v>GROWTH</v>
      </c>
      <c r="T815" s="24">
        <v>26</v>
      </c>
      <c r="U815" s="29" t="str">
        <f t="shared" si="177"/>
        <v>May</v>
      </c>
      <c r="V815" s="24">
        <f t="shared" si="178"/>
        <v>26</v>
      </c>
      <c r="W815" s="30">
        <f t="shared" si="179"/>
        <v>0</v>
      </c>
      <c r="X815" s="31" t="b">
        <f t="shared" si="180"/>
        <v>0</v>
      </c>
      <c r="Y815" s="32" t="str">
        <f t="shared" si="181"/>
        <v>GROWTH</v>
      </c>
      <c r="Z815" s="41">
        <v>0</v>
      </c>
      <c r="AA815" s="36"/>
      <c r="AB815" s="36" t="s">
        <v>24</v>
      </c>
      <c r="AC815" s="36" t="s">
        <v>848</v>
      </c>
      <c r="AD815" s="34"/>
      <c r="AE815" s="35">
        <f>IFERROR(INDEX([1]Last6M_AvgSales_Ref!$B$2:$B$12659,MATCH(D815,[1]Last6M_AvgSales_Ref!$A$2:$A$12659,0)),"")</f>
        <v>57.8333333333333</v>
      </c>
    </row>
    <row r="816" spans="1:31" ht="14.25" customHeight="1" x14ac:dyDescent="0.3">
      <c r="A816" s="36" t="s">
        <v>848</v>
      </c>
      <c r="B816" s="38" t="s">
        <v>1666</v>
      </c>
      <c r="C816" s="38" t="s">
        <v>1677</v>
      </c>
      <c r="D816" s="38">
        <v>1000000442</v>
      </c>
      <c r="E816" s="39" t="s">
        <v>1678</v>
      </c>
      <c r="F816" s="40">
        <v>40024</v>
      </c>
      <c r="G816" s="22" t="str">
        <f t="shared" si="168"/>
        <v>Targeted Dealer</v>
      </c>
      <c r="H816" s="22"/>
      <c r="I816" s="23">
        <v>490</v>
      </c>
      <c r="J816" s="23">
        <f t="shared" si="169"/>
        <v>489.99999999999994</v>
      </c>
      <c r="K816" s="24">
        <v>220</v>
      </c>
      <c r="L816" s="24">
        <f t="shared" si="170"/>
        <v>270</v>
      </c>
      <c r="M816" s="24">
        <f t="shared" si="171"/>
        <v>44.897959183673471</v>
      </c>
      <c r="N816" s="25">
        <v>205</v>
      </c>
      <c r="O816" s="26" t="str">
        <f t="shared" si="172"/>
        <v>June</v>
      </c>
      <c r="P816" s="25">
        <f t="shared" si="173"/>
        <v>205</v>
      </c>
      <c r="Q816" s="27">
        <f t="shared" si="174"/>
        <v>15</v>
      </c>
      <c r="R816" s="26" t="b">
        <f t="shared" si="175"/>
        <v>0</v>
      </c>
      <c r="S816" s="28" t="str">
        <f t="shared" si="176"/>
        <v>GROWTH</v>
      </c>
      <c r="T816" s="24">
        <v>222</v>
      </c>
      <c r="U816" s="29" t="str">
        <f t="shared" si="177"/>
        <v>May</v>
      </c>
      <c r="V816" s="24">
        <f t="shared" si="178"/>
        <v>222</v>
      </c>
      <c r="W816" s="30">
        <f t="shared" si="179"/>
        <v>-2</v>
      </c>
      <c r="X816" s="31" t="b">
        <f t="shared" si="180"/>
        <v>0</v>
      </c>
      <c r="Y816" s="32" t="str">
        <f t="shared" si="181"/>
        <v>GROWTH</v>
      </c>
      <c r="Z816" s="41">
        <v>0</v>
      </c>
      <c r="AA816" s="36"/>
      <c r="AB816" s="36" t="s">
        <v>24</v>
      </c>
      <c r="AC816" s="36" t="s">
        <v>848</v>
      </c>
      <c r="AD816" s="34"/>
      <c r="AE816" s="35">
        <f>IFERROR(INDEX([1]Last6M_AvgSales_Ref!$B$2:$B$12659,MATCH(D816,[1]Last6M_AvgSales_Ref!$A$2:$A$12659,0)),"")</f>
        <v>294.433333333333</v>
      </c>
    </row>
    <row r="817" spans="1:31" ht="14.25" customHeight="1" x14ac:dyDescent="0.3">
      <c r="A817" s="36" t="s">
        <v>848</v>
      </c>
      <c r="B817" s="38" t="s">
        <v>1666</v>
      </c>
      <c r="C817" s="38" t="s">
        <v>1679</v>
      </c>
      <c r="D817" s="38">
        <v>1000000439</v>
      </c>
      <c r="E817" s="39" t="s">
        <v>1680</v>
      </c>
      <c r="F817" s="40">
        <v>42921</v>
      </c>
      <c r="G817" s="22" t="str">
        <f t="shared" si="168"/>
        <v>Targeted Dealer</v>
      </c>
      <c r="H817" s="22"/>
      <c r="I817" s="23">
        <v>300</v>
      </c>
      <c r="J817" s="23">
        <f t="shared" si="169"/>
        <v>300</v>
      </c>
      <c r="K817" s="24">
        <v>170.75</v>
      </c>
      <c r="L817" s="24">
        <f t="shared" si="170"/>
        <v>129.25</v>
      </c>
      <c r="M817" s="24">
        <f t="shared" si="171"/>
        <v>56.916666666666664</v>
      </c>
      <c r="N817" s="25">
        <v>100.4</v>
      </c>
      <c r="O817" s="26" t="str">
        <f t="shared" si="172"/>
        <v>June</v>
      </c>
      <c r="P817" s="25">
        <f t="shared" si="173"/>
        <v>100.4</v>
      </c>
      <c r="Q817" s="27">
        <f t="shared" si="174"/>
        <v>70.349999999999994</v>
      </c>
      <c r="R817" s="26" t="b">
        <f t="shared" si="175"/>
        <v>0</v>
      </c>
      <c r="S817" s="28" t="str">
        <f t="shared" si="176"/>
        <v>GROWTH</v>
      </c>
      <c r="T817" s="24">
        <v>120</v>
      </c>
      <c r="U817" s="29" t="str">
        <f t="shared" si="177"/>
        <v>May</v>
      </c>
      <c r="V817" s="24">
        <f t="shared" si="178"/>
        <v>120</v>
      </c>
      <c r="W817" s="30">
        <f t="shared" si="179"/>
        <v>50.75</v>
      </c>
      <c r="X817" s="31" t="b">
        <f t="shared" si="180"/>
        <v>0</v>
      </c>
      <c r="Y817" s="32" t="str">
        <f t="shared" si="181"/>
        <v>GROWTH</v>
      </c>
      <c r="Z817" s="41">
        <v>0</v>
      </c>
      <c r="AA817" s="36"/>
      <c r="AB817" s="36" t="s">
        <v>24</v>
      </c>
      <c r="AC817" s="36" t="s">
        <v>848</v>
      </c>
      <c r="AD817" s="34"/>
      <c r="AE817" s="35">
        <f>IFERROR(INDEX([1]Last6M_AvgSales_Ref!$B$2:$B$12659,MATCH(D817,[1]Last6M_AvgSales_Ref!$A$2:$A$12659,0)),"")</f>
        <v>165.24166666666699</v>
      </c>
    </row>
    <row r="818" spans="1:31" ht="14.25" customHeight="1" x14ac:dyDescent="0.3">
      <c r="A818" s="36" t="s">
        <v>848</v>
      </c>
      <c r="B818" s="38" t="s">
        <v>1666</v>
      </c>
      <c r="C818" s="38" t="s">
        <v>1681</v>
      </c>
      <c r="D818" s="38">
        <v>1000000909</v>
      </c>
      <c r="E818" s="39" t="s">
        <v>1682</v>
      </c>
      <c r="F818" s="40">
        <v>43720</v>
      </c>
      <c r="G818" s="22" t="str">
        <f t="shared" si="168"/>
        <v>Targeted Dealer</v>
      </c>
      <c r="H818" s="22"/>
      <c r="I818" s="23">
        <v>80</v>
      </c>
      <c r="J818" s="23">
        <f t="shared" si="169"/>
        <v>80</v>
      </c>
      <c r="K818" s="24">
        <v>20</v>
      </c>
      <c r="L818" s="24">
        <f t="shared" si="170"/>
        <v>60</v>
      </c>
      <c r="M818" s="24">
        <f t="shared" si="171"/>
        <v>25</v>
      </c>
      <c r="N818" s="25">
        <v>25</v>
      </c>
      <c r="O818" s="26" t="str">
        <f t="shared" si="172"/>
        <v>June</v>
      </c>
      <c r="P818" s="25">
        <f t="shared" si="173"/>
        <v>25</v>
      </c>
      <c r="Q818" s="27">
        <f t="shared" si="174"/>
        <v>-5</v>
      </c>
      <c r="R818" s="26" t="b">
        <f t="shared" si="175"/>
        <v>0</v>
      </c>
      <c r="S818" s="28" t="str">
        <f t="shared" si="176"/>
        <v>GROWTH</v>
      </c>
      <c r="T818" s="24">
        <v>45</v>
      </c>
      <c r="U818" s="29" t="str">
        <f t="shared" si="177"/>
        <v>May</v>
      </c>
      <c r="V818" s="24">
        <f t="shared" si="178"/>
        <v>45</v>
      </c>
      <c r="W818" s="30">
        <f t="shared" si="179"/>
        <v>-25</v>
      </c>
      <c r="X818" s="31" t="b">
        <f t="shared" si="180"/>
        <v>0</v>
      </c>
      <c r="Y818" s="32" t="str">
        <f t="shared" si="181"/>
        <v>GROWTH</v>
      </c>
      <c r="Z818" s="41">
        <v>0</v>
      </c>
      <c r="AA818" s="36"/>
      <c r="AB818" s="36" t="s">
        <v>24</v>
      </c>
      <c r="AC818" s="36" t="s">
        <v>848</v>
      </c>
      <c r="AD818" s="34"/>
      <c r="AE818" s="35">
        <f>IFERROR(INDEX([1]Last6M_AvgSales_Ref!$B$2:$B$12659,MATCH(D818,[1]Last6M_AvgSales_Ref!$A$2:$A$12659,0)),"")</f>
        <v>37.0833333333333</v>
      </c>
    </row>
    <row r="819" spans="1:31" ht="14.25" customHeight="1" x14ac:dyDescent="0.3">
      <c r="A819" s="36" t="s">
        <v>848</v>
      </c>
      <c r="B819" s="38" t="s">
        <v>1666</v>
      </c>
      <c r="C819" s="38" t="s">
        <v>1683</v>
      </c>
      <c r="D819" s="38">
        <v>1000000907</v>
      </c>
      <c r="E819" s="39" t="s">
        <v>1684</v>
      </c>
      <c r="F819" s="40">
        <v>44377</v>
      </c>
      <c r="G819" s="22" t="str">
        <f t="shared" si="168"/>
        <v>Targeted Dealer</v>
      </c>
      <c r="H819" s="22"/>
      <c r="I819" s="23">
        <v>480</v>
      </c>
      <c r="J819" s="23">
        <f t="shared" si="169"/>
        <v>480</v>
      </c>
      <c r="K819" s="24">
        <v>232.6</v>
      </c>
      <c r="L819" s="24">
        <f t="shared" si="170"/>
        <v>247.4</v>
      </c>
      <c r="M819" s="24">
        <f t="shared" si="171"/>
        <v>48.458333333333336</v>
      </c>
      <c r="N819" s="25">
        <v>175</v>
      </c>
      <c r="O819" s="26" t="str">
        <f t="shared" si="172"/>
        <v>June</v>
      </c>
      <c r="P819" s="25">
        <f t="shared" si="173"/>
        <v>175</v>
      </c>
      <c r="Q819" s="27">
        <f t="shared" si="174"/>
        <v>57.599999999999994</v>
      </c>
      <c r="R819" s="26" t="b">
        <f t="shared" si="175"/>
        <v>0</v>
      </c>
      <c r="S819" s="28" t="str">
        <f t="shared" si="176"/>
        <v>GROWTH</v>
      </c>
      <c r="T819" s="24">
        <v>241.75</v>
      </c>
      <c r="U819" s="29" t="str">
        <f t="shared" si="177"/>
        <v>May</v>
      </c>
      <c r="V819" s="24">
        <f t="shared" si="178"/>
        <v>241.75</v>
      </c>
      <c r="W819" s="30">
        <f t="shared" si="179"/>
        <v>-9.1500000000000057</v>
      </c>
      <c r="X819" s="31" t="b">
        <f t="shared" si="180"/>
        <v>0</v>
      </c>
      <c r="Y819" s="32" t="str">
        <f t="shared" si="181"/>
        <v>GROWTH</v>
      </c>
      <c r="Z819" s="41">
        <v>0</v>
      </c>
      <c r="AA819" s="36"/>
      <c r="AB819" s="36" t="s">
        <v>24</v>
      </c>
      <c r="AC819" s="36" t="s">
        <v>848</v>
      </c>
      <c r="AD819" s="34"/>
      <c r="AE819" s="35">
        <f>IFERROR(INDEX([1]Last6M_AvgSales_Ref!$B$2:$B$12659,MATCH(D819,[1]Last6M_AvgSales_Ref!$A$2:$A$12659,0)),"")</f>
        <v>263.83333333333297</v>
      </c>
    </row>
    <row r="820" spans="1:31" ht="14.25" customHeight="1" x14ac:dyDescent="0.3">
      <c r="A820" s="36" t="s">
        <v>848</v>
      </c>
      <c r="B820" s="38" t="s">
        <v>1666</v>
      </c>
      <c r="C820" s="38" t="s">
        <v>1685</v>
      </c>
      <c r="D820" s="38">
        <v>1000000911</v>
      </c>
      <c r="E820" s="39" t="s">
        <v>1686</v>
      </c>
      <c r="F820" s="40">
        <v>44438</v>
      </c>
      <c r="G820" s="22" t="str">
        <f t="shared" si="168"/>
        <v>Targeted Dealer</v>
      </c>
      <c r="H820" s="22"/>
      <c r="I820" s="23">
        <v>50</v>
      </c>
      <c r="J820" s="23">
        <f t="shared" si="169"/>
        <v>50</v>
      </c>
      <c r="K820" s="24">
        <v>5</v>
      </c>
      <c r="L820" s="24">
        <f t="shared" si="170"/>
        <v>45</v>
      </c>
      <c r="M820" s="24">
        <f t="shared" si="171"/>
        <v>10</v>
      </c>
      <c r="N820" s="25">
        <v>20.5</v>
      </c>
      <c r="O820" s="26" t="str">
        <f t="shared" si="172"/>
        <v>June</v>
      </c>
      <c r="P820" s="25">
        <f t="shared" si="173"/>
        <v>20.5</v>
      </c>
      <c r="Q820" s="27">
        <f t="shared" si="174"/>
        <v>-15.5</v>
      </c>
      <c r="R820" s="26" t="b">
        <f t="shared" si="175"/>
        <v>0</v>
      </c>
      <c r="S820" s="28" t="str">
        <f t="shared" si="176"/>
        <v>GROWTH</v>
      </c>
      <c r="T820" s="24">
        <v>0</v>
      </c>
      <c r="U820" s="29" t="str">
        <f t="shared" si="177"/>
        <v>May</v>
      </c>
      <c r="V820" s="24">
        <f t="shared" si="178"/>
        <v>0</v>
      </c>
      <c r="W820" s="30">
        <f t="shared" si="179"/>
        <v>5</v>
      </c>
      <c r="X820" s="31" t="b">
        <f t="shared" si="180"/>
        <v>0</v>
      </c>
      <c r="Y820" s="32" t="b">
        <f t="shared" si="181"/>
        <v>0</v>
      </c>
      <c r="Z820" s="41">
        <v>0</v>
      </c>
      <c r="AA820" s="36"/>
      <c r="AB820" s="36" t="s">
        <v>24</v>
      </c>
      <c r="AC820" s="36" t="s">
        <v>848</v>
      </c>
      <c r="AD820" s="34"/>
      <c r="AE820" s="35">
        <f>IFERROR(INDEX([1]Last6M_AvgSales_Ref!$B$2:$B$12659,MATCH(D820,[1]Last6M_AvgSales_Ref!$A$2:$A$12659,0)),"")</f>
        <v>24.5833333333333</v>
      </c>
    </row>
    <row r="821" spans="1:31" ht="14.25" customHeight="1" x14ac:dyDescent="0.3">
      <c r="A821" s="36" t="s">
        <v>848</v>
      </c>
      <c r="B821" s="38" t="s">
        <v>1666</v>
      </c>
      <c r="C821" s="38" t="s">
        <v>1687</v>
      </c>
      <c r="D821" s="38">
        <v>1000003171</v>
      </c>
      <c r="E821" s="38" t="s">
        <v>1688</v>
      </c>
      <c r="F821" s="40">
        <v>44918</v>
      </c>
      <c r="G821" s="22" t="str">
        <f t="shared" si="168"/>
        <v>Targeted Dealer</v>
      </c>
      <c r="H821" s="22"/>
      <c r="I821" s="23">
        <v>680</v>
      </c>
      <c r="J821" s="23">
        <f t="shared" si="169"/>
        <v>680</v>
      </c>
      <c r="K821" s="24">
        <v>289.39999999999998</v>
      </c>
      <c r="L821" s="24">
        <f t="shared" si="170"/>
        <v>390.6</v>
      </c>
      <c r="M821" s="24">
        <f t="shared" si="171"/>
        <v>42.558823529411761</v>
      </c>
      <c r="N821" s="25">
        <v>404.9</v>
      </c>
      <c r="O821" s="26" t="str">
        <f t="shared" si="172"/>
        <v>June</v>
      </c>
      <c r="P821" s="25">
        <f t="shared" si="173"/>
        <v>404.9</v>
      </c>
      <c r="Q821" s="27">
        <f t="shared" si="174"/>
        <v>-115.5</v>
      </c>
      <c r="R821" s="26" t="b">
        <f t="shared" si="175"/>
        <v>0</v>
      </c>
      <c r="S821" s="28" t="str">
        <f t="shared" si="176"/>
        <v>GROWTH</v>
      </c>
      <c r="T821" s="24">
        <v>205.75</v>
      </c>
      <c r="U821" s="29" t="str">
        <f t="shared" si="177"/>
        <v>May</v>
      </c>
      <c r="V821" s="24">
        <f t="shared" si="178"/>
        <v>205.75</v>
      </c>
      <c r="W821" s="30">
        <f t="shared" si="179"/>
        <v>83.649999999999977</v>
      </c>
      <c r="X821" s="31" t="b">
        <f t="shared" si="180"/>
        <v>0</v>
      </c>
      <c r="Y821" s="32" t="str">
        <f t="shared" si="181"/>
        <v>GROWTH</v>
      </c>
      <c r="Z821" s="41">
        <v>0</v>
      </c>
      <c r="AA821" s="36"/>
      <c r="AB821" s="36" t="s">
        <v>24</v>
      </c>
      <c r="AC821" s="36" t="s">
        <v>848</v>
      </c>
      <c r="AD821" s="34"/>
      <c r="AE821" s="35">
        <f>IFERROR(INDEX([1]Last6M_AvgSales_Ref!$B$2:$B$12659,MATCH(D821,[1]Last6M_AvgSales_Ref!$A$2:$A$12659,0)),"")</f>
        <v>387.5</v>
      </c>
    </row>
    <row r="822" spans="1:31" ht="14.25" customHeight="1" x14ac:dyDescent="0.3">
      <c r="A822" s="36" t="s">
        <v>848</v>
      </c>
      <c r="B822" s="38" t="s">
        <v>1666</v>
      </c>
      <c r="C822" s="38" t="s">
        <v>1689</v>
      </c>
      <c r="D822" s="38">
        <v>1000003531</v>
      </c>
      <c r="E822" s="38" t="s">
        <v>1690</v>
      </c>
      <c r="F822" s="40">
        <v>45065</v>
      </c>
      <c r="G822" s="22" t="str">
        <f t="shared" si="168"/>
        <v>Targeted Dealer</v>
      </c>
      <c r="H822" s="22"/>
      <c r="I822" s="23">
        <v>100</v>
      </c>
      <c r="J822" s="23">
        <f t="shared" si="169"/>
        <v>100</v>
      </c>
      <c r="K822" s="24">
        <v>45</v>
      </c>
      <c r="L822" s="24">
        <f t="shared" si="170"/>
        <v>55</v>
      </c>
      <c r="M822" s="24">
        <f t="shared" si="171"/>
        <v>45</v>
      </c>
      <c r="N822" s="25">
        <v>30</v>
      </c>
      <c r="O822" s="26" t="str">
        <f t="shared" si="172"/>
        <v>June</v>
      </c>
      <c r="P822" s="25">
        <f t="shared" si="173"/>
        <v>30</v>
      </c>
      <c r="Q822" s="27">
        <f t="shared" si="174"/>
        <v>15</v>
      </c>
      <c r="R822" s="26" t="b">
        <f t="shared" si="175"/>
        <v>0</v>
      </c>
      <c r="S822" s="28" t="str">
        <f t="shared" si="176"/>
        <v>GROWTH</v>
      </c>
      <c r="T822" s="24">
        <v>51</v>
      </c>
      <c r="U822" s="29" t="str">
        <f t="shared" si="177"/>
        <v>May</v>
      </c>
      <c r="V822" s="24">
        <f t="shared" si="178"/>
        <v>51</v>
      </c>
      <c r="W822" s="30">
        <f t="shared" si="179"/>
        <v>-6</v>
      </c>
      <c r="X822" s="31" t="b">
        <f t="shared" si="180"/>
        <v>0</v>
      </c>
      <c r="Y822" s="32" t="str">
        <f t="shared" si="181"/>
        <v>GROWTH</v>
      </c>
      <c r="Z822" s="41">
        <v>0</v>
      </c>
      <c r="AA822" s="36"/>
      <c r="AB822" s="36" t="s">
        <v>24</v>
      </c>
      <c r="AC822" s="36" t="s">
        <v>848</v>
      </c>
      <c r="AD822" s="34"/>
      <c r="AE822" s="35">
        <f>IFERROR(INDEX([1]Last6M_AvgSales_Ref!$B$2:$B$12659,MATCH(D822,[1]Last6M_AvgSales_Ref!$A$2:$A$12659,0)),"")</f>
        <v>52.4166666666667</v>
      </c>
    </row>
    <row r="823" spans="1:31" ht="14.25" customHeight="1" x14ac:dyDescent="0.3">
      <c r="A823" s="36" t="s">
        <v>848</v>
      </c>
      <c r="B823" s="38" t="s">
        <v>1666</v>
      </c>
      <c r="C823" s="38" t="s">
        <v>1691</v>
      </c>
      <c r="D823" s="38">
        <v>1000003590</v>
      </c>
      <c r="E823" s="38" t="s">
        <v>1692</v>
      </c>
      <c r="F823" s="40">
        <v>45084</v>
      </c>
      <c r="G823" s="22" t="str">
        <f t="shared" si="168"/>
        <v>Targeted Dealer</v>
      </c>
      <c r="H823" s="22"/>
      <c r="I823" s="23">
        <v>80</v>
      </c>
      <c r="J823" s="23">
        <f t="shared" si="169"/>
        <v>80</v>
      </c>
      <c r="K823" s="24">
        <v>20</v>
      </c>
      <c r="L823" s="24">
        <f t="shared" si="170"/>
        <v>60</v>
      </c>
      <c r="M823" s="24">
        <f t="shared" si="171"/>
        <v>25</v>
      </c>
      <c r="N823" s="25">
        <v>5</v>
      </c>
      <c r="O823" s="26" t="str">
        <f t="shared" si="172"/>
        <v>June</v>
      </c>
      <c r="P823" s="25">
        <f t="shared" si="173"/>
        <v>5</v>
      </c>
      <c r="Q823" s="27">
        <f t="shared" si="174"/>
        <v>15</v>
      </c>
      <c r="R823" s="26" t="b">
        <f t="shared" si="175"/>
        <v>0</v>
      </c>
      <c r="S823" s="28" t="str">
        <f t="shared" si="176"/>
        <v>GROWTH</v>
      </c>
      <c r="T823" s="24">
        <v>20</v>
      </c>
      <c r="U823" s="29" t="str">
        <f t="shared" si="177"/>
        <v>May</v>
      </c>
      <c r="V823" s="24">
        <f t="shared" si="178"/>
        <v>20</v>
      </c>
      <c r="W823" s="30">
        <f t="shared" si="179"/>
        <v>0</v>
      </c>
      <c r="X823" s="31" t="b">
        <f t="shared" si="180"/>
        <v>0</v>
      </c>
      <c r="Y823" s="32" t="str">
        <f t="shared" si="181"/>
        <v>GROWTH</v>
      </c>
      <c r="Z823" s="41">
        <v>0</v>
      </c>
      <c r="AA823" s="36"/>
      <c r="AB823" s="36" t="s">
        <v>24</v>
      </c>
      <c r="AC823" s="36" t="s">
        <v>848</v>
      </c>
      <c r="AD823" s="34"/>
      <c r="AE823" s="35">
        <f>IFERROR(INDEX([1]Last6M_AvgSales_Ref!$B$2:$B$12659,MATCH(D823,[1]Last6M_AvgSales_Ref!$A$2:$A$12659,0)),"")</f>
        <v>17.1666666666667</v>
      </c>
    </row>
    <row r="824" spans="1:31" ht="14.25" customHeight="1" x14ac:dyDescent="0.3">
      <c r="A824" s="36" t="s">
        <v>848</v>
      </c>
      <c r="B824" s="38" t="s">
        <v>1666</v>
      </c>
      <c r="C824" s="38" t="s">
        <v>1693</v>
      </c>
      <c r="D824" s="38">
        <v>1000003818</v>
      </c>
      <c r="E824" s="38" t="s">
        <v>1694</v>
      </c>
      <c r="F824" s="43">
        <v>45301</v>
      </c>
      <c r="G824" s="22" t="str">
        <f t="shared" si="168"/>
        <v>Targeted Dealer</v>
      </c>
      <c r="H824" s="22"/>
      <c r="I824" s="23">
        <v>100</v>
      </c>
      <c r="J824" s="23">
        <f t="shared" si="169"/>
        <v>100</v>
      </c>
      <c r="K824" s="24">
        <v>7.5</v>
      </c>
      <c r="L824" s="24">
        <f t="shared" si="170"/>
        <v>92.5</v>
      </c>
      <c r="M824" s="24">
        <f t="shared" si="171"/>
        <v>7.5</v>
      </c>
      <c r="N824" s="25">
        <v>0</v>
      </c>
      <c r="O824" s="26" t="str">
        <f t="shared" si="172"/>
        <v>June</v>
      </c>
      <c r="P824" s="25">
        <f t="shared" si="173"/>
        <v>0</v>
      </c>
      <c r="Q824" s="27">
        <f t="shared" si="174"/>
        <v>7.5</v>
      </c>
      <c r="R824" s="26" t="b">
        <f t="shared" si="175"/>
        <v>0</v>
      </c>
      <c r="S824" s="28" t="b">
        <f t="shared" si="176"/>
        <v>0</v>
      </c>
      <c r="T824" s="24">
        <v>51.75</v>
      </c>
      <c r="U824" s="29" t="str">
        <f t="shared" si="177"/>
        <v>May</v>
      </c>
      <c r="V824" s="24">
        <f t="shared" si="178"/>
        <v>51.75</v>
      </c>
      <c r="W824" s="30">
        <f t="shared" si="179"/>
        <v>-44.25</v>
      </c>
      <c r="X824" s="31" t="b">
        <f t="shared" si="180"/>
        <v>0</v>
      </c>
      <c r="Y824" s="32" t="str">
        <f t="shared" si="181"/>
        <v>GROWTH</v>
      </c>
      <c r="Z824" s="41">
        <v>0</v>
      </c>
      <c r="AA824" s="36"/>
      <c r="AB824" s="36" t="s">
        <v>24</v>
      </c>
      <c r="AC824" s="36" t="s">
        <v>848</v>
      </c>
      <c r="AD824" s="34"/>
      <c r="AE824" s="35">
        <f>IFERROR(INDEX([1]Last6M_AvgSales_Ref!$B$2:$B$12659,MATCH(D824,[1]Last6M_AvgSales_Ref!$A$2:$A$12659,0)),"")</f>
        <v>14.4</v>
      </c>
    </row>
    <row r="825" spans="1:31" ht="14.25" customHeight="1" x14ac:dyDescent="0.3">
      <c r="A825" s="41" t="s">
        <v>848</v>
      </c>
      <c r="B825" s="44" t="s">
        <v>1666</v>
      </c>
      <c r="C825" s="44" t="s">
        <v>1695</v>
      </c>
      <c r="D825" s="44">
        <v>1000003871</v>
      </c>
      <c r="E825" s="44" t="s">
        <v>1696</v>
      </c>
      <c r="F825" s="40">
        <v>45349</v>
      </c>
      <c r="G825" s="22" t="str">
        <f t="shared" si="168"/>
        <v>Targeted Dealer</v>
      </c>
      <c r="H825" s="22"/>
      <c r="I825" s="23">
        <v>40</v>
      </c>
      <c r="J825" s="23">
        <f t="shared" si="169"/>
        <v>40</v>
      </c>
      <c r="K825" s="24">
        <v>0</v>
      </c>
      <c r="L825" s="24">
        <f t="shared" si="170"/>
        <v>40</v>
      </c>
      <c r="M825" s="24">
        <f t="shared" si="171"/>
        <v>0</v>
      </c>
      <c r="N825" s="25">
        <v>0</v>
      </c>
      <c r="O825" s="26" t="str">
        <f t="shared" si="172"/>
        <v>June</v>
      </c>
      <c r="P825" s="25">
        <f t="shared" si="173"/>
        <v>0</v>
      </c>
      <c r="Q825" s="27">
        <f t="shared" si="174"/>
        <v>0</v>
      </c>
      <c r="R825" s="26" t="b">
        <f t="shared" si="175"/>
        <v>0</v>
      </c>
      <c r="S825" s="28" t="b">
        <f t="shared" si="176"/>
        <v>0</v>
      </c>
      <c r="T825" s="24">
        <v>14.25</v>
      </c>
      <c r="U825" s="29" t="str">
        <f t="shared" si="177"/>
        <v>May</v>
      </c>
      <c r="V825" s="24">
        <f t="shared" si="178"/>
        <v>14.25</v>
      </c>
      <c r="W825" s="30">
        <f t="shared" si="179"/>
        <v>-14.25</v>
      </c>
      <c r="X825" s="31" t="b">
        <f t="shared" si="180"/>
        <v>0</v>
      </c>
      <c r="Y825" s="32" t="str">
        <f t="shared" si="181"/>
        <v>GROWTH</v>
      </c>
      <c r="Z825" s="41">
        <v>0</v>
      </c>
      <c r="AA825" s="36"/>
      <c r="AB825" s="36" t="s">
        <v>24</v>
      </c>
      <c r="AC825" s="41" t="s">
        <v>848</v>
      </c>
      <c r="AD825" s="34"/>
      <c r="AE825" s="35">
        <f>IFERROR(INDEX([1]Last6M_AvgSales_Ref!$B$2:$B$12659,MATCH(D825,[1]Last6M_AvgSales_Ref!$A$2:$A$12659,0)),"")</f>
        <v>3.4166666666666701</v>
      </c>
    </row>
    <row r="826" spans="1:31" ht="14.25" customHeight="1" x14ac:dyDescent="0.3">
      <c r="A826" s="41" t="s">
        <v>848</v>
      </c>
      <c r="B826" s="44" t="s">
        <v>1666</v>
      </c>
      <c r="C826" s="44" t="s">
        <v>1697</v>
      </c>
      <c r="D826" s="44">
        <v>1000003994</v>
      </c>
      <c r="E826" s="44" t="s">
        <v>1698</v>
      </c>
      <c r="F826" s="40">
        <v>45443</v>
      </c>
      <c r="G826" s="22" t="str">
        <f t="shared" si="168"/>
        <v>Targeted Dealer</v>
      </c>
      <c r="H826" s="22"/>
      <c r="I826" s="23">
        <v>90</v>
      </c>
      <c r="J826" s="23">
        <f t="shared" si="169"/>
        <v>90</v>
      </c>
      <c r="K826" s="24">
        <v>20</v>
      </c>
      <c r="L826" s="24">
        <f t="shared" si="170"/>
        <v>70</v>
      </c>
      <c r="M826" s="24">
        <f t="shared" si="171"/>
        <v>22.222222222222221</v>
      </c>
      <c r="N826" s="25">
        <v>20</v>
      </c>
      <c r="O826" s="26" t="str">
        <f t="shared" si="172"/>
        <v>June</v>
      </c>
      <c r="P826" s="25">
        <f t="shared" si="173"/>
        <v>20</v>
      </c>
      <c r="Q826" s="27">
        <f t="shared" si="174"/>
        <v>0</v>
      </c>
      <c r="R826" s="26" t="b">
        <f t="shared" si="175"/>
        <v>0</v>
      </c>
      <c r="S826" s="28" t="str">
        <f t="shared" si="176"/>
        <v>GROWTH</v>
      </c>
      <c r="T826" s="24">
        <v>30</v>
      </c>
      <c r="U826" s="29" t="str">
        <f t="shared" si="177"/>
        <v>May</v>
      </c>
      <c r="V826" s="24">
        <f t="shared" si="178"/>
        <v>30</v>
      </c>
      <c r="W826" s="30">
        <f t="shared" si="179"/>
        <v>-10</v>
      </c>
      <c r="X826" s="31" t="b">
        <f t="shared" si="180"/>
        <v>0</v>
      </c>
      <c r="Y826" s="32" t="str">
        <f t="shared" si="181"/>
        <v>GROWTH</v>
      </c>
      <c r="Z826" s="41">
        <v>0</v>
      </c>
      <c r="AA826" s="36"/>
      <c r="AB826" s="36" t="s">
        <v>24</v>
      </c>
      <c r="AC826" s="41" t="s">
        <v>848</v>
      </c>
      <c r="AD826" s="34"/>
      <c r="AE826" s="35">
        <f>IFERROR(INDEX([1]Last6M_AvgSales_Ref!$B$2:$B$12659,MATCH(D826,[1]Last6M_AvgSales_Ref!$A$2:$A$12659,0)),"")</f>
        <v>27.0833333333333</v>
      </c>
    </row>
    <row r="827" spans="1:31" ht="14.25" customHeight="1" x14ac:dyDescent="0.3">
      <c r="A827" s="41" t="s">
        <v>848</v>
      </c>
      <c r="B827" s="44" t="s">
        <v>1666</v>
      </c>
      <c r="C827" s="44" t="s">
        <v>1699</v>
      </c>
      <c r="D827" s="44">
        <v>1000004004</v>
      </c>
      <c r="E827" s="44" t="s">
        <v>1700</v>
      </c>
      <c r="F827" s="40">
        <v>45450</v>
      </c>
      <c r="G827" s="22" t="str">
        <f t="shared" si="168"/>
        <v>Targeted Dealer</v>
      </c>
      <c r="H827" s="22"/>
      <c r="I827" s="23">
        <v>1420</v>
      </c>
      <c r="J827" s="23">
        <f t="shared" si="169"/>
        <v>1420</v>
      </c>
      <c r="K827" s="24">
        <v>648</v>
      </c>
      <c r="L827" s="24">
        <f t="shared" si="170"/>
        <v>772</v>
      </c>
      <c r="M827" s="24">
        <f t="shared" si="171"/>
        <v>45.633802816901408</v>
      </c>
      <c r="N827" s="25">
        <v>651.04999999999995</v>
      </c>
      <c r="O827" s="26" t="str">
        <f t="shared" si="172"/>
        <v>June</v>
      </c>
      <c r="P827" s="25">
        <f t="shared" si="173"/>
        <v>651.04999999999995</v>
      </c>
      <c r="Q827" s="27">
        <f t="shared" si="174"/>
        <v>-3.0499999999999545</v>
      </c>
      <c r="R827" s="26" t="b">
        <f t="shared" si="175"/>
        <v>0</v>
      </c>
      <c r="S827" s="28" t="str">
        <f t="shared" si="176"/>
        <v>GROWTH</v>
      </c>
      <c r="T827" s="24">
        <v>603</v>
      </c>
      <c r="U827" s="29" t="str">
        <f t="shared" si="177"/>
        <v>May</v>
      </c>
      <c r="V827" s="24">
        <f t="shared" si="178"/>
        <v>603</v>
      </c>
      <c r="W827" s="30">
        <f t="shared" si="179"/>
        <v>45</v>
      </c>
      <c r="X827" s="31" t="b">
        <f t="shared" si="180"/>
        <v>0</v>
      </c>
      <c r="Y827" s="32" t="str">
        <f t="shared" si="181"/>
        <v>GROWTH</v>
      </c>
      <c r="Z827" s="41">
        <v>0</v>
      </c>
      <c r="AA827" s="36"/>
      <c r="AB827" s="36" t="s">
        <v>24</v>
      </c>
      <c r="AC827" s="41" t="s">
        <v>848</v>
      </c>
      <c r="AD827" s="34"/>
      <c r="AE827" s="35">
        <f>IFERROR(INDEX([1]Last6M_AvgSales_Ref!$B$2:$B$12659,MATCH(D827,[1]Last6M_AvgSales_Ref!$A$2:$A$12659,0)),"")</f>
        <v>744.3</v>
      </c>
    </row>
    <row r="828" spans="1:31" ht="14.25" customHeight="1" x14ac:dyDescent="0.3">
      <c r="A828" s="41" t="s">
        <v>848</v>
      </c>
      <c r="B828" s="44" t="s">
        <v>1666</v>
      </c>
      <c r="C828" s="44" t="s">
        <v>1701</v>
      </c>
      <c r="D828" s="44">
        <v>1000004068</v>
      </c>
      <c r="E828" s="44" t="s">
        <v>1081</v>
      </c>
      <c r="F828" s="40">
        <v>45503</v>
      </c>
      <c r="G828" s="22" t="str">
        <f t="shared" si="168"/>
        <v>Targeted Dealer</v>
      </c>
      <c r="H828" s="22"/>
      <c r="I828" s="23">
        <v>440</v>
      </c>
      <c r="J828" s="23">
        <f t="shared" si="169"/>
        <v>440</v>
      </c>
      <c r="K828" s="24">
        <v>150.25</v>
      </c>
      <c r="L828" s="24">
        <f t="shared" si="170"/>
        <v>289.75</v>
      </c>
      <c r="M828" s="24">
        <f t="shared" si="171"/>
        <v>34.147727272727273</v>
      </c>
      <c r="N828" s="25">
        <v>141.55000000000001</v>
      </c>
      <c r="O828" s="26" t="str">
        <f t="shared" si="172"/>
        <v>June</v>
      </c>
      <c r="P828" s="25">
        <f t="shared" si="173"/>
        <v>141.55000000000001</v>
      </c>
      <c r="Q828" s="27">
        <f t="shared" si="174"/>
        <v>8.6999999999999886</v>
      </c>
      <c r="R828" s="26" t="b">
        <f t="shared" si="175"/>
        <v>0</v>
      </c>
      <c r="S828" s="28" t="str">
        <f t="shared" si="176"/>
        <v>GROWTH</v>
      </c>
      <c r="T828" s="24">
        <v>126</v>
      </c>
      <c r="U828" s="29" t="str">
        <f t="shared" si="177"/>
        <v>May</v>
      </c>
      <c r="V828" s="24">
        <f t="shared" si="178"/>
        <v>126</v>
      </c>
      <c r="W828" s="30">
        <f t="shared" si="179"/>
        <v>24.25</v>
      </c>
      <c r="X828" s="31" t="b">
        <f t="shared" si="180"/>
        <v>0</v>
      </c>
      <c r="Y828" s="32" t="str">
        <f t="shared" si="181"/>
        <v>GROWTH</v>
      </c>
      <c r="Z828" s="41">
        <v>0</v>
      </c>
      <c r="AA828" s="36"/>
      <c r="AB828" s="36" t="s">
        <v>24</v>
      </c>
      <c r="AC828" s="41" t="s">
        <v>848</v>
      </c>
      <c r="AD828" s="34"/>
      <c r="AE828" s="35">
        <f>IFERROR(INDEX([1]Last6M_AvgSales_Ref!$B$2:$B$12659,MATCH(D828,[1]Last6M_AvgSales_Ref!$A$2:$A$12659,0)),"")</f>
        <v>215.333333333333</v>
      </c>
    </row>
    <row r="829" spans="1:31" ht="14.25" customHeight="1" x14ac:dyDescent="0.3">
      <c r="A829" s="36" t="s">
        <v>848</v>
      </c>
      <c r="B829" s="38" t="s">
        <v>1702</v>
      </c>
      <c r="C829" s="38" t="s">
        <v>1703</v>
      </c>
      <c r="D829" s="38">
        <v>1000000598</v>
      </c>
      <c r="E829" s="39" t="s">
        <v>1704</v>
      </c>
      <c r="F829" s="40">
        <v>38976</v>
      </c>
      <c r="G829" s="22" t="str">
        <f t="shared" si="168"/>
        <v>Targeted Dealer</v>
      </c>
      <c r="H829" s="22"/>
      <c r="I829" s="23">
        <v>100</v>
      </c>
      <c r="J829" s="23">
        <f t="shared" si="169"/>
        <v>100</v>
      </c>
      <c r="K829" s="24">
        <v>0</v>
      </c>
      <c r="L829" s="24">
        <f t="shared" si="170"/>
        <v>100</v>
      </c>
      <c r="M829" s="24">
        <f t="shared" si="171"/>
        <v>0</v>
      </c>
      <c r="N829" s="25">
        <v>66.5</v>
      </c>
      <c r="O829" s="26" t="str">
        <f t="shared" si="172"/>
        <v>June</v>
      </c>
      <c r="P829" s="25">
        <f t="shared" si="173"/>
        <v>66.5</v>
      </c>
      <c r="Q829" s="27">
        <f t="shared" si="174"/>
        <v>-66.5</v>
      </c>
      <c r="R829" s="26" t="b">
        <f t="shared" si="175"/>
        <v>0</v>
      </c>
      <c r="S829" s="28" t="str">
        <f t="shared" si="176"/>
        <v>GROWTH</v>
      </c>
      <c r="T829" s="24">
        <v>42</v>
      </c>
      <c r="U829" s="29" t="str">
        <f t="shared" si="177"/>
        <v>May</v>
      </c>
      <c r="V829" s="24">
        <f t="shared" si="178"/>
        <v>42</v>
      </c>
      <c r="W829" s="30">
        <f t="shared" si="179"/>
        <v>-42</v>
      </c>
      <c r="X829" s="31" t="b">
        <f t="shared" si="180"/>
        <v>0</v>
      </c>
      <c r="Y829" s="32" t="str">
        <f t="shared" si="181"/>
        <v>GROWTH</v>
      </c>
      <c r="Z829" s="41">
        <v>0</v>
      </c>
      <c r="AA829" s="36"/>
      <c r="AB829" s="36" t="s">
        <v>24</v>
      </c>
      <c r="AC829" s="36" t="s">
        <v>848</v>
      </c>
      <c r="AD829" s="34"/>
      <c r="AE829" s="35">
        <f>IFERROR(INDEX([1]Last6M_AvgSales_Ref!$B$2:$B$12659,MATCH(D829,[1]Last6M_AvgSales_Ref!$A$2:$A$12659,0)),"")</f>
        <v>38.75</v>
      </c>
    </row>
    <row r="830" spans="1:31" ht="14.25" customHeight="1" x14ac:dyDescent="0.3">
      <c r="A830" s="36" t="s">
        <v>848</v>
      </c>
      <c r="B830" s="38" t="s">
        <v>1702</v>
      </c>
      <c r="C830" s="38" t="s">
        <v>1705</v>
      </c>
      <c r="D830" s="38">
        <v>1000000587</v>
      </c>
      <c r="E830" s="39" t="s">
        <v>1706</v>
      </c>
      <c r="F830" s="40">
        <v>40024</v>
      </c>
      <c r="G830" s="22" t="str">
        <f t="shared" si="168"/>
        <v>Targeted Dealer</v>
      </c>
      <c r="H830" s="22"/>
      <c r="I830" s="23">
        <v>140</v>
      </c>
      <c r="J830" s="23">
        <f t="shared" si="169"/>
        <v>140</v>
      </c>
      <c r="K830" s="24">
        <v>70</v>
      </c>
      <c r="L830" s="24">
        <f t="shared" si="170"/>
        <v>70</v>
      </c>
      <c r="M830" s="24">
        <f t="shared" si="171"/>
        <v>50</v>
      </c>
      <c r="N830" s="25">
        <v>63</v>
      </c>
      <c r="O830" s="26" t="str">
        <f t="shared" si="172"/>
        <v>June</v>
      </c>
      <c r="P830" s="25">
        <f t="shared" si="173"/>
        <v>63</v>
      </c>
      <c r="Q830" s="27">
        <f t="shared" si="174"/>
        <v>7</v>
      </c>
      <c r="R830" s="26" t="b">
        <f t="shared" si="175"/>
        <v>0</v>
      </c>
      <c r="S830" s="28" t="str">
        <f t="shared" si="176"/>
        <v>GROWTH</v>
      </c>
      <c r="T830" s="24">
        <v>64</v>
      </c>
      <c r="U830" s="29" t="str">
        <f t="shared" si="177"/>
        <v>May</v>
      </c>
      <c r="V830" s="24">
        <f t="shared" si="178"/>
        <v>64</v>
      </c>
      <c r="W830" s="30">
        <f t="shared" si="179"/>
        <v>6</v>
      </c>
      <c r="X830" s="31" t="b">
        <f t="shared" si="180"/>
        <v>0</v>
      </c>
      <c r="Y830" s="32" t="str">
        <f t="shared" si="181"/>
        <v>GROWTH</v>
      </c>
      <c r="Z830" s="41">
        <v>0</v>
      </c>
      <c r="AA830" s="36"/>
      <c r="AB830" s="36" t="s">
        <v>24</v>
      </c>
      <c r="AC830" s="36" t="s">
        <v>848</v>
      </c>
      <c r="AD830" s="34"/>
      <c r="AE830" s="35">
        <f>IFERROR(INDEX([1]Last6M_AvgSales_Ref!$B$2:$B$12659,MATCH(D830,[1]Last6M_AvgSales_Ref!$A$2:$A$12659,0)),"")</f>
        <v>62.5</v>
      </c>
    </row>
    <row r="831" spans="1:31" ht="14.25" customHeight="1" x14ac:dyDescent="0.3">
      <c r="A831" s="36" t="s">
        <v>848</v>
      </c>
      <c r="B831" s="38" t="s">
        <v>1702</v>
      </c>
      <c r="C831" s="38" t="s">
        <v>1707</v>
      </c>
      <c r="D831" s="38">
        <v>1000000591</v>
      </c>
      <c r="E831" s="39" t="s">
        <v>1708</v>
      </c>
      <c r="F831" s="40">
        <v>41132</v>
      </c>
      <c r="G831" s="22" t="str">
        <f t="shared" si="168"/>
        <v>Targeted Dealer</v>
      </c>
      <c r="H831" s="22"/>
      <c r="I831" s="23">
        <v>50</v>
      </c>
      <c r="J831" s="23">
        <f t="shared" si="169"/>
        <v>50</v>
      </c>
      <c r="K831" s="24">
        <v>19</v>
      </c>
      <c r="L831" s="24">
        <f t="shared" si="170"/>
        <v>31</v>
      </c>
      <c r="M831" s="24">
        <f t="shared" si="171"/>
        <v>38</v>
      </c>
      <c r="N831" s="25">
        <v>35</v>
      </c>
      <c r="O831" s="26" t="str">
        <f t="shared" si="172"/>
        <v>June</v>
      </c>
      <c r="P831" s="25">
        <f t="shared" si="173"/>
        <v>35</v>
      </c>
      <c r="Q831" s="27">
        <f t="shared" si="174"/>
        <v>-16</v>
      </c>
      <c r="R831" s="26" t="b">
        <f t="shared" si="175"/>
        <v>0</v>
      </c>
      <c r="S831" s="28" t="str">
        <f t="shared" si="176"/>
        <v>GROWTH</v>
      </c>
      <c r="T831" s="24">
        <v>24.5</v>
      </c>
      <c r="U831" s="29" t="str">
        <f t="shared" si="177"/>
        <v>May</v>
      </c>
      <c r="V831" s="24">
        <f t="shared" si="178"/>
        <v>24.5</v>
      </c>
      <c r="W831" s="30">
        <f t="shared" si="179"/>
        <v>-5.5</v>
      </c>
      <c r="X831" s="31" t="b">
        <f t="shared" si="180"/>
        <v>0</v>
      </c>
      <c r="Y831" s="32" t="str">
        <f t="shared" si="181"/>
        <v>GROWTH</v>
      </c>
      <c r="Z831" s="41">
        <v>0</v>
      </c>
      <c r="AA831" s="36"/>
      <c r="AB831" s="36" t="s">
        <v>24</v>
      </c>
      <c r="AC831" s="36" t="s">
        <v>848</v>
      </c>
      <c r="AD831" s="34"/>
      <c r="AE831" s="35">
        <f>IFERROR(INDEX([1]Last6M_AvgSales_Ref!$B$2:$B$12659,MATCH(D831,[1]Last6M_AvgSales_Ref!$A$2:$A$12659,0)),"")</f>
        <v>53.3333333333333</v>
      </c>
    </row>
    <row r="832" spans="1:31" ht="14.25" customHeight="1" x14ac:dyDescent="0.3">
      <c r="A832" s="36" t="s">
        <v>848</v>
      </c>
      <c r="B832" s="38" t="s">
        <v>1702</v>
      </c>
      <c r="C832" s="38" t="s">
        <v>1709</v>
      </c>
      <c r="D832" s="38">
        <v>1000000589</v>
      </c>
      <c r="E832" s="39" t="s">
        <v>1710</v>
      </c>
      <c r="F832" s="40">
        <v>41499</v>
      </c>
      <c r="G832" s="22" t="str">
        <f t="shared" si="168"/>
        <v>Targeted Dealer</v>
      </c>
      <c r="H832" s="22"/>
      <c r="I832" s="23">
        <v>50</v>
      </c>
      <c r="J832" s="23">
        <f t="shared" si="169"/>
        <v>50</v>
      </c>
      <c r="K832" s="24">
        <v>4.5</v>
      </c>
      <c r="L832" s="24">
        <f t="shared" si="170"/>
        <v>45.5</v>
      </c>
      <c r="M832" s="24">
        <f t="shared" si="171"/>
        <v>9</v>
      </c>
      <c r="N832" s="25">
        <v>5</v>
      </c>
      <c r="O832" s="26" t="str">
        <f t="shared" si="172"/>
        <v>June</v>
      </c>
      <c r="P832" s="25">
        <f t="shared" si="173"/>
        <v>5</v>
      </c>
      <c r="Q832" s="27">
        <f t="shared" si="174"/>
        <v>-0.5</v>
      </c>
      <c r="R832" s="26" t="b">
        <f t="shared" si="175"/>
        <v>0</v>
      </c>
      <c r="S832" s="28" t="str">
        <f t="shared" si="176"/>
        <v>GROWTH</v>
      </c>
      <c r="T832" s="24">
        <v>25</v>
      </c>
      <c r="U832" s="29" t="str">
        <f t="shared" si="177"/>
        <v>May</v>
      </c>
      <c r="V832" s="24">
        <f t="shared" si="178"/>
        <v>25</v>
      </c>
      <c r="W832" s="30">
        <f t="shared" si="179"/>
        <v>-20.5</v>
      </c>
      <c r="X832" s="31" t="b">
        <f t="shared" si="180"/>
        <v>0</v>
      </c>
      <c r="Y832" s="32" t="str">
        <f t="shared" si="181"/>
        <v>GROWTH</v>
      </c>
      <c r="Z832" s="41">
        <v>0</v>
      </c>
      <c r="AA832" s="36"/>
      <c r="AB832" s="36" t="s">
        <v>24</v>
      </c>
      <c r="AC832" s="36" t="s">
        <v>848</v>
      </c>
      <c r="AD832" s="34"/>
      <c r="AE832" s="35">
        <f>IFERROR(INDEX([1]Last6M_AvgSales_Ref!$B$2:$B$12659,MATCH(D832,[1]Last6M_AvgSales_Ref!$A$2:$A$12659,0)),"")</f>
        <v>29.0416666666667</v>
      </c>
    </row>
    <row r="833" spans="1:31" ht="14.25" customHeight="1" x14ac:dyDescent="0.3">
      <c r="A833" s="36" t="s">
        <v>848</v>
      </c>
      <c r="B833" s="38" t="s">
        <v>1702</v>
      </c>
      <c r="C833" s="38" t="s">
        <v>1711</v>
      </c>
      <c r="D833" s="38">
        <v>1000000597</v>
      </c>
      <c r="E833" s="39" t="s">
        <v>1712</v>
      </c>
      <c r="F833" s="40">
        <v>42558</v>
      </c>
      <c r="G833" s="22" t="str">
        <f t="shared" si="168"/>
        <v>Targeted Dealer</v>
      </c>
      <c r="H833" s="22"/>
      <c r="I833" s="23">
        <v>80</v>
      </c>
      <c r="J833" s="23">
        <f t="shared" si="169"/>
        <v>80</v>
      </c>
      <c r="K833" s="24">
        <v>58</v>
      </c>
      <c r="L833" s="24">
        <f t="shared" si="170"/>
        <v>22</v>
      </c>
      <c r="M833" s="24">
        <f t="shared" si="171"/>
        <v>72.5</v>
      </c>
      <c r="N833" s="25">
        <v>58</v>
      </c>
      <c r="O833" s="26" t="str">
        <f t="shared" si="172"/>
        <v>June</v>
      </c>
      <c r="P833" s="25">
        <f t="shared" si="173"/>
        <v>58</v>
      </c>
      <c r="Q833" s="27">
        <f t="shared" si="174"/>
        <v>0</v>
      </c>
      <c r="R833" s="26" t="b">
        <f t="shared" si="175"/>
        <v>0</v>
      </c>
      <c r="S833" s="28" t="str">
        <f t="shared" si="176"/>
        <v>GROWTH</v>
      </c>
      <c r="T833" s="24">
        <v>39</v>
      </c>
      <c r="U833" s="29" t="str">
        <f t="shared" si="177"/>
        <v>May</v>
      </c>
      <c r="V833" s="24">
        <f t="shared" si="178"/>
        <v>39</v>
      </c>
      <c r="W833" s="30">
        <f t="shared" si="179"/>
        <v>19</v>
      </c>
      <c r="X833" s="31" t="b">
        <f t="shared" si="180"/>
        <v>0</v>
      </c>
      <c r="Y833" s="32" t="str">
        <f t="shared" si="181"/>
        <v>GROWTH</v>
      </c>
      <c r="Z833" s="41">
        <v>0</v>
      </c>
      <c r="AA833" s="36"/>
      <c r="AB833" s="36" t="s">
        <v>24</v>
      </c>
      <c r="AC833" s="36" t="s">
        <v>848</v>
      </c>
      <c r="AD833" s="34"/>
      <c r="AE833" s="35">
        <f>IFERROR(INDEX([1]Last6M_AvgSales_Ref!$B$2:$B$12659,MATCH(D833,[1]Last6M_AvgSales_Ref!$A$2:$A$12659,0)),"")</f>
        <v>36.6666666666667</v>
      </c>
    </row>
    <row r="834" spans="1:31" ht="14.25" customHeight="1" x14ac:dyDescent="0.3">
      <c r="A834" s="36" t="s">
        <v>848</v>
      </c>
      <c r="B834" s="38" t="s">
        <v>1702</v>
      </c>
      <c r="C834" s="38" t="s">
        <v>1713</v>
      </c>
      <c r="D834" s="38">
        <v>1000000593</v>
      </c>
      <c r="E834" s="39" t="s">
        <v>1714</v>
      </c>
      <c r="F834" s="40">
        <v>42746</v>
      </c>
      <c r="G834" s="22" t="str">
        <f t="shared" si="168"/>
        <v>Targeted Dealer</v>
      </c>
      <c r="H834" s="22"/>
      <c r="I834" s="23">
        <v>80</v>
      </c>
      <c r="J834" s="23">
        <f t="shared" si="169"/>
        <v>80</v>
      </c>
      <c r="K834" s="24">
        <v>76</v>
      </c>
      <c r="L834" s="24">
        <f t="shared" si="170"/>
        <v>4</v>
      </c>
      <c r="M834" s="24">
        <f t="shared" si="171"/>
        <v>95</v>
      </c>
      <c r="N834" s="25">
        <v>57</v>
      </c>
      <c r="O834" s="26" t="str">
        <f t="shared" si="172"/>
        <v>June</v>
      </c>
      <c r="P834" s="25">
        <f t="shared" si="173"/>
        <v>57</v>
      </c>
      <c r="Q834" s="27">
        <f t="shared" si="174"/>
        <v>19</v>
      </c>
      <c r="R834" s="26" t="b">
        <f t="shared" si="175"/>
        <v>0</v>
      </c>
      <c r="S834" s="28" t="str">
        <f t="shared" si="176"/>
        <v>GROWTH</v>
      </c>
      <c r="T834" s="24">
        <v>19</v>
      </c>
      <c r="U834" s="29" t="str">
        <f t="shared" si="177"/>
        <v>May</v>
      </c>
      <c r="V834" s="24">
        <f t="shared" si="178"/>
        <v>19</v>
      </c>
      <c r="W834" s="30">
        <f t="shared" si="179"/>
        <v>57</v>
      </c>
      <c r="X834" s="31" t="b">
        <f t="shared" si="180"/>
        <v>0</v>
      </c>
      <c r="Y834" s="32" t="str">
        <f t="shared" si="181"/>
        <v>GROWTH</v>
      </c>
      <c r="Z834" s="41">
        <v>0</v>
      </c>
      <c r="AA834" s="36"/>
      <c r="AB834" s="36" t="s">
        <v>24</v>
      </c>
      <c r="AC834" s="36" t="s">
        <v>848</v>
      </c>
      <c r="AD834" s="34"/>
      <c r="AE834" s="35">
        <f>IFERROR(INDEX([1]Last6M_AvgSales_Ref!$B$2:$B$12659,MATCH(D834,[1]Last6M_AvgSales_Ref!$A$2:$A$12659,0)),"")</f>
        <v>76.3333333333333</v>
      </c>
    </row>
    <row r="835" spans="1:31" ht="14.25" customHeight="1" x14ac:dyDescent="0.3">
      <c r="A835" s="36" t="s">
        <v>848</v>
      </c>
      <c r="B835" s="38" t="s">
        <v>1702</v>
      </c>
      <c r="C835" s="38" t="s">
        <v>1715</v>
      </c>
      <c r="D835" s="38">
        <v>1000000594</v>
      </c>
      <c r="E835" s="39" t="s">
        <v>1716</v>
      </c>
      <c r="F835" s="40">
        <v>42945</v>
      </c>
      <c r="G835" s="22" t="str">
        <f t="shared" ref="G835:G898" si="182">IF(I835&gt;0,"Targeted Dealer","-")</f>
        <v>Targeted Dealer</v>
      </c>
      <c r="H835" s="22"/>
      <c r="I835" s="23">
        <v>370</v>
      </c>
      <c r="J835" s="23">
        <f t="shared" ref="J835:J898" si="183">I835/$J$1*($J$1-$E$1)</f>
        <v>370</v>
      </c>
      <c r="K835" s="24">
        <v>333</v>
      </c>
      <c r="L835" s="24">
        <f t="shared" ref="L835:L898" si="184">I835-K835</f>
        <v>37</v>
      </c>
      <c r="M835" s="24">
        <f t="shared" ref="M835:M898" si="185">IFERROR((K835/J835%),"-")</f>
        <v>90</v>
      </c>
      <c r="N835" s="25">
        <v>302</v>
      </c>
      <c r="O835" s="26" t="str">
        <f t="shared" ref="O835:O898" si="186">IF(F835&lt;=$P$2,"June","")</f>
        <v>June</v>
      </c>
      <c r="P835" s="25">
        <f t="shared" ref="P835:P898" si="187">N835</f>
        <v>302</v>
      </c>
      <c r="Q835" s="27">
        <f t="shared" ref="Q835:Q898" si="188">K835-P835</f>
        <v>31</v>
      </c>
      <c r="R835" s="26" t="b">
        <f t="shared" ref="R835:R898" si="189">IFERROR(IF(O835="May",(K835/P835-1))," ")</f>
        <v>0</v>
      </c>
      <c r="S835" s="28" t="str">
        <f t="shared" ref="S835:S898" si="190">IF(N835&gt;0,IF(O835="","-",IF(R835&lt;0%,"DEGROWTH","GROWTH")))</f>
        <v>GROWTH</v>
      </c>
      <c r="T835" s="24">
        <v>132</v>
      </c>
      <c r="U835" s="29" t="str">
        <f t="shared" ref="U835:U898" si="191">IF(F835&lt;=$V$2,"May","")</f>
        <v>May</v>
      </c>
      <c r="V835" s="24">
        <f t="shared" ref="V835:V898" si="192">T835</f>
        <v>132</v>
      </c>
      <c r="W835" s="30">
        <f t="shared" ref="W835:W898" si="193">K835-V835</f>
        <v>201</v>
      </c>
      <c r="X835" s="31" t="b">
        <f t="shared" ref="X835:X898" si="194">IFERROR(IF(U835="June",(K835/V835-1)),0)</f>
        <v>0</v>
      </c>
      <c r="Y835" s="32" t="str">
        <f t="shared" ref="Y835:Y898" si="195">IF(T835&gt;0,IF(U835="","-",IF(X835&lt;0%,"DEGROWTH","GROWTH")))</f>
        <v>GROWTH</v>
      </c>
      <c r="Z835" s="41">
        <v>0</v>
      </c>
      <c r="AA835" s="36"/>
      <c r="AB835" s="36" t="s">
        <v>24</v>
      </c>
      <c r="AC835" s="36" t="s">
        <v>848</v>
      </c>
      <c r="AD835" s="34"/>
      <c r="AE835" s="35">
        <f>IFERROR(INDEX([1]Last6M_AvgSales_Ref!$B$2:$B$12659,MATCH(D835,[1]Last6M_AvgSales_Ref!$A$2:$A$12659,0)),"")</f>
        <v>178.49166666666699</v>
      </c>
    </row>
    <row r="836" spans="1:31" ht="14.25" customHeight="1" x14ac:dyDescent="0.3">
      <c r="A836" s="36" t="s">
        <v>848</v>
      </c>
      <c r="B836" s="38" t="s">
        <v>1702</v>
      </c>
      <c r="C836" s="38" t="s">
        <v>1717</v>
      </c>
      <c r="D836" s="38">
        <v>1000000582</v>
      </c>
      <c r="E836" s="39" t="s">
        <v>1718</v>
      </c>
      <c r="F836" s="40">
        <v>43014</v>
      </c>
      <c r="G836" s="22" t="str">
        <f t="shared" si="182"/>
        <v>Targeted Dealer</v>
      </c>
      <c r="H836" s="22"/>
      <c r="I836" s="23">
        <v>76</v>
      </c>
      <c r="J836" s="23">
        <f t="shared" si="183"/>
        <v>76</v>
      </c>
      <c r="K836" s="24">
        <v>19</v>
      </c>
      <c r="L836" s="24">
        <f t="shared" si="184"/>
        <v>57</v>
      </c>
      <c r="M836" s="24">
        <f t="shared" si="185"/>
        <v>25</v>
      </c>
      <c r="N836" s="25">
        <v>19</v>
      </c>
      <c r="O836" s="26" t="str">
        <f t="shared" si="186"/>
        <v>June</v>
      </c>
      <c r="P836" s="25">
        <f t="shared" si="187"/>
        <v>19</v>
      </c>
      <c r="Q836" s="27">
        <f t="shared" si="188"/>
        <v>0</v>
      </c>
      <c r="R836" s="26" t="b">
        <f t="shared" si="189"/>
        <v>0</v>
      </c>
      <c r="S836" s="28" t="str">
        <f t="shared" si="190"/>
        <v>GROWTH</v>
      </c>
      <c r="T836" s="24">
        <v>33</v>
      </c>
      <c r="U836" s="29" t="str">
        <f t="shared" si="191"/>
        <v>May</v>
      </c>
      <c r="V836" s="24">
        <f t="shared" si="192"/>
        <v>33</v>
      </c>
      <c r="W836" s="30">
        <f t="shared" si="193"/>
        <v>-14</v>
      </c>
      <c r="X836" s="31" t="b">
        <f t="shared" si="194"/>
        <v>0</v>
      </c>
      <c r="Y836" s="32" t="str">
        <f t="shared" si="195"/>
        <v>GROWTH</v>
      </c>
      <c r="Z836" s="41">
        <v>0</v>
      </c>
      <c r="AA836" s="36"/>
      <c r="AB836" s="36" t="s">
        <v>24</v>
      </c>
      <c r="AC836" s="36" t="s">
        <v>848</v>
      </c>
      <c r="AD836" s="34"/>
      <c r="AE836" s="35">
        <f>IFERROR(INDEX([1]Last6M_AvgSales_Ref!$B$2:$B$12659,MATCH(D836,[1]Last6M_AvgSales_Ref!$A$2:$A$12659,0)),"")</f>
        <v>15.5833333333333</v>
      </c>
    </row>
    <row r="837" spans="1:31" ht="14.25" customHeight="1" x14ac:dyDescent="0.3">
      <c r="A837" s="36" t="s">
        <v>848</v>
      </c>
      <c r="B837" s="38" t="s">
        <v>1702</v>
      </c>
      <c r="C837" s="38" t="s">
        <v>1719</v>
      </c>
      <c r="D837" s="38">
        <v>1000000583</v>
      </c>
      <c r="E837" s="39" t="s">
        <v>1720</v>
      </c>
      <c r="F837" s="40">
        <v>43014</v>
      </c>
      <c r="G837" s="22" t="str">
        <f t="shared" si="182"/>
        <v>Targeted Dealer</v>
      </c>
      <c r="H837" s="22"/>
      <c r="I837" s="23">
        <v>40</v>
      </c>
      <c r="J837" s="23">
        <f t="shared" si="183"/>
        <v>40</v>
      </c>
      <c r="K837" s="24">
        <v>2</v>
      </c>
      <c r="L837" s="24">
        <f t="shared" si="184"/>
        <v>38</v>
      </c>
      <c r="M837" s="24">
        <f t="shared" si="185"/>
        <v>5</v>
      </c>
      <c r="N837" s="25">
        <v>0</v>
      </c>
      <c r="O837" s="26" t="str">
        <f t="shared" si="186"/>
        <v>June</v>
      </c>
      <c r="P837" s="25">
        <f t="shared" si="187"/>
        <v>0</v>
      </c>
      <c r="Q837" s="27">
        <f t="shared" si="188"/>
        <v>2</v>
      </c>
      <c r="R837" s="26" t="b">
        <f t="shared" si="189"/>
        <v>0</v>
      </c>
      <c r="S837" s="28" t="b">
        <f t="shared" si="190"/>
        <v>0</v>
      </c>
      <c r="T837" s="24">
        <v>0</v>
      </c>
      <c r="U837" s="29" t="str">
        <f t="shared" si="191"/>
        <v>May</v>
      </c>
      <c r="V837" s="24">
        <f t="shared" si="192"/>
        <v>0</v>
      </c>
      <c r="W837" s="30">
        <f t="shared" si="193"/>
        <v>2</v>
      </c>
      <c r="X837" s="31" t="b">
        <f t="shared" si="194"/>
        <v>0</v>
      </c>
      <c r="Y837" s="32" t="b">
        <f t="shared" si="195"/>
        <v>0</v>
      </c>
      <c r="Z837" s="41">
        <v>0</v>
      </c>
      <c r="AA837" s="36"/>
      <c r="AB837" s="36" t="s">
        <v>24</v>
      </c>
      <c r="AC837" s="36" t="s">
        <v>848</v>
      </c>
      <c r="AD837" s="34"/>
      <c r="AE837" s="35">
        <f>IFERROR(INDEX([1]Last6M_AvgSales_Ref!$B$2:$B$12659,MATCH(D837,[1]Last6M_AvgSales_Ref!$A$2:$A$12659,0)),"")</f>
        <v>3.3333333333333299</v>
      </c>
    </row>
    <row r="838" spans="1:31" ht="14.25" customHeight="1" x14ac:dyDescent="0.3">
      <c r="A838" s="36" t="s">
        <v>848</v>
      </c>
      <c r="B838" s="38" t="s">
        <v>1702</v>
      </c>
      <c r="C838" s="38" t="s">
        <v>1721</v>
      </c>
      <c r="D838" s="38">
        <v>1000000584</v>
      </c>
      <c r="E838" s="39" t="s">
        <v>1722</v>
      </c>
      <c r="F838" s="40">
        <v>43089</v>
      </c>
      <c r="G838" s="22" t="str">
        <f t="shared" si="182"/>
        <v>Targeted Dealer</v>
      </c>
      <c r="H838" s="22"/>
      <c r="I838" s="23">
        <v>80</v>
      </c>
      <c r="J838" s="23">
        <f t="shared" si="183"/>
        <v>80</v>
      </c>
      <c r="K838" s="24">
        <v>50</v>
      </c>
      <c r="L838" s="24">
        <f t="shared" si="184"/>
        <v>30</v>
      </c>
      <c r="M838" s="24">
        <f t="shared" si="185"/>
        <v>62.5</v>
      </c>
      <c r="N838" s="25">
        <v>50</v>
      </c>
      <c r="O838" s="26" t="str">
        <f t="shared" si="186"/>
        <v>June</v>
      </c>
      <c r="P838" s="25">
        <f t="shared" si="187"/>
        <v>50</v>
      </c>
      <c r="Q838" s="27">
        <f t="shared" si="188"/>
        <v>0</v>
      </c>
      <c r="R838" s="26" t="b">
        <f t="shared" si="189"/>
        <v>0</v>
      </c>
      <c r="S838" s="28" t="str">
        <f t="shared" si="190"/>
        <v>GROWTH</v>
      </c>
      <c r="T838" s="24">
        <v>0</v>
      </c>
      <c r="U838" s="29" t="str">
        <f t="shared" si="191"/>
        <v>May</v>
      </c>
      <c r="V838" s="24">
        <f t="shared" si="192"/>
        <v>0</v>
      </c>
      <c r="W838" s="30">
        <f t="shared" si="193"/>
        <v>50</v>
      </c>
      <c r="X838" s="31" t="b">
        <f t="shared" si="194"/>
        <v>0</v>
      </c>
      <c r="Y838" s="32" t="b">
        <f t="shared" si="195"/>
        <v>0</v>
      </c>
      <c r="Z838" s="41">
        <v>0</v>
      </c>
      <c r="AA838" s="36"/>
      <c r="AB838" s="36" t="s">
        <v>24</v>
      </c>
      <c r="AC838" s="36" t="s">
        <v>848</v>
      </c>
      <c r="AD838" s="34"/>
      <c r="AE838" s="35">
        <f>IFERROR(INDEX([1]Last6M_AvgSales_Ref!$B$2:$B$12659,MATCH(D838,[1]Last6M_AvgSales_Ref!$A$2:$A$12659,0)),"")</f>
        <v>52.6666666666667</v>
      </c>
    </row>
    <row r="839" spans="1:31" ht="14.25" customHeight="1" x14ac:dyDescent="0.3">
      <c r="A839" s="36" t="s">
        <v>848</v>
      </c>
      <c r="B839" s="38" t="s">
        <v>1702</v>
      </c>
      <c r="C839" s="38" t="s">
        <v>1723</v>
      </c>
      <c r="D839" s="38">
        <v>1000001002</v>
      </c>
      <c r="E839" s="39" t="s">
        <v>1724</v>
      </c>
      <c r="F839" s="40">
        <v>43721</v>
      </c>
      <c r="G839" s="22" t="str">
        <f t="shared" si="182"/>
        <v>Targeted Dealer</v>
      </c>
      <c r="H839" s="22"/>
      <c r="I839" s="23">
        <v>240</v>
      </c>
      <c r="J839" s="23">
        <f t="shared" si="183"/>
        <v>240</v>
      </c>
      <c r="K839" s="24">
        <v>280.35000000000002</v>
      </c>
      <c r="L839" s="24">
        <f t="shared" si="184"/>
        <v>-40.350000000000023</v>
      </c>
      <c r="M839" s="24">
        <f t="shared" si="185"/>
        <v>116.81250000000001</v>
      </c>
      <c r="N839" s="25">
        <v>177.25</v>
      </c>
      <c r="O839" s="26" t="str">
        <f t="shared" si="186"/>
        <v>June</v>
      </c>
      <c r="P839" s="25">
        <f t="shared" si="187"/>
        <v>177.25</v>
      </c>
      <c r="Q839" s="27">
        <f t="shared" si="188"/>
        <v>103.10000000000002</v>
      </c>
      <c r="R839" s="26" t="b">
        <f t="shared" si="189"/>
        <v>0</v>
      </c>
      <c r="S839" s="28" t="str">
        <f t="shared" si="190"/>
        <v>GROWTH</v>
      </c>
      <c r="T839" s="24">
        <v>99.75</v>
      </c>
      <c r="U839" s="29" t="str">
        <f t="shared" si="191"/>
        <v>May</v>
      </c>
      <c r="V839" s="24">
        <f t="shared" si="192"/>
        <v>99.75</v>
      </c>
      <c r="W839" s="30">
        <f t="shared" si="193"/>
        <v>180.60000000000002</v>
      </c>
      <c r="X839" s="31" t="b">
        <f t="shared" si="194"/>
        <v>0</v>
      </c>
      <c r="Y839" s="32" t="str">
        <f t="shared" si="195"/>
        <v>GROWTH</v>
      </c>
      <c r="Z839" s="41">
        <v>0</v>
      </c>
      <c r="AA839" s="36"/>
      <c r="AB839" s="36" t="s">
        <v>24</v>
      </c>
      <c r="AC839" s="36" t="s">
        <v>848</v>
      </c>
      <c r="AD839" s="34"/>
      <c r="AE839" s="35">
        <f>IFERROR(INDEX([1]Last6M_AvgSales_Ref!$B$2:$B$12659,MATCH(D839,[1]Last6M_AvgSales_Ref!$A$2:$A$12659,0)),"")</f>
        <v>134.208333333333</v>
      </c>
    </row>
    <row r="840" spans="1:31" ht="14.25" customHeight="1" x14ac:dyDescent="0.3">
      <c r="A840" s="36" t="s">
        <v>848</v>
      </c>
      <c r="B840" s="38" t="s">
        <v>1702</v>
      </c>
      <c r="C840" s="38" t="s">
        <v>1725</v>
      </c>
      <c r="D840" s="38">
        <v>1000000999</v>
      </c>
      <c r="E840" s="39" t="s">
        <v>1726</v>
      </c>
      <c r="F840" s="40">
        <v>43883</v>
      </c>
      <c r="G840" s="22" t="str">
        <f t="shared" si="182"/>
        <v>Targeted Dealer</v>
      </c>
      <c r="H840" s="22"/>
      <c r="I840" s="23">
        <v>38</v>
      </c>
      <c r="J840" s="23">
        <f t="shared" si="183"/>
        <v>38</v>
      </c>
      <c r="K840" s="24">
        <v>38</v>
      </c>
      <c r="L840" s="24">
        <f t="shared" si="184"/>
        <v>0</v>
      </c>
      <c r="M840" s="24">
        <f t="shared" si="185"/>
        <v>100</v>
      </c>
      <c r="N840" s="25">
        <v>38</v>
      </c>
      <c r="O840" s="26" t="str">
        <f t="shared" si="186"/>
        <v>June</v>
      </c>
      <c r="P840" s="25">
        <f t="shared" si="187"/>
        <v>38</v>
      </c>
      <c r="Q840" s="27">
        <f t="shared" si="188"/>
        <v>0</v>
      </c>
      <c r="R840" s="26" t="b">
        <f t="shared" si="189"/>
        <v>0</v>
      </c>
      <c r="S840" s="28" t="str">
        <f t="shared" si="190"/>
        <v>GROWTH</v>
      </c>
      <c r="T840" s="24">
        <v>0</v>
      </c>
      <c r="U840" s="29" t="str">
        <f t="shared" si="191"/>
        <v>May</v>
      </c>
      <c r="V840" s="24">
        <f t="shared" si="192"/>
        <v>0</v>
      </c>
      <c r="W840" s="30">
        <f t="shared" si="193"/>
        <v>38</v>
      </c>
      <c r="X840" s="31" t="b">
        <f t="shared" si="194"/>
        <v>0</v>
      </c>
      <c r="Y840" s="32" t="b">
        <f t="shared" si="195"/>
        <v>0</v>
      </c>
      <c r="Z840" s="41">
        <v>0</v>
      </c>
      <c r="AA840" s="36"/>
      <c r="AB840" s="36" t="s">
        <v>24</v>
      </c>
      <c r="AC840" s="36" t="s">
        <v>848</v>
      </c>
      <c r="AD840" s="34"/>
      <c r="AE840" s="35">
        <f>IFERROR(INDEX([1]Last6M_AvgSales_Ref!$B$2:$B$12659,MATCH(D840,[1]Last6M_AvgSales_Ref!$A$2:$A$12659,0)),"")</f>
        <v>22.3333333333333</v>
      </c>
    </row>
    <row r="841" spans="1:31" ht="14.25" customHeight="1" x14ac:dyDescent="0.3">
      <c r="A841" s="36" t="s">
        <v>848</v>
      </c>
      <c r="B841" s="38" t="s">
        <v>1702</v>
      </c>
      <c r="C841" s="38" t="s">
        <v>1727</v>
      </c>
      <c r="D841" s="38">
        <v>1000000996</v>
      </c>
      <c r="E841" s="39" t="s">
        <v>1728</v>
      </c>
      <c r="F841" s="40">
        <v>43960</v>
      </c>
      <c r="G841" s="22" t="str">
        <f t="shared" si="182"/>
        <v>Targeted Dealer</v>
      </c>
      <c r="H841" s="22"/>
      <c r="I841" s="23">
        <v>120</v>
      </c>
      <c r="J841" s="23">
        <f t="shared" si="183"/>
        <v>120</v>
      </c>
      <c r="K841" s="24">
        <v>73</v>
      </c>
      <c r="L841" s="24">
        <f t="shared" si="184"/>
        <v>47</v>
      </c>
      <c r="M841" s="24">
        <f t="shared" si="185"/>
        <v>60.833333333333336</v>
      </c>
      <c r="N841" s="25">
        <v>81</v>
      </c>
      <c r="O841" s="26" t="str">
        <f t="shared" si="186"/>
        <v>June</v>
      </c>
      <c r="P841" s="25">
        <f t="shared" si="187"/>
        <v>81</v>
      </c>
      <c r="Q841" s="27">
        <f t="shared" si="188"/>
        <v>-8</v>
      </c>
      <c r="R841" s="26" t="b">
        <f t="shared" si="189"/>
        <v>0</v>
      </c>
      <c r="S841" s="28" t="str">
        <f t="shared" si="190"/>
        <v>GROWTH</v>
      </c>
      <c r="T841" s="24">
        <v>40</v>
      </c>
      <c r="U841" s="29" t="str">
        <f t="shared" si="191"/>
        <v>May</v>
      </c>
      <c r="V841" s="24">
        <f t="shared" si="192"/>
        <v>40</v>
      </c>
      <c r="W841" s="30">
        <f t="shared" si="193"/>
        <v>33</v>
      </c>
      <c r="X841" s="31" t="b">
        <f t="shared" si="194"/>
        <v>0</v>
      </c>
      <c r="Y841" s="32" t="str">
        <f t="shared" si="195"/>
        <v>GROWTH</v>
      </c>
      <c r="Z841" s="41">
        <v>0</v>
      </c>
      <c r="AA841" s="36"/>
      <c r="AB841" s="36" t="s">
        <v>24</v>
      </c>
      <c r="AC841" s="36" t="s">
        <v>848</v>
      </c>
      <c r="AD841" s="34"/>
      <c r="AE841" s="35">
        <f>IFERROR(INDEX([1]Last6M_AvgSales_Ref!$B$2:$B$12659,MATCH(D841,[1]Last6M_AvgSales_Ref!$A$2:$A$12659,0)),"")</f>
        <v>102.333333333333</v>
      </c>
    </row>
    <row r="842" spans="1:31" ht="14.25" customHeight="1" x14ac:dyDescent="0.3">
      <c r="A842" s="36" t="s">
        <v>848</v>
      </c>
      <c r="B842" s="38" t="s">
        <v>1702</v>
      </c>
      <c r="C842" s="38" t="s">
        <v>1729</v>
      </c>
      <c r="D842" s="38">
        <v>1000000990</v>
      </c>
      <c r="E842" s="39" t="s">
        <v>1730</v>
      </c>
      <c r="F842" s="40">
        <v>43971</v>
      </c>
      <c r="G842" s="22" t="str">
        <f t="shared" si="182"/>
        <v>Targeted Dealer</v>
      </c>
      <c r="H842" s="22"/>
      <c r="I842" s="23">
        <v>60</v>
      </c>
      <c r="J842" s="23">
        <f t="shared" si="183"/>
        <v>60</v>
      </c>
      <c r="K842" s="24">
        <v>44.5</v>
      </c>
      <c r="L842" s="24">
        <f t="shared" si="184"/>
        <v>15.5</v>
      </c>
      <c r="M842" s="24">
        <f t="shared" si="185"/>
        <v>74.166666666666671</v>
      </c>
      <c r="N842" s="25">
        <v>10</v>
      </c>
      <c r="O842" s="26" t="str">
        <f t="shared" si="186"/>
        <v>June</v>
      </c>
      <c r="P842" s="25">
        <f t="shared" si="187"/>
        <v>10</v>
      </c>
      <c r="Q842" s="27">
        <f t="shared" si="188"/>
        <v>34.5</v>
      </c>
      <c r="R842" s="26" t="b">
        <f t="shared" si="189"/>
        <v>0</v>
      </c>
      <c r="S842" s="28" t="str">
        <f t="shared" si="190"/>
        <v>GROWTH</v>
      </c>
      <c r="T842" s="24">
        <v>19</v>
      </c>
      <c r="U842" s="29" t="str">
        <f t="shared" si="191"/>
        <v>May</v>
      </c>
      <c r="V842" s="24">
        <f t="shared" si="192"/>
        <v>19</v>
      </c>
      <c r="W842" s="30">
        <f t="shared" si="193"/>
        <v>25.5</v>
      </c>
      <c r="X842" s="31" t="b">
        <f t="shared" si="194"/>
        <v>0</v>
      </c>
      <c r="Y842" s="32" t="str">
        <f t="shared" si="195"/>
        <v>GROWTH</v>
      </c>
      <c r="Z842" s="41">
        <v>0</v>
      </c>
      <c r="AA842" s="36"/>
      <c r="AB842" s="36" t="s">
        <v>24</v>
      </c>
      <c r="AC842" s="36" t="s">
        <v>848</v>
      </c>
      <c r="AD842" s="34"/>
      <c r="AE842" s="35">
        <f>IFERROR(INDEX([1]Last6M_AvgSales_Ref!$B$2:$B$12659,MATCH(D842,[1]Last6M_AvgSales_Ref!$A$2:$A$12659,0)),"")</f>
        <v>48.524999999999999</v>
      </c>
    </row>
    <row r="843" spans="1:31" ht="14.25" customHeight="1" x14ac:dyDescent="0.3">
      <c r="A843" s="36" t="s">
        <v>848</v>
      </c>
      <c r="B843" s="38" t="s">
        <v>1702</v>
      </c>
      <c r="C843" s="38" t="s">
        <v>1731</v>
      </c>
      <c r="D843" s="38">
        <v>1000000985</v>
      </c>
      <c r="E843" s="39" t="s">
        <v>1732</v>
      </c>
      <c r="F843" s="40">
        <v>44064</v>
      </c>
      <c r="G843" s="22" t="str">
        <f t="shared" si="182"/>
        <v>Targeted Dealer</v>
      </c>
      <c r="H843" s="22"/>
      <c r="I843" s="23">
        <v>540</v>
      </c>
      <c r="J843" s="23">
        <f t="shared" si="183"/>
        <v>540</v>
      </c>
      <c r="K843" s="24">
        <v>176.25</v>
      </c>
      <c r="L843" s="24">
        <f t="shared" si="184"/>
        <v>363.75</v>
      </c>
      <c r="M843" s="24">
        <f t="shared" si="185"/>
        <v>32.638888888888886</v>
      </c>
      <c r="N843" s="25">
        <v>142.75</v>
      </c>
      <c r="O843" s="26" t="str">
        <f t="shared" si="186"/>
        <v>June</v>
      </c>
      <c r="P843" s="25">
        <f t="shared" si="187"/>
        <v>142.75</v>
      </c>
      <c r="Q843" s="27">
        <f t="shared" si="188"/>
        <v>33.5</v>
      </c>
      <c r="R843" s="26" t="b">
        <f t="shared" si="189"/>
        <v>0</v>
      </c>
      <c r="S843" s="28" t="str">
        <f t="shared" si="190"/>
        <v>GROWTH</v>
      </c>
      <c r="T843" s="24">
        <v>216.75</v>
      </c>
      <c r="U843" s="29" t="str">
        <f t="shared" si="191"/>
        <v>May</v>
      </c>
      <c r="V843" s="24">
        <f t="shared" si="192"/>
        <v>216.75</v>
      </c>
      <c r="W843" s="30">
        <f t="shared" si="193"/>
        <v>-40.5</v>
      </c>
      <c r="X843" s="31" t="b">
        <f t="shared" si="194"/>
        <v>0</v>
      </c>
      <c r="Y843" s="32" t="str">
        <f t="shared" si="195"/>
        <v>GROWTH</v>
      </c>
      <c r="Z843" s="41">
        <v>0</v>
      </c>
      <c r="AA843" s="36"/>
      <c r="AB843" s="36" t="s">
        <v>24</v>
      </c>
      <c r="AC843" s="36" t="s">
        <v>848</v>
      </c>
      <c r="AD843" s="34"/>
      <c r="AE843" s="35">
        <f>IFERROR(INDEX([1]Last6M_AvgSales_Ref!$B$2:$B$12659,MATCH(D843,[1]Last6M_AvgSales_Ref!$A$2:$A$12659,0)),"")</f>
        <v>132.291666666667</v>
      </c>
    </row>
    <row r="844" spans="1:31" ht="14.25" customHeight="1" x14ac:dyDescent="0.3">
      <c r="A844" s="36" t="s">
        <v>848</v>
      </c>
      <c r="B844" s="38" t="s">
        <v>1702</v>
      </c>
      <c r="C844" s="38" t="s">
        <v>1733</v>
      </c>
      <c r="D844" s="38">
        <v>1000000991</v>
      </c>
      <c r="E844" s="39" t="s">
        <v>1734</v>
      </c>
      <c r="F844" s="40">
        <v>44070</v>
      </c>
      <c r="G844" s="22" t="str">
        <f t="shared" si="182"/>
        <v>Targeted Dealer</v>
      </c>
      <c r="H844" s="22"/>
      <c r="I844" s="23">
        <v>100</v>
      </c>
      <c r="J844" s="23">
        <f t="shared" si="183"/>
        <v>100</v>
      </c>
      <c r="K844" s="24">
        <v>75.8</v>
      </c>
      <c r="L844" s="24">
        <f t="shared" si="184"/>
        <v>24.200000000000003</v>
      </c>
      <c r="M844" s="24">
        <f t="shared" si="185"/>
        <v>75.8</v>
      </c>
      <c r="N844" s="25">
        <v>25.5</v>
      </c>
      <c r="O844" s="26" t="str">
        <f t="shared" si="186"/>
        <v>June</v>
      </c>
      <c r="P844" s="25">
        <f t="shared" si="187"/>
        <v>25.5</v>
      </c>
      <c r="Q844" s="27">
        <f t="shared" si="188"/>
        <v>50.3</v>
      </c>
      <c r="R844" s="26" t="b">
        <f t="shared" si="189"/>
        <v>0</v>
      </c>
      <c r="S844" s="28" t="str">
        <f t="shared" si="190"/>
        <v>GROWTH</v>
      </c>
      <c r="T844" s="24">
        <v>0</v>
      </c>
      <c r="U844" s="29" t="str">
        <f t="shared" si="191"/>
        <v>May</v>
      </c>
      <c r="V844" s="24">
        <f t="shared" si="192"/>
        <v>0</v>
      </c>
      <c r="W844" s="30">
        <f t="shared" si="193"/>
        <v>75.8</v>
      </c>
      <c r="X844" s="31" t="b">
        <f t="shared" si="194"/>
        <v>0</v>
      </c>
      <c r="Y844" s="32" t="b">
        <f t="shared" si="195"/>
        <v>0</v>
      </c>
      <c r="Z844" s="41">
        <v>0</v>
      </c>
      <c r="AA844" s="36"/>
      <c r="AB844" s="36" t="s">
        <v>24</v>
      </c>
      <c r="AC844" s="36" t="s">
        <v>848</v>
      </c>
      <c r="AD844" s="34"/>
      <c r="AE844" s="35">
        <f>IFERROR(INDEX([1]Last6M_AvgSales_Ref!$B$2:$B$12659,MATCH(D844,[1]Last6M_AvgSales_Ref!$A$2:$A$12659,0)),"")</f>
        <v>74.858333333333306</v>
      </c>
    </row>
    <row r="845" spans="1:31" ht="14.25" customHeight="1" x14ac:dyDescent="0.3">
      <c r="A845" s="36" t="s">
        <v>848</v>
      </c>
      <c r="B845" s="38" t="s">
        <v>1702</v>
      </c>
      <c r="C845" s="38" t="s">
        <v>1735</v>
      </c>
      <c r="D845" s="38">
        <v>1000001001</v>
      </c>
      <c r="E845" s="39" t="s">
        <v>1736</v>
      </c>
      <c r="F845" s="40">
        <v>44503</v>
      </c>
      <c r="G845" s="22" t="str">
        <f t="shared" si="182"/>
        <v>Targeted Dealer</v>
      </c>
      <c r="H845" s="22"/>
      <c r="I845" s="23">
        <v>100</v>
      </c>
      <c r="J845" s="23">
        <f t="shared" si="183"/>
        <v>100</v>
      </c>
      <c r="K845" s="24">
        <v>92.75</v>
      </c>
      <c r="L845" s="24">
        <f t="shared" si="184"/>
        <v>7.25</v>
      </c>
      <c r="M845" s="24">
        <f t="shared" si="185"/>
        <v>92.75</v>
      </c>
      <c r="N845" s="25">
        <v>35.75</v>
      </c>
      <c r="O845" s="26" t="str">
        <f t="shared" si="186"/>
        <v>June</v>
      </c>
      <c r="P845" s="25">
        <f t="shared" si="187"/>
        <v>35.75</v>
      </c>
      <c r="Q845" s="27">
        <f t="shared" si="188"/>
        <v>57</v>
      </c>
      <c r="R845" s="26" t="b">
        <f t="shared" si="189"/>
        <v>0</v>
      </c>
      <c r="S845" s="28" t="str">
        <f t="shared" si="190"/>
        <v>GROWTH</v>
      </c>
      <c r="T845" s="24">
        <v>9.5</v>
      </c>
      <c r="U845" s="29" t="str">
        <f t="shared" si="191"/>
        <v>May</v>
      </c>
      <c r="V845" s="24">
        <f t="shared" si="192"/>
        <v>9.5</v>
      </c>
      <c r="W845" s="30">
        <f t="shared" si="193"/>
        <v>83.25</v>
      </c>
      <c r="X845" s="31" t="b">
        <f t="shared" si="194"/>
        <v>0</v>
      </c>
      <c r="Y845" s="32" t="str">
        <f t="shared" si="195"/>
        <v>GROWTH</v>
      </c>
      <c r="Z845" s="41">
        <v>0</v>
      </c>
      <c r="AA845" s="36"/>
      <c r="AB845" s="36" t="s">
        <v>24</v>
      </c>
      <c r="AC845" s="36" t="s">
        <v>848</v>
      </c>
      <c r="AD845" s="34"/>
      <c r="AE845" s="35">
        <f>IFERROR(INDEX([1]Last6M_AvgSales_Ref!$B$2:$B$12659,MATCH(D845,[1]Last6M_AvgSales_Ref!$A$2:$A$12659,0)),"")</f>
        <v>50.316666666666698</v>
      </c>
    </row>
    <row r="846" spans="1:31" ht="14.25" customHeight="1" x14ac:dyDescent="0.3">
      <c r="A846" s="36" t="s">
        <v>848</v>
      </c>
      <c r="B846" s="38" t="s">
        <v>1702</v>
      </c>
      <c r="C846" s="38" t="s">
        <v>1737</v>
      </c>
      <c r="D846" s="38">
        <v>1000002754</v>
      </c>
      <c r="E846" s="38" t="s">
        <v>1738</v>
      </c>
      <c r="F846" s="40">
        <v>44701</v>
      </c>
      <c r="G846" s="22" t="str">
        <f t="shared" si="182"/>
        <v>Targeted Dealer</v>
      </c>
      <c r="H846" s="22"/>
      <c r="I846" s="23">
        <v>200</v>
      </c>
      <c r="J846" s="23">
        <f t="shared" si="183"/>
        <v>200</v>
      </c>
      <c r="K846" s="24">
        <v>237.5</v>
      </c>
      <c r="L846" s="24">
        <f t="shared" si="184"/>
        <v>-37.5</v>
      </c>
      <c r="M846" s="24">
        <f t="shared" si="185"/>
        <v>118.75</v>
      </c>
      <c r="N846" s="25">
        <v>130.5</v>
      </c>
      <c r="O846" s="26" t="str">
        <f t="shared" si="186"/>
        <v>June</v>
      </c>
      <c r="P846" s="25">
        <f t="shared" si="187"/>
        <v>130.5</v>
      </c>
      <c r="Q846" s="27">
        <f t="shared" si="188"/>
        <v>107</v>
      </c>
      <c r="R846" s="26" t="b">
        <f t="shared" si="189"/>
        <v>0</v>
      </c>
      <c r="S846" s="28" t="str">
        <f t="shared" si="190"/>
        <v>GROWTH</v>
      </c>
      <c r="T846" s="24">
        <v>87.5</v>
      </c>
      <c r="U846" s="29" t="str">
        <f t="shared" si="191"/>
        <v>May</v>
      </c>
      <c r="V846" s="24">
        <f t="shared" si="192"/>
        <v>87.5</v>
      </c>
      <c r="W846" s="30">
        <f t="shared" si="193"/>
        <v>150</v>
      </c>
      <c r="X846" s="31" t="b">
        <f t="shared" si="194"/>
        <v>0</v>
      </c>
      <c r="Y846" s="32" t="str">
        <f t="shared" si="195"/>
        <v>GROWTH</v>
      </c>
      <c r="Z846" s="41">
        <v>0</v>
      </c>
      <c r="AA846" s="36"/>
      <c r="AB846" s="36" t="s">
        <v>24</v>
      </c>
      <c r="AC846" s="36" t="s">
        <v>848</v>
      </c>
      <c r="AD846" s="34"/>
      <c r="AE846" s="35">
        <f>IFERROR(INDEX([1]Last6M_AvgSales_Ref!$B$2:$B$12659,MATCH(D846,[1]Last6M_AvgSales_Ref!$A$2:$A$12659,0)),"")</f>
        <v>111.325</v>
      </c>
    </row>
    <row r="847" spans="1:31" ht="14.25" customHeight="1" x14ac:dyDescent="0.3">
      <c r="A847" s="36" t="s">
        <v>848</v>
      </c>
      <c r="B847" s="38" t="s">
        <v>1702</v>
      </c>
      <c r="C847" s="38" t="s">
        <v>1739</v>
      </c>
      <c r="D847" s="38">
        <v>1000003112</v>
      </c>
      <c r="E847" s="38" t="s">
        <v>1740</v>
      </c>
      <c r="F847" s="40">
        <v>44887</v>
      </c>
      <c r="G847" s="22" t="str">
        <f t="shared" si="182"/>
        <v>Targeted Dealer</v>
      </c>
      <c r="H847" s="22"/>
      <c r="I847" s="23">
        <v>240</v>
      </c>
      <c r="J847" s="23">
        <f t="shared" si="183"/>
        <v>240</v>
      </c>
      <c r="K847" s="24">
        <v>391</v>
      </c>
      <c r="L847" s="24">
        <f t="shared" si="184"/>
        <v>-151</v>
      </c>
      <c r="M847" s="24">
        <f t="shared" si="185"/>
        <v>162.91666666666669</v>
      </c>
      <c r="N847" s="25">
        <v>323.5</v>
      </c>
      <c r="O847" s="26" t="str">
        <f t="shared" si="186"/>
        <v>June</v>
      </c>
      <c r="P847" s="25">
        <f t="shared" si="187"/>
        <v>323.5</v>
      </c>
      <c r="Q847" s="27">
        <f t="shared" si="188"/>
        <v>67.5</v>
      </c>
      <c r="R847" s="26" t="b">
        <f t="shared" si="189"/>
        <v>0</v>
      </c>
      <c r="S847" s="28" t="str">
        <f t="shared" si="190"/>
        <v>GROWTH</v>
      </c>
      <c r="T847" s="24">
        <v>61</v>
      </c>
      <c r="U847" s="29" t="str">
        <f t="shared" si="191"/>
        <v>May</v>
      </c>
      <c r="V847" s="24">
        <f t="shared" si="192"/>
        <v>61</v>
      </c>
      <c r="W847" s="30">
        <f t="shared" si="193"/>
        <v>330</v>
      </c>
      <c r="X847" s="31" t="b">
        <f t="shared" si="194"/>
        <v>0</v>
      </c>
      <c r="Y847" s="32" t="str">
        <f t="shared" si="195"/>
        <v>GROWTH</v>
      </c>
      <c r="Z847" s="41">
        <v>0</v>
      </c>
      <c r="AA847" s="36"/>
      <c r="AB847" s="36" t="s">
        <v>24</v>
      </c>
      <c r="AC847" s="36" t="s">
        <v>848</v>
      </c>
      <c r="AD847" s="34"/>
      <c r="AE847" s="35">
        <f>IFERROR(INDEX([1]Last6M_AvgSales_Ref!$B$2:$B$12659,MATCH(D847,[1]Last6M_AvgSales_Ref!$A$2:$A$12659,0)),"")</f>
        <v>193.40833333333299</v>
      </c>
    </row>
    <row r="848" spans="1:31" ht="14.25" customHeight="1" x14ac:dyDescent="0.3">
      <c r="A848" s="36" t="s">
        <v>848</v>
      </c>
      <c r="B848" s="38" t="s">
        <v>1702</v>
      </c>
      <c r="C848" s="38" t="s">
        <v>1741</v>
      </c>
      <c r="D848" s="38">
        <v>1000003126</v>
      </c>
      <c r="E848" s="38" t="s">
        <v>1742</v>
      </c>
      <c r="F848" s="40">
        <v>44907</v>
      </c>
      <c r="G848" s="22" t="str">
        <f t="shared" si="182"/>
        <v>Targeted Dealer</v>
      </c>
      <c r="H848" s="22"/>
      <c r="I848" s="23">
        <v>240</v>
      </c>
      <c r="J848" s="23">
        <f t="shared" si="183"/>
        <v>240</v>
      </c>
      <c r="K848" s="24">
        <v>266.5</v>
      </c>
      <c r="L848" s="24">
        <f t="shared" si="184"/>
        <v>-26.5</v>
      </c>
      <c r="M848" s="24">
        <f t="shared" si="185"/>
        <v>111.04166666666667</v>
      </c>
      <c r="N848" s="25">
        <v>153</v>
      </c>
      <c r="O848" s="26" t="str">
        <f t="shared" si="186"/>
        <v>June</v>
      </c>
      <c r="P848" s="25">
        <f t="shared" si="187"/>
        <v>153</v>
      </c>
      <c r="Q848" s="27">
        <f t="shared" si="188"/>
        <v>113.5</v>
      </c>
      <c r="R848" s="26" t="b">
        <f t="shared" si="189"/>
        <v>0</v>
      </c>
      <c r="S848" s="28" t="str">
        <f t="shared" si="190"/>
        <v>GROWTH</v>
      </c>
      <c r="T848" s="24">
        <v>118</v>
      </c>
      <c r="U848" s="29" t="str">
        <f t="shared" si="191"/>
        <v>May</v>
      </c>
      <c r="V848" s="24">
        <f t="shared" si="192"/>
        <v>118</v>
      </c>
      <c r="W848" s="30">
        <f t="shared" si="193"/>
        <v>148.5</v>
      </c>
      <c r="X848" s="31" t="b">
        <f t="shared" si="194"/>
        <v>0</v>
      </c>
      <c r="Y848" s="32" t="str">
        <f t="shared" si="195"/>
        <v>GROWTH</v>
      </c>
      <c r="Z848" s="41">
        <v>0</v>
      </c>
      <c r="AA848" s="36"/>
      <c r="AB848" s="36" t="s">
        <v>24</v>
      </c>
      <c r="AC848" s="36" t="s">
        <v>848</v>
      </c>
      <c r="AD848" s="34"/>
      <c r="AE848" s="35">
        <f>IFERROR(INDEX([1]Last6M_AvgSales_Ref!$B$2:$B$12659,MATCH(D848,[1]Last6M_AvgSales_Ref!$A$2:$A$12659,0)),"")</f>
        <v>174.916666666667</v>
      </c>
    </row>
    <row r="849" spans="1:31" ht="14.25" customHeight="1" x14ac:dyDescent="0.3">
      <c r="A849" s="36" t="s">
        <v>848</v>
      </c>
      <c r="B849" s="38" t="s">
        <v>1702</v>
      </c>
      <c r="C849" s="38" t="s">
        <v>1743</v>
      </c>
      <c r="D849" s="38">
        <v>1000003326</v>
      </c>
      <c r="E849" s="38" t="s">
        <v>1744</v>
      </c>
      <c r="F849" s="40">
        <v>44966</v>
      </c>
      <c r="G849" s="22" t="str">
        <f t="shared" si="182"/>
        <v>-</v>
      </c>
      <c r="H849" s="22"/>
      <c r="I849" s="23">
        <v>0</v>
      </c>
      <c r="J849" s="23">
        <f t="shared" si="183"/>
        <v>0</v>
      </c>
      <c r="K849" s="24">
        <v>0</v>
      </c>
      <c r="L849" s="24">
        <f t="shared" si="184"/>
        <v>0</v>
      </c>
      <c r="M849" s="24" t="str">
        <f t="shared" si="185"/>
        <v>-</v>
      </c>
      <c r="N849" s="25">
        <v>0</v>
      </c>
      <c r="O849" s="26" t="str">
        <f t="shared" si="186"/>
        <v>June</v>
      </c>
      <c r="P849" s="25">
        <f t="shared" si="187"/>
        <v>0</v>
      </c>
      <c r="Q849" s="27">
        <f t="shared" si="188"/>
        <v>0</v>
      </c>
      <c r="R849" s="26" t="b">
        <f t="shared" si="189"/>
        <v>0</v>
      </c>
      <c r="S849" s="28" t="b">
        <f t="shared" si="190"/>
        <v>0</v>
      </c>
      <c r="T849" s="24">
        <v>19</v>
      </c>
      <c r="U849" s="29" t="str">
        <f t="shared" si="191"/>
        <v>May</v>
      </c>
      <c r="V849" s="24">
        <f t="shared" si="192"/>
        <v>19</v>
      </c>
      <c r="W849" s="30">
        <f t="shared" si="193"/>
        <v>-19</v>
      </c>
      <c r="X849" s="31" t="b">
        <f t="shared" si="194"/>
        <v>0</v>
      </c>
      <c r="Y849" s="32" t="str">
        <f t="shared" si="195"/>
        <v>GROWTH</v>
      </c>
      <c r="Z849" s="41">
        <v>0</v>
      </c>
      <c r="AA849" s="36"/>
      <c r="AB849" s="36" t="s">
        <v>24</v>
      </c>
      <c r="AC849" s="36" t="s">
        <v>848</v>
      </c>
      <c r="AD849" s="34"/>
      <c r="AE849" s="35">
        <f>IFERROR(INDEX([1]Last6M_AvgSales_Ref!$B$2:$B$12659,MATCH(D849,[1]Last6M_AvgSales_Ref!$A$2:$A$12659,0)),"")</f>
        <v>10.3333333333333</v>
      </c>
    </row>
    <row r="850" spans="1:31" ht="14.25" customHeight="1" x14ac:dyDescent="0.3">
      <c r="A850" s="36" t="s">
        <v>848</v>
      </c>
      <c r="B850" s="38" t="s">
        <v>1702</v>
      </c>
      <c r="C850" s="38" t="s">
        <v>1745</v>
      </c>
      <c r="D850" s="38">
        <v>1000003554</v>
      </c>
      <c r="E850" s="38" t="s">
        <v>1746</v>
      </c>
      <c r="F850" s="40">
        <v>45072</v>
      </c>
      <c r="G850" s="22" t="str">
        <f t="shared" si="182"/>
        <v>-</v>
      </c>
      <c r="H850" s="22"/>
      <c r="I850" s="23">
        <v>0</v>
      </c>
      <c r="J850" s="23">
        <f t="shared" si="183"/>
        <v>0</v>
      </c>
      <c r="K850" s="24">
        <v>20</v>
      </c>
      <c r="L850" s="24">
        <f t="shared" si="184"/>
        <v>-20</v>
      </c>
      <c r="M850" s="24" t="str">
        <f t="shared" si="185"/>
        <v>-</v>
      </c>
      <c r="N850" s="25">
        <v>38</v>
      </c>
      <c r="O850" s="26" t="str">
        <f t="shared" si="186"/>
        <v>June</v>
      </c>
      <c r="P850" s="25">
        <f t="shared" si="187"/>
        <v>38</v>
      </c>
      <c r="Q850" s="27">
        <f t="shared" si="188"/>
        <v>-18</v>
      </c>
      <c r="R850" s="26" t="b">
        <f t="shared" si="189"/>
        <v>0</v>
      </c>
      <c r="S850" s="28" t="str">
        <f t="shared" si="190"/>
        <v>GROWTH</v>
      </c>
      <c r="T850" s="24">
        <v>39</v>
      </c>
      <c r="U850" s="29" t="str">
        <f t="shared" si="191"/>
        <v>May</v>
      </c>
      <c r="V850" s="24">
        <f t="shared" si="192"/>
        <v>39</v>
      </c>
      <c r="W850" s="30">
        <f t="shared" si="193"/>
        <v>-19</v>
      </c>
      <c r="X850" s="31" t="b">
        <f t="shared" si="194"/>
        <v>0</v>
      </c>
      <c r="Y850" s="32" t="str">
        <f t="shared" si="195"/>
        <v>GROWTH</v>
      </c>
      <c r="Z850" s="41">
        <v>0</v>
      </c>
      <c r="AA850" s="36"/>
      <c r="AB850" s="36" t="s">
        <v>24</v>
      </c>
      <c r="AC850" s="36" t="s">
        <v>848</v>
      </c>
      <c r="AD850" s="34"/>
      <c r="AE850" s="35">
        <f>IFERROR(INDEX([1]Last6M_AvgSales_Ref!$B$2:$B$12659,MATCH(D850,[1]Last6M_AvgSales_Ref!$A$2:$A$12659,0)),"")</f>
        <v>6.3333333333333304</v>
      </c>
    </row>
    <row r="851" spans="1:31" ht="14.25" customHeight="1" x14ac:dyDescent="0.3">
      <c r="A851" s="36" t="s">
        <v>848</v>
      </c>
      <c r="B851" s="38" t="s">
        <v>1702</v>
      </c>
      <c r="C851" s="38" t="s">
        <v>1747</v>
      </c>
      <c r="D851" s="38">
        <v>1000003677</v>
      </c>
      <c r="E851" s="38" t="s">
        <v>1748</v>
      </c>
      <c r="F851" s="40">
        <v>45142</v>
      </c>
      <c r="G851" s="22" t="str">
        <f t="shared" si="182"/>
        <v>Targeted Dealer</v>
      </c>
      <c r="H851" s="22"/>
      <c r="I851" s="23">
        <v>40</v>
      </c>
      <c r="J851" s="23">
        <f t="shared" si="183"/>
        <v>40</v>
      </c>
      <c r="K851" s="24">
        <v>40</v>
      </c>
      <c r="L851" s="24">
        <f t="shared" si="184"/>
        <v>0</v>
      </c>
      <c r="M851" s="24">
        <f t="shared" si="185"/>
        <v>100</v>
      </c>
      <c r="N851" s="25">
        <v>31.9</v>
      </c>
      <c r="O851" s="26" t="str">
        <f t="shared" si="186"/>
        <v>June</v>
      </c>
      <c r="P851" s="25">
        <f t="shared" si="187"/>
        <v>31.9</v>
      </c>
      <c r="Q851" s="27">
        <f t="shared" si="188"/>
        <v>8.1000000000000014</v>
      </c>
      <c r="R851" s="26" t="b">
        <f t="shared" si="189"/>
        <v>0</v>
      </c>
      <c r="S851" s="28" t="str">
        <f t="shared" si="190"/>
        <v>GROWTH</v>
      </c>
      <c r="T851" s="24">
        <v>10.5</v>
      </c>
      <c r="U851" s="29" t="str">
        <f t="shared" si="191"/>
        <v>May</v>
      </c>
      <c r="V851" s="24">
        <f t="shared" si="192"/>
        <v>10.5</v>
      </c>
      <c r="W851" s="30">
        <f t="shared" si="193"/>
        <v>29.5</v>
      </c>
      <c r="X851" s="31" t="b">
        <f t="shared" si="194"/>
        <v>0</v>
      </c>
      <c r="Y851" s="32" t="str">
        <f t="shared" si="195"/>
        <v>GROWTH</v>
      </c>
      <c r="Z851" s="41">
        <v>0</v>
      </c>
      <c r="AA851" s="36"/>
      <c r="AB851" s="36" t="s">
        <v>24</v>
      </c>
      <c r="AC851" s="36" t="s">
        <v>848</v>
      </c>
      <c r="AD851" s="34"/>
      <c r="AE851" s="35">
        <f>IFERROR(INDEX([1]Last6M_AvgSales_Ref!$B$2:$B$12659,MATCH(D851,[1]Last6M_AvgSales_Ref!$A$2:$A$12659,0)),"")</f>
        <v>24.116666666666699</v>
      </c>
    </row>
    <row r="852" spans="1:31" ht="14.25" customHeight="1" x14ac:dyDescent="0.3">
      <c r="A852" s="36" t="s">
        <v>848</v>
      </c>
      <c r="B852" s="38" t="s">
        <v>1702</v>
      </c>
      <c r="C852" s="38" t="s">
        <v>1749</v>
      </c>
      <c r="D852" s="38">
        <v>1000003714</v>
      </c>
      <c r="E852" s="38" t="s">
        <v>1750</v>
      </c>
      <c r="F852" s="40">
        <v>45181</v>
      </c>
      <c r="G852" s="22" t="str">
        <f t="shared" si="182"/>
        <v>Targeted Dealer</v>
      </c>
      <c r="H852" s="22"/>
      <c r="I852" s="23">
        <v>20</v>
      </c>
      <c r="J852" s="23">
        <f t="shared" si="183"/>
        <v>20</v>
      </c>
      <c r="K852" s="24">
        <v>2.25</v>
      </c>
      <c r="L852" s="24">
        <f t="shared" si="184"/>
        <v>17.75</v>
      </c>
      <c r="M852" s="24">
        <f t="shared" si="185"/>
        <v>11.25</v>
      </c>
      <c r="N852" s="25">
        <v>19</v>
      </c>
      <c r="O852" s="26" t="str">
        <f t="shared" si="186"/>
        <v>June</v>
      </c>
      <c r="P852" s="25">
        <f t="shared" si="187"/>
        <v>19</v>
      </c>
      <c r="Q852" s="27">
        <f t="shared" si="188"/>
        <v>-16.75</v>
      </c>
      <c r="R852" s="26" t="b">
        <f t="shared" si="189"/>
        <v>0</v>
      </c>
      <c r="S852" s="28" t="str">
        <f t="shared" si="190"/>
        <v>GROWTH</v>
      </c>
      <c r="T852" s="24">
        <v>2.25</v>
      </c>
      <c r="U852" s="29" t="str">
        <f t="shared" si="191"/>
        <v>May</v>
      </c>
      <c r="V852" s="24">
        <f t="shared" si="192"/>
        <v>2.25</v>
      </c>
      <c r="W852" s="30">
        <f t="shared" si="193"/>
        <v>0</v>
      </c>
      <c r="X852" s="31" t="b">
        <f t="shared" si="194"/>
        <v>0</v>
      </c>
      <c r="Y852" s="32" t="str">
        <f t="shared" si="195"/>
        <v>GROWTH</v>
      </c>
      <c r="Z852" s="41">
        <v>0</v>
      </c>
      <c r="AA852" s="36"/>
      <c r="AB852" s="36" t="s">
        <v>24</v>
      </c>
      <c r="AC852" s="36" t="s">
        <v>848</v>
      </c>
      <c r="AD852" s="34"/>
      <c r="AE852" s="35">
        <f>IFERROR(INDEX([1]Last6M_AvgSales_Ref!$B$2:$B$12659,MATCH(D852,[1]Last6M_AvgSales_Ref!$A$2:$A$12659,0)),"")</f>
        <v>6.9666666666666703</v>
      </c>
    </row>
    <row r="853" spans="1:31" ht="14.25" customHeight="1" x14ac:dyDescent="0.3">
      <c r="A853" s="41" t="s">
        <v>848</v>
      </c>
      <c r="B853" s="38" t="s">
        <v>1702</v>
      </c>
      <c r="C853" s="44" t="s">
        <v>1751</v>
      </c>
      <c r="D853" s="44">
        <v>1000003867</v>
      </c>
      <c r="E853" s="44" t="s">
        <v>1752</v>
      </c>
      <c r="F853" s="40">
        <v>45342</v>
      </c>
      <c r="G853" s="22" t="str">
        <f t="shared" si="182"/>
        <v>Targeted Dealer</v>
      </c>
      <c r="H853" s="22"/>
      <c r="I853" s="23">
        <v>36</v>
      </c>
      <c r="J853" s="23">
        <f t="shared" si="183"/>
        <v>36</v>
      </c>
      <c r="K853" s="24">
        <v>0</v>
      </c>
      <c r="L853" s="24">
        <f t="shared" si="184"/>
        <v>36</v>
      </c>
      <c r="M853" s="24">
        <f t="shared" si="185"/>
        <v>0</v>
      </c>
      <c r="N853" s="25">
        <v>19</v>
      </c>
      <c r="O853" s="26" t="str">
        <f t="shared" si="186"/>
        <v>June</v>
      </c>
      <c r="P853" s="25">
        <f t="shared" si="187"/>
        <v>19</v>
      </c>
      <c r="Q853" s="27">
        <f t="shared" si="188"/>
        <v>-19</v>
      </c>
      <c r="R853" s="26" t="b">
        <f t="shared" si="189"/>
        <v>0</v>
      </c>
      <c r="S853" s="28" t="str">
        <f t="shared" si="190"/>
        <v>GROWTH</v>
      </c>
      <c r="T853" s="24">
        <v>0</v>
      </c>
      <c r="U853" s="29" t="str">
        <f t="shared" si="191"/>
        <v>May</v>
      </c>
      <c r="V853" s="24">
        <f t="shared" si="192"/>
        <v>0</v>
      </c>
      <c r="W853" s="30">
        <f t="shared" si="193"/>
        <v>0</v>
      </c>
      <c r="X853" s="31" t="b">
        <f t="shared" si="194"/>
        <v>0</v>
      </c>
      <c r="Y853" s="32" t="b">
        <f t="shared" si="195"/>
        <v>0</v>
      </c>
      <c r="Z853" s="41">
        <v>0</v>
      </c>
      <c r="AA853" s="36"/>
      <c r="AB853" s="36" t="s">
        <v>24</v>
      </c>
      <c r="AC853" s="41" t="s">
        <v>848</v>
      </c>
      <c r="AD853" s="34"/>
      <c r="AE853" s="35">
        <f>IFERROR(INDEX([1]Last6M_AvgSales_Ref!$B$2:$B$12659,MATCH(D853,[1]Last6M_AvgSales_Ref!$A$2:$A$12659,0)),"")</f>
        <v>9.8333333333333304</v>
      </c>
    </row>
    <row r="854" spans="1:31" ht="14.25" customHeight="1" x14ac:dyDescent="0.3">
      <c r="A854" s="41" t="s">
        <v>848</v>
      </c>
      <c r="B854" s="38" t="s">
        <v>1702</v>
      </c>
      <c r="C854" s="44" t="s">
        <v>1753</v>
      </c>
      <c r="D854" s="44">
        <v>1000003870</v>
      </c>
      <c r="E854" s="44" t="s">
        <v>1754</v>
      </c>
      <c r="F854" s="40">
        <v>45349</v>
      </c>
      <c r="G854" s="22" t="str">
        <f t="shared" si="182"/>
        <v>Targeted Dealer</v>
      </c>
      <c r="H854" s="22"/>
      <c r="I854" s="23">
        <v>40</v>
      </c>
      <c r="J854" s="23">
        <f t="shared" si="183"/>
        <v>40</v>
      </c>
      <c r="K854" s="24">
        <v>20</v>
      </c>
      <c r="L854" s="24">
        <f t="shared" si="184"/>
        <v>20</v>
      </c>
      <c r="M854" s="24">
        <f t="shared" si="185"/>
        <v>50</v>
      </c>
      <c r="N854" s="25">
        <v>0</v>
      </c>
      <c r="O854" s="26" t="str">
        <f t="shared" si="186"/>
        <v>June</v>
      </c>
      <c r="P854" s="25">
        <f t="shared" si="187"/>
        <v>0</v>
      </c>
      <c r="Q854" s="27">
        <f t="shared" si="188"/>
        <v>20</v>
      </c>
      <c r="R854" s="26" t="b">
        <f t="shared" si="189"/>
        <v>0</v>
      </c>
      <c r="S854" s="28" t="b">
        <f t="shared" si="190"/>
        <v>0</v>
      </c>
      <c r="T854" s="24">
        <v>0</v>
      </c>
      <c r="U854" s="29" t="str">
        <f t="shared" si="191"/>
        <v>May</v>
      </c>
      <c r="V854" s="24">
        <f t="shared" si="192"/>
        <v>0</v>
      </c>
      <c r="W854" s="30">
        <f t="shared" si="193"/>
        <v>20</v>
      </c>
      <c r="X854" s="31" t="b">
        <f t="shared" si="194"/>
        <v>0</v>
      </c>
      <c r="Y854" s="32" t="b">
        <f t="shared" si="195"/>
        <v>0</v>
      </c>
      <c r="Z854" s="41">
        <v>0</v>
      </c>
      <c r="AA854" s="36"/>
      <c r="AB854" s="36" t="s">
        <v>24</v>
      </c>
      <c r="AC854" s="41" t="s">
        <v>848</v>
      </c>
      <c r="AD854" s="34"/>
      <c r="AE854" s="35">
        <f>IFERROR(INDEX([1]Last6M_AvgSales_Ref!$B$2:$B$12659,MATCH(D854,[1]Last6M_AvgSales_Ref!$A$2:$A$12659,0)),"")</f>
        <v>23.1666666666667</v>
      </c>
    </row>
    <row r="855" spans="1:31" ht="14.25" customHeight="1" x14ac:dyDescent="0.3">
      <c r="A855" s="41" t="s">
        <v>848</v>
      </c>
      <c r="B855" s="38" t="s">
        <v>1702</v>
      </c>
      <c r="C855" s="44" t="s">
        <v>1755</v>
      </c>
      <c r="D855" s="44">
        <v>1000003889</v>
      </c>
      <c r="E855" s="44" t="s">
        <v>1756</v>
      </c>
      <c r="F855" s="40">
        <v>45369</v>
      </c>
      <c r="G855" s="22" t="str">
        <f t="shared" si="182"/>
        <v>Targeted Dealer</v>
      </c>
      <c r="H855" s="22"/>
      <c r="I855" s="23">
        <v>120</v>
      </c>
      <c r="J855" s="23">
        <f t="shared" si="183"/>
        <v>120</v>
      </c>
      <c r="K855" s="24">
        <v>53.1</v>
      </c>
      <c r="L855" s="24">
        <f t="shared" si="184"/>
        <v>66.900000000000006</v>
      </c>
      <c r="M855" s="24">
        <f t="shared" si="185"/>
        <v>44.25</v>
      </c>
      <c r="N855" s="25">
        <v>52.25</v>
      </c>
      <c r="O855" s="26" t="str">
        <f t="shared" si="186"/>
        <v>June</v>
      </c>
      <c r="P855" s="25">
        <f t="shared" si="187"/>
        <v>52.25</v>
      </c>
      <c r="Q855" s="27">
        <f t="shared" si="188"/>
        <v>0.85000000000000142</v>
      </c>
      <c r="R855" s="26" t="b">
        <f t="shared" si="189"/>
        <v>0</v>
      </c>
      <c r="S855" s="28" t="str">
        <f t="shared" si="190"/>
        <v>GROWTH</v>
      </c>
      <c r="T855" s="24">
        <v>52.85</v>
      </c>
      <c r="U855" s="29" t="str">
        <f t="shared" si="191"/>
        <v>May</v>
      </c>
      <c r="V855" s="24">
        <f t="shared" si="192"/>
        <v>52.85</v>
      </c>
      <c r="W855" s="30">
        <f t="shared" si="193"/>
        <v>0.25</v>
      </c>
      <c r="X855" s="31" t="b">
        <f t="shared" si="194"/>
        <v>0</v>
      </c>
      <c r="Y855" s="32" t="str">
        <f t="shared" si="195"/>
        <v>GROWTH</v>
      </c>
      <c r="Z855" s="41">
        <v>0</v>
      </c>
      <c r="AA855" s="36"/>
      <c r="AB855" s="36" t="s">
        <v>24</v>
      </c>
      <c r="AC855" s="41" t="s">
        <v>848</v>
      </c>
      <c r="AD855" s="34"/>
      <c r="AE855" s="35">
        <f>IFERROR(INDEX([1]Last6M_AvgSales_Ref!$B$2:$B$12659,MATCH(D855,[1]Last6M_AvgSales_Ref!$A$2:$A$12659,0)),"")</f>
        <v>154.49166666666699</v>
      </c>
    </row>
    <row r="856" spans="1:31" ht="14.25" customHeight="1" x14ac:dyDescent="0.3">
      <c r="A856" s="41" t="s">
        <v>848</v>
      </c>
      <c r="B856" s="38" t="s">
        <v>1702</v>
      </c>
      <c r="C856" s="44" t="s">
        <v>1757</v>
      </c>
      <c r="D856" s="44">
        <v>1000003894</v>
      </c>
      <c r="E856" s="44" t="s">
        <v>1758</v>
      </c>
      <c r="F856" s="40">
        <v>45373</v>
      </c>
      <c r="G856" s="22" t="str">
        <f t="shared" si="182"/>
        <v>Targeted Dealer</v>
      </c>
      <c r="H856" s="22"/>
      <c r="I856" s="23">
        <v>20</v>
      </c>
      <c r="J856" s="23">
        <f t="shared" si="183"/>
        <v>20</v>
      </c>
      <c r="K856" s="24">
        <v>31.5</v>
      </c>
      <c r="L856" s="24">
        <f t="shared" si="184"/>
        <v>-11.5</v>
      </c>
      <c r="M856" s="24">
        <f t="shared" si="185"/>
        <v>157.5</v>
      </c>
      <c r="N856" s="25">
        <v>29.25</v>
      </c>
      <c r="O856" s="26" t="str">
        <f t="shared" si="186"/>
        <v>June</v>
      </c>
      <c r="P856" s="25">
        <f t="shared" si="187"/>
        <v>29.25</v>
      </c>
      <c r="Q856" s="27">
        <f t="shared" si="188"/>
        <v>2.25</v>
      </c>
      <c r="R856" s="26" t="b">
        <f t="shared" si="189"/>
        <v>0</v>
      </c>
      <c r="S856" s="28" t="str">
        <f t="shared" si="190"/>
        <v>GROWTH</v>
      </c>
      <c r="T856" s="24">
        <v>6.75</v>
      </c>
      <c r="U856" s="29" t="str">
        <f t="shared" si="191"/>
        <v>May</v>
      </c>
      <c r="V856" s="24">
        <f t="shared" si="192"/>
        <v>6.75</v>
      </c>
      <c r="W856" s="30">
        <f t="shared" si="193"/>
        <v>24.75</v>
      </c>
      <c r="X856" s="31" t="b">
        <f t="shared" si="194"/>
        <v>0</v>
      </c>
      <c r="Y856" s="32" t="str">
        <f t="shared" si="195"/>
        <v>GROWTH</v>
      </c>
      <c r="Z856" s="41">
        <v>0</v>
      </c>
      <c r="AA856" s="36"/>
      <c r="AB856" s="36" t="s">
        <v>24</v>
      </c>
      <c r="AC856" s="41" t="s">
        <v>848</v>
      </c>
      <c r="AD856" s="34"/>
      <c r="AE856" s="35">
        <f>IFERROR(INDEX([1]Last6M_AvgSales_Ref!$B$2:$B$12659,MATCH(D856,[1]Last6M_AvgSales_Ref!$A$2:$A$12659,0)),"")</f>
        <v>21.625</v>
      </c>
    </row>
    <row r="857" spans="1:31" ht="14.25" customHeight="1" x14ac:dyDescent="0.3">
      <c r="A857" s="41" t="s">
        <v>848</v>
      </c>
      <c r="B857" s="38" t="s">
        <v>1702</v>
      </c>
      <c r="C857" s="44" t="s">
        <v>1759</v>
      </c>
      <c r="D857" s="44">
        <v>1000003897</v>
      </c>
      <c r="E857" s="44" t="s">
        <v>1760</v>
      </c>
      <c r="F857" s="40">
        <v>45380</v>
      </c>
      <c r="G857" s="22" t="str">
        <f t="shared" si="182"/>
        <v>Targeted Dealer</v>
      </c>
      <c r="H857" s="22"/>
      <c r="I857" s="23">
        <v>120</v>
      </c>
      <c r="J857" s="23">
        <f t="shared" si="183"/>
        <v>120</v>
      </c>
      <c r="K857" s="24">
        <v>75</v>
      </c>
      <c r="L857" s="24">
        <f t="shared" si="184"/>
        <v>45</v>
      </c>
      <c r="M857" s="24">
        <f t="shared" si="185"/>
        <v>62.5</v>
      </c>
      <c r="N857" s="25">
        <v>73</v>
      </c>
      <c r="O857" s="26" t="str">
        <f t="shared" si="186"/>
        <v>June</v>
      </c>
      <c r="P857" s="25">
        <f t="shared" si="187"/>
        <v>73</v>
      </c>
      <c r="Q857" s="27">
        <f t="shared" si="188"/>
        <v>2</v>
      </c>
      <c r="R857" s="26" t="b">
        <f t="shared" si="189"/>
        <v>0</v>
      </c>
      <c r="S857" s="28" t="str">
        <f t="shared" si="190"/>
        <v>GROWTH</v>
      </c>
      <c r="T857" s="24">
        <v>25</v>
      </c>
      <c r="U857" s="29" t="str">
        <f t="shared" si="191"/>
        <v>May</v>
      </c>
      <c r="V857" s="24">
        <f t="shared" si="192"/>
        <v>25</v>
      </c>
      <c r="W857" s="30">
        <f t="shared" si="193"/>
        <v>50</v>
      </c>
      <c r="X857" s="31" t="b">
        <f t="shared" si="194"/>
        <v>0</v>
      </c>
      <c r="Y857" s="32" t="str">
        <f t="shared" si="195"/>
        <v>GROWTH</v>
      </c>
      <c r="Z857" s="41">
        <v>0</v>
      </c>
      <c r="AA857" s="36"/>
      <c r="AB857" s="36" t="s">
        <v>24</v>
      </c>
      <c r="AC857" s="41" t="s">
        <v>848</v>
      </c>
      <c r="AD857" s="34"/>
      <c r="AE857" s="35">
        <f>IFERROR(INDEX([1]Last6M_AvgSales_Ref!$B$2:$B$12659,MATCH(D857,[1]Last6M_AvgSales_Ref!$A$2:$A$12659,0)),"")</f>
        <v>88</v>
      </c>
    </row>
    <row r="858" spans="1:31" ht="14.25" customHeight="1" x14ac:dyDescent="0.3">
      <c r="A858" s="41" t="s">
        <v>848</v>
      </c>
      <c r="B858" s="38" t="s">
        <v>1702</v>
      </c>
      <c r="C858" s="44" t="s">
        <v>1761</v>
      </c>
      <c r="D858" s="44">
        <v>1000003990</v>
      </c>
      <c r="E858" s="44" t="s">
        <v>1762</v>
      </c>
      <c r="F858" s="40">
        <v>45443</v>
      </c>
      <c r="G858" s="22" t="str">
        <f t="shared" si="182"/>
        <v>Targeted Dealer</v>
      </c>
      <c r="H858" s="22"/>
      <c r="I858" s="23">
        <v>20</v>
      </c>
      <c r="J858" s="23">
        <f t="shared" si="183"/>
        <v>20</v>
      </c>
      <c r="K858" s="24">
        <v>8.5</v>
      </c>
      <c r="L858" s="24">
        <f t="shared" si="184"/>
        <v>11.5</v>
      </c>
      <c r="M858" s="24">
        <f t="shared" si="185"/>
        <v>42.5</v>
      </c>
      <c r="N858" s="25">
        <v>11</v>
      </c>
      <c r="O858" s="26" t="str">
        <f t="shared" si="186"/>
        <v>June</v>
      </c>
      <c r="P858" s="25">
        <f t="shared" si="187"/>
        <v>11</v>
      </c>
      <c r="Q858" s="27">
        <f t="shared" si="188"/>
        <v>-2.5</v>
      </c>
      <c r="R858" s="26" t="b">
        <f t="shared" si="189"/>
        <v>0</v>
      </c>
      <c r="S858" s="28" t="str">
        <f t="shared" si="190"/>
        <v>GROWTH</v>
      </c>
      <c r="T858" s="24">
        <v>6.75</v>
      </c>
      <c r="U858" s="29" t="str">
        <f t="shared" si="191"/>
        <v>May</v>
      </c>
      <c r="V858" s="24">
        <f t="shared" si="192"/>
        <v>6.75</v>
      </c>
      <c r="W858" s="30">
        <f t="shared" si="193"/>
        <v>1.75</v>
      </c>
      <c r="X858" s="31" t="b">
        <f t="shared" si="194"/>
        <v>0</v>
      </c>
      <c r="Y858" s="32" t="str">
        <f t="shared" si="195"/>
        <v>GROWTH</v>
      </c>
      <c r="Z858" s="41">
        <v>0</v>
      </c>
      <c r="AA858" s="36"/>
      <c r="AB858" s="36" t="s">
        <v>24</v>
      </c>
      <c r="AC858" s="41" t="s">
        <v>848</v>
      </c>
      <c r="AD858" s="34"/>
      <c r="AE858" s="35">
        <f>IFERROR(INDEX([1]Last6M_AvgSales_Ref!$B$2:$B$12659,MATCH(D858,[1]Last6M_AvgSales_Ref!$A$2:$A$12659,0)),"")</f>
        <v>12</v>
      </c>
    </row>
    <row r="859" spans="1:31" ht="14.25" customHeight="1" x14ac:dyDescent="0.3">
      <c r="A859" s="41" t="s">
        <v>848</v>
      </c>
      <c r="B859" s="38" t="s">
        <v>1702</v>
      </c>
      <c r="C859" s="44" t="s">
        <v>1763</v>
      </c>
      <c r="D859" s="44">
        <v>1000004024</v>
      </c>
      <c r="E859" s="44" t="s">
        <v>1764</v>
      </c>
      <c r="F859" s="40">
        <v>45472</v>
      </c>
      <c r="G859" s="22" t="str">
        <f t="shared" si="182"/>
        <v>Targeted Dealer</v>
      </c>
      <c r="H859" s="22"/>
      <c r="I859" s="23">
        <v>120</v>
      </c>
      <c r="J859" s="23">
        <f t="shared" si="183"/>
        <v>120</v>
      </c>
      <c r="K859" s="24">
        <v>75</v>
      </c>
      <c r="L859" s="24">
        <f t="shared" si="184"/>
        <v>45</v>
      </c>
      <c r="M859" s="24">
        <f t="shared" si="185"/>
        <v>62.5</v>
      </c>
      <c r="N859" s="25">
        <v>70.5</v>
      </c>
      <c r="O859" s="26" t="str">
        <f t="shared" si="186"/>
        <v>June</v>
      </c>
      <c r="P859" s="25">
        <f t="shared" si="187"/>
        <v>70.5</v>
      </c>
      <c r="Q859" s="27">
        <f t="shared" si="188"/>
        <v>4.5</v>
      </c>
      <c r="R859" s="26" t="b">
        <f t="shared" si="189"/>
        <v>0</v>
      </c>
      <c r="S859" s="28" t="str">
        <f t="shared" si="190"/>
        <v>GROWTH</v>
      </c>
      <c r="T859" s="24">
        <v>49.5</v>
      </c>
      <c r="U859" s="29" t="str">
        <f t="shared" si="191"/>
        <v>May</v>
      </c>
      <c r="V859" s="24">
        <f t="shared" si="192"/>
        <v>49.5</v>
      </c>
      <c r="W859" s="30">
        <f t="shared" si="193"/>
        <v>25.5</v>
      </c>
      <c r="X859" s="31" t="b">
        <f t="shared" si="194"/>
        <v>0</v>
      </c>
      <c r="Y859" s="32" t="str">
        <f t="shared" si="195"/>
        <v>GROWTH</v>
      </c>
      <c r="Z859" s="41">
        <v>0</v>
      </c>
      <c r="AA859" s="36"/>
      <c r="AB859" s="36" t="s">
        <v>24</v>
      </c>
      <c r="AC859" s="41" t="s">
        <v>848</v>
      </c>
      <c r="AD859" s="34"/>
      <c r="AE859" s="35">
        <f>IFERROR(INDEX([1]Last6M_AvgSales_Ref!$B$2:$B$12659,MATCH(D859,[1]Last6M_AvgSales_Ref!$A$2:$A$12659,0)),"")</f>
        <v>37.125</v>
      </c>
    </row>
    <row r="860" spans="1:31" ht="14.25" customHeight="1" x14ac:dyDescent="0.3">
      <c r="A860" s="41" t="s">
        <v>848</v>
      </c>
      <c r="B860" s="44" t="s">
        <v>1702</v>
      </c>
      <c r="C860" s="44" t="s">
        <v>1765</v>
      </c>
      <c r="D860" s="44">
        <v>1000004049</v>
      </c>
      <c r="E860" s="44" t="s">
        <v>1766</v>
      </c>
      <c r="F860" s="40">
        <v>45493</v>
      </c>
      <c r="G860" s="22" t="str">
        <f t="shared" si="182"/>
        <v>Targeted Dealer</v>
      </c>
      <c r="H860" s="22"/>
      <c r="I860" s="23">
        <v>100</v>
      </c>
      <c r="J860" s="23">
        <f t="shared" si="183"/>
        <v>100</v>
      </c>
      <c r="K860" s="24">
        <v>115</v>
      </c>
      <c r="L860" s="24">
        <f t="shared" si="184"/>
        <v>-15</v>
      </c>
      <c r="M860" s="24">
        <f t="shared" si="185"/>
        <v>115</v>
      </c>
      <c r="N860" s="25">
        <v>35</v>
      </c>
      <c r="O860" s="26" t="str">
        <f t="shared" si="186"/>
        <v>June</v>
      </c>
      <c r="P860" s="25">
        <f t="shared" si="187"/>
        <v>35</v>
      </c>
      <c r="Q860" s="27">
        <f t="shared" si="188"/>
        <v>80</v>
      </c>
      <c r="R860" s="26" t="b">
        <f t="shared" si="189"/>
        <v>0</v>
      </c>
      <c r="S860" s="28" t="str">
        <f t="shared" si="190"/>
        <v>GROWTH</v>
      </c>
      <c r="T860" s="24">
        <v>33</v>
      </c>
      <c r="U860" s="29" t="str">
        <f t="shared" si="191"/>
        <v>May</v>
      </c>
      <c r="V860" s="24">
        <f t="shared" si="192"/>
        <v>33</v>
      </c>
      <c r="W860" s="30">
        <f t="shared" si="193"/>
        <v>82</v>
      </c>
      <c r="X860" s="31" t="b">
        <f t="shared" si="194"/>
        <v>0</v>
      </c>
      <c r="Y860" s="32" t="str">
        <f t="shared" si="195"/>
        <v>GROWTH</v>
      </c>
      <c r="Z860" s="41">
        <v>0</v>
      </c>
      <c r="AA860" s="36"/>
      <c r="AB860" s="36" t="s">
        <v>24</v>
      </c>
      <c r="AC860" s="41" t="s">
        <v>848</v>
      </c>
      <c r="AD860" s="34"/>
      <c r="AE860" s="35">
        <f>IFERROR(INDEX([1]Last6M_AvgSales_Ref!$B$2:$B$12659,MATCH(D860,[1]Last6M_AvgSales_Ref!$A$2:$A$12659,0)),"")</f>
        <v>84.3333333333333</v>
      </c>
    </row>
    <row r="861" spans="1:31" ht="14.25" customHeight="1" x14ac:dyDescent="0.3">
      <c r="A861" s="41" t="s">
        <v>848</v>
      </c>
      <c r="B861" s="44" t="s">
        <v>1702</v>
      </c>
      <c r="C861" s="44" t="s">
        <v>1767</v>
      </c>
      <c r="D861" s="44">
        <v>1000004106</v>
      </c>
      <c r="E861" s="44" t="s">
        <v>1768</v>
      </c>
      <c r="F861" s="47">
        <v>45535</v>
      </c>
      <c r="G861" s="22" t="str">
        <f t="shared" si="182"/>
        <v>Targeted Dealer</v>
      </c>
      <c r="H861" s="22"/>
      <c r="I861" s="23">
        <v>100</v>
      </c>
      <c r="J861" s="23">
        <f t="shared" si="183"/>
        <v>100</v>
      </c>
      <c r="K861" s="24">
        <v>40.75</v>
      </c>
      <c r="L861" s="24">
        <f t="shared" si="184"/>
        <v>59.25</v>
      </c>
      <c r="M861" s="24">
        <f t="shared" si="185"/>
        <v>40.75</v>
      </c>
      <c r="N861" s="25">
        <v>15.75</v>
      </c>
      <c r="O861" s="26" t="str">
        <f t="shared" si="186"/>
        <v>June</v>
      </c>
      <c r="P861" s="25">
        <f t="shared" si="187"/>
        <v>15.75</v>
      </c>
      <c r="Q861" s="27">
        <f t="shared" si="188"/>
        <v>25</v>
      </c>
      <c r="R861" s="26" t="b">
        <f t="shared" si="189"/>
        <v>0</v>
      </c>
      <c r="S861" s="28" t="str">
        <f t="shared" si="190"/>
        <v>GROWTH</v>
      </c>
      <c r="T861" s="24">
        <v>49.5</v>
      </c>
      <c r="U861" s="29" t="str">
        <f t="shared" si="191"/>
        <v>May</v>
      </c>
      <c r="V861" s="24">
        <f t="shared" si="192"/>
        <v>49.5</v>
      </c>
      <c r="W861" s="30">
        <f t="shared" si="193"/>
        <v>-8.75</v>
      </c>
      <c r="X861" s="31" t="b">
        <f t="shared" si="194"/>
        <v>0</v>
      </c>
      <c r="Y861" s="32" t="str">
        <f t="shared" si="195"/>
        <v>GROWTH</v>
      </c>
      <c r="Z861" s="41">
        <v>0</v>
      </c>
      <c r="AA861" s="36"/>
      <c r="AB861" s="36" t="s">
        <v>24</v>
      </c>
      <c r="AC861" s="41" t="s">
        <v>848</v>
      </c>
      <c r="AD861" s="34"/>
      <c r="AE861" s="35">
        <f>IFERROR(INDEX([1]Last6M_AvgSales_Ref!$B$2:$B$12659,MATCH(D861,[1]Last6M_AvgSales_Ref!$A$2:$A$12659,0)),"")</f>
        <v>29.2916666666667</v>
      </c>
    </row>
    <row r="862" spans="1:31" ht="14.25" customHeight="1" x14ac:dyDescent="0.3">
      <c r="A862" s="36" t="s">
        <v>848</v>
      </c>
      <c r="B862" s="38" t="s">
        <v>1769</v>
      </c>
      <c r="C862" s="38" t="s">
        <v>1770</v>
      </c>
      <c r="D862" s="38">
        <v>1000000767</v>
      </c>
      <c r="E862" s="39" t="s">
        <v>1771</v>
      </c>
      <c r="F862" s="40">
        <v>38565</v>
      </c>
      <c r="G862" s="22" t="str">
        <f t="shared" si="182"/>
        <v>Targeted Dealer</v>
      </c>
      <c r="H862" s="22"/>
      <c r="I862" s="23">
        <v>1150</v>
      </c>
      <c r="J862" s="23">
        <f t="shared" si="183"/>
        <v>1150</v>
      </c>
      <c r="K862" s="24">
        <v>891</v>
      </c>
      <c r="L862" s="24">
        <f t="shared" si="184"/>
        <v>259</v>
      </c>
      <c r="M862" s="24">
        <f t="shared" si="185"/>
        <v>77.478260869565219</v>
      </c>
      <c r="N862" s="25">
        <v>985.5</v>
      </c>
      <c r="O862" s="26" t="str">
        <f t="shared" si="186"/>
        <v>June</v>
      </c>
      <c r="P862" s="25">
        <f t="shared" si="187"/>
        <v>985.5</v>
      </c>
      <c r="Q862" s="27">
        <f t="shared" si="188"/>
        <v>-94.5</v>
      </c>
      <c r="R862" s="26" t="b">
        <f t="shared" si="189"/>
        <v>0</v>
      </c>
      <c r="S862" s="28" t="str">
        <f t="shared" si="190"/>
        <v>GROWTH</v>
      </c>
      <c r="T862" s="24">
        <v>478</v>
      </c>
      <c r="U862" s="29" t="str">
        <f t="shared" si="191"/>
        <v>May</v>
      </c>
      <c r="V862" s="24">
        <f t="shared" si="192"/>
        <v>478</v>
      </c>
      <c r="W862" s="30">
        <f t="shared" si="193"/>
        <v>413</v>
      </c>
      <c r="X862" s="31" t="b">
        <f t="shared" si="194"/>
        <v>0</v>
      </c>
      <c r="Y862" s="32" t="str">
        <f t="shared" si="195"/>
        <v>GROWTH</v>
      </c>
      <c r="Z862" s="41">
        <v>0</v>
      </c>
      <c r="AA862" s="36"/>
      <c r="AB862" s="36" t="s">
        <v>24</v>
      </c>
      <c r="AC862" s="36" t="s">
        <v>848</v>
      </c>
      <c r="AD862" s="34"/>
      <c r="AE862" s="35">
        <f>IFERROR(INDEX([1]Last6M_AvgSales_Ref!$B$2:$B$12659,MATCH(D862,[1]Last6M_AvgSales_Ref!$A$2:$A$12659,0)),"")</f>
        <v>930.65833333333296</v>
      </c>
    </row>
    <row r="863" spans="1:31" ht="14.25" customHeight="1" x14ac:dyDescent="0.3">
      <c r="A863" s="36" t="s">
        <v>848</v>
      </c>
      <c r="B863" s="38" t="s">
        <v>1769</v>
      </c>
      <c r="C863" s="38" t="s">
        <v>1772</v>
      </c>
      <c r="D863" s="38">
        <v>1000000772</v>
      </c>
      <c r="E863" s="39" t="s">
        <v>1773</v>
      </c>
      <c r="F863" s="40">
        <v>40640</v>
      </c>
      <c r="G863" s="22" t="str">
        <f t="shared" si="182"/>
        <v>Targeted Dealer</v>
      </c>
      <c r="H863" s="22"/>
      <c r="I863" s="23">
        <v>40</v>
      </c>
      <c r="J863" s="23">
        <f t="shared" si="183"/>
        <v>40</v>
      </c>
      <c r="K863" s="24">
        <v>34</v>
      </c>
      <c r="L863" s="24">
        <f t="shared" si="184"/>
        <v>6</v>
      </c>
      <c r="M863" s="24">
        <f t="shared" si="185"/>
        <v>85</v>
      </c>
      <c r="N863" s="25">
        <v>68</v>
      </c>
      <c r="O863" s="26" t="str">
        <f t="shared" si="186"/>
        <v>June</v>
      </c>
      <c r="P863" s="25">
        <f t="shared" si="187"/>
        <v>68</v>
      </c>
      <c r="Q863" s="27">
        <f t="shared" si="188"/>
        <v>-34</v>
      </c>
      <c r="R863" s="26" t="b">
        <f t="shared" si="189"/>
        <v>0</v>
      </c>
      <c r="S863" s="28" t="str">
        <f t="shared" si="190"/>
        <v>GROWTH</v>
      </c>
      <c r="T863" s="24">
        <v>32</v>
      </c>
      <c r="U863" s="29" t="str">
        <f t="shared" si="191"/>
        <v>May</v>
      </c>
      <c r="V863" s="24">
        <f t="shared" si="192"/>
        <v>32</v>
      </c>
      <c r="W863" s="30">
        <f t="shared" si="193"/>
        <v>2</v>
      </c>
      <c r="X863" s="31" t="b">
        <f t="shared" si="194"/>
        <v>0</v>
      </c>
      <c r="Y863" s="32" t="str">
        <f t="shared" si="195"/>
        <v>GROWTH</v>
      </c>
      <c r="Z863" s="41">
        <v>0</v>
      </c>
      <c r="AA863" s="36"/>
      <c r="AB863" s="36" t="s">
        <v>24</v>
      </c>
      <c r="AC863" s="36" t="s">
        <v>848</v>
      </c>
      <c r="AD863" s="34"/>
      <c r="AE863" s="35">
        <f>IFERROR(INDEX([1]Last6M_AvgSales_Ref!$B$2:$B$12659,MATCH(D863,[1]Last6M_AvgSales_Ref!$A$2:$A$12659,0)),"")</f>
        <v>5.5</v>
      </c>
    </row>
    <row r="864" spans="1:31" ht="14.25" customHeight="1" x14ac:dyDescent="0.3">
      <c r="A864" s="36" t="s">
        <v>848</v>
      </c>
      <c r="B864" s="38" t="s">
        <v>1769</v>
      </c>
      <c r="C864" s="38" t="s">
        <v>1774</v>
      </c>
      <c r="D864" s="38">
        <v>1000000776</v>
      </c>
      <c r="E864" s="39" t="s">
        <v>1775</v>
      </c>
      <c r="F864" s="40">
        <v>41263</v>
      </c>
      <c r="G864" s="22" t="str">
        <f t="shared" si="182"/>
        <v>Targeted Dealer</v>
      </c>
      <c r="H864" s="22"/>
      <c r="I864" s="23">
        <v>60</v>
      </c>
      <c r="J864" s="23">
        <f t="shared" si="183"/>
        <v>60</v>
      </c>
      <c r="K864" s="24">
        <v>60</v>
      </c>
      <c r="L864" s="24">
        <f t="shared" si="184"/>
        <v>0</v>
      </c>
      <c r="M864" s="24">
        <f t="shared" si="185"/>
        <v>100</v>
      </c>
      <c r="N864" s="25">
        <v>90</v>
      </c>
      <c r="O864" s="26" t="str">
        <f t="shared" si="186"/>
        <v>June</v>
      </c>
      <c r="P864" s="25">
        <f t="shared" si="187"/>
        <v>90</v>
      </c>
      <c r="Q864" s="27">
        <f t="shared" si="188"/>
        <v>-30</v>
      </c>
      <c r="R864" s="26" t="b">
        <f t="shared" si="189"/>
        <v>0</v>
      </c>
      <c r="S864" s="28" t="str">
        <f t="shared" si="190"/>
        <v>GROWTH</v>
      </c>
      <c r="T864" s="24">
        <v>60</v>
      </c>
      <c r="U864" s="29" t="str">
        <f t="shared" si="191"/>
        <v>May</v>
      </c>
      <c r="V864" s="24">
        <f t="shared" si="192"/>
        <v>60</v>
      </c>
      <c r="W864" s="30">
        <f t="shared" si="193"/>
        <v>0</v>
      </c>
      <c r="X864" s="31" t="b">
        <f t="shared" si="194"/>
        <v>0</v>
      </c>
      <c r="Y864" s="32" t="str">
        <f t="shared" si="195"/>
        <v>GROWTH</v>
      </c>
      <c r="Z864" s="41">
        <v>0</v>
      </c>
      <c r="AA864" s="36"/>
      <c r="AB864" s="36" t="s">
        <v>24</v>
      </c>
      <c r="AC864" s="36" t="s">
        <v>848</v>
      </c>
      <c r="AD864" s="34"/>
      <c r="AE864" s="35">
        <f>IFERROR(INDEX([1]Last6M_AvgSales_Ref!$B$2:$B$12659,MATCH(D864,[1]Last6M_AvgSales_Ref!$A$2:$A$12659,0)),"")</f>
        <v>58.3333333333333</v>
      </c>
    </row>
    <row r="865" spans="1:31" ht="14.25" customHeight="1" x14ac:dyDescent="0.3">
      <c r="A865" s="36" t="s">
        <v>848</v>
      </c>
      <c r="B865" s="38" t="s">
        <v>1769</v>
      </c>
      <c r="C865" s="38" t="s">
        <v>1776</v>
      </c>
      <c r="D865" s="38">
        <v>1000000768</v>
      </c>
      <c r="E865" s="39" t="s">
        <v>1777</v>
      </c>
      <c r="F865" s="40">
        <v>41816</v>
      </c>
      <c r="G865" s="22" t="str">
        <f t="shared" si="182"/>
        <v>Targeted Dealer</v>
      </c>
      <c r="H865" s="22"/>
      <c r="I865" s="23">
        <v>60</v>
      </c>
      <c r="J865" s="23">
        <f t="shared" si="183"/>
        <v>60</v>
      </c>
      <c r="K865" s="24">
        <v>25</v>
      </c>
      <c r="L865" s="24">
        <f t="shared" si="184"/>
        <v>35</v>
      </c>
      <c r="M865" s="24">
        <f t="shared" si="185"/>
        <v>41.666666666666671</v>
      </c>
      <c r="N865" s="25">
        <v>30</v>
      </c>
      <c r="O865" s="26" t="str">
        <f t="shared" si="186"/>
        <v>June</v>
      </c>
      <c r="P865" s="25">
        <f t="shared" si="187"/>
        <v>30</v>
      </c>
      <c r="Q865" s="27">
        <f t="shared" si="188"/>
        <v>-5</v>
      </c>
      <c r="R865" s="26" t="b">
        <f t="shared" si="189"/>
        <v>0</v>
      </c>
      <c r="S865" s="28" t="str">
        <f t="shared" si="190"/>
        <v>GROWTH</v>
      </c>
      <c r="T865" s="24">
        <v>25</v>
      </c>
      <c r="U865" s="29" t="str">
        <f t="shared" si="191"/>
        <v>May</v>
      </c>
      <c r="V865" s="24">
        <f t="shared" si="192"/>
        <v>25</v>
      </c>
      <c r="W865" s="30">
        <f t="shared" si="193"/>
        <v>0</v>
      </c>
      <c r="X865" s="31" t="b">
        <f t="shared" si="194"/>
        <v>0</v>
      </c>
      <c r="Y865" s="32" t="str">
        <f t="shared" si="195"/>
        <v>GROWTH</v>
      </c>
      <c r="Z865" s="41">
        <v>0</v>
      </c>
      <c r="AA865" s="36"/>
      <c r="AB865" s="36" t="s">
        <v>24</v>
      </c>
      <c r="AC865" s="36" t="s">
        <v>848</v>
      </c>
      <c r="AD865" s="34"/>
      <c r="AE865" s="35">
        <f>IFERROR(INDEX([1]Last6M_AvgSales_Ref!$B$2:$B$12659,MATCH(D865,[1]Last6M_AvgSales_Ref!$A$2:$A$12659,0)),"")</f>
        <v>25</v>
      </c>
    </row>
    <row r="866" spans="1:31" ht="14.25" customHeight="1" x14ac:dyDescent="0.3">
      <c r="A866" s="36" t="s">
        <v>848</v>
      </c>
      <c r="B866" s="38" t="s">
        <v>1769</v>
      </c>
      <c r="C866" s="38" t="s">
        <v>1778</v>
      </c>
      <c r="D866" s="38">
        <v>1000000775</v>
      </c>
      <c r="E866" s="39" t="s">
        <v>1779</v>
      </c>
      <c r="F866" s="40">
        <v>42905</v>
      </c>
      <c r="G866" s="22" t="str">
        <f t="shared" si="182"/>
        <v>Targeted Dealer</v>
      </c>
      <c r="H866" s="22"/>
      <c r="I866" s="23">
        <v>280</v>
      </c>
      <c r="J866" s="23">
        <f t="shared" si="183"/>
        <v>280</v>
      </c>
      <c r="K866" s="24">
        <v>70</v>
      </c>
      <c r="L866" s="24">
        <f t="shared" si="184"/>
        <v>210</v>
      </c>
      <c r="M866" s="24">
        <f t="shared" si="185"/>
        <v>25</v>
      </c>
      <c r="N866" s="25">
        <v>105</v>
      </c>
      <c r="O866" s="26" t="str">
        <f t="shared" si="186"/>
        <v>June</v>
      </c>
      <c r="P866" s="25">
        <f t="shared" si="187"/>
        <v>105</v>
      </c>
      <c r="Q866" s="27">
        <f t="shared" si="188"/>
        <v>-35</v>
      </c>
      <c r="R866" s="26" t="b">
        <f t="shared" si="189"/>
        <v>0</v>
      </c>
      <c r="S866" s="28" t="str">
        <f t="shared" si="190"/>
        <v>GROWTH</v>
      </c>
      <c r="T866" s="24">
        <v>130</v>
      </c>
      <c r="U866" s="29" t="str">
        <f t="shared" si="191"/>
        <v>May</v>
      </c>
      <c r="V866" s="24">
        <f t="shared" si="192"/>
        <v>130</v>
      </c>
      <c r="W866" s="30">
        <f t="shared" si="193"/>
        <v>-60</v>
      </c>
      <c r="X866" s="31" t="b">
        <f t="shared" si="194"/>
        <v>0</v>
      </c>
      <c r="Y866" s="32" t="str">
        <f t="shared" si="195"/>
        <v>GROWTH</v>
      </c>
      <c r="Z866" s="41">
        <v>0</v>
      </c>
      <c r="AA866" s="36"/>
      <c r="AB866" s="36" t="s">
        <v>24</v>
      </c>
      <c r="AC866" s="36" t="s">
        <v>848</v>
      </c>
      <c r="AD866" s="34"/>
      <c r="AE866" s="35">
        <f>IFERROR(INDEX([1]Last6M_AvgSales_Ref!$B$2:$B$12659,MATCH(D866,[1]Last6M_AvgSales_Ref!$A$2:$A$12659,0)),"")</f>
        <v>100.166666666667</v>
      </c>
    </row>
    <row r="867" spans="1:31" ht="14.25" customHeight="1" x14ac:dyDescent="0.3">
      <c r="A867" s="36" t="s">
        <v>848</v>
      </c>
      <c r="B867" s="38" t="s">
        <v>1769</v>
      </c>
      <c r="C867" s="38" t="s">
        <v>1780</v>
      </c>
      <c r="D867" s="38">
        <v>1000000773</v>
      </c>
      <c r="E867" s="39" t="s">
        <v>1781</v>
      </c>
      <c r="F867" s="40">
        <v>43066</v>
      </c>
      <c r="G867" s="22" t="str">
        <f t="shared" si="182"/>
        <v>Targeted Dealer</v>
      </c>
      <c r="H867" s="22"/>
      <c r="I867" s="23">
        <v>200</v>
      </c>
      <c r="J867" s="23">
        <f t="shared" si="183"/>
        <v>200</v>
      </c>
      <c r="K867" s="24">
        <v>120</v>
      </c>
      <c r="L867" s="24">
        <f t="shared" si="184"/>
        <v>80</v>
      </c>
      <c r="M867" s="24">
        <f t="shared" si="185"/>
        <v>60</v>
      </c>
      <c r="N867" s="25">
        <v>110</v>
      </c>
      <c r="O867" s="26" t="str">
        <f t="shared" si="186"/>
        <v>June</v>
      </c>
      <c r="P867" s="25">
        <f t="shared" si="187"/>
        <v>110</v>
      </c>
      <c r="Q867" s="27">
        <f t="shared" si="188"/>
        <v>10</v>
      </c>
      <c r="R867" s="26" t="b">
        <f t="shared" si="189"/>
        <v>0</v>
      </c>
      <c r="S867" s="28" t="str">
        <f t="shared" si="190"/>
        <v>GROWTH</v>
      </c>
      <c r="T867" s="24">
        <v>95</v>
      </c>
      <c r="U867" s="29" t="str">
        <f t="shared" si="191"/>
        <v>May</v>
      </c>
      <c r="V867" s="24">
        <f t="shared" si="192"/>
        <v>95</v>
      </c>
      <c r="W867" s="30">
        <f t="shared" si="193"/>
        <v>25</v>
      </c>
      <c r="X867" s="31" t="b">
        <f t="shared" si="194"/>
        <v>0</v>
      </c>
      <c r="Y867" s="32" t="str">
        <f t="shared" si="195"/>
        <v>GROWTH</v>
      </c>
      <c r="Z867" s="41">
        <v>0</v>
      </c>
      <c r="AA867" s="36"/>
      <c r="AB867" s="36" t="s">
        <v>24</v>
      </c>
      <c r="AC867" s="36" t="s">
        <v>848</v>
      </c>
      <c r="AD867" s="34"/>
      <c r="AE867" s="35">
        <f>IFERROR(INDEX([1]Last6M_AvgSales_Ref!$B$2:$B$12659,MATCH(D867,[1]Last6M_AvgSales_Ref!$A$2:$A$12659,0)),"")</f>
        <v>85</v>
      </c>
    </row>
    <row r="868" spans="1:31" ht="14.25" customHeight="1" x14ac:dyDescent="0.3">
      <c r="A868" s="36" t="s">
        <v>848</v>
      </c>
      <c r="B868" s="38" t="s">
        <v>1769</v>
      </c>
      <c r="C868" s="38" t="s">
        <v>1782</v>
      </c>
      <c r="D868" s="38">
        <v>1000000769</v>
      </c>
      <c r="E868" s="39" t="s">
        <v>1783</v>
      </c>
      <c r="F868" s="40">
        <v>43305</v>
      </c>
      <c r="G868" s="22" t="str">
        <f t="shared" si="182"/>
        <v>Targeted Dealer</v>
      </c>
      <c r="H868" s="22"/>
      <c r="I868" s="23">
        <v>180</v>
      </c>
      <c r="J868" s="23">
        <f t="shared" si="183"/>
        <v>180</v>
      </c>
      <c r="K868" s="24">
        <v>68</v>
      </c>
      <c r="L868" s="24">
        <f t="shared" si="184"/>
        <v>112</v>
      </c>
      <c r="M868" s="24">
        <f t="shared" si="185"/>
        <v>37.777777777777779</v>
      </c>
      <c r="N868" s="25">
        <v>85</v>
      </c>
      <c r="O868" s="26" t="str">
        <f t="shared" si="186"/>
        <v>June</v>
      </c>
      <c r="P868" s="25">
        <f t="shared" si="187"/>
        <v>85</v>
      </c>
      <c r="Q868" s="27">
        <f t="shared" si="188"/>
        <v>-17</v>
      </c>
      <c r="R868" s="26" t="b">
        <f t="shared" si="189"/>
        <v>0</v>
      </c>
      <c r="S868" s="28" t="str">
        <f t="shared" si="190"/>
        <v>GROWTH</v>
      </c>
      <c r="T868" s="24">
        <v>85</v>
      </c>
      <c r="U868" s="29" t="str">
        <f t="shared" si="191"/>
        <v>May</v>
      </c>
      <c r="V868" s="24">
        <f t="shared" si="192"/>
        <v>85</v>
      </c>
      <c r="W868" s="30">
        <f t="shared" si="193"/>
        <v>-17</v>
      </c>
      <c r="X868" s="31" t="b">
        <f t="shared" si="194"/>
        <v>0</v>
      </c>
      <c r="Y868" s="32" t="str">
        <f t="shared" si="195"/>
        <v>GROWTH</v>
      </c>
      <c r="Z868" s="41">
        <v>0</v>
      </c>
      <c r="AA868" s="36"/>
      <c r="AB868" s="36" t="s">
        <v>24</v>
      </c>
      <c r="AC868" s="36" t="s">
        <v>848</v>
      </c>
      <c r="AD868" s="34"/>
      <c r="AE868" s="35">
        <f>IFERROR(INDEX([1]Last6M_AvgSales_Ref!$B$2:$B$12659,MATCH(D868,[1]Last6M_AvgSales_Ref!$A$2:$A$12659,0)),"")</f>
        <v>68.6666666666667</v>
      </c>
    </row>
    <row r="869" spans="1:31" ht="14.25" customHeight="1" x14ac:dyDescent="0.3">
      <c r="A869" s="36" t="s">
        <v>848</v>
      </c>
      <c r="B869" s="38" t="s">
        <v>1769</v>
      </c>
      <c r="C869" s="38" t="s">
        <v>1784</v>
      </c>
      <c r="D869" s="38">
        <v>1000000774</v>
      </c>
      <c r="E869" s="39" t="s">
        <v>1785</v>
      </c>
      <c r="F869" s="40">
        <v>43319</v>
      </c>
      <c r="G869" s="22" t="str">
        <f t="shared" si="182"/>
        <v>Targeted Dealer</v>
      </c>
      <c r="H869" s="22"/>
      <c r="I869" s="23">
        <v>90</v>
      </c>
      <c r="J869" s="23">
        <f t="shared" si="183"/>
        <v>90</v>
      </c>
      <c r="K869" s="24">
        <v>55</v>
      </c>
      <c r="L869" s="24">
        <f t="shared" si="184"/>
        <v>35</v>
      </c>
      <c r="M869" s="24">
        <f t="shared" si="185"/>
        <v>61.111111111111107</v>
      </c>
      <c r="N869" s="25">
        <v>60</v>
      </c>
      <c r="O869" s="26" t="str">
        <f t="shared" si="186"/>
        <v>June</v>
      </c>
      <c r="P869" s="25">
        <f t="shared" si="187"/>
        <v>60</v>
      </c>
      <c r="Q869" s="27">
        <f t="shared" si="188"/>
        <v>-5</v>
      </c>
      <c r="R869" s="26" t="b">
        <f t="shared" si="189"/>
        <v>0</v>
      </c>
      <c r="S869" s="28" t="str">
        <f t="shared" si="190"/>
        <v>GROWTH</v>
      </c>
      <c r="T869" s="24">
        <v>90</v>
      </c>
      <c r="U869" s="29" t="str">
        <f t="shared" si="191"/>
        <v>May</v>
      </c>
      <c r="V869" s="24">
        <f t="shared" si="192"/>
        <v>90</v>
      </c>
      <c r="W869" s="30">
        <f t="shared" si="193"/>
        <v>-35</v>
      </c>
      <c r="X869" s="31" t="b">
        <f t="shared" si="194"/>
        <v>0</v>
      </c>
      <c r="Y869" s="32" t="str">
        <f t="shared" si="195"/>
        <v>GROWTH</v>
      </c>
      <c r="Z869" s="41">
        <v>0</v>
      </c>
      <c r="AA869" s="36"/>
      <c r="AB869" s="36" t="s">
        <v>24</v>
      </c>
      <c r="AC869" s="36" t="s">
        <v>848</v>
      </c>
      <c r="AD869" s="34"/>
      <c r="AE869" s="35">
        <f>IFERROR(INDEX([1]Last6M_AvgSales_Ref!$B$2:$B$12659,MATCH(D869,[1]Last6M_AvgSales_Ref!$A$2:$A$12659,0)),"")</f>
        <v>50.8333333333333</v>
      </c>
    </row>
    <row r="870" spans="1:31" ht="14.25" customHeight="1" x14ac:dyDescent="0.3">
      <c r="A870" s="36" t="s">
        <v>848</v>
      </c>
      <c r="B870" s="38" t="s">
        <v>1769</v>
      </c>
      <c r="C870" s="38" t="s">
        <v>1786</v>
      </c>
      <c r="D870" s="38">
        <v>1000001085</v>
      </c>
      <c r="E870" s="39" t="s">
        <v>1787</v>
      </c>
      <c r="F870" s="40">
        <v>43582</v>
      </c>
      <c r="G870" s="22" t="str">
        <f t="shared" si="182"/>
        <v>Targeted Dealer</v>
      </c>
      <c r="H870" s="22"/>
      <c r="I870" s="23">
        <v>60</v>
      </c>
      <c r="J870" s="23">
        <f t="shared" si="183"/>
        <v>60</v>
      </c>
      <c r="K870" s="24">
        <v>0</v>
      </c>
      <c r="L870" s="24">
        <f t="shared" si="184"/>
        <v>60</v>
      </c>
      <c r="M870" s="24">
        <f t="shared" si="185"/>
        <v>0</v>
      </c>
      <c r="N870" s="25">
        <v>0</v>
      </c>
      <c r="O870" s="26" t="str">
        <f t="shared" si="186"/>
        <v>June</v>
      </c>
      <c r="P870" s="25">
        <f t="shared" si="187"/>
        <v>0</v>
      </c>
      <c r="Q870" s="27">
        <f t="shared" si="188"/>
        <v>0</v>
      </c>
      <c r="R870" s="26" t="b">
        <f t="shared" si="189"/>
        <v>0</v>
      </c>
      <c r="S870" s="28" t="b">
        <f t="shared" si="190"/>
        <v>0</v>
      </c>
      <c r="T870" s="24">
        <v>0</v>
      </c>
      <c r="U870" s="29" t="str">
        <f t="shared" si="191"/>
        <v>May</v>
      </c>
      <c r="V870" s="24">
        <f t="shared" si="192"/>
        <v>0</v>
      </c>
      <c r="W870" s="30">
        <f t="shared" si="193"/>
        <v>0</v>
      </c>
      <c r="X870" s="31" t="b">
        <f t="shared" si="194"/>
        <v>0</v>
      </c>
      <c r="Y870" s="32" t="b">
        <f t="shared" si="195"/>
        <v>0</v>
      </c>
      <c r="Z870" s="41">
        <v>0</v>
      </c>
      <c r="AA870" s="36"/>
      <c r="AB870" s="36" t="s">
        <v>24</v>
      </c>
      <c r="AC870" s="36" t="s">
        <v>848</v>
      </c>
      <c r="AD870" s="34"/>
      <c r="AE870" s="35">
        <f>IFERROR(INDEX([1]Last6M_AvgSales_Ref!$B$2:$B$12659,MATCH(D870,[1]Last6M_AvgSales_Ref!$A$2:$A$12659,0)),"")</f>
        <v>14.1666666666667</v>
      </c>
    </row>
    <row r="871" spans="1:31" ht="14.25" customHeight="1" x14ac:dyDescent="0.3">
      <c r="A871" s="36" t="s">
        <v>848</v>
      </c>
      <c r="B871" s="38" t="s">
        <v>1769</v>
      </c>
      <c r="C871" s="38" t="s">
        <v>1788</v>
      </c>
      <c r="D871" s="38">
        <v>1000001090</v>
      </c>
      <c r="E871" s="39" t="s">
        <v>1789</v>
      </c>
      <c r="F871" s="40">
        <v>43801</v>
      </c>
      <c r="G871" s="22" t="str">
        <f t="shared" si="182"/>
        <v>Targeted Dealer</v>
      </c>
      <c r="H871" s="22"/>
      <c r="I871" s="23">
        <v>630</v>
      </c>
      <c r="J871" s="23">
        <f t="shared" si="183"/>
        <v>630</v>
      </c>
      <c r="K871" s="24">
        <v>193</v>
      </c>
      <c r="L871" s="24">
        <f t="shared" si="184"/>
        <v>437</v>
      </c>
      <c r="M871" s="24">
        <f t="shared" si="185"/>
        <v>30.634920634920636</v>
      </c>
      <c r="N871" s="25">
        <v>533</v>
      </c>
      <c r="O871" s="26" t="str">
        <f t="shared" si="186"/>
        <v>June</v>
      </c>
      <c r="P871" s="25">
        <f t="shared" si="187"/>
        <v>533</v>
      </c>
      <c r="Q871" s="27">
        <f t="shared" si="188"/>
        <v>-340</v>
      </c>
      <c r="R871" s="26" t="b">
        <f t="shared" si="189"/>
        <v>0</v>
      </c>
      <c r="S871" s="28" t="str">
        <f t="shared" si="190"/>
        <v>GROWTH</v>
      </c>
      <c r="T871" s="24">
        <v>305</v>
      </c>
      <c r="U871" s="29" t="str">
        <f t="shared" si="191"/>
        <v>May</v>
      </c>
      <c r="V871" s="24">
        <f t="shared" si="192"/>
        <v>305</v>
      </c>
      <c r="W871" s="30">
        <f t="shared" si="193"/>
        <v>-112</v>
      </c>
      <c r="X871" s="31" t="b">
        <f t="shared" si="194"/>
        <v>0</v>
      </c>
      <c r="Y871" s="32" t="str">
        <f t="shared" si="195"/>
        <v>GROWTH</v>
      </c>
      <c r="Z871" s="41">
        <v>0</v>
      </c>
      <c r="AA871" s="36"/>
      <c r="AB871" s="36" t="s">
        <v>24</v>
      </c>
      <c r="AC871" s="36" t="s">
        <v>848</v>
      </c>
      <c r="AD871" s="34"/>
      <c r="AE871" s="35">
        <f>IFERROR(INDEX([1]Last6M_AvgSales_Ref!$B$2:$B$12659,MATCH(D871,[1]Last6M_AvgSales_Ref!$A$2:$A$12659,0)),"")</f>
        <v>323.14166666666699</v>
      </c>
    </row>
    <row r="872" spans="1:31" ht="14.25" customHeight="1" x14ac:dyDescent="0.3">
      <c r="A872" s="36" t="s">
        <v>848</v>
      </c>
      <c r="B872" s="38" t="s">
        <v>1769</v>
      </c>
      <c r="C872" s="38" t="s">
        <v>1790</v>
      </c>
      <c r="D872" s="38">
        <v>1000001083</v>
      </c>
      <c r="E872" s="39" t="s">
        <v>1791</v>
      </c>
      <c r="F872" s="40">
        <v>44126</v>
      </c>
      <c r="G872" s="22" t="str">
        <f t="shared" si="182"/>
        <v>Targeted Dealer</v>
      </c>
      <c r="H872" s="22"/>
      <c r="I872" s="23">
        <v>250</v>
      </c>
      <c r="J872" s="23">
        <f t="shared" si="183"/>
        <v>250.00000000000003</v>
      </c>
      <c r="K872" s="24">
        <v>125</v>
      </c>
      <c r="L872" s="24">
        <f t="shared" si="184"/>
        <v>125</v>
      </c>
      <c r="M872" s="24">
        <f t="shared" si="185"/>
        <v>49.999999999999993</v>
      </c>
      <c r="N872" s="25">
        <v>105</v>
      </c>
      <c r="O872" s="26" t="str">
        <f t="shared" si="186"/>
        <v>June</v>
      </c>
      <c r="P872" s="25">
        <f t="shared" si="187"/>
        <v>105</v>
      </c>
      <c r="Q872" s="27">
        <f t="shared" si="188"/>
        <v>20</v>
      </c>
      <c r="R872" s="26" t="b">
        <f t="shared" si="189"/>
        <v>0</v>
      </c>
      <c r="S872" s="28" t="str">
        <f t="shared" si="190"/>
        <v>GROWTH</v>
      </c>
      <c r="T872" s="24">
        <v>105</v>
      </c>
      <c r="U872" s="29" t="str">
        <f t="shared" si="191"/>
        <v>May</v>
      </c>
      <c r="V872" s="24">
        <f t="shared" si="192"/>
        <v>105</v>
      </c>
      <c r="W872" s="30">
        <f t="shared" si="193"/>
        <v>20</v>
      </c>
      <c r="X872" s="31" t="b">
        <f t="shared" si="194"/>
        <v>0</v>
      </c>
      <c r="Y872" s="32" t="str">
        <f t="shared" si="195"/>
        <v>GROWTH</v>
      </c>
      <c r="Z872" s="41">
        <v>0</v>
      </c>
      <c r="AA872" s="36"/>
      <c r="AB872" s="36" t="s">
        <v>24</v>
      </c>
      <c r="AC872" s="36" t="s">
        <v>848</v>
      </c>
      <c r="AD872" s="34"/>
      <c r="AE872" s="35">
        <f>IFERROR(INDEX([1]Last6M_AvgSales_Ref!$B$2:$B$12659,MATCH(D872,[1]Last6M_AvgSales_Ref!$A$2:$A$12659,0)),"")</f>
        <v>115</v>
      </c>
    </row>
    <row r="873" spans="1:31" ht="14.25" customHeight="1" x14ac:dyDescent="0.3">
      <c r="A873" s="36" t="s">
        <v>848</v>
      </c>
      <c r="B873" s="38" t="s">
        <v>1769</v>
      </c>
      <c r="C873" s="38" t="s">
        <v>1792</v>
      </c>
      <c r="D873" s="38">
        <v>1000001089</v>
      </c>
      <c r="E873" s="39" t="s">
        <v>1793</v>
      </c>
      <c r="F873" s="40">
        <v>44197</v>
      </c>
      <c r="G873" s="22" t="str">
        <f t="shared" si="182"/>
        <v>Targeted Dealer</v>
      </c>
      <c r="H873" s="22"/>
      <c r="I873" s="23">
        <v>200</v>
      </c>
      <c r="J873" s="23">
        <f t="shared" si="183"/>
        <v>200</v>
      </c>
      <c r="K873" s="24">
        <v>143.5</v>
      </c>
      <c r="L873" s="24">
        <f t="shared" si="184"/>
        <v>56.5</v>
      </c>
      <c r="M873" s="24">
        <f t="shared" si="185"/>
        <v>71.75</v>
      </c>
      <c r="N873" s="25">
        <v>120</v>
      </c>
      <c r="O873" s="26" t="str">
        <f t="shared" si="186"/>
        <v>June</v>
      </c>
      <c r="P873" s="25">
        <f t="shared" si="187"/>
        <v>120</v>
      </c>
      <c r="Q873" s="27">
        <f t="shared" si="188"/>
        <v>23.5</v>
      </c>
      <c r="R873" s="26" t="b">
        <f t="shared" si="189"/>
        <v>0</v>
      </c>
      <c r="S873" s="28" t="str">
        <f t="shared" si="190"/>
        <v>GROWTH</v>
      </c>
      <c r="T873" s="24">
        <v>70</v>
      </c>
      <c r="U873" s="29" t="str">
        <f t="shared" si="191"/>
        <v>May</v>
      </c>
      <c r="V873" s="24">
        <f t="shared" si="192"/>
        <v>70</v>
      </c>
      <c r="W873" s="30">
        <f t="shared" si="193"/>
        <v>73.5</v>
      </c>
      <c r="X873" s="31" t="b">
        <f t="shared" si="194"/>
        <v>0</v>
      </c>
      <c r="Y873" s="32" t="str">
        <f t="shared" si="195"/>
        <v>GROWTH</v>
      </c>
      <c r="Z873" s="41">
        <v>0</v>
      </c>
      <c r="AA873" s="36"/>
      <c r="AB873" s="36" t="s">
        <v>24</v>
      </c>
      <c r="AC873" s="36" t="s">
        <v>848</v>
      </c>
      <c r="AD873" s="34"/>
      <c r="AE873" s="35">
        <f>IFERROR(INDEX([1]Last6M_AvgSales_Ref!$B$2:$B$12659,MATCH(D873,[1]Last6M_AvgSales_Ref!$A$2:$A$12659,0)),"")</f>
        <v>120.583333333333</v>
      </c>
    </row>
    <row r="874" spans="1:31" ht="14.25" customHeight="1" x14ac:dyDescent="0.3">
      <c r="A874" s="36" t="s">
        <v>848</v>
      </c>
      <c r="B874" s="38" t="s">
        <v>1769</v>
      </c>
      <c r="C874" s="38" t="s">
        <v>1794</v>
      </c>
      <c r="D874" s="38">
        <v>1000001088</v>
      </c>
      <c r="E874" s="39" t="s">
        <v>1795</v>
      </c>
      <c r="F874" s="40">
        <v>44321</v>
      </c>
      <c r="G874" s="22" t="str">
        <f t="shared" si="182"/>
        <v>Targeted Dealer</v>
      </c>
      <c r="H874" s="22"/>
      <c r="I874" s="23">
        <v>50</v>
      </c>
      <c r="J874" s="23">
        <f t="shared" si="183"/>
        <v>50</v>
      </c>
      <c r="K874" s="24">
        <v>0</v>
      </c>
      <c r="L874" s="24">
        <f t="shared" si="184"/>
        <v>50</v>
      </c>
      <c r="M874" s="24">
        <f t="shared" si="185"/>
        <v>0</v>
      </c>
      <c r="N874" s="25">
        <v>0</v>
      </c>
      <c r="O874" s="26" t="str">
        <f t="shared" si="186"/>
        <v>June</v>
      </c>
      <c r="P874" s="25">
        <f t="shared" si="187"/>
        <v>0</v>
      </c>
      <c r="Q874" s="27">
        <f t="shared" si="188"/>
        <v>0</v>
      </c>
      <c r="R874" s="26" t="b">
        <f t="shared" si="189"/>
        <v>0</v>
      </c>
      <c r="S874" s="28" t="b">
        <f t="shared" si="190"/>
        <v>0</v>
      </c>
      <c r="T874" s="24">
        <v>25</v>
      </c>
      <c r="U874" s="29" t="str">
        <f t="shared" si="191"/>
        <v>May</v>
      </c>
      <c r="V874" s="24">
        <f t="shared" si="192"/>
        <v>25</v>
      </c>
      <c r="W874" s="30">
        <f t="shared" si="193"/>
        <v>-25</v>
      </c>
      <c r="X874" s="31" t="b">
        <f t="shared" si="194"/>
        <v>0</v>
      </c>
      <c r="Y874" s="32" t="str">
        <f t="shared" si="195"/>
        <v>GROWTH</v>
      </c>
      <c r="Z874" s="41">
        <v>0</v>
      </c>
      <c r="AA874" s="36"/>
      <c r="AB874" s="36" t="s">
        <v>24</v>
      </c>
      <c r="AC874" s="36" t="s">
        <v>848</v>
      </c>
      <c r="AD874" s="34"/>
      <c r="AE874" s="35">
        <f>IFERROR(INDEX([1]Last6M_AvgSales_Ref!$B$2:$B$12659,MATCH(D874,[1]Last6M_AvgSales_Ref!$A$2:$A$12659,0)),"")</f>
        <v>20</v>
      </c>
    </row>
    <row r="875" spans="1:31" ht="14.25" customHeight="1" x14ac:dyDescent="0.3">
      <c r="A875" s="36" t="s">
        <v>848</v>
      </c>
      <c r="B875" s="38" t="s">
        <v>1769</v>
      </c>
      <c r="C875" s="38" t="s">
        <v>1796</v>
      </c>
      <c r="D875" s="38">
        <v>1000002756</v>
      </c>
      <c r="E875" s="38" t="s">
        <v>1797</v>
      </c>
      <c r="F875" s="40">
        <v>44704</v>
      </c>
      <c r="G875" s="22" t="str">
        <f t="shared" si="182"/>
        <v>Targeted Dealer</v>
      </c>
      <c r="H875" s="22"/>
      <c r="I875" s="23">
        <v>200</v>
      </c>
      <c r="J875" s="23">
        <f t="shared" si="183"/>
        <v>200</v>
      </c>
      <c r="K875" s="24">
        <v>30</v>
      </c>
      <c r="L875" s="24">
        <f t="shared" si="184"/>
        <v>170</v>
      </c>
      <c r="M875" s="24">
        <f t="shared" si="185"/>
        <v>15</v>
      </c>
      <c r="N875" s="25">
        <v>55</v>
      </c>
      <c r="O875" s="26" t="str">
        <f t="shared" si="186"/>
        <v>June</v>
      </c>
      <c r="P875" s="25">
        <f t="shared" si="187"/>
        <v>55</v>
      </c>
      <c r="Q875" s="27">
        <f t="shared" si="188"/>
        <v>-25</v>
      </c>
      <c r="R875" s="26" t="b">
        <f t="shared" si="189"/>
        <v>0</v>
      </c>
      <c r="S875" s="28" t="str">
        <f t="shared" si="190"/>
        <v>GROWTH</v>
      </c>
      <c r="T875" s="24">
        <v>90</v>
      </c>
      <c r="U875" s="29" t="str">
        <f t="shared" si="191"/>
        <v>May</v>
      </c>
      <c r="V875" s="24">
        <f t="shared" si="192"/>
        <v>90</v>
      </c>
      <c r="W875" s="30">
        <f t="shared" si="193"/>
        <v>-60</v>
      </c>
      <c r="X875" s="31" t="b">
        <f t="shared" si="194"/>
        <v>0</v>
      </c>
      <c r="Y875" s="32" t="str">
        <f t="shared" si="195"/>
        <v>GROWTH</v>
      </c>
      <c r="Z875" s="41">
        <v>0</v>
      </c>
      <c r="AA875" s="36"/>
      <c r="AB875" s="36" t="s">
        <v>24</v>
      </c>
      <c r="AC875" s="36" t="s">
        <v>848</v>
      </c>
      <c r="AD875" s="34"/>
      <c r="AE875" s="35">
        <f>IFERROR(INDEX([1]Last6M_AvgSales_Ref!$B$2:$B$12659,MATCH(D875,[1]Last6M_AvgSales_Ref!$A$2:$A$12659,0)),"")</f>
        <v>64.1666666666667</v>
      </c>
    </row>
    <row r="876" spans="1:31" ht="14.25" customHeight="1" x14ac:dyDescent="0.3">
      <c r="A876" s="36" t="s">
        <v>848</v>
      </c>
      <c r="B876" s="38" t="s">
        <v>1769</v>
      </c>
      <c r="C876" s="38" t="s">
        <v>1798</v>
      </c>
      <c r="D876" s="38">
        <v>1000003565</v>
      </c>
      <c r="E876" s="38" t="s">
        <v>1799</v>
      </c>
      <c r="F876" s="40">
        <v>45078</v>
      </c>
      <c r="G876" s="22" t="str">
        <f t="shared" si="182"/>
        <v>Targeted Dealer</v>
      </c>
      <c r="H876" s="22"/>
      <c r="I876" s="23">
        <v>80</v>
      </c>
      <c r="J876" s="23">
        <f t="shared" si="183"/>
        <v>80</v>
      </c>
      <c r="K876" s="24">
        <v>48</v>
      </c>
      <c r="L876" s="24">
        <f t="shared" si="184"/>
        <v>32</v>
      </c>
      <c r="M876" s="24">
        <f t="shared" si="185"/>
        <v>60</v>
      </c>
      <c r="N876" s="25">
        <v>0</v>
      </c>
      <c r="O876" s="26" t="str">
        <f t="shared" si="186"/>
        <v>June</v>
      </c>
      <c r="P876" s="25">
        <f t="shared" si="187"/>
        <v>0</v>
      </c>
      <c r="Q876" s="27">
        <f t="shared" si="188"/>
        <v>48</v>
      </c>
      <c r="R876" s="26" t="b">
        <f t="shared" si="189"/>
        <v>0</v>
      </c>
      <c r="S876" s="28" t="b">
        <f t="shared" si="190"/>
        <v>0</v>
      </c>
      <c r="T876" s="24">
        <v>32</v>
      </c>
      <c r="U876" s="29" t="str">
        <f t="shared" si="191"/>
        <v>May</v>
      </c>
      <c r="V876" s="24">
        <f t="shared" si="192"/>
        <v>32</v>
      </c>
      <c r="W876" s="30">
        <f t="shared" si="193"/>
        <v>16</v>
      </c>
      <c r="X876" s="31" t="b">
        <f t="shared" si="194"/>
        <v>0</v>
      </c>
      <c r="Y876" s="32" t="str">
        <f t="shared" si="195"/>
        <v>GROWTH</v>
      </c>
      <c r="Z876" s="41">
        <v>0</v>
      </c>
      <c r="AA876" s="36"/>
      <c r="AB876" s="36" t="s">
        <v>24</v>
      </c>
      <c r="AC876" s="36" t="s">
        <v>848</v>
      </c>
      <c r="AD876" s="34"/>
      <c r="AE876" s="35">
        <f>IFERROR(INDEX([1]Last6M_AvgSales_Ref!$B$2:$B$12659,MATCH(D876,[1]Last6M_AvgSales_Ref!$A$2:$A$12659,0)),"")</f>
        <v>34.6666666666667</v>
      </c>
    </row>
    <row r="877" spans="1:31" ht="14.25" customHeight="1" x14ac:dyDescent="0.3">
      <c r="A877" s="36" t="s">
        <v>848</v>
      </c>
      <c r="B877" s="38" t="s">
        <v>1769</v>
      </c>
      <c r="C877" s="38" t="s">
        <v>1800</v>
      </c>
      <c r="D877" s="38">
        <v>1000003716</v>
      </c>
      <c r="E877" s="38" t="s">
        <v>1801</v>
      </c>
      <c r="F877" s="40">
        <v>45181</v>
      </c>
      <c r="G877" s="22" t="str">
        <f t="shared" si="182"/>
        <v>Targeted Dealer</v>
      </c>
      <c r="H877" s="22"/>
      <c r="I877" s="23">
        <v>260</v>
      </c>
      <c r="J877" s="23">
        <f t="shared" si="183"/>
        <v>260</v>
      </c>
      <c r="K877" s="24">
        <v>90</v>
      </c>
      <c r="L877" s="24">
        <f t="shared" si="184"/>
        <v>170</v>
      </c>
      <c r="M877" s="24">
        <f t="shared" si="185"/>
        <v>34.615384615384613</v>
      </c>
      <c r="N877" s="25">
        <v>120</v>
      </c>
      <c r="O877" s="26" t="str">
        <f t="shared" si="186"/>
        <v>June</v>
      </c>
      <c r="P877" s="25">
        <f t="shared" si="187"/>
        <v>120</v>
      </c>
      <c r="Q877" s="27">
        <f t="shared" si="188"/>
        <v>-30</v>
      </c>
      <c r="R877" s="26" t="b">
        <f t="shared" si="189"/>
        <v>0</v>
      </c>
      <c r="S877" s="28" t="str">
        <f t="shared" si="190"/>
        <v>GROWTH</v>
      </c>
      <c r="T877" s="24">
        <v>125</v>
      </c>
      <c r="U877" s="29" t="str">
        <f t="shared" si="191"/>
        <v>May</v>
      </c>
      <c r="V877" s="24">
        <f t="shared" si="192"/>
        <v>125</v>
      </c>
      <c r="W877" s="30">
        <f t="shared" si="193"/>
        <v>-35</v>
      </c>
      <c r="X877" s="31" t="b">
        <f t="shared" si="194"/>
        <v>0</v>
      </c>
      <c r="Y877" s="32" t="str">
        <f t="shared" si="195"/>
        <v>GROWTH</v>
      </c>
      <c r="Z877" s="41">
        <v>0</v>
      </c>
      <c r="AA877" s="36"/>
      <c r="AB877" s="36" t="s">
        <v>24</v>
      </c>
      <c r="AC877" s="36" t="s">
        <v>848</v>
      </c>
      <c r="AD877" s="34"/>
      <c r="AE877" s="35">
        <f>IFERROR(INDEX([1]Last6M_AvgSales_Ref!$B$2:$B$12659,MATCH(D877,[1]Last6M_AvgSales_Ref!$A$2:$A$12659,0)),"")</f>
        <v>127.5</v>
      </c>
    </row>
    <row r="878" spans="1:31" ht="14.25" customHeight="1" x14ac:dyDescent="0.3">
      <c r="A878" s="41" t="s">
        <v>848</v>
      </c>
      <c r="B878" s="44" t="s">
        <v>1769</v>
      </c>
      <c r="C878" s="44" t="s">
        <v>1802</v>
      </c>
      <c r="D878" s="44">
        <v>1000004025</v>
      </c>
      <c r="E878" s="44" t="s">
        <v>1803</v>
      </c>
      <c r="F878" s="40">
        <v>45473</v>
      </c>
      <c r="G878" s="22" t="str">
        <f t="shared" si="182"/>
        <v>Targeted Dealer</v>
      </c>
      <c r="H878" s="22"/>
      <c r="I878" s="23">
        <v>260</v>
      </c>
      <c r="J878" s="23">
        <f t="shared" si="183"/>
        <v>260</v>
      </c>
      <c r="K878" s="24">
        <v>70</v>
      </c>
      <c r="L878" s="24">
        <f t="shared" si="184"/>
        <v>190</v>
      </c>
      <c r="M878" s="24">
        <f t="shared" si="185"/>
        <v>26.923076923076923</v>
      </c>
      <c r="N878" s="25">
        <v>70</v>
      </c>
      <c r="O878" s="26" t="str">
        <f t="shared" si="186"/>
        <v>June</v>
      </c>
      <c r="P878" s="25">
        <f t="shared" si="187"/>
        <v>70</v>
      </c>
      <c r="Q878" s="27">
        <f t="shared" si="188"/>
        <v>0</v>
      </c>
      <c r="R878" s="26" t="b">
        <f t="shared" si="189"/>
        <v>0</v>
      </c>
      <c r="S878" s="28" t="str">
        <f t="shared" si="190"/>
        <v>GROWTH</v>
      </c>
      <c r="T878" s="24">
        <v>125</v>
      </c>
      <c r="U878" s="29" t="str">
        <f t="shared" si="191"/>
        <v>May</v>
      </c>
      <c r="V878" s="24">
        <f t="shared" si="192"/>
        <v>125</v>
      </c>
      <c r="W878" s="30">
        <f t="shared" si="193"/>
        <v>-55</v>
      </c>
      <c r="X878" s="31" t="b">
        <f t="shared" si="194"/>
        <v>0</v>
      </c>
      <c r="Y878" s="32" t="str">
        <f t="shared" si="195"/>
        <v>GROWTH</v>
      </c>
      <c r="Z878" s="41">
        <v>0</v>
      </c>
      <c r="AA878" s="36"/>
      <c r="AB878" s="36" t="s">
        <v>24</v>
      </c>
      <c r="AC878" s="41" t="s">
        <v>848</v>
      </c>
      <c r="AD878" s="34"/>
      <c r="AE878" s="35">
        <f>IFERROR(INDEX([1]Last6M_AvgSales_Ref!$B$2:$B$12659,MATCH(D878,[1]Last6M_AvgSales_Ref!$A$2:$A$12659,0)),"")</f>
        <v>110.833333333333</v>
      </c>
    </row>
    <row r="879" spans="1:31" ht="14.25" customHeight="1" x14ac:dyDescent="0.3">
      <c r="A879" s="41" t="s">
        <v>848</v>
      </c>
      <c r="B879" s="44" t="s">
        <v>1769</v>
      </c>
      <c r="C879" s="44" t="s">
        <v>1804</v>
      </c>
      <c r="D879" s="44">
        <v>1000004072</v>
      </c>
      <c r="E879" s="44" t="s">
        <v>1805</v>
      </c>
      <c r="F879" s="40">
        <v>45504</v>
      </c>
      <c r="G879" s="22" t="str">
        <f t="shared" si="182"/>
        <v>Targeted Dealer</v>
      </c>
      <c r="H879" s="22"/>
      <c r="I879" s="23">
        <v>60</v>
      </c>
      <c r="J879" s="23">
        <f t="shared" si="183"/>
        <v>60</v>
      </c>
      <c r="K879" s="24">
        <v>0</v>
      </c>
      <c r="L879" s="24">
        <f t="shared" si="184"/>
        <v>60</v>
      </c>
      <c r="M879" s="24">
        <f t="shared" si="185"/>
        <v>0</v>
      </c>
      <c r="N879" s="25">
        <v>0</v>
      </c>
      <c r="O879" s="26" t="str">
        <f t="shared" si="186"/>
        <v>June</v>
      </c>
      <c r="P879" s="25">
        <f t="shared" si="187"/>
        <v>0</v>
      </c>
      <c r="Q879" s="27">
        <f t="shared" si="188"/>
        <v>0</v>
      </c>
      <c r="R879" s="26" t="b">
        <f t="shared" si="189"/>
        <v>0</v>
      </c>
      <c r="S879" s="28" t="b">
        <f t="shared" si="190"/>
        <v>0</v>
      </c>
      <c r="T879" s="24">
        <v>30</v>
      </c>
      <c r="U879" s="29" t="str">
        <f t="shared" si="191"/>
        <v>May</v>
      </c>
      <c r="V879" s="24">
        <f t="shared" si="192"/>
        <v>30</v>
      </c>
      <c r="W879" s="30">
        <f t="shared" si="193"/>
        <v>-30</v>
      </c>
      <c r="X879" s="31" t="b">
        <f t="shared" si="194"/>
        <v>0</v>
      </c>
      <c r="Y879" s="32" t="str">
        <f t="shared" si="195"/>
        <v>GROWTH</v>
      </c>
      <c r="Z879" s="41">
        <v>0</v>
      </c>
      <c r="AA879" s="36"/>
      <c r="AB879" s="36" t="s">
        <v>24</v>
      </c>
      <c r="AC879" s="41" t="s">
        <v>848</v>
      </c>
      <c r="AD879" s="34"/>
      <c r="AE879" s="35">
        <f>IFERROR(INDEX([1]Last6M_AvgSales_Ref!$B$2:$B$12659,MATCH(D879,[1]Last6M_AvgSales_Ref!$A$2:$A$12659,0)),"")</f>
        <v>40</v>
      </c>
    </row>
    <row r="880" spans="1:31" ht="14.25" customHeight="1" x14ac:dyDescent="0.3">
      <c r="A880" s="36" t="s">
        <v>848</v>
      </c>
      <c r="B880" s="38" t="s">
        <v>1806</v>
      </c>
      <c r="C880" s="38" t="s">
        <v>1807</v>
      </c>
      <c r="D880" s="38">
        <v>1000000784</v>
      </c>
      <c r="E880" s="39" t="s">
        <v>1808</v>
      </c>
      <c r="F880" s="40">
        <v>40830</v>
      </c>
      <c r="G880" s="22" t="str">
        <f t="shared" si="182"/>
        <v>Targeted Dealer</v>
      </c>
      <c r="H880" s="22"/>
      <c r="I880" s="23">
        <v>50</v>
      </c>
      <c r="J880" s="23">
        <f t="shared" si="183"/>
        <v>50</v>
      </c>
      <c r="K880" s="24">
        <v>0</v>
      </c>
      <c r="L880" s="24">
        <f t="shared" si="184"/>
        <v>50</v>
      </c>
      <c r="M880" s="24">
        <f t="shared" si="185"/>
        <v>0</v>
      </c>
      <c r="N880" s="25">
        <v>25</v>
      </c>
      <c r="O880" s="26" t="str">
        <f t="shared" si="186"/>
        <v>June</v>
      </c>
      <c r="P880" s="25">
        <f t="shared" si="187"/>
        <v>25</v>
      </c>
      <c r="Q880" s="27">
        <f t="shared" si="188"/>
        <v>-25</v>
      </c>
      <c r="R880" s="26" t="b">
        <f t="shared" si="189"/>
        <v>0</v>
      </c>
      <c r="S880" s="28" t="str">
        <f t="shared" si="190"/>
        <v>GROWTH</v>
      </c>
      <c r="T880" s="24">
        <v>75</v>
      </c>
      <c r="U880" s="29" t="str">
        <f t="shared" si="191"/>
        <v>May</v>
      </c>
      <c r="V880" s="24">
        <f t="shared" si="192"/>
        <v>75</v>
      </c>
      <c r="W880" s="30">
        <f t="shared" si="193"/>
        <v>-75</v>
      </c>
      <c r="X880" s="31" t="b">
        <f t="shared" si="194"/>
        <v>0</v>
      </c>
      <c r="Y880" s="32" t="str">
        <f t="shared" si="195"/>
        <v>GROWTH</v>
      </c>
      <c r="Z880" s="41">
        <v>0</v>
      </c>
      <c r="AA880" s="36"/>
      <c r="AB880" s="36" t="s">
        <v>24</v>
      </c>
      <c r="AC880" s="36" t="s">
        <v>848</v>
      </c>
      <c r="AD880" s="34"/>
      <c r="AE880" s="35">
        <f>IFERROR(INDEX([1]Last6M_AvgSales_Ref!$B$2:$B$12659,MATCH(D880,[1]Last6M_AvgSales_Ref!$A$2:$A$12659,0)),"")</f>
        <v>6.6666666666666696</v>
      </c>
    </row>
    <row r="881" spans="1:31" ht="14.25" customHeight="1" x14ac:dyDescent="0.3">
      <c r="A881" s="36" t="s">
        <v>848</v>
      </c>
      <c r="B881" s="38" t="s">
        <v>1806</v>
      </c>
      <c r="C881" s="38" t="s">
        <v>1809</v>
      </c>
      <c r="D881" s="38">
        <v>1000000786</v>
      </c>
      <c r="E881" s="39" t="s">
        <v>1810</v>
      </c>
      <c r="F881" s="40">
        <v>41233</v>
      </c>
      <c r="G881" s="22" t="str">
        <f t="shared" si="182"/>
        <v>-</v>
      </c>
      <c r="H881" s="22"/>
      <c r="I881" s="23">
        <v>0</v>
      </c>
      <c r="J881" s="23">
        <f t="shared" si="183"/>
        <v>0</v>
      </c>
      <c r="K881" s="24">
        <v>0</v>
      </c>
      <c r="L881" s="24">
        <f t="shared" si="184"/>
        <v>0</v>
      </c>
      <c r="M881" s="24" t="str">
        <f t="shared" si="185"/>
        <v>-</v>
      </c>
      <c r="N881" s="25">
        <v>0</v>
      </c>
      <c r="O881" s="26" t="str">
        <f t="shared" si="186"/>
        <v>June</v>
      </c>
      <c r="P881" s="25">
        <f t="shared" si="187"/>
        <v>0</v>
      </c>
      <c r="Q881" s="27">
        <f t="shared" si="188"/>
        <v>0</v>
      </c>
      <c r="R881" s="26" t="b">
        <f t="shared" si="189"/>
        <v>0</v>
      </c>
      <c r="S881" s="28" t="b">
        <f t="shared" si="190"/>
        <v>0</v>
      </c>
      <c r="T881" s="24">
        <v>0</v>
      </c>
      <c r="U881" s="29" t="str">
        <f t="shared" si="191"/>
        <v>May</v>
      </c>
      <c r="V881" s="24">
        <f t="shared" si="192"/>
        <v>0</v>
      </c>
      <c r="W881" s="30">
        <f t="shared" si="193"/>
        <v>0</v>
      </c>
      <c r="X881" s="31" t="b">
        <f t="shared" si="194"/>
        <v>0</v>
      </c>
      <c r="Y881" s="32" t="b">
        <f t="shared" si="195"/>
        <v>0</v>
      </c>
      <c r="Z881" s="41">
        <v>0</v>
      </c>
      <c r="AA881" s="36"/>
      <c r="AB881" s="36" t="s">
        <v>24</v>
      </c>
      <c r="AC881" s="36" t="s">
        <v>848</v>
      </c>
      <c r="AD881" s="34"/>
      <c r="AE881" s="35">
        <f>IFERROR(INDEX([1]Last6M_AvgSales_Ref!$B$2:$B$12659,MATCH(D881,[1]Last6M_AvgSales_Ref!$A$2:$A$12659,0)),"")</f>
        <v>9.1666666666666696</v>
      </c>
    </row>
    <row r="882" spans="1:31" ht="14.25" customHeight="1" x14ac:dyDescent="0.3">
      <c r="A882" s="36" t="s">
        <v>848</v>
      </c>
      <c r="B882" s="38" t="s">
        <v>1806</v>
      </c>
      <c r="C882" s="38" t="s">
        <v>1811</v>
      </c>
      <c r="D882" s="38">
        <v>1000000788</v>
      </c>
      <c r="E882" s="39" t="s">
        <v>1812</v>
      </c>
      <c r="F882" s="40">
        <v>41323</v>
      </c>
      <c r="G882" s="22" t="str">
        <f t="shared" si="182"/>
        <v>Targeted Dealer</v>
      </c>
      <c r="H882" s="22"/>
      <c r="I882" s="23">
        <v>50</v>
      </c>
      <c r="J882" s="23">
        <f t="shared" si="183"/>
        <v>50</v>
      </c>
      <c r="K882" s="24">
        <v>25</v>
      </c>
      <c r="L882" s="24">
        <f t="shared" si="184"/>
        <v>25</v>
      </c>
      <c r="M882" s="24">
        <f t="shared" si="185"/>
        <v>50</v>
      </c>
      <c r="N882" s="25">
        <v>0</v>
      </c>
      <c r="O882" s="26" t="str">
        <f t="shared" si="186"/>
        <v>June</v>
      </c>
      <c r="P882" s="25">
        <f t="shared" si="187"/>
        <v>0</v>
      </c>
      <c r="Q882" s="27">
        <f t="shared" si="188"/>
        <v>25</v>
      </c>
      <c r="R882" s="26" t="b">
        <f t="shared" si="189"/>
        <v>0</v>
      </c>
      <c r="S882" s="28" t="b">
        <f t="shared" si="190"/>
        <v>0</v>
      </c>
      <c r="T882" s="24">
        <v>0</v>
      </c>
      <c r="U882" s="29" t="str">
        <f t="shared" si="191"/>
        <v>May</v>
      </c>
      <c r="V882" s="24">
        <f t="shared" si="192"/>
        <v>0</v>
      </c>
      <c r="W882" s="30">
        <f t="shared" si="193"/>
        <v>25</v>
      </c>
      <c r="X882" s="31" t="b">
        <f t="shared" si="194"/>
        <v>0</v>
      </c>
      <c r="Y882" s="32" t="b">
        <f t="shared" si="195"/>
        <v>0</v>
      </c>
      <c r="Z882" s="41">
        <v>0</v>
      </c>
      <c r="AA882" s="36"/>
      <c r="AB882" s="36" t="s">
        <v>24</v>
      </c>
      <c r="AC882" s="36" t="s">
        <v>848</v>
      </c>
      <c r="AD882" s="34"/>
      <c r="AE882" s="35">
        <f>IFERROR(INDEX([1]Last6M_AvgSales_Ref!$B$2:$B$12659,MATCH(D882,[1]Last6M_AvgSales_Ref!$A$2:$A$12659,0)),"")</f>
        <v>20.8333333333333</v>
      </c>
    </row>
    <row r="883" spans="1:31" ht="14.25" customHeight="1" x14ac:dyDescent="0.3">
      <c r="A883" s="36" t="s">
        <v>848</v>
      </c>
      <c r="B883" s="38" t="s">
        <v>1806</v>
      </c>
      <c r="C883" s="38" t="s">
        <v>1813</v>
      </c>
      <c r="D883" s="38">
        <v>1000000780</v>
      </c>
      <c r="E883" s="39" t="s">
        <v>1814</v>
      </c>
      <c r="F883" s="40">
        <v>42017</v>
      </c>
      <c r="G883" s="22" t="str">
        <f t="shared" si="182"/>
        <v>Targeted Dealer</v>
      </c>
      <c r="H883" s="22"/>
      <c r="I883" s="23">
        <v>50</v>
      </c>
      <c r="J883" s="23">
        <f t="shared" si="183"/>
        <v>50</v>
      </c>
      <c r="K883" s="24">
        <v>25</v>
      </c>
      <c r="L883" s="24">
        <f t="shared" si="184"/>
        <v>25</v>
      </c>
      <c r="M883" s="24">
        <f t="shared" si="185"/>
        <v>50</v>
      </c>
      <c r="N883" s="25">
        <v>30</v>
      </c>
      <c r="O883" s="26" t="str">
        <f t="shared" si="186"/>
        <v>June</v>
      </c>
      <c r="P883" s="25">
        <f t="shared" si="187"/>
        <v>30</v>
      </c>
      <c r="Q883" s="27">
        <f t="shared" si="188"/>
        <v>-5</v>
      </c>
      <c r="R883" s="26" t="b">
        <f t="shared" si="189"/>
        <v>0</v>
      </c>
      <c r="S883" s="28" t="str">
        <f t="shared" si="190"/>
        <v>GROWTH</v>
      </c>
      <c r="T883" s="24">
        <v>30</v>
      </c>
      <c r="U883" s="29" t="str">
        <f t="shared" si="191"/>
        <v>May</v>
      </c>
      <c r="V883" s="24">
        <f t="shared" si="192"/>
        <v>30</v>
      </c>
      <c r="W883" s="30">
        <f t="shared" si="193"/>
        <v>-5</v>
      </c>
      <c r="X883" s="31" t="b">
        <f t="shared" si="194"/>
        <v>0</v>
      </c>
      <c r="Y883" s="32" t="str">
        <f t="shared" si="195"/>
        <v>GROWTH</v>
      </c>
      <c r="Z883" s="41">
        <v>0</v>
      </c>
      <c r="AA883" s="36"/>
      <c r="AB883" s="36" t="s">
        <v>24</v>
      </c>
      <c r="AC883" s="36" t="s">
        <v>848</v>
      </c>
      <c r="AD883" s="34"/>
      <c r="AE883" s="35">
        <f>IFERROR(INDEX([1]Last6M_AvgSales_Ref!$B$2:$B$12659,MATCH(D883,[1]Last6M_AvgSales_Ref!$A$2:$A$12659,0)),"")</f>
        <v>12.5</v>
      </c>
    </row>
    <row r="884" spans="1:31" ht="14.25" customHeight="1" x14ac:dyDescent="0.3">
      <c r="A884" s="36" t="s">
        <v>848</v>
      </c>
      <c r="B884" s="38" t="s">
        <v>1806</v>
      </c>
      <c r="C884" s="38" t="s">
        <v>1815</v>
      </c>
      <c r="D884" s="38">
        <v>1000000782</v>
      </c>
      <c r="E884" s="39" t="s">
        <v>1816</v>
      </c>
      <c r="F884" s="40">
        <v>43054</v>
      </c>
      <c r="G884" s="22" t="str">
        <f t="shared" si="182"/>
        <v>Targeted Dealer</v>
      </c>
      <c r="H884" s="22"/>
      <c r="I884" s="23">
        <v>50</v>
      </c>
      <c r="J884" s="23">
        <f t="shared" si="183"/>
        <v>50</v>
      </c>
      <c r="K884" s="24">
        <v>25</v>
      </c>
      <c r="L884" s="24">
        <f t="shared" si="184"/>
        <v>25</v>
      </c>
      <c r="M884" s="24">
        <f t="shared" si="185"/>
        <v>50</v>
      </c>
      <c r="N884" s="25">
        <v>25</v>
      </c>
      <c r="O884" s="26" t="str">
        <f t="shared" si="186"/>
        <v>June</v>
      </c>
      <c r="P884" s="25">
        <f t="shared" si="187"/>
        <v>25</v>
      </c>
      <c r="Q884" s="27">
        <f t="shared" si="188"/>
        <v>0</v>
      </c>
      <c r="R884" s="26" t="b">
        <f t="shared" si="189"/>
        <v>0</v>
      </c>
      <c r="S884" s="28" t="str">
        <f t="shared" si="190"/>
        <v>GROWTH</v>
      </c>
      <c r="T884" s="24">
        <v>25</v>
      </c>
      <c r="U884" s="29" t="str">
        <f t="shared" si="191"/>
        <v>May</v>
      </c>
      <c r="V884" s="24">
        <f t="shared" si="192"/>
        <v>25</v>
      </c>
      <c r="W884" s="30">
        <f t="shared" si="193"/>
        <v>0</v>
      </c>
      <c r="X884" s="31" t="b">
        <f t="shared" si="194"/>
        <v>0</v>
      </c>
      <c r="Y884" s="32" t="str">
        <f t="shared" si="195"/>
        <v>GROWTH</v>
      </c>
      <c r="Z884" s="41">
        <v>0</v>
      </c>
      <c r="AA884" s="36"/>
      <c r="AB884" s="36" t="s">
        <v>24</v>
      </c>
      <c r="AC884" s="36" t="s">
        <v>848</v>
      </c>
      <c r="AD884" s="34"/>
      <c r="AE884" s="35">
        <f>IFERROR(INDEX([1]Last6M_AvgSales_Ref!$B$2:$B$12659,MATCH(D884,[1]Last6M_AvgSales_Ref!$A$2:$A$12659,0)),"")</f>
        <v>25</v>
      </c>
    </row>
    <row r="885" spans="1:31" ht="14.25" customHeight="1" x14ac:dyDescent="0.3">
      <c r="A885" s="36" t="s">
        <v>848</v>
      </c>
      <c r="B885" s="38" t="s">
        <v>1806</v>
      </c>
      <c r="C885" s="38" t="s">
        <v>1817</v>
      </c>
      <c r="D885" s="38">
        <v>1000000781</v>
      </c>
      <c r="E885" s="39" t="s">
        <v>1818</v>
      </c>
      <c r="F885" s="40">
        <v>43063</v>
      </c>
      <c r="G885" s="22" t="str">
        <f t="shared" si="182"/>
        <v>Targeted Dealer</v>
      </c>
      <c r="H885" s="22"/>
      <c r="I885" s="23">
        <v>100</v>
      </c>
      <c r="J885" s="23">
        <f t="shared" si="183"/>
        <v>100</v>
      </c>
      <c r="K885" s="24">
        <v>25</v>
      </c>
      <c r="L885" s="24">
        <f t="shared" si="184"/>
        <v>75</v>
      </c>
      <c r="M885" s="24">
        <f t="shared" si="185"/>
        <v>25</v>
      </c>
      <c r="N885" s="25">
        <v>50</v>
      </c>
      <c r="O885" s="26" t="str">
        <f t="shared" si="186"/>
        <v>June</v>
      </c>
      <c r="P885" s="25">
        <f t="shared" si="187"/>
        <v>50</v>
      </c>
      <c r="Q885" s="27">
        <f t="shared" si="188"/>
        <v>-25</v>
      </c>
      <c r="R885" s="26" t="b">
        <f t="shared" si="189"/>
        <v>0</v>
      </c>
      <c r="S885" s="28" t="str">
        <f t="shared" si="190"/>
        <v>GROWTH</v>
      </c>
      <c r="T885" s="24">
        <v>110</v>
      </c>
      <c r="U885" s="29" t="str">
        <f t="shared" si="191"/>
        <v>May</v>
      </c>
      <c r="V885" s="24">
        <f t="shared" si="192"/>
        <v>110</v>
      </c>
      <c r="W885" s="30">
        <f t="shared" si="193"/>
        <v>-85</v>
      </c>
      <c r="X885" s="31" t="b">
        <f t="shared" si="194"/>
        <v>0</v>
      </c>
      <c r="Y885" s="32" t="str">
        <f t="shared" si="195"/>
        <v>GROWTH</v>
      </c>
      <c r="Z885" s="41">
        <v>0</v>
      </c>
      <c r="AA885" s="36"/>
      <c r="AB885" s="36" t="s">
        <v>24</v>
      </c>
      <c r="AC885" s="36" t="s">
        <v>848</v>
      </c>
      <c r="AD885" s="34"/>
      <c r="AE885" s="35">
        <f>IFERROR(INDEX([1]Last6M_AvgSales_Ref!$B$2:$B$12659,MATCH(D885,[1]Last6M_AvgSales_Ref!$A$2:$A$12659,0)),"")</f>
        <v>67.5833333333333</v>
      </c>
    </row>
    <row r="886" spans="1:31" ht="14.25" customHeight="1" x14ac:dyDescent="0.3">
      <c r="A886" s="36" t="s">
        <v>848</v>
      </c>
      <c r="B886" s="38" t="s">
        <v>1806</v>
      </c>
      <c r="C886" s="38" t="s">
        <v>1819</v>
      </c>
      <c r="D886" s="38">
        <v>1000001095</v>
      </c>
      <c r="E886" s="39" t="s">
        <v>1820</v>
      </c>
      <c r="F886" s="40">
        <v>43777</v>
      </c>
      <c r="G886" s="22" t="str">
        <f t="shared" si="182"/>
        <v>Targeted Dealer</v>
      </c>
      <c r="H886" s="22"/>
      <c r="I886" s="23">
        <v>50</v>
      </c>
      <c r="J886" s="23">
        <f t="shared" si="183"/>
        <v>50</v>
      </c>
      <c r="K886" s="24">
        <v>75</v>
      </c>
      <c r="L886" s="24">
        <f t="shared" si="184"/>
        <v>-25</v>
      </c>
      <c r="M886" s="24">
        <f t="shared" si="185"/>
        <v>150</v>
      </c>
      <c r="N886" s="25">
        <v>70</v>
      </c>
      <c r="O886" s="26" t="str">
        <f t="shared" si="186"/>
        <v>June</v>
      </c>
      <c r="P886" s="25">
        <f t="shared" si="187"/>
        <v>70</v>
      </c>
      <c r="Q886" s="27">
        <f t="shared" si="188"/>
        <v>5</v>
      </c>
      <c r="R886" s="26" t="b">
        <f t="shared" si="189"/>
        <v>0</v>
      </c>
      <c r="S886" s="28" t="str">
        <f t="shared" si="190"/>
        <v>GROWTH</v>
      </c>
      <c r="T886" s="24">
        <v>25</v>
      </c>
      <c r="U886" s="29" t="str">
        <f t="shared" si="191"/>
        <v>May</v>
      </c>
      <c r="V886" s="24">
        <f t="shared" si="192"/>
        <v>25</v>
      </c>
      <c r="W886" s="30">
        <f t="shared" si="193"/>
        <v>50</v>
      </c>
      <c r="X886" s="31" t="b">
        <f t="shared" si="194"/>
        <v>0</v>
      </c>
      <c r="Y886" s="32" t="str">
        <f t="shared" si="195"/>
        <v>GROWTH</v>
      </c>
      <c r="Z886" s="41">
        <v>0</v>
      </c>
      <c r="AA886" s="36"/>
      <c r="AB886" s="36" t="s">
        <v>24</v>
      </c>
      <c r="AC886" s="36" t="s">
        <v>848</v>
      </c>
      <c r="AD886" s="34"/>
      <c r="AE886" s="35">
        <f>IFERROR(INDEX([1]Last6M_AvgSales_Ref!$B$2:$B$12659,MATCH(D886,[1]Last6M_AvgSales_Ref!$A$2:$A$12659,0)),"")</f>
        <v>42.5</v>
      </c>
    </row>
    <row r="887" spans="1:31" ht="14.25" customHeight="1" x14ac:dyDescent="0.3">
      <c r="A887" s="36" t="s">
        <v>848</v>
      </c>
      <c r="B887" s="38" t="s">
        <v>1806</v>
      </c>
      <c r="C887" s="38" t="s">
        <v>1821</v>
      </c>
      <c r="D887" s="38">
        <v>1000001093</v>
      </c>
      <c r="E887" s="39" t="s">
        <v>1822</v>
      </c>
      <c r="F887" s="40">
        <v>44084</v>
      </c>
      <c r="G887" s="22" t="str">
        <f t="shared" si="182"/>
        <v>Targeted Dealer</v>
      </c>
      <c r="H887" s="22"/>
      <c r="I887" s="23">
        <v>240</v>
      </c>
      <c r="J887" s="23">
        <f t="shared" si="183"/>
        <v>240</v>
      </c>
      <c r="K887" s="24">
        <v>150</v>
      </c>
      <c r="L887" s="24">
        <f t="shared" si="184"/>
        <v>90</v>
      </c>
      <c r="M887" s="24">
        <f t="shared" si="185"/>
        <v>62.5</v>
      </c>
      <c r="N887" s="25">
        <v>90</v>
      </c>
      <c r="O887" s="26" t="str">
        <f t="shared" si="186"/>
        <v>June</v>
      </c>
      <c r="P887" s="25">
        <f t="shared" si="187"/>
        <v>90</v>
      </c>
      <c r="Q887" s="27">
        <f t="shared" si="188"/>
        <v>60</v>
      </c>
      <c r="R887" s="26" t="b">
        <f t="shared" si="189"/>
        <v>0</v>
      </c>
      <c r="S887" s="28" t="str">
        <f t="shared" si="190"/>
        <v>GROWTH</v>
      </c>
      <c r="T887" s="24">
        <v>120</v>
      </c>
      <c r="U887" s="29" t="str">
        <f t="shared" si="191"/>
        <v>May</v>
      </c>
      <c r="V887" s="24">
        <f t="shared" si="192"/>
        <v>120</v>
      </c>
      <c r="W887" s="30">
        <f t="shared" si="193"/>
        <v>30</v>
      </c>
      <c r="X887" s="31" t="b">
        <f t="shared" si="194"/>
        <v>0</v>
      </c>
      <c r="Y887" s="32" t="str">
        <f t="shared" si="195"/>
        <v>GROWTH</v>
      </c>
      <c r="Z887" s="41">
        <v>0</v>
      </c>
      <c r="AA887" s="36"/>
      <c r="AB887" s="36" t="s">
        <v>24</v>
      </c>
      <c r="AC887" s="36" t="s">
        <v>848</v>
      </c>
      <c r="AD887" s="34"/>
      <c r="AE887" s="35">
        <f>IFERROR(INDEX([1]Last6M_AvgSales_Ref!$B$2:$B$12659,MATCH(D887,[1]Last6M_AvgSales_Ref!$A$2:$A$12659,0)),"")</f>
        <v>133.333333333333</v>
      </c>
    </row>
    <row r="888" spans="1:31" ht="14.25" customHeight="1" x14ac:dyDescent="0.3">
      <c r="A888" s="36" t="s">
        <v>848</v>
      </c>
      <c r="B888" s="38" t="s">
        <v>1806</v>
      </c>
      <c r="C888" s="38" t="s">
        <v>1823</v>
      </c>
      <c r="D888" s="38">
        <v>1000003061</v>
      </c>
      <c r="E888" s="38" t="s">
        <v>1824</v>
      </c>
      <c r="F888" s="40">
        <v>44865</v>
      </c>
      <c r="G888" s="22" t="str">
        <f t="shared" si="182"/>
        <v>Targeted Dealer</v>
      </c>
      <c r="H888" s="22"/>
      <c r="I888" s="23">
        <v>200</v>
      </c>
      <c r="J888" s="23">
        <f t="shared" si="183"/>
        <v>200</v>
      </c>
      <c r="K888" s="24">
        <v>185</v>
      </c>
      <c r="L888" s="24">
        <f t="shared" si="184"/>
        <v>15</v>
      </c>
      <c r="M888" s="24">
        <f t="shared" si="185"/>
        <v>92.5</v>
      </c>
      <c r="N888" s="25">
        <v>100</v>
      </c>
      <c r="O888" s="26" t="str">
        <f t="shared" si="186"/>
        <v>June</v>
      </c>
      <c r="P888" s="25">
        <f t="shared" si="187"/>
        <v>100</v>
      </c>
      <c r="Q888" s="27">
        <f t="shared" si="188"/>
        <v>85</v>
      </c>
      <c r="R888" s="26" t="b">
        <f t="shared" si="189"/>
        <v>0</v>
      </c>
      <c r="S888" s="28" t="str">
        <f t="shared" si="190"/>
        <v>GROWTH</v>
      </c>
      <c r="T888" s="24">
        <v>50</v>
      </c>
      <c r="U888" s="29" t="str">
        <f t="shared" si="191"/>
        <v>May</v>
      </c>
      <c r="V888" s="24">
        <f t="shared" si="192"/>
        <v>50</v>
      </c>
      <c r="W888" s="30">
        <f t="shared" si="193"/>
        <v>135</v>
      </c>
      <c r="X888" s="31" t="b">
        <f t="shared" si="194"/>
        <v>0</v>
      </c>
      <c r="Y888" s="32" t="str">
        <f t="shared" si="195"/>
        <v>GROWTH</v>
      </c>
      <c r="Z888" s="41">
        <v>0</v>
      </c>
      <c r="AA888" s="36"/>
      <c r="AB888" s="36" t="s">
        <v>24</v>
      </c>
      <c r="AC888" s="36" t="s">
        <v>848</v>
      </c>
      <c r="AD888" s="34"/>
      <c r="AE888" s="35">
        <f>IFERROR(INDEX([1]Last6M_AvgSales_Ref!$B$2:$B$12659,MATCH(D888,[1]Last6M_AvgSales_Ref!$A$2:$A$12659,0)),"")</f>
        <v>140</v>
      </c>
    </row>
    <row r="889" spans="1:31" ht="14.25" customHeight="1" x14ac:dyDescent="0.3">
      <c r="A889" s="36" t="s">
        <v>848</v>
      </c>
      <c r="B889" s="38" t="s">
        <v>1806</v>
      </c>
      <c r="C889" s="38" t="s">
        <v>1825</v>
      </c>
      <c r="D889" s="38">
        <v>1000003306</v>
      </c>
      <c r="E889" s="38" t="s">
        <v>1826</v>
      </c>
      <c r="F889" s="40">
        <v>44957</v>
      </c>
      <c r="G889" s="22" t="str">
        <f t="shared" si="182"/>
        <v>Targeted Dealer</v>
      </c>
      <c r="H889" s="22"/>
      <c r="I889" s="23">
        <v>50</v>
      </c>
      <c r="J889" s="23">
        <f t="shared" si="183"/>
        <v>50</v>
      </c>
      <c r="K889" s="24">
        <v>0</v>
      </c>
      <c r="L889" s="24">
        <f t="shared" si="184"/>
        <v>50</v>
      </c>
      <c r="M889" s="24">
        <f t="shared" si="185"/>
        <v>0</v>
      </c>
      <c r="N889" s="25">
        <v>25</v>
      </c>
      <c r="O889" s="26" t="str">
        <f t="shared" si="186"/>
        <v>June</v>
      </c>
      <c r="P889" s="25">
        <f t="shared" si="187"/>
        <v>25</v>
      </c>
      <c r="Q889" s="27">
        <f t="shared" si="188"/>
        <v>-25</v>
      </c>
      <c r="R889" s="26" t="b">
        <f t="shared" si="189"/>
        <v>0</v>
      </c>
      <c r="S889" s="28" t="str">
        <f t="shared" si="190"/>
        <v>GROWTH</v>
      </c>
      <c r="T889" s="24">
        <v>25</v>
      </c>
      <c r="U889" s="29" t="str">
        <f t="shared" si="191"/>
        <v>May</v>
      </c>
      <c r="V889" s="24">
        <f t="shared" si="192"/>
        <v>25</v>
      </c>
      <c r="W889" s="30">
        <f t="shared" si="193"/>
        <v>-25</v>
      </c>
      <c r="X889" s="31" t="b">
        <f t="shared" si="194"/>
        <v>0</v>
      </c>
      <c r="Y889" s="32" t="str">
        <f t="shared" si="195"/>
        <v>GROWTH</v>
      </c>
      <c r="Z889" s="41">
        <v>0</v>
      </c>
      <c r="AA889" s="36"/>
      <c r="AB889" s="36" t="s">
        <v>24</v>
      </c>
      <c r="AC889" s="36" t="s">
        <v>848</v>
      </c>
      <c r="AD889" s="34"/>
      <c r="AE889" s="35">
        <f>IFERROR(INDEX([1]Last6M_AvgSales_Ref!$B$2:$B$12659,MATCH(D889,[1]Last6M_AvgSales_Ref!$A$2:$A$12659,0)),"")</f>
        <v>34.1666666666667</v>
      </c>
    </row>
    <row r="890" spans="1:31" ht="14.25" customHeight="1" x14ac:dyDescent="0.3">
      <c r="A890" s="36" t="s">
        <v>848</v>
      </c>
      <c r="B890" s="38" t="s">
        <v>1806</v>
      </c>
      <c r="C890" s="38" t="s">
        <v>1827</v>
      </c>
      <c r="D890" s="38">
        <v>1000003396</v>
      </c>
      <c r="E890" s="38" t="s">
        <v>1828</v>
      </c>
      <c r="F890" s="40">
        <v>44985</v>
      </c>
      <c r="G890" s="22" t="str">
        <f t="shared" si="182"/>
        <v>Targeted Dealer</v>
      </c>
      <c r="H890" s="22"/>
      <c r="I890" s="23">
        <v>120</v>
      </c>
      <c r="J890" s="23">
        <f t="shared" si="183"/>
        <v>120</v>
      </c>
      <c r="K890" s="24">
        <v>60</v>
      </c>
      <c r="L890" s="24">
        <f t="shared" si="184"/>
        <v>60</v>
      </c>
      <c r="M890" s="24">
        <f t="shared" si="185"/>
        <v>50</v>
      </c>
      <c r="N890" s="25">
        <v>60</v>
      </c>
      <c r="O890" s="26" t="str">
        <f t="shared" si="186"/>
        <v>June</v>
      </c>
      <c r="P890" s="25">
        <f t="shared" si="187"/>
        <v>60</v>
      </c>
      <c r="Q890" s="27">
        <f t="shared" si="188"/>
        <v>0</v>
      </c>
      <c r="R890" s="26" t="b">
        <f t="shared" si="189"/>
        <v>0</v>
      </c>
      <c r="S890" s="28" t="str">
        <f t="shared" si="190"/>
        <v>GROWTH</v>
      </c>
      <c r="T890" s="24">
        <v>30</v>
      </c>
      <c r="U890" s="29" t="str">
        <f t="shared" si="191"/>
        <v>May</v>
      </c>
      <c r="V890" s="24">
        <f t="shared" si="192"/>
        <v>30</v>
      </c>
      <c r="W890" s="30">
        <f t="shared" si="193"/>
        <v>30</v>
      </c>
      <c r="X890" s="31" t="b">
        <f t="shared" si="194"/>
        <v>0</v>
      </c>
      <c r="Y890" s="32" t="str">
        <f t="shared" si="195"/>
        <v>GROWTH</v>
      </c>
      <c r="Z890" s="41">
        <v>0</v>
      </c>
      <c r="AA890" s="36"/>
      <c r="AB890" s="36" t="s">
        <v>24</v>
      </c>
      <c r="AC890" s="36" t="s">
        <v>848</v>
      </c>
      <c r="AD890" s="34"/>
      <c r="AE890" s="35">
        <f>IFERROR(INDEX([1]Last6M_AvgSales_Ref!$B$2:$B$12659,MATCH(D890,[1]Last6M_AvgSales_Ref!$A$2:$A$12659,0)),"")</f>
        <v>101.666666666667</v>
      </c>
    </row>
    <row r="891" spans="1:31" ht="14.25" customHeight="1" x14ac:dyDescent="0.3">
      <c r="A891" s="36" t="s">
        <v>848</v>
      </c>
      <c r="B891" s="38" t="s">
        <v>1806</v>
      </c>
      <c r="C891" s="38" t="s">
        <v>1829</v>
      </c>
      <c r="D891" s="38">
        <v>1000003613</v>
      </c>
      <c r="E891" s="38" t="s">
        <v>1830</v>
      </c>
      <c r="F891" s="40">
        <v>45106</v>
      </c>
      <c r="G891" s="22" t="str">
        <f t="shared" si="182"/>
        <v>Targeted Dealer</v>
      </c>
      <c r="H891" s="22"/>
      <c r="I891" s="23">
        <v>50</v>
      </c>
      <c r="J891" s="23">
        <f t="shared" si="183"/>
        <v>50</v>
      </c>
      <c r="K891" s="24">
        <v>50</v>
      </c>
      <c r="L891" s="24">
        <f t="shared" si="184"/>
        <v>0</v>
      </c>
      <c r="M891" s="24">
        <f t="shared" si="185"/>
        <v>100</v>
      </c>
      <c r="N891" s="25">
        <v>30</v>
      </c>
      <c r="O891" s="26" t="str">
        <f t="shared" si="186"/>
        <v>June</v>
      </c>
      <c r="P891" s="25">
        <f t="shared" si="187"/>
        <v>30</v>
      </c>
      <c r="Q891" s="27">
        <f t="shared" si="188"/>
        <v>20</v>
      </c>
      <c r="R891" s="26" t="b">
        <f t="shared" si="189"/>
        <v>0</v>
      </c>
      <c r="S891" s="28" t="str">
        <f t="shared" si="190"/>
        <v>GROWTH</v>
      </c>
      <c r="T891" s="24">
        <v>0</v>
      </c>
      <c r="U891" s="29" t="str">
        <f t="shared" si="191"/>
        <v>May</v>
      </c>
      <c r="V891" s="24">
        <f t="shared" si="192"/>
        <v>0</v>
      </c>
      <c r="W891" s="30">
        <f t="shared" si="193"/>
        <v>50</v>
      </c>
      <c r="X891" s="31" t="b">
        <f t="shared" si="194"/>
        <v>0</v>
      </c>
      <c r="Y891" s="32" t="b">
        <f t="shared" si="195"/>
        <v>0</v>
      </c>
      <c r="Z891" s="41">
        <v>0</v>
      </c>
      <c r="AA891" s="36"/>
      <c r="AB891" s="36" t="s">
        <v>24</v>
      </c>
      <c r="AC891" s="36" t="s">
        <v>848</v>
      </c>
      <c r="AD891" s="34"/>
      <c r="AE891" s="35">
        <f>IFERROR(INDEX([1]Last6M_AvgSales_Ref!$B$2:$B$12659,MATCH(D891,[1]Last6M_AvgSales_Ref!$A$2:$A$12659,0)),"")</f>
        <v>23.3333333333333</v>
      </c>
    </row>
    <row r="892" spans="1:31" ht="14.25" customHeight="1" x14ac:dyDescent="0.3">
      <c r="A892" s="41" t="s">
        <v>848</v>
      </c>
      <c r="B892" s="44" t="s">
        <v>1806</v>
      </c>
      <c r="C892" s="44" t="s">
        <v>1831</v>
      </c>
      <c r="D892" s="44">
        <v>1000003868</v>
      </c>
      <c r="E892" s="44" t="s">
        <v>1832</v>
      </c>
      <c r="F892" s="40">
        <v>45345</v>
      </c>
      <c r="G892" s="22" t="str">
        <f t="shared" si="182"/>
        <v>-</v>
      </c>
      <c r="H892" s="22"/>
      <c r="I892" s="23">
        <v>0</v>
      </c>
      <c r="J892" s="23">
        <f t="shared" si="183"/>
        <v>0</v>
      </c>
      <c r="K892" s="24">
        <v>0</v>
      </c>
      <c r="L892" s="24">
        <f t="shared" si="184"/>
        <v>0</v>
      </c>
      <c r="M892" s="24" t="str">
        <f t="shared" si="185"/>
        <v>-</v>
      </c>
      <c r="N892" s="25">
        <v>0</v>
      </c>
      <c r="O892" s="26" t="str">
        <f t="shared" si="186"/>
        <v>June</v>
      </c>
      <c r="P892" s="25">
        <f t="shared" si="187"/>
        <v>0</v>
      </c>
      <c r="Q892" s="27">
        <f t="shared" si="188"/>
        <v>0</v>
      </c>
      <c r="R892" s="26" t="b">
        <f t="shared" si="189"/>
        <v>0</v>
      </c>
      <c r="S892" s="28" t="b">
        <f t="shared" si="190"/>
        <v>0</v>
      </c>
      <c r="T892" s="24">
        <v>0</v>
      </c>
      <c r="U892" s="29" t="str">
        <f t="shared" si="191"/>
        <v>May</v>
      </c>
      <c r="V892" s="24">
        <f t="shared" si="192"/>
        <v>0</v>
      </c>
      <c r="W892" s="30">
        <f t="shared" si="193"/>
        <v>0</v>
      </c>
      <c r="X892" s="31" t="b">
        <f t="shared" si="194"/>
        <v>0</v>
      </c>
      <c r="Y892" s="32" t="b">
        <f t="shared" si="195"/>
        <v>0</v>
      </c>
      <c r="Z892" s="41">
        <v>0</v>
      </c>
      <c r="AA892" s="36"/>
      <c r="AB892" s="36" t="s">
        <v>24</v>
      </c>
      <c r="AC892" s="41" t="s">
        <v>848</v>
      </c>
      <c r="AD892" s="34"/>
      <c r="AE892" s="35">
        <f>IFERROR(INDEX([1]Last6M_AvgSales_Ref!$B$2:$B$12659,MATCH(D892,[1]Last6M_AvgSales_Ref!$A$2:$A$12659,0)),"")</f>
        <v>8.3333333333333304</v>
      </c>
    </row>
    <row r="893" spans="1:31" ht="14.25" customHeight="1" x14ac:dyDescent="0.3">
      <c r="A893" s="41" t="s">
        <v>848</v>
      </c>
      <c r="B893" s="44" t="s">
        <v>1806</v>
      </c>
      <c r="C893" s="44" t="s">
        <v>1833</v>
      </c>
      <c r="D893" s="44">
        <v>1000003952</v>
      </c>
      <c r="E893" s="44" t="s">
        <v>1834</v>
      </c>
      <c r="F893" s="40">
        <v>45427</v>
      </c>
      <c r="G893" s="22" t="str">
        <f t="shared" si="182"/>
        <v>Targeted Dealer</v>
      </c>
      <c r="H893" s="22"/>
      <c r="I893" s="23">
        <v>220</v>
      </c>
      <c r="J893" s="23">
        <f t="shared" si="183"/>
        <v>220</v>
      </c>
      <c r="K893" s="24">
        <v>185</v>
      </c>
      <c r="L893" s="24">
        <f t="shared" si="184"/>
        <v>35</v>
      </c>
      <c r="M893" s="24">
        <f t="shared" si="185"/>
        <v>84.090909090909079</v>
      </c>
      <c r="N893" s="25">
        <v>110</v>
      </c>
      <c r="O893" s="26" t="str">
        <f t="shared" si="186"/>
        <v>June</v>
      </c>
      <c r="P893" s="25">
        <f t="shared" si="187"/>
        <v>110</v>
      </c>
      <c r="Q893" s="27">
        <f t="shared" si="188"/>
        <v>75</v>
      </c>
      <c r="R893" s="26" t="b">
        <f t="shared" si="189"/>
        <v>0</v>
      </c>
      <c r="S893" s="28" t="str">
        <f t="shared" si="190"/>
        <v>GROWTH</v>
      </c>
      <c r="T893" s="24">
        <v>105</v>
      </c>
      <c r="U893" s="29" t="str">
        <f t="shared" si="191"/>
        <v>May</v>
      </c>
      <c r="V893" s="24">
        <f t="shared" si="192"/>
        <v>105</v>
      </c>
      <c r="W893" s="30">
        <f t="shared" si="193"/>
        <v>80</v>
      </c>
      <c r="X893" s="31" t="b">
        <f t="shared" si="194"/>
        <v>0</v>
      </c>
      <c r="Y893" s="32" t="str">
        <f t="shared" si="195"/>
        <v>GROWTH</v>
      </c>
      <c r="Z893" s="41">
        <v>0</v>
      </c>
      <c r="AA893" s="36"/>
      <c r="AB893" s="36" t="s">
        <v>24</v>
      </c>
      <c r="AC893" s="41" t="s">
        <v>848</v>
      </c>
      <c r="AD893" s="34"/>
      <c r="AE893" s="35">
        <f>IFERROR(INDEX([1]Last6M_AvgSales_Ref!$B$2:$B$12659,MATCH(D893,[1]Last6M_AvgSales_Ref!$A$2:$A$12659,0)),"")</f>
        <v>162.5</v>
      </c>
    </row>
    <row r="894" spans="1:31" ht="14.25" customHeight="1" x14ac:dyDescent="0.3">
      <c r="A894" s="41" t="s">
        <v>848</v>
      </c>
      <c r="B894" s="44" t="s">
        <v>1806</v>
      </c>
      <c r="C894" s="44" t="s">
        <v>1835</v>
      </c>
      <c r="D894" s="44">
        <v>1000003987</v>
      </c>
      <c r="E894" s="44" t="s">
        <v>971</v>
      </c>
      <c r="F894" s="40">
        <v>45441</v>
      </c>
      <c r="G894" s="22" t="str">
        <f t="shared" si="182"/>
        <v>Targeted Dealer</v>
      </c>
      <c r="H894" s="22"/>
      <c r="I894" s="23">
        <v>240</v>
      </c>
      <c r="J894" s="23">
        <f t="shared" si="183"/>
        <v>240</v>
      </c>
      <c r="K894" s="24">
        <v>110</v>
      </c>
      <c r="L894" s="24">
        <f t="shared" si="184"/>
        <v>130</v>
      </c>
      <c r="M894" s="24">
        <f t="shared" si="185"/>
        <v>45.833333333333336</v>
      </c>
      <c r="N894" s="25">
        <v>150</v>
      </c>
      <c r="O894" s="26" t="str">
        <f t="shared" si="186"/>
        <v>June</v>
      </c>
      <c r="P894" s="25">
        <f t="shared" si="187"/>
        <v>150</v>
      </c>
      <c r="Q894" s="27">
        <f t="shared" si="188"/>
        <v>-40</v>
      </c>
      <c r="R894" s="26" t="b">
        <f t="shared" si="189"/>
        <v>0</v>
      </c>
      <c r="S894" s="28" t="str">
        <f t="shared" si="190"/>
        <v>GROWTH</v>
      </c>
      <c r="T894" s="24">
        <v>115</v>
      </c>
      <c r="U894" s="29" t="str">
        <f t="shared" si="191"/>
        <v>May</v>
      </c>
      <c r="V894" s="24">
        <f t="shared" si="192"/>
        <v>115</v>
      </c>
      <c r="W894" s="30">
        <f t="shared" si="193"/>
        <v>-5</v>
      </c>
      <c r="X894" s="31" t="b">
        <f t="shared" si="194"/>
        <v>0</v>
      </c>
      <c r="Y894" s="32" t="str">
        <f t="shared" si="195"/>
        <v>GROWTH</v>
      </c>
      <c r="Z894" s="41">
        <v>0</v>
      </c>
      <c r="AA894" s="36"/>
      <c r="AB894" s="36" t="s">
        <v>24</v>
      </c>
      <c r="AC894" s="41" t="s">
        <v>848</v>
      </c>
      <c r="AD894" s="34"/>
      <c r="AE894" s="35">
        <f>IFERROR(INDEX([1]Last6M_AvgSales_Ref!$B$2:$B$12659,MATCH(D894,[1]Last6M_AvgSales_Ref!$A$2:$A$12659,0)),"")</f>
        <v>105</v>
      </c>
    </row>
    <row r="895" spans="1:31" ht="14.25" customHeight="1" x14ac:dyDescent="0.3">
      <c r="A895" s="36" t="s">
        <v>1836</v>
      </c>
      <c r="B895" s="38" t="s">
        <v>1837</v>
      </c>
      <c r="C895" s="38" t="s">
        <v>1838</v>
      </c>
      <c r="D895" s="38">
        <v>1000001225</v>
      </c>
      <c r="E895" s="39" t="s">
        <v>1839</v>
      </c>
      <c r="F895" s="40">
        <v>39029</v>
      </c>
      <c r="G895" s="22" t="str">
        <f t="shared" si="182"/>
        <v>Targeted Dealer</v>
      </c>
      <c r="H895" s="22"/>
      <c r="I895" s="23">
        <v>1180</v>
      </c>
      <c r="J895" s="23">
        <f t="shared" si="183"/>
        <v>1180</v>
      </c>
      <c r="K895" s="24">
        <v>1199</v>
      </c>
      <c r="L895" s="24">
        <f t="shared" si="184"/>
        <v>-19</v>
      </c>
      <c r="M895" s="24">
        <f t="shared" si="185"/>
        <v>101.61016949152541</v>
      </c>
      <c r="N895" s="25">
        <v>961</v>
      </c>
      <c r="O895" s="26" t="str">
        <f t="shared" si="186"/>
        <v>June</v>
      </c>
      <c r="P895" s="25">
        <f t="shared" si="187"/>
        <v>961</v>
      </c>
      <c r="Q895" s="27">
        <f t="shared" si="188"/>
        <v>238</v>
      </c>
      <c r="R895" s="26" t="b">
        <f t="shared" si="189"/>
        <v>0</v>
      </c>
      <c r="S895" s="28" t="str">
        <f t="shared" si="190"/>
        <v>GROWTH</v>
      </c>
      <c r="T895" s="24">
        <v>1179</v>
      </c>
      <c r="U895" s="29" t="str">
        <f t="shared" si="191"/>
        <v>May</v>
      </c>
      <c r="V895" s="24">
        <f t="shared" si="192"/>
        <v>1179</v>
      </c>
      <c r="W895" s="30">
        <f t="shared" si="193"/>
        <v>20</v>
      </c>
      <c r="X895" s="31" t="b">
        <f t="shared" si="194"/>
        <v>0</v>
      </c>
      <c r="Y895" s="32" t="str">
        <f t="shared" si="195"/>
        <v>GROWTH</v>
      </c>
      <c r="Z895" s="41">
        <v>0</v>
      </c>
      <c r="AA895" s="36"/>
      <c r="AB895" s="36" t="s">
        <v>24</v>
      </c>
      <c r="AC895" s="36" t="s">
        <v>1836</v>
      </c>
      <c r="AD895" s="34"/>
      <c r="AE895" s="35">
        <f>IFERROR(INDEX([1]Last6M_AvgSales_Ref!$B$2:$B$12659,MATCH(D895,[1]Last6M_AvgSales_Ref!$A$2:$A$12659,0)),"")</f>
        <v>1481</v>
      </c>
    </row>
    <row r="896" spans="1:31" ht="14.25" customHeight="1" x14ac:dyDescent="0.3">
      <c r="A896" s="36" t="s">
        <v>1836</v>
      </c>
      <c r="B896" s="38" t="s">
        <v>1837</v>
      </c>
      <c r="C896" s="38" t="s">
        <v>1840</v>
      </c>
      <c r="D896" s="38">
        <v>1000001234</v>
      </c>
      <c r="E896" s="39" t="s">
        <v>1841</v>
      </c>
      <c r="F896" s="40">
        <v>40676</v>
      </c>
      <c r="G896" s="22" t="str">
        <f t="shared" si="182"/>
        <v>Targeted Dealer</v>
      </c>
      <c r="H896" s="22"/>
      <c r="I896" s="23">
        <v>5710</v>
      </c>
      <c r="J896" s="23">
        <f t="shared" si="183"/>
        <v>5710</v>
      </c>
      <c r="K896" s="24">
        <v>5061</v>
      </c>
      <c r="L896" s="24">
        <f t="shared" si="184"/>
        <v>649</v>
      </c>
      <c r="M896" s="24">
        <f t="shared" si="185"/>
        <v>88.633975481611202</v>
      </c>
      <c r="N896" s="25">
        <v>3364</v>
      </c>
      <c r="O896" s="26" t="str">
        <f t="shared" si="186"/>
        <v>June</v>
      </c>
      <c r="P896" s="25">
        <f t="shared" si="187"/>
        <v>3364</v>
      </c>
      <c r="Q896" s="27">
        <f t="shared" si="188"/>
        <v>1697</v>
      </c>
      <c r="R896" s="26" t="b">
        <f t="shared" si="189"/>
        <v>0</v>
      </c>
      <c r="S896" s="28" t="str">
        <f t="shared" si="190"/>
        <v>GROWTH</v>
      </c>
      <c r="T896" s="24">
        <v>4909</v>
      </c>
      <c r="U896" s="29" t="str">
        <f t="shared" si="191"/>
        <v>May</v>
      </c>
      <c r="V896" s="24">
        <f t="shared" si="192"/>
        <v>4909</v>
      </c>
      <c r="W896" s="30">
        <f t="shared" si="193"/>
        <v>152</v>
      </c>
      <c r="X896" s="31" t="b">
        <f t="shared" si="194"/>
        <v>0</v>
      </c>
      <c r="Y896" s="32" t="str">
        <f t="shared" si="195"/>
        <v>GROWTH</v>
      </c>
      <c r="Z896" s="41">
        <v>0</v>
      </c>
      <c r="AA896" s="36"/>
      <c r="AB896" s="36" t="s">
        <v>24</v>
      </c>
      <c r="AC896" s="36" t="s">
        <v>1836</v>
      </c>
      <c r="AD896" s="34"/>
      <c r="AE896" s="35">
        <f>IFERROR(INDEX([1]Last6M_AvgSales_Ref!$B$2:$B$12659,MATCH(D896,[1]Last6M_AvgSales_Ref!$A$2:$A$12659,0)),"")</f>
        <v>5728.1666666666697</v>
      </c>
    </row>
    <row r="897" spans="1:31" ht="14.25" customHeight="1" x14ac:dyDescent="0.3">
      <c r="A897" s="36" t="s">
        <v>1836</v>
      </c>
      <c r="B897" s="38" t="s">
        <v>1837</v>
      </c>
      <c r="C897" s="38" t="s">
        <v>1842</v>
      </c>
      <c r="D897" s="38">
        <v>1000001232</v>
      </c>
      <c r="E897" s="39" t="s">
        <v>1843</v>
      </c>
      <c r="F897" s="40">
        <v>41041</v>
      </c>
      <c r="G897" s="22" t="str">
        <f t="shared" si="182"/>
        <v>Targeted Dealer</v>
      </c>
      <c r="H897" s="22"/>
      <c r="I897" s="23">
        <v>480</v>
      </c>
      <c r="J897" s="23">
        <f t="shared" si="183"/>
        <v>480</v>
      </c>
      <c r="K897" s="24">
        <v>365</v>
      </c>
      <c r="L897" s="24">
        <f t="shared" si="184"/>
        <v>115</v>
      </c>
      <c r="M897" s="24">
        <f t="shared" si="185"/>
        <v>76.041666666666671</v>
      </c>
      <c r="N897" s="25">
        <v>215</v>
      </c>
      <c r="O897" s="26" t="str">
        <f t="shared" si="186"/>
        <v>June</v>
      </c>
      <c r="P897" s="25">
        <f t="shared" si="187"/>
        <v>215</v>
      </c>
      <c r="Q897" s="27">
        <f t="shared" si="188"/>
        <v>150</v>
      </c>
      <c r="R897" s="26" t="b">
        <f t="shared" si="189"/>
        <v>0</v>
      </c>
      <c r="S897" s="28" t="str">
        <f t="shared" si="190"/>
        <v>GROWTH</v>
      </c>
      <c r="T897" s="24">
        <v>478</v>
      </c>
      <c r="U897" s="29" t="str">
        <f t="shared" si="191"/>
        <v>May</v>
      </c>
      <c r="V897" s="24">
        <f t="shared" si="192"/>
        <v>478</v>
      </c>
      <c r="W897" s="30">
        <f t="shared" si="193"/>
        <v>-113</v>
      </c>
      <c r="X897" s="31" t="b">
        <f t="shared" si="194"/>
        <v>0</v>
      </c>
      <c r="Y897" s="32" t="str">
        <f t="shared" si="195"/>
        <v>GROWTH</v>
      </c>
      <c r="Z897" s="41">
        <v>0</v>
      </c>
      <c r="AA897" s="36"/>
      <c r="AB897" s="36" t="s">
        <v>24</v>
      </c>
      <c r="AC897" s="36" t="s">
        <v>1836</v>
      </c>
      <c r="AD897" s="34"/>
      <c r="AE897" s="35">
        <f>IFERROR(INDEX([1]Last6M_AvgSales_Ref!$B$2:$B$12659,MATCH(D897,[1]Last6M_AvgSales_Ref!$A$2:$A$12659,0)),"")</f>
        <v>445.5</v>
      </c>
    </row>
    <row r="898" spans="1:31" ht="14.25" customHeight="1" x14ac:dyDescent="0.3">
      <c r="A898" s="36" t="s">
        <v>1836</v>
      </c>
      <c r="B898" s="38" t="s">
        <v>1837</v>
      </c>
      <c r="C898" s="38" t="s">
        <v>1844</v>
      </c>
      <c r="D898" s="38">
        <v>1000001229</v>
      </c>
      <c r="E898" s="39" t="s">
        <v>1845</v>
      </c>
      <c r="F898" s="40">
        <v>41168</v>
      </c>
      <c r="G898" s="22" t="str">
        <f t="shared" si="182"/>
        <v>Targeted Dealer</v>
      </c>
      <c r="H898" s="22"/>
      <c r="I898" s="23">
        <v>1590</v>
      </c>
      <c r="J898" s="23">
        <f t="shared" si="183"/>
        <v>1590</v>
      </c>
      <c r="K898" s="24">
        <v>1619</v>
      </c>
      <c r="L898" s="24">
        <f t="shared" si="184"/>
        <v>-29</v>
      </c>
      <c r="M898" s="24">
        <f t="shared" si="185"/>
        <v>101.82389937106917</v>
      </c>
      <c r="N898" s="25">
        <v>1311</v>
      </c>
      <c r="O898" s="26" t="str">
        <f t="shared" si="186"/>
        <v>June</v>
      </c>
      <c r="P898" s="25">
        <f t="shared" si="187"/>
        <v>1311</v>
      </c>
      <c r="Q898" s="27">
        <f t="shared" si="188"/>
        <v>308</v>
      </c>
      <c r="R898" s="26" t="b">
        <f t="shared" si="189"/>
        <v>0</v>
      </c>
      <c r="S898" s="28" t="str">
        <f t="shared" si="190"/>
        <v>GROWTH</v>
      </c>
      <c r="T898" s="24">
        <v>1601</v>
      </c>
      <c r="U898" s="29" t="str">
        <f t="shared" si="191"/>
        <v>May</v>
      </c>
      <c r="V898" s="24">
        <f t="shared" si="192"/>
        <v>1601</v>
      </c>
      <c r="W898" s="30">
        <f t="shared" si="193"/>
        <v>18</v>
      </c>
      <c r="X898" s="31" t="b">
        <f t="shared" si="194"/>
        <v>0</v>
      </c>
      <c r="Y898" s="32" t="str">
        <f t="shared" si="195"/>
        <v>GROWTH</v>
      </c>
      <c r="Z898" s="41">
        <v>0</v>
      </c>
      <c r="AA898" s="36"/>
      <c r="AB898" s="36" t="s">
        <v>24</v>
      </c>
      <c r="AC898" s="36" t="s">
        <v>1836</v>
      </c>
      <c r="AD898" s="34"/>
      <c r="AE898" s="35">
        <f>IFERROR(INDEX([1]Last6M_AvgSales_Ref!$B$2:$B$12659,MATCH(D898,[1]Last6M_AvgSales_Ref!$A$2:$A$12659,0)),"")</f>
        <v>2173.8333333333298</v>
      </c>
    </row>
    <row r="899" spans="1:31" ht="14.25" customHeight="1" x14ac:dyDescent="0.3">
      <c r="A899" s="36" t="s">
        <v>1836</v>
      </c>
      <c r="B899" s="38" t="s">
        <v>1837</v>
      </c>
      <c r="C899" s="38" t="s">
        <v>1846</v>
      </c>
      <c r="D899" s="38">
        <v>1000001233</v>
      </c>
      <c r="E899" s="39" t="s">
        <v>1847</v>
      </c>
      <c r="F899" s="40">
        <v>41400</v>
      </c>
      <c r="G899" s="22" t="str">
        <f t="shared" ref="G899:G962" si="196">IF(I899&gt;0,"Targeted Dealer","-")</f>
        <v>Targeted Dealer</v>
      </c>
      <c r="H899" s="22"/>
      <c r="I899" s="23">
        <v>1880</v>
      </c>
      <c r="J899" s="23">
        <f t="shared" ref="J899:J962" si="197">I899/$J$1*($J$1-$E$1)</f>
        <v>1880</v>
      </c>
      <c r="K899" s="24">
        <v>1518</v>
      </c>
      <c r="L899" s="24">
        <f t="shared" ref="L899:L962" si="198">I899-K899</f>
        <v>362</v>
      </c>
      <c r="M899" s="24">
        <f t="shared" ref="M899:M962" si="199">IFERROR((K899/J899%),"-")</f>
        <v>80.744680851063833</v>
      </c>
      <c r="N899" s="25">
        <v>978</v>
      </c>
      <c r="O899" s="26" t="str">
        <f t="shared" ref="O899:O962" si="200">IF(F899&lt;=$P$2,"June","")</f>
        <v>June</v>
      </c>
      <c r="P899" s="25">
        <f t="shared" ref="P899:P962" si="201">N899</f>
        <v>978</v>
      </c>
      <c r="Q899" s="27">
        <f t="shared" ref="Q899:Q962" si="202">K899-P899</f>
        <v>540</v>
      </c>
      <c r="R899" s="26" t="b">
        <f t="shared" ref="R899:R962" si="203">IFERROR(IF(O899="May",(K899/P899-1))," ")</f>
        <v>0</v>
      </c>
      <c r="S899" s="28" t="str">
        <f t="shared" ref="S899:S962" si="204">IF(N899&gt;0,IF(O899="","-",IF(R899&lt;0%,"DEGROWTH","GROWTH")))</f>
        <v>GROWTH</v>
      </c>
      <c r="T899" s="24">
        <v>1815</v>
      </c>
      <c r="U899" s="29" t="str">
        <f t="shared" ref="U899:U962" si="205">IF(F899&lt;=$V$2,"May","")</f>
        <v>May</v>
      </c>
      <c r="V899" s="24">
        <f t="shared" ref="V899:V962" si="206">T899</f>
        <v>1815</v>
      </c>
      <c r="W899" s="30">
        <f t="shared" ref="W899:W962" si="207">K899-V899</f>
        <v>-297</v>
      </c>
      <c r="X899" s="31" t="b">
        <f t="shared" ref="X899:X962" si="208">IFERROR(IF(U899="June",(K899/V899-1)),0)</f>
        <v>0</v>
      </c>
      <c r="Y899" s="32" t="str">
        <f t="shared" ref="Y899:Y962" si="209">IF(T899&gt;0,IF(U899="","-",IF(X899&lt;0%,"DEGROWTH","GROWTH")))</f>
        <v>GROWTH</v>
      </c>
      <c r="Z899" s="41">
        <v>0</v>
      </c>
      <c r="AA899" s="36"/>
      <c r="AB899" s="36" t="s">
        <v>24</v>
      </c>
      <c r="AC899" s="36" t="s">
        <v>1836</v>
      </c>
      <c r="AD899" s="34"/>
      <c r="AE899" s="35">
        <f>IFERROR(INDEX([1]Last6M_AvgSales_Ref!$B$2:$B$12659,MATCH(D899,[1]Last6M_AvgSales_Ref!$A$2:$A$12659,0)),"")</f>
        <v>1938.8333333333301</v>
      </c>
    </row>
    <row r="900" spans="1:31" ht="14.25" customHeight="1" x14ac:dyDescent="0.3">
      <c r="A900" s="36" t="s">
        <v>1836</v>
      </c>
      <c r="B900" s="38" t="s">
        <v>1837</v>
      </c>
      <c r="C900" s="38" t="s">
        <v>1848</v>
      </c>
      <c r="D900" s="38">
        <v>1000001224</v>
      </c>
      <c r="E900" s="39" t="s">
        <v>1849</v>
      </c>
      <c r="F900" s="40">
        <v>41486</v>
      </c>
      <c r="G900" s="22" t="str">
        <f t="shared" si="196"/>
        <v>Targeted Dealer</v>
      </c>
      <c r="H900" s="22"/>
      <c r="I900" s="23">
        <v>3390</v>
      </c>
      <c r="J900" s="23">
        <f t="shared" si="197"/>
        <v>3390</v>
      </c>
      <c r="K900" s="24">
        <v>2836</v>
      </c>
      <c r="L900" s="24">
        <f t="shared" si="198"/>
        <v>554</v>
      </c>
      <c r="M900" s="24">
        <f t="shared" si="199"/>
        <v>83.657817109144545</v>
      </c>
      <c r="N900" s="25">
        <v>2590</v>
      </c>
      <c r="O900" s="26" t="str">
        <f t="shared" si="200"/>
        <v>June</v>
      </c>
      <c r="P900" s="25">
        <f t="shared" si="201"/>
        <v>2590</v>
      </c>
      <c r="Q900" s="27">
        <f t="shared" si="202"/>
        <v>246</v>
      </c>
      <c r="R900" s="26" t="b">
        <f t="shared" si="203"/>
        <v>0</v>
      </c>
      <c r="S900" s="28" t="str">
        <f t="shared" si="204"/>
        <v>GROWTH</v>
      </c>
      <c r="T900" s="24">
        <v>3278</v>
      </c>
      <c r="U900" s="29" t="str">
        <f t="shared" si="205"/>
        <v>May</v>
      </c>
      <c r="V900" s="24">
        <f t="shared" si="206"/>
        <v>3278</v>
      </c>
      <c r="W900" s="30">
        <f t="shared" si="207"/>
        <v>-442</v>
      </c>
      <c r="X900" s="31" t="b">
        <f t="shared" si="208"/>
        <v>0</v>
      </c>
      <c r="Y900" s="32" t="str">
        <f t="shared" si="209"/>
        <v>GROWTH</v>
      </c>
      <c r="Z900" s="41">
        <v>0</v>
      </c>
      <c r="AA900" s="36"/>
      <c r="AB900" s="36" t="s">
        <v>24</v>
      </c>
      <c r="AC900" s="36" t="s">
        <v>1836</v>
      </c>
      <c r="AD900" s="34"/>
      <c r="AE900" s="35">
        <f>IFERROR(INDEX([1]Last6M_AvgSales_Ref!$B$2:$B$12659,MATCH(D900,[1]Last6M_AvgSales_Ref!$A$2:$A$12659,0)),"")</f>
        <v>3467.0833333333298</v>
      </c>
    </row>
    <row r="901" spans="1:31" ht="14.25" customHeight="1" x14ac:dyDescent="0.3">
      <c r="A901" s="36" t="s">
        <v>1836</v>
      </c>
      <c r="B901" s="38" t="s">
        <v>1837</v>
      </c>
      <c r="C901" s="38" t="s">
        <v>1850</v>
      </c>
      <c r="D901" s="38">
        <v>1000001230</v>
      </c>
      <c r="E901" s="39" t="s">
        <v>1851</v>
      </c>
      <c r="F901" s="40">
        <v>41543</v>
      </c>
      <c r="G901" s="22" t="str">
        <f t="shared" si="196"/>
        <v>Targeted Dealer</v>
      </c>
      <c r="H901" s="22"/>
      <c r="I901" s="23">
        <v>25</v>
      </c>
      <c r="J901" s="23">
        <f t="shared" si="197"/>
        <v>25</v>
      </c>
      <c r="K901" s="24">
        <v>25</v>
      </c>
      <c r="L901" s="24">
        <f t="shared" si="198"/>
        <v>0</v>
      </c>
      <c r="M901" s="24">
        <f t="shared" si="199"/>
        <v>100</v>
      </c>
      <c r="N901" s="25">
        <v>25</v>
      </c>
      <c r="O901" s="26" t="str">
        <f t="shared" si="200"/>
        <v>June</v>
      </c>
      <c r="P901" s="25">
        <f t="shared" si="201"/>
        <v>25</v>
      </c>
      <c r="Q901" s="27">
        <f t="shared" si="202"/>
        <v>0</v>
      </c>
      <c r="R901" s="26" t="b">
        <f t="shared" si="203"/>
        <v>0</v>
      </c>
      <c r="S901" s="28" t="str">
        <f t="shared" si="204"/>
        <v>GROWTH</v>
      </c>
      <c r="T901" s="24">
        <v>18</v>
      </c>
      <c r="U901" s="29" t="str">
        <f t="shared" si="205"/>
        <v>May</v>
      </c>
      <c r="V901" s="24">
        <f t="shared" si="206"/>
        <v>18</v>
      </c>
      <c r="W901" s="30">
        <f t="shared" si="207"/>
        <v>7</v>
      </c>
      <c r="X901" s="31" t="b">
        <f t="shared" si="208"/>
        <v>0</v>
      </c>
      <c r="Y901" s="32" t="str">
        <f t="shared" si="209"/>
        <v>GROWTH</v>
      </c>
      <c r="Z901" s="41">
        <v>0</v>
      </c>
      <c r="AA901" s="36"/>
      <c r="AB901" s="36" t="s">
        <v>24</v>
      </c>
      <c r="AC901" s="36" t="s">
        <v>1836</v>
      </c>
      <c r="AD901" s="34"/>
      <c r="AE901" s="35">
        <f>IFERROR(INDEX([1]Last6M_AvgSales_Ref!$B$2:$B$12659,MATCH(D901,[1]Last6M_AvgSales_Ref!$A$2:$A$12659,0)),"")</f>
        <v>35.6666666666667</v>
      </c>
    </row>
    <row r="902" spans="1:31" ht="14.25" customHeight="1" x14ac:dyDescent="0.3">
      <c r="A902" s="36" t="s">
        <v>1836</v>
      </c>
      <c r="B902" s="38" t="s">
        <v>1837</v>
      </c>
      <c r="C902" s="38" t="s">
        <v>1852</v>
      </c>
      <c r="D902" s="38">
        <v>1000001231</v>
      </c>
      <c r="E902" s="39" t="s">
        <v>1853</v>
      </c>
      <c r="F902" s="40">
        <v>41621</v>
      </c>
      <c r="G902" s="22" t="str">
        <f t="shared" si="196"/>
        <v>Targeted Dealer</v>
      </c>
      <c r="H902" s="22"/>
      <c r="I902" s="23">
        <v>970</v>
      </c>
      <c r="J902" s="23">
        <f t="shared" si="197"/>
        <v>970.00000000000011</v>
      </c>
      <c r="K902" s="24">
        <v>1282</v>
      </c>
      <c r="L902" s="24">
        <f t="shared" si="198"/>
        <v>-312</v>
      </c>
      <c r="M902" s="24">
        <f t="shared" si="199"/>
        <v>132.16494845360825</v>
      </c>
      <c r="N902" s="25">
        <v>1184</v>
      </c>
      <c r="O902" s="26" t="str">
        <f t="shared" si="200"/>
        <v>June</v>
      </c>
      <c r="P902" s="25">
        <f t="shared" si="201"/>
        <v>1184</v>
      </c>
      <c r="Q902" s="27">
        <f t="shared" si="202"/>
        <v>98</v>
      </c>
      <c r="R902" s="26" t="b">
        <f t="shared" si="203"/>
        <v>0</v>
      </c>
      <c r="S902" s="28" t="str">
        <f t="shared" si="204"/>
        <v>GROWTH</v>
      </c>
      <c r="T902" s="24">
        <v>962</v>
      </c>
      <c r="U902" s="29" t="str">
        <f t="shared" si="205"/>
        <v>May</v>
      </c>
      <c r="V902" s="24">
        <f t="shared" si="206"/>
        <v>962</v>
      </c>
      <c r="W902" s="30">
        <f t="shared" si="207"/>
        <v>320</v>
      </c>
      <c r="X902" s="31" t="b">
        <f t="shared" si="208"/>
        <v>0</v>
      </c>
      <c r="Y902" s="32" t="str">
        <f t="shared" si="209"/>
        <v>GROWTH</v>
      </c>
      <c r="Z902" s="41">
        <v>0</v>
      </c>
      <c r="AA902" s="36"/>
      <c r="AB902" s="36" t="s">
        <v>24</v>
      </c>
      <c r="AC902" s="36" t="s">
        <v>1836</v>
      </c>
      <c r="AD902" s="34"/>
      <c r="AE902" s="35">
        <f>IFERROR(INDEX([1]Last6M_AvgSales_Ref!$B$2:$B$12659,MATCH(D902,[1]Last6M_AvgSales_Ref!$A$2:$A$12659,0)),"")</f>
        <v>1430</v>
      </c>
    </row>
    <row r="903" spans="1:31" ht="14.25" customHeight="1" x14ac:dyDescent="0.3">
      <c r="A903" s="36" t="s">
        <v>1836</v>
      </c>
      <c r="B903" s="38" t="s">
        <v>1837</v>
      </c>
      <c r="C903" s="38" t="s">
        <v>1854</v>
      </c>
      <c r="D903" s="38">
        <v>1000001236</v>
      </c>
      <c r="E903" s="39" t="s">
        <v>1855</v>
      </c>
      <c r="F903" s="40">
        <v>41692</v>
      </c>
      <c r="G903" s="22" t="str">
        <f t="shared" si="196"/>
        <v>Targeted Dealer</v>
      </c>
      <c r="H903" s="22"/>
      <c r="I903" s="23">
        <v>1040</v>
      </c>
      <c r="J903" s="23">
        <f t="shared" si="197"/>
        <v>1040</v>
      </c>
      <c r="K903" s="24">
        <v>902</v>
      </c>
      <c r="L903" s="24">
        <f t="shared" si="198"/>
        <v>138</v>
      </c>
      <c r="M903" s="24">
        <f t="shared" si="199"/>
        <v>86.730769230769226</v>
      </c>
      <c r="N903" s="25">
        <v>543</v>
      </c>
      <c r="O903" s="26" t="str">
        <f t="shared" si="200"/>
        <v>June</v>
      </c>
      <c r="P903" s="25">
        <f t="shared" si="201"/>
        <v>543</v>
      </c>
      <c r="Q903" s="27">
        <f t="shared" si="202"/>
        <v>359</v>
      </c>
      <c r="R903" s="26" t="b">
        <f t="shared" si="203"/>
        <v>0</v>
      </c>
      <c r="S903" s="28" t="str">
        <f t="shared" si="204"/>
        <v>GROWTH</v>
      </c>
      <c r="T903" s="24">
        <v>1070</v>
      </c>
      <c r="U903" s="29" t="str">
        <f t="shared" si="205"/>
        <v>May</v>
      </c>
      <c r="V903" s="24">
        <f t="shared" si="206"/>
        <v>1070</v>
      </c>
      <c r="W903" s="30">
        <f t="shared" si="207"/>
        <v>-168</v>
      </c>
      <c r="X903" s="31" t="b">
        <f t="shared" si="208"/>
        <v>0</v>
      </c>
      <c r="Y903" s="32" t="str">
        <f t="shared" si="209"/>
        <v>GROWTH</v>
      </c>
      <c r="Z903" s="41">
        <v>0</v>
      </c>
      <c r="AA903" s="36"/>
      <c r="AB903" s="36" t="s">
        <v>24</v>
      </c>
      <c r="AC903" s="36" t="s">
        <v>1836</v>
      </c>
      <c r="AD903" s="34"/>
      <c r="AE903" s="35">
        <f>IFERROR(INDEX([1]Last6M_AvgSales_Ref!$B$2:$B$12659,MATCH(D903,[1]Last6M_AvgSales_Ref!$A$2:$A$12659,0)),"")</f>
        <v>1125.8333333333301</v>
      </c>
    </row>
    <row r="904" spans="1:31" ht="14.25" customHeight="1" x14ac:dyDescent="0.3">
      <c r="A904" s="36" t="s">
        <v>1836</v>
      </c>
      <c r="B904" s="38" t="s">
        <v>1837</v>
      </c>
      <c r="C904" s="38" t="s">
        <v>1856</v>
      </c>
      <c r="D904" s="38">
        <v>1000001228</v>
      </c>
      <c r="E904" s="39" t="s">
        <v>1857</v>
      </c>
      <c r="F904" s="40">
        <v>41698</v>
      </c>
      <c r="G904" s="22" t="str">
        <f t="shared" si="196"/>
        <v>Targeted Dealer</v>
      </c>
      <c r="H904" s="22"/>
      <c r="I904" s="23">
        <v>365</v>
      </c>
      <c r="J904" s="23">
        <f t="shared" si="197"/>
        <v>365</v>
      </c>
      <c r="K904" s="24">
        <v>312</v>
      </c>
      <c r="L904" s="24">
        <f t="shared" si="198"/>
        <v>53</v>
      </c>
      <c r="M904" s="24">
        <f t="shared" si="199"/>
        <v>85.479452054794521</v>
      </c>
      <c r="N904" s="25">
        <v>228</v>
      </c>
      <c r="O904" s="26" t="str">
        <f t="shared" si="200"/>
        <v>June</v>
      </c>
      <c r="P904" s="25">
        <f t="shared" si="201"/>
        <v>228</v>
      </c>
      <c r="Q904" s="27">
        <f t="shared" si="202"/>
        <v>84</v>
      </c>
      <c r="R904" s="26" t="b">
        <f t="shared" si="203"/>
        <v>0</v>
      </c>
      <c r="S904" s="28" t="str">
        <f t="shared" si="204"/>
        <v>GROWTH</v>
      </c>
      <c r="T904" s="24">
        <v>384</v>
      </c>
      <c r="U904" s="29" t="str">
        <f t="shared" si="205"/>
        <v>May</v>
      </c>
      <c r="V904" s="24">
        <f t="shared" si="206"/>
        <v>384</v>
      </c>
      <c r="W904" s="30">
        <f t="shared" si="207"/>
        <v>-72</v>
      </c>
      <c r="X904" s="31" t="b">
        <f t="shared" si="208"/>
        <v>0</v>
      </c>
      <c r="Y904" s="32" t="str">
        <f t="shared" si="209"/>
        <v>GROWTH</v>
      </c>
      <c r="Z904" s="41">
        <v>0</v>
      </c>
      <c r="AA904" s="36"/>
      <c r="AB904" s="36" t="s">
        <v>24</v>
      </c>
      <c r="AC904" s="36" t="s">
        <v>1836</v>
      </c>
      <c r="AD904" s="34"/>
      <c r="AE904" s="35">
        <f>IFERROR(INDEX([1]Last6M_AvgSales_Ref!$B$2:$B$12659,MATCH(D904,[1]Last6M_AvgSales_Ref!$A$2:$A$12659,0)),"")</f>
        <v>277.66666666666703</v>
      </c>
    </row>
    <row r="905" spans="1:31" ht="14.25" customHeight="1" x14ac:dyDescent="0.3">
      <c r="A905" s="36" t="s">
        <v>1836</v>
      </c>
      <c r="B905" s="38" t="s">
        <v>1837</v>
      </c>
      <c r="C905" s="38" t="s">
        <v>1858</v>
      </c>
      <c r="D905" s="38">
        <v>1000001252</v>
      </c>
      <c r="E905" s="39" t="s">
        <v>1859</v>
      </c>
      <c r="F905" s="40">
        <v>42124</v>
      </c>
      <c r="G905" s="22" t="str">
        <f t="shared" si="196"/>
        <v>Targeted Dealer</v>
      </c>
      <c r="H905" s="22"/>
      <c r="I905" s="23">
        <v>975</v>
      </c>
      <c r="J905" s="23">
        <f t="shared" si="197"/>
        <v>975</v>
      </c>
      <c r="K905" s="24">
        <v>820</v>
      </c>
      <c r="L905" s="24">
        <f t="shared" si="198"/>
        <v>155</v>
      </c>
      <c r="M905" s="24">
        <f t="shared" si="199"/>
        <v>84.102564102564102</v>
      </c>
      <c r="N905" s="25">
        <v>600</v>
      </c>
      <c r="O905" s="26" t="str">
        <f t="shared" si="200"/>
        <v>June</v>
      </c>
      <c r="P905" s="25">
        <f t="shared" si="201"/>
        <v>600</v>
      </c>
      <c r="Q905" s="27">
        <f t="shared" si="202"/>
        <v>220</v>
      </c>
      <c r="R905" s="26" t="b">
        <f t="shared" si="203"/>
        <v>0</v>
      </c>
      <c r="S905" s="28" t="str">
        <f t="shared" si="204"/>
        <v>GROWTH</v>
      </c>
      <c r="T905" s="24">
        <v>1000</v>
      </c>
      <c r="U905" s="29" t="str">
        <f t="shared" si="205"/>
        <v>May</v>
      </c>
      <c r="V905" s="24">
        <f t="shared" si="206"/>
        <v>1000</v>
      </c>
      <c r="W905" s="30">
        <f t="shared" si="207"/>
        <v>-180</v>
      </c>
      <c r="X905" s="31" t="b">
        <f t="shared" si="208"/>
        <v>0</v>
      </c>
      <c r="Y905" s="32" t="str">
        <f t="shared" si="209"/>
        <v>GROWTH</v>
      </c>
      <c r="Z905" s="41">
        <v>0</v>
      </c>
      <c r="AA905" s="36"/>
      <c r="AB905" s="36" t="s">
        <v>24</v>
      </c>
      <c r="AC905" s="36" t="s">
        <v>1836</v>
      </c>
      <c r="AD905" s="34"/>
      <c r="AE905" s="35">
        <f>IFERROR(INDEX([1]Last6M_AvgSales_Ref!$B$2:$B$12659,MATCH(D905,[1]Last6M_AvgSales_Ref!$A$2:$A$12659,0)),"")</f>
        <v>1232.5</v>
      </c>
    </row>
    <row r="906" spans="1:31" ht="14.25" customHeight="1" x14ac:dyDescent="0.3">
      <c r="A906" s="36" t="s">
        <v>1836</v>
      </c>
      <c r="B906" s="38" t="s">
        <v>1837</v>
      </c>
      <c r="C906" s="38" t="s">
        <v>1860</v>
      </c>
      <c r="D906" s="38">
        <v>1000001256</v>
      </c>
      <c r="E906" s="39" t="s">
        <v>1861</v>
      </c>
      <c r="F906" s="40">
        <v>42282</v>
      </c>
      <c r="G906" s="22" t="str">
        <f t="shared" si="196"/>
        <v>Targeted Dealer</v>
      </c>
      <c r="H906" s="22"/>
      <c r="I906" s="23">
        <v>335</v>
      </c>
      <c r="J906" s="23">
        <f t="shared" si="197"/>
        <v>335</v>
      </c>
      <c r="K906" s="24">
        <v>108</v>
      </c>
      <c r="L906" s="24">
        <f t="shared" si="198"/>
        <v>227</v>
      </c>
      <c r="M906" s="24">
        <f t="shared" si="199"/>
        <v>32.238805970149251</v>
      </c>
      <c r="N906" s="25">
        <v>48</v>
      </c>
      <c r="O906" s="26" t="str">
        <f t="shared" si="200"/>
        <v>June</v>
      </c>
      <c r="P906" s="25">
        <f t="shared" si="201"/>
        <v>48</v>
      </c>
      <c r="Q906" s="27">
        <f t="shared" si="202"/>
        <v>60</v>
      </c>
      <c r="R906" s="26" t="b">
        <f t="shared" si="203"/>
        <v>0</v>
      </c>
      <c r="S906" s="28" t="str">
        <f t="shared" si="204"/>
        <v>GROWTH</v>
      </c>
      <c r="T906" s="24">
        <v>367</v>
      </c>
      <c r="U906" s="29" t="str">
        <f t="shared" si="205"/>
        <v>May</v>
      </c>
      <c r="V906" s="24">
        <f t="shared" si="206"/>
        <v>367</v>
      </c>
      <c r="W906" s="30">
        <f t="shared" si="207"/>
        <v>-259</v>
      </c>
      <c r="X906" s="31" t="b">
        <f t="shared" si="208"/>
        <v>0</v>
      </c>
      <c r="Y906" s="32" t="str">
        <f t="shared" si="209"/>
        <v>GROWTH</v>
      </c>
      <c r="Z906" s="41">
        <v>0</v>
      </c>
      <c r="AA906" s="36"/>
      <c r="AB906" s="36" t="s">
        <v>24</v>
      </c>
      <c r="AC906" s="36" t="s">
        <v>1836</v>
      </c>
      <c r="AD906" s="34"/>
      <c r="AE906" s="35">
        <f>IFERROR(INDEX([1]Last6M_AvgSales_Ref!$B$2:$B$12659,MATCH(D906,[1]Last6M_AvgSales_Ref!$A$2:$A$12659,0)),"")</f>
        <v>243.666666666667</v>
      </c>
    </row>
    <row r="907" spans="1:31" ht="14.25" customHeight="1" x14ac:dyDescent="0.3">
      <c r="A907" s="36" t="s">
        <v>1836</v>
      </c>
      <c r="B907" s="38" t="s">
        <v>1837</v>
      </c>
      <c r="C907" s="38" t="s">
        <v>1862</v>
      </c>
      <c r="D907" s="38">
        <v>1000001242</v>
      </c>
      <c r="E907" s="39" t="s">
        <v>1863</v>
      </c>
      <c r="F907" s="40">
        <v>42542</v>
      </c>
      <c r="G907" s="22" t="str">
        <f t="shared" si="196"/>
        <v>Targeted Dealer</v>
      </c>
      <c r="H907" s="22"/>
      <c r="I907" s="23">
        <v>1860</v>
      </c>
      <c r="J907" s="23">
        <f t="shared" si="197"/>
        <v>1860</v>
      </c>
      <c r="K907" s="24">
        <v>1925</v>
      </c>
      <c r="L907" s="24">
        <f t="shared" si="198"/>
        <v>-65</v>
      </c>
      <c r="M907" s="24">
        <f t="shared" si="199"/>
        <v>103.49462365591397</v>
      </c>
      <c r="N907" s="25">
        <v>1505</v>
      </c>
      <c r="O907" s="26" t="str">
        <f t="shared" si="200"/>
        <v>June</v>
      </c>
      <c r="P907" s="25">
        <f t="shared" si="201"/>
        <v>1505</v>
      </c>
      <c r="Q907" s="27">
        <f t="shared" si="202"/>
        <v>420</v>
      </c>
      <c r="R907" s="26" t="b">
        <f t="shared" si="203"/>
        <v>0</v>
      </c>
      <c r="S907" s="28" t="str">
        <f t="shared" si="204"/>
        <v>GROWTH</v>
      </c>
      <c r="T907" s="24">
        <v>1850</v>
      </c>
      <c r="U907" s="29" t="str">
        <f t="shared" si="205"/>
        <v>May</v>
      </c>
      <c r="V907" s="24">
        <f t="shared" si="206"/>
        <v>1850</v>
      </c>
      <c r="W907" s="30">
        <f t="shared" si="207"/>
        <v>75</v>
      </c>
      <c r="X907" s="31" t="b">
        <f t="shared" si="208"/>
        <v>0</v>
      </c>
      <c r="Y907" s="32" t="str">
        <f t="shared" si="209"/>
        <v>GROWTH</v>
      </c>
      <c r="Z907" s="41">
        <v>0</v>
      </c>
      <c r="AA907" s="36"/>
      <c r="AB907" s="36" t="s">
        <v>24</v>
      </c>
      <c r="AC907" s="36" t="s">
        <v>1836</v>
      </c>
      <c r="AD907" s="34"/>
      <c r="AE907" s="35">
        <f>IFERROR(INDEX([1]Last6M_AvgSales_Ref!$B$2:$B$12659,MATCH(D907,[1]Last6M_AvgSales_Ref!$A$2:$A$12659,0)),"")</f>
        <v>2818</v>
      </c>
    </row>
    <row r="908" spans="1:31" ht="14.25" customHeight="1" x14ac:dyDescent="0.3">
      <c r="A908" s="36" t="s">
        <v>1836</v>
      </c>
      <c r="B908" s="38" t="s">
        <v>1837</v>
      </c>
      <c r="C908" s="38" t="s">
        <v>1864</v>
      </c>
      <c r="D908" s="38">
        <v>1000001244</v>
      </c>
      <c r="E908" s="39" t="s">
        <v>1865</v>
      </c>
      <c r="F908" s="40">
        <v>43207</v>
      </c>
      <c r="G908" s="22" t="str">
        <f t="shared" si="196"/>
        <v>Targeted Dealer</v>
      </c>
      <c r="H908" s="22"/>
      <c r="I908" s="23">
        <v>35</v>
      </c>
      <c r="J908" s="23">
        <f t="shared" si="197"/>
        <v>35</v>
      </c>
      <c r="K908" s="24">
        <v>24</v>
      </c>
      <c r="L908" s="24">
        <f t="shared" si="198"/>
        <v>11</v>
      </c>
      <c r="M908" s="24">
        <f t="shared" si="199"/>
        <v>68.571428571428569</v>
      </c>
      <c r="N908" s="25">
        <v>24</v>
      </c>
      <c r="O908" s="26" t="str">
        <f t="shared" si="200"/>
        <v>June</v>
      </c>
      <c r="P908" s="25">
        <f t="shared" si="201"/>
        <v>24</v>
      </c>
      <c r="Q908" s="27">
        <f t="shared" si="202"/>
        <v>0</v>
      </c>
      <c r="R908" s="26" t="b">
        <f t="shared" si="203"/>
        <v>0</v>
      </c>
      <c r="S908" s="28" t="str">
        <f t="shared" si="204"/>
        <v>GROWTH</v>
      </c>
      <c r="T908" s="24">
        <v>24</v>
      </c>
      <c r="U908" s="29" t="str">
        <f t="shared" si="205"/>
        <v>May</v>
      </c>
      <c r="V908" s="24">
        <f t="shared" si="206"/>
        <v>24</v>
      </c>
      <c r="W908" s="30">
        <f t="shared" si="207"/>
        <v>0</v>
      </c>
      <c r="X908" s="31" t="b">
        <f t="shared" si="208"/>
        <v>0</v>
      </c>
      <c r="Y908" s="32" t="str">
        <f t="shared" si="209"/>
        <v>GROWTH</v>
      </c>
      <c r="Z908" s="41">
        <v>0</v>
      </c>
      <c r="AA908" s="36"/>
      <c r="AB908" s="36" t="s">
        <v>24</v>
      </c>
      <c r="AC908" s="36" t="s">
        <v>1836</v>
      </c>
      <c r="AD908" s="34"/>
      <c r="AE908" s="35">
        <f>IFERROR(INDEX([1]Last6M_AvgSales_Ref!$B$2:$B$12659,MATCH(D908,[1]Last6M_AvgSales_Ref!$A$2:$A$12659,0)),"")</f>
        <v>53.1666666666667</v>
      </c>
    </row>
    <row r="909" spans="1:31" ht="14.25" customHeight="1" x14ac:dyDescent="0.3">
      <c r="A909" s="36" t="s">
        <v>1836</v>
      </c>
      <c r="B909" s="38" t="s">
        <v>1837</v>
      </c>
      <c r="C909" s="38" t="s">
        <v>1866</v>
      </c>
      <c r="D909" s="38">
        <v>1000001238</v>
      </c>
      <c r="E909" s="39" t="s">
        <v>1867</v>
      </c>
      <c r="F909" s="40">
        <v>43454</v>
      </c>
      <c r="G909" s="22" t="str">
        <f t="shared" si="196"/>
        <v>Targeted Dealer</v>
      </c>
      <c r="H909" s="22"/>
      <c r="I909" s="23">
        <v>1600</v>
      </c>
      <c r="J909" s="23">
        <f t="shared" si="197"/>
        <v>1600</v>
      </c>
      <c r="K909" s="24">
        <v>1416</v>
      </c>
      <c r="L909" s="24">
        <f t="shared" si="198"/>
        <v>184</v>
      </c>
      <c r="M909" s="24">
        <f t="shared" si="199"/>
        <v>88.5</v>
      </c>
      <c r="N909" s="25">
        <v>1190</v>
      </c>
      <c r="O909" s="26" t="str">
        <f t="shared" si="200"/>
        <v>June</v>
      </c>
      <c r="P909" s="25">
        <f t="shared" si="201"/>
        <v>1190</v>
      </c>
      <c r="Q909" s="27">
        <f t="shared" si="202"/>
        <v>226</v>
      </c>
      <c r="R909" s="26" t="b">
        <f t="shared" si="203"/>
        <v>0</v>
      </c>
      <c r="S909" s="28" t="str">
        <f t="shared" si="204"/>
        <v>GROWTH</v>
      </c>
      <c r="T909" s="24">
        <v>1600</v>
      </c>
      <c r="U909" s="29" t="str">
        <f t="shared" si="205"/>
        <v>May</v>
      </c>
      <c r="V909" s="24">
        <f t="shared" si="206"/>
        <v>1600</v>
      </c>
      <c r="W909" s="30">
        <f t="shared" si="207"/>
        <v>-184</v>
      </c>
      <c r="X909" s="31" t="b">
        <f t="shared" si="208"/>
        <v>0</v>
      </c>
      <c r="Y909" s="32" t="str">
        <f t="shared" si="209"/>
        <v>GROWTH</v>
      </c>
      <c r="Z909" s="41">
        <v>0</v>
      </c>
      <c r="AA909" s="36"/>
      <c r="AB909" s="36" t="s">
        <v>24</v>
      </c>
      <c r="AC909" s="36" t="s">
        <v>1836</v>
      </c>
      <c r="AD909" s="34"/>
      <c r="AE909" s="35">
        <f>IFERROR(INDEX([1]Last6M_AvgSales_Ref!$B$2:$B$12659,MATCH(D909,[1]Last6M_AvgSales_Ref!$A$2:$A$12659,0)),"")</f>
        <v>1689.5</v>
      </c>
    </row>
    <row r="910" spans="1:31" ht="14.25" customHeight="1" x14ac:dyDescent="0.3">
      <c r="A910" s="36" t="s">
        <v>1836</v>
      </c>
      <c r="B910" s="38" t="s">
        <v>1837</v>
      </c>
      <c r="C910" s="38" t="s">
        <v>1868</v>
      </c>
      <c r="D910" s="38">
        <v>1000001251</v>
      </c>
      <c r="E910" s="39" t="s">
        <v>1869</v>
      </c>
      <c r="F910" s="40">
        <v>43455</v>
      </c>
      <c r="G910" s="22" t="str">
        <f t="shared" si="196"/>
        <v>Targeted Dealer</v>
      </c>
      <c r="H910" s="22"/>
      <c r="I910" s="23">
        <v>1230</v>
      </c>
      <c r="J910" s="23">
        <f t="shared" si="197"/>
        <v>1230</v>
      </c>
      <c r="K910" s="24">
        <v>1112</v>
      </c>
      <c r="L910" s="24">
        <f t="shared" si="198"/>
        <v>118</v>
      </c>
      <c r="M910" s="24">
        <f t="shared" si="199"/>
        <v>90.40650406504065</v>
      </c>
      <c r="N910" s="25">
        <v>893</v>
      </c>
      <c r="O910" s="26" t="str">
        <f t="shared" si="200"/>
        <v>June</v>
      </c>
      <c r="P910" s="25">
        <f t="shared" si="201"/>
        <v>893</v>
      </c>
      <c r="Q910" s="27">
        <f t="shared" si="202"/>
        <v>219</v>
      </c>
      <c r="R910" s="26" t="b">
        <f t="shared" si="203"/>
        <v>0</v>
      </c>
      <c r="S910" s="28" t="str">
        <f t="shared" si="204"/>
        <v>GROWTH</v>
      </c>
      <c r="T910" s="24">
        <v>1251</v>
      </c>
      <c r="U910" s="29" t="str">
        <f t="shared" si="205"/>
        <v>May</v>
      </c>
      <c r="V910" s="24">
        <f t="shared" si="206"/>
        <v>1251</v>
      </c>
      <c r="W910" s="30">
        <f t="shared" si="207"/>
        <v>-139</v>
      </c>
      <c r="X910" s="31" t="b">
        <f t="shared" si="208"/>
        <v>0</v>
      </c>
      <c r="Y910" s="32" t="str">
        <f t="shared" si="209"/>
        <v>GROWTH</v>
      </c>
      <c r="Z910" s="41">
        <v>0</v>
      </c>
      <c r="AA910" s="36"/>
      <c r="AB910" s="36" t="s">
        <v>24</v>
      </c>
      <c r="AC910" s="36" t="s">
        <v>1836</v>
      </c>
      <c r="AD910" s="34"/>
      <c r="AE910" s="35">
        <f>IFERROR(INDEX([1]Last6M_AvgSales_Ref!$B$2:$B$12659,MATCH(D910,[1]Last6M_AvgSales_Ref!$A$2:$A$12659,0)),"")</f>
        <v>1272.3333333333301</v>
      </c>
    </row>
    <row r="911" spans="1:31" ht="14.25" customHeight="1" x14ac:dyDescent="0.3">
      <c r="A911" s="36" t="s">
        <v>1836</v>
      </c>
      <c r="B911" s="38" t="s">
        <v>1837</v>
      </c>
      <c r="C911" s="38" t="s">
        <v>1870</v>
      </c>
      <c r="D911" s="38">
        <v>1000001254</v>
      </c>
      <c r="E911" s="39" t="s">
        <v>1871</v>
      </c>
      <c r="F911" s="40">
        <v>43493</v>
      </c>
      <c r="G911" s="22" t="str">
        <f t="shared" si="196"/>
        <v>Targeted Dealer</v>
      </c>
      <c r="H911" s="22"/>
      <c r="I911" s="23">
        <v>185</v>
      </c>
      <c r="J911" s="23">
        <f t="shared" si="197"/>
        <v>185</v>
      </c>
      <c r="K911" s="24">
        <v>386</v>
      </c>
      <c r="L911" s="24">
        <f t="shared" si="198"/>
        <v>-201</v>
      </c>
      <c r="M911" s="24">
        <f t="shared" si="199"/>
        <v>208.64864864864865</v>
      </c>
      <c r="N911" s="25">
        <v>216</v>
      </c>
      <c r="O911" s="26" t="str">
        <f t="shared" si="200"/>
        <v>June</v>
      </c>
      <c r="P911" s="25">
        <f t="shared" si="201"/>
        <v>216</v>
      </c>
      <c r="Q911" s="27">
        <f t="shared" si="202"/>
        <v>170</v>
      </c>
      <c r="R911" s="26" t="b">
        <f t="shared" si="203"/>
        <v>0</v>
      </c>
      <c r="S911" s="28" t="str">
        <f t="shared" si="204"/>
        <v>GROWTH</v>
      </c>
      <c r="T911" s="24">
        <v>219</v>
      </c>
      <c r="U911" s="29" t="str">
        <f t="shared" si="205"/>
        <v>May</v>
      </c>
      <c r="V911" s="24">
        <f t="shared" si="206"/>
        <v>219</v>
      </c>
      <c r="W911" s="30">
        <f t="shared" si="207"/>
        <v>167</v>
      </c>
      <c r="X911" s="31" t="b">
        <f t="shared" si="208"/>
        <v>0</v>
      </c>
      <c r="Y911" s="32" t="str">
        <f t="shared" si="209"/>
        <v>GROWTH</v>
      </c>
      <c r="Z911" s="41">
        <v>0</v>
      </c>
      <c r="AA911" s="36"/>
      <c r="AB911" s="36" t="s">
        <v>24</v>
      </c>
      <c r="AC911" s="36" t="s">
        <v>1836</v>
      </c>
      <c r="AD911" s="34"/>
      <c r="AE911" s="35">
        <f>IFERROR(INDEX([1]Last6M_AvgSales_Ref!$B$2:$B$12659,MATCH(D911,[1]Last6M_AvgSales_Ref!$A$2:$A$12659,0)),"")</f>
        <v>277.5</v>
      </c>
    </row>
    <row r="912" spans="1:31" ht="14.25" customHeight="1" x14ac:dyDescent="0.3">
      <c r="A912" s="36" t="s">
        <v>1836</v>
      </c>
      <c r="B912" s="38" t="s">
        <v>1837</v>
      </c>
      <c r="C912" s="38" t="s">
        <v>1872</v>
      </c>
      <c r="D912" s="38">
        <v>1000001259</v>
      </c>
      <c r="E912" s="39" t="s">
        <v>995</v>
      </c>
      <c r="F912" s="40">
        <v>43494</v>
      </c>
      <c r="G912" s="22" t="str">
        <f t="shared" si="196"/>
        <v>Targeted Dealer</v>
      </c>
      <c r="H912" s="22"/>
      <c r="I912" s="23">
        <v>140</v>
      </c>
      <c r="J912" s="23">
        <f t="shared" si="197"/>
        <v>140</v>
      </c>
      <c r="K912" s="24">
        <v>62</v>
      </c>
      <c r="L912" s="24">
        <f t="shared" si="198"/>
        <v>78</v>
      </c>
      <c r="M912" s="24">
        <f t="shared" si="199"/>
        <v>44.285714285714292</v>
      </c>
      <c r="N912" s="25">
        <v>113</v>
      </c>
      <c r="O912" s="26" t="str">
        <f t="shared" si="200"/>
        <v>June</v>
      </c>
      <c r="P912" s="25">
        <f t="shared" si="201"/>
        <v>113</v>
      </c>
      <c r="Q912" s="27">
        <f t="shared" si="202"/>
        <v>-51</v>
      </c>
      <c r="R912" s="26" t="b">
        <f t="shared" si="203"/>
        <v>0</v>
      </c>
      <c r="S912" s="28" t="str">
        <f t="shared" si="204"/>
        <v>GROWTH</v>
      </c>
      <c r="T912" s="24">
        <v>150</v>
      </c>
      <c r="U912" s="29" t="str">
        <f t="shared" si="205"/>
        <v>May</v>
      </c>
      <c r="V912" s="24">
        <f t="shared" si="206"/>
        <v>150</v>
      </c>
      <c r="W912" s="30">
        <f t="shared" si="207"/>
        <v>-88</v>
      </c>
      <c r="X912" s="31" t="b">
        <f t="shared" si="208"/>
        <v>0</v>
      </c>
      <c r="Y912" s="32" t="str">
        <f t="shared" si="209"/>
        <v>GROWTH</v>
      </c>
      <c r="Z912" s="41">
        <v>0</v>
      </c>
      <c r="AA912" s="36"/>
      <c r="AB912" s="36" t="s">
        <v>24</v>
      </c>
      <c r="AC912" s="36" t="s">
        <v>1836</v>
      </c>
      <c r="AD912" s="34"/>
      <c r="AE912" s="35">
        <f>IFERROR(INDEX([1]Last6M_AvgSales_Ref!$B$2:$B$12659,MATCH(D912,[1]Last6M_AvgSales_Ref!$A$2:$A$12659,0)),"")</f>
        <v>154</v>
      </c>
    </row>
    <row r="913" spans="1:31" ht="14.25" customHeight="1" x14ac:dyDescent="0.3">
      <c r="A913" s="36" t="s">
        <v>1836</v>
      </c>
      <c r="B913" s="38" t="s">
        <v>1837</v>
      </c>
      <c r="C913" s="38" t="s">
        <v>1873</v>
      </c>
      <c r="D913" s="38">
        <v>1000001245</v>
      </c>
      <c r="E913" s="39" t="s">
        <v>1874</v>
      </c>
      <c r="F913" s="40">
        <v>43652</v>
      </c>
      <c r="G913" s="22" t="str">
        <f t="shared" si="196"/>
        <v>Targeted Dealer</v>
      </c>
      <c r="H913" s="22"/>
      <c r="I913" s="23">
        <v>160</v>
      </c>
      <c r="J913" s="23">
        <f t="shared" si="197"/>
        <v>160</v>
      </c>
      <c r="K913" s="24">
        <v>158</v>
      </c>
      <c r="L913" s="24">
        <f t="shared" si="198"/>
        <v>2</v>
      </c>
      <c r="M913" s="24">
        <f t="shared" si="199"/>
        <v>98.75</v>
      </c>
      <c r="N913" s="25">
        <v>72</v>
      </c>
      <c r="O913" s="26" t="str">
        <f t="shared" si="200"/>
        <v>June</v>
      </c>
      <c r="P913" s="25">
        <f t="shared" si="201"/>
        <v>72</v>
      </c>
      <c r="Q913" s="27">
        <f t="shared" si="202"/>
        <v>86</v>
      </c>
      <c r="R913" s="26" t="b">
        <f t="shared" si="203"/>
        <v>0</v>
      </c>
      <c r="S913" s="28" t="str">
        <f t="shared" si="204"/>
        <v>GROWTH</v>
      </c>
      <c r="T913" s="24">
        <v>159</v>
      </c>
      <c r="U913" s="29" t="str">
        <f t="shared" si="205"/>
        <v>May</v>
      </c>
      <c r="V913" s="24">
        <f t="shared" si="206"/>
        <v>159</v>
      </c>
      <c r="W913" s="30">
        <f t="shared" si="207"/>
        <v>-1</v>
      </c>
      <c r="X913" s="31" t="b">
        <f t="shared" si="208"/>
        <v>0</v>
      </c>
      <c r="Y913" s="32" t="str">
        <f t="shared" si="209"/>
        <v>GROWTH</v>
      </c>
      <c r="Z913" s="41">
        <v>0</v>
      </c>
      <c r="AA913" s="36"/>
      <c r="AB913" s="36" t="s">
        <v>24</v>
      </c>
      <c r="AC913" s="36" t="s">
        <v>1836</v>
      </c>
      <c r="AD913" s="34"/>
      <c r="AE913" s="35">
        <f>IFERROR(INDEX([1]Last6M_AvgSales_Ref!$B$2:$B$12659,MATCH(D913,[1]Last6M_AvgSales_Ref!$A$2:$A$12659,0)),"")</f>
        <v>245</v>
      </c>
    </row>
    <row r="914" spans="1:31" ht="14.25" customHeight="1" x14ac:dyDescent="0.3">
      <c r="A914" s="36" t="s">
        <v>1836</v>
      </c>
      <c r="B914" s="38" t="s">
        <v>1837</v>
      </c>
      <c r="C914" s="38" t="s">
        <v>1875</v>
      </c>
      <c r="D914" s="38">
        <v>1000001264</v>
      </c>
      <c r="E914" s="39" t="s">
        <v>1876</v>
      </c>
      <c r="F914" s="40">
        <v>43975</v>
      </c>
      <c r="G914" s="22" t="str">
        <f t="shared" si="196"/>
        <v>Targeted Dealer</v>
      </c>
      <c r="H914" s="22"/>
      <c r="I914" s="23">
        <v>2035</v>
      </c>
      <c r="J914" s="23">
        <f t="shared" si="197"/>
        <v>2034.9999999999998</v>
      </c>
      <c r="K914" s="24">
        <v>1140</v>
      </c>
      <c r="L914" s="24">
        <f t="shared" si="198"/>
        <v>895</v>
      </c>
      <c r="M914" s="24">
        <f t="shared" si="199"/>
        <v>56.019656019656026</v>
      </c>
      <c r="N914" s="25">
        <v>815</v>
      </c>
      <c r="O914" s="26" t="str">
        <f t="shared" si="200"/>
        <v>June</v>
      </c>
      <c r="P914" s="25">
        <f t="shared" si="201"/>
        <v>815</v>
      </c>
      <c r="Q914" s="27">
        <f t="shared" si="202"/>
        <v>325</v>
      </c>
      <c r="R914" s="26" t="b">
        <f t="shared" si="203"/>
        <v>0</v>
      </c>
      <c r="S914" s="28" t="str">
        <f t="shared" si="204"/>
        <v>GROWTH</v>
      </c>
      <c r="T914" s="24">
        <v>2042</v>
      </c>
      <c r="U914" s="29" t="str">
        <f t="shared" si="205"/>
        <v>May</v>
      </c>
      <c r="V914" s="24">
        <f t="shared" si="206"/>
        <v>2042</v>
      </c>
      <c r="W914" s="30">
        <f t="shared" si="207"/>
        <v>-902</v>
      </c>
      <c r="X914" s="31" t="b">
        <f t="shared" si="208"/>
        <v>0</v>
      </c>
      <c r="Y914" s="32" t="str">
        <f t="shared" si="209"/>
        <v>GROWTH</v>
      </c>
      <c r="Z914" s="41">
        <v>0</v>
      </c>
      <c r="AA914" s="36"/>
      <c r="AB914" s="36" t="s">
        <v>24</v>
      </c>
      <c r="AC914" s="36" t="s">
        <v>1836</v>
      </c>
      <c r="AD914" s="34"/>
      <c r="AE914" s="35">
        <f>IFERROR(INDEX([1]Last6M_AvgSales_Ref!$B$2:$B$12659,MATCH(D914,[1]Last6M_AvgSales_Ref!$A$2:$A$12659,0)),"")</f>
        <v>2059.1666666666702</v>
      </c>
    </row>
    <row r="915" spans="1:31" ht="14.25" customHeight="1" x14ac:dyDescent="0.3">
      <c r="A915" s="36" t="s">
        <v>1836</v>
      </c>
      <c r="B915" s="38" t="s">
        <v>1837</v>
      </c>
      <c r="C915" s="38" t="s">
        <v>1877</v>
      </c>
      <c r="D915" s="38">
        <v>1000001257</v>
      </c>
      <c r="E915" s="39" t="s">
        <v>1878</v>
      </c>
      <c r="F915" s="40">
        <v>44136</v>
      </c>
      <c r="G915" s="22" t="str">
        <f t="shared" si="196"/>
        <v>Targeted Dealer</v>
      </c>
      <c r="H915" s="22"/>
      <c r="I915" s="23">
        <v>30</v>
      </c>
      <c r="J915" s="23">
        <f t="shared" si="197"/>
        <v>30</v>
      </c>
      <c r="K915" s="24">
        <v>36</v>
      </c>
      <c r="L915" s="24">
        <f t="shared" si="198"/>
        <v>-6</v>
      </c>
      <c r="M915" s="24">
        <f t="shared" si="199"/>
        <v>120</v>
      </c>
      <c r="N915" s="25">
        <v>0</v>
      </c>
      <c r="O915" s="26" t="str">
        <f t="shared" si="200"/>
        <v>June</v>
      </c>
      <c r="P915" s="25">
        <f t="shared" si="201"/>
        <v>0</v>
      </c>
      <c r="Q915" s="27">
        <f t="shared" si="202"/>
        <v>36</v>
      </c>
      <c r="R915" s="26" t="b">
        <f t="shared" si="203"/>
        <v>0</v>
      </c>
      <c r="S915" s="28" t="b">
        <f t="shared" si="204"/>
        <v>0</v>
      </c>
      <c r="T915" s="24">
        <v>24</v>
      </c>
      <c r="U915" s="29" t="str">
        <f t="shared" si="205"/>
        <v>May</v>
      </c>
      <c r="V915" s="24">
        <f t="shared" si="206"/>
        <v>24</v>
      </c>
      <c r="W915" s="30">
        <f t="shared" si="207"/>
        <v>12</v>
      </c>
      <c r="X915" s="31" t="b">
        <f t="shared" si="208"/>
        <v>0</v>
      </c>
      <c r="Y915" s="32" t="str">
        <f t="shared" si="209"/>
        <v>GROWTH</v>
      </c>
      <c r="Z915" s="41">
        <v>0</v>
      </c>
      <c r="AA915" s="36"/>
      <c r="AB915" s="36" t="s">
        <v>24</v>
      </c>
      <c r="AC915" s="36" t="s">
        <v>1836</v>
      </c>
      <c r="AD915" s="34"/>
      <c r="AE915" s="35">
        <f>IFERROR(INDEX([1]Last6M_AvgSales_Ref!$B$2:$B$12659,MATCH(D915,[1]Last6M_AvgSales_Ref!$A$2:$A$12659,0)),"")</f>
        <v>6</v>
      </c>
    </row>
    <row r="916" spans="1:31" ht="14.25" customHeight="1" x14ac:dyDescent="0.3">
      <c r="A916" s="36" t="s">
        <v>1836</v>
      </c>
      <c r="B916" s="38" t="s">
        <v>1837</v>
      </c>
      <c r="C916" s="38" t="s">
        <v>1879</v>
      </c>
      <c r="D916" s="38">
        <v>1000001265</v>
      </c>
      <c r="E916" s="39" t="s">
        <v>1880</v>
      </c>
      <c r="F916" s="40">
        <v>44188</v>
      </c>
      <c r="G916" s="22" t="str">
        <f t="shared" si="196"/>
        <v>Targeted Dealer</v>
      </c>
      <c r="H916" s="22"/>
      <c r="I916" s="23">
        <v>1220</v>
      </c>
      <c r="J916" s="23">
        <f t="shared" si="197"/>
        <v>1220</v>
      </c>
      <c r="K916" s="24">
        <v>1140</v>
      </c>
      <c r="L916" s="24">
        <f t="shared" si="198"/>
        <v>80</v>
      </c>
      <c r="M916" s="24">
        <f t="shared" si="199"/>
        <v>93.442622950819683</v>
      </c>
      <c r="N916" s="25">
        <v>660</v>
      </c>
      <c r="O916" s="26" t="str">
        <f t="shared" si="200"/>
        <v>June</v>
      </c>
      <c r="P916" s="25">
        <f t="shared" si="201"/>
        <v>660</v>
      </c>
      <c r="Q916" s="27">
        <f t="shared" si="202"/>
        <v>480</v>
      </c>
      <c r="R916" s="26" t="b">
        <f t="shared" si="203"/>
        <v>0</v>
      </c>
      <c r="S916" s="28" t="str">
        <f t="shared" si="204"/>
        <v>GROWTH</v>
      </c>
      <c r="T916" s="24">
        <v>1215</v>
      </c>
      <c r="U916" s="29" t="str">
        <f t="shared" si="205"/>
        <v>May</v>
      </c>
      <c r="V916" s="24">
        <f t="shared" si="206"/>
        <v>1215</v>
      </c>
      <c r="W916" s="30">
        <f t="shared" si="207"/>
        <v>-75</v>
      </c>
      <c r="X916" s="31" t="b">
        <f t="shared" si="208"/>
        <v>0</v>
      </c>
      <c r="Y916" s="32" t="str">
        <f t="shared" si="209"/>
        <v>GROWTH</v>
      </c>
      <c r="Z916" s="41">
        <v>0</v>
      </c>
      <c r="AA916" s="36"/>
      <c r="AB916" s="36" t="s">
        <v>24</v>
      </c>
      <c r="AC916" s="36" t="s">
        <v>1836</v>
      </c>
      <c r="AD916" s="34"/>
      <c r="AE916" s="35">
        <f>IFERROR(INDEX([1]Last6M_AvgSales_Ref!$B$2:$B$12659,MATCH(D916,[1]Last6M_AvgSales_Ref!$A$2:$A$12659,0)),"")</f>
        <v>1332.9166666666699</v>
      </c>
    </row>
    <row r="917" spans="1:31" ht="14.25" customHeight="1" x14ac:dyDescent="0.3">
      <c r="A917" s="36" t="s">
        <v>1836</v>
      </c>
      <c r="B917" s="38" t="s">
        <v>1837</v>
      </c>
      <c r="C917" s="38" t="s">
        <v>1881</v>
      </c>
      <c r="D917" s="38">
        <v>1000001241</v>
      </c>
      <c r="E917" s="39" t="s">
        <v>1882</v>
      </c>
      <c r="F917" s="40">
        <v>44194</v>
      </c>
      <c r="G917" s="22" t="str">
        <f t="shared" si="196"/>
        <v>Targeted Dealer</v>
      </c>
      <c r="H917" s="22"/>
      <c r="I917" s="23">
        <v>135</v>
      </c>
      <c r="J917" s="23">
        <f t="shared" si="197"/>
        <v>135</v>
      </c>
      <c r="K917" s="24">
        <v>125</v>
      </c>
      <c r="L917" s="24">
        <f t="shared" si="198"/>
        <v>10</v>
      </c>
      <c r="M917" s="24">
        <f t="shared" si="199"/>
        <v>92.592592592592581</v>
      </c>
      <c r="N917" s="25">
        <v>125</v>
      </c>
      <c r="O917" s="26" t="str">
        <f t="shared" si="200"/>
        <v>June</v>
      </c>
      <c r="P917" s="25">
        <f t="shared" si="201"/>
        <v>125</v>
      </c>
      <c r="Q917" s="27">
        <f t="shared" si="202"/>
        <v>0</v>
      </c>
      <c r="R917" s="26" t="b">
        <f t="shared" si="203"/>
        <v>0</v>
      </c>
      <c r="S917" s="28" t="str">
        <f t="shared" si="204"/>
        <v>GROWTH</v>
      </c>
      <c r="T917" s="24">
        <v>146</v>
      </c>
      <c r="U917" s="29" t="str">
        <f t="shared" si="205"/>
        <v>May</v>
      </c>
      <c r="V917" s="24">
        <f t="shared" si="206"/>
        <v>146</v>
      </c>
      <c r="W917" s="30">
        <f t="shared" si="207"/>
        <v>-21</v>
      </c>
      <c r="X917" s="31" t="b">
        <f t="shared" si="208"/>
        <v>0</v>
      </c>
      <c r="Y917" s="32" t="str">
        <f t="shared" si="209"/>
        <v>GROWTH</v>
      </c>
      <c r="Z917" s="41">
        <v>0</v>
      </c>
      <c r="AA917" s="36"/>
      <c r="AB917" s="36" t="s">
        <v>24</v>
      </c>
      <c r="AC917" s="36" t="s">
        <v>1836</v>
      </c>
      <c r="AD917" s="34"/>
      <c r="AE917" s="35">
        <f>IFERROR(INDEX([1]Last6M_AvgSales_Ref!$B$2:$B$12659,MATCH(D917,[1]Last6M_AvgSales_Ref!$A$2:$A$12659,0)),"")</f>
        <v>155.333333333333</v>
      </c>
    </row>
    <row r="918" spans="1:31" ht="14.25" customHeight="1" x14ac:dyDescent="0.3">
      <c r="A918" s="36" t="s">
        <v>1836</v>
      </c>
      <c r="B918" s="38" t="s">
        <v>1837</v>
      </c>
      <c r="C918" s="38" t="s">
        <v>1883</v>
      </c>
      <c r="D918" s="38">
        <v>1000001239</v>
      </c>
      <c r="E918" s="39" t="s">
        <v>1884</v>
      </c>
      <c r="F918" s="40">
        <v>44201</v>
      </c>
      <c r="G918" s="22" t="str">
        <f t="shared" si="196"/>
        <v>Targeted Dealer</v>
      </c>
      <c r="H918" s="22"/>
      <c r="I918" s="23">
        <v>180</v>
      </c>
      <c r="J918" s="23">
        <f t="shared" si="197"/>
        <v>180</v>
      </c>
      <c r="K918" s="24">
        <v>50</v>
      </c>
      <c r="L918" s="24">
        <f t="shared" si="198"/>
        <v>130</v>
      </c>
      <c r="M918" s="24">
        <f t="shared" si="199"/>
        <v>27.777777777777779</v>
      </c>
      <c r="N918" s="25">
        <v>50</v>
      </c>
      <c r="O918" s="26" t="str">
        <f t="shared" si="200"/>
        <v>June</v>
      </c>
      <c r="P918" s="25">
        <f t="shared" si="201"/>
        <v>50</v>
      </c>
      <c r="Q918" s="27">
        <f t="shared" si="202"/>
        <v>0</v>
      </c>
      <c r="R918" s="26" t="b">
        <f t="shared" si="203"/>
        <v>0</v>
      </c>
      <c r="S918" s="28" t="str">
        <f t="shared" si="204"/>
        <v>GROWTH</v>
      </c>
      <c r="T918" s="24">
        <v>175</v>
      </c>
      <c r="U918" s="29" t="str">
        <f t="shared" si="205"/>
        <v>May</v>
      </c>
      <c r="V918" s="24">
        <f t="shared" si="206"/>
        <v>175</v>
      </c>
      <c r="W918" s="30">
        <f t="shared" si="207"/>
        <v>-125</v>
      </c>
      <c r="X918" s="31" t="b">
        <f t="shared" si="208"/>
        <v>0</v>
      </c>
      <c r="Y918" s="32" t="str">
        <f t="shared" si="209"/>
        <v>GROWTH</v>
      </c>
      <c r="Z918" s="41">
        <v>0</v>
      </c>
      <c r="AA918" s="36"/>
      <c r="AB918" s="36" t="s">
        <v>24</v>
      </c>
      <c r="AC918" s="36" t="s">
        <v>1836</v>
      </c>
      <c r="AD918" s="34"/>
      <c r="AE918" s="35">
        <f>IFERROR(INDEX([1]Last6M_AvgSales_Ref!$B$2:$B$12659,MATCH(D918,[1]Last6M_AvgSales_Ref!$A$2:$A$12659,0)),"")</f>
        <v>180</v>
      </c>
    </row>
    <row r="919" spans="1:31" ht="14.25" customHeight="1" x14ac:dyDescent="0.3">
      <c r="A919" s="36" t="s">
        <v>1836</v>
      </c>
      <c r="B919" s="38" t="s">
        <v>1837</v>
      </c>
      <c r="C919" s="38" t="s">
        <v>1885</v>
      </c>
      <c r="D919" s="38">
        <v>1000001261</v>
      </c>
      <c r="E919" s="39" t="s">
        <v>1886</v>
      </c>
      <c r="F919" s="40">
        <v>44264</v>
      </c>
      <c r="G919" s="22" t="str">
        <f t="shared" si="196"/>
        <v>Targeted Dealer</v>
      </c>
      <c r="H919" s="22"/>
      <c r="I919" s="23">
        <v>35</v>
      </c>
      <c r="J919" s="23">
        <f t="shared" si="197"/>
        <v>35</v>
      </c>
      <c r="K919" s="24">
        <v>48</v>
      </c>
      <c r="L919" s="24">
        <f t="shared" si="198"/>
        <v>-13</v>
      </c>
      <c r="M919" s="24">
        <f t="shared" si="199"/>
        <v>137.14285714285714</v>
      </c>
      <c r="N919" s="25">
        <v>24</v>
      </c>
      <c r="O919" s="26" t="str">
        <f t="shared" si="200"/>
        <v>June</v>
      </c>
      <c r="P919" s="25">
        <f t="shared" si="201"/>
        <v>24</v>
      </c>
      <c r="Q919" s="27">
        <f t="shared" si="202"/>
        <v>24</v>
      </c>
      <c r="R919" s="26" t="b">
        <f t="shared" si="203"/>
        <v>0</v>
      </c>
      <c r="S919" s="28" t="str">
        <f t="shared" si="204"/>
        <v>GROWTH</v>
      </c>
      <c r="T919" s="24">
        <v>24</v>
      </c>
      <c r="U919" s="29" t="str">
        <f t="shared" si="205"/>
        <v>May</v>
      </c>
      <c r="V919" s="24">
        <f t="shared" si="206"/>
        <v>24</v>
      </c>
      <c r="W919" s="30">
        <f t="shared" si="207"/>
        <v>24</v>
      </c>
      <c r="X919" s="31" t="b">
        <f t="shared" si="208"/>
        <v>0</v>
      </c>
      <c r="Y919" s="32" t="str">
        <f t="shared" si="209"/>
        <v>GROWTH</v>
      </c>
      <c r="Z919" s="41">
        <v>0</v>
      </c>
      <c r="AA919" s="36"/>
      <c r="AB919" s="36" t="s">
        <v>24</v>
      </c>
      <c r="AC919" s="36" t="s">
        <v>1836</v>
      </c>
      <c r="AD919" s="34"/>
      <c r="AE919" s="35">
        <f>IFERROR(INDEX([1]Last6M_AvgSales_Ref!$B$2:$B$12659,MATCH(D919,[1]Last6M_AvgSales_Ref!$A$2:$A$12659,0)),"")</f>
        <v>28</v>
      </c>
    </row>
    <row r="920" spans="1:31" ht="14.25" customHeight="1" x14ac:dyDescent="0.3">
      <c r="A920" s="36" t="s">
        <v>1836</v>
      </c>
      <c r="B920" s="38" t="s">
        <v>1837</v>
      </c>
      <c r="C920" s="38" t="s">
        <v>1887</v>
      </c>
      <c r="D920" s="38">
        <v>1000001250</v>
      </c>
      <c r="E920" s="39" t="s">
        <v>1888</v>
      </c>
      <c r="F920" s="40">
        <v>44267</v>
      </c>
      <c r="G920" s="22" t="str">
        <f t="shared" si="196"/>
        <v>Targeted Dealer</v>
      </c>
      <c r="H920" s="22"/>
      <c r="I920" s="23">
        <v>45</v>
      </c>
      <c r="J920" s="23">
        <f t="shared" si="197"/>
        <v>45</v>
      </c>
      <c r="K920" s="24">
        <v>100</v>
      </c>
      <c r="L920" s="24">
        <f t="shared" si="198"/>
        <v>-55</v>
      </c>
      <c r="M920" s="24">
        <f t="shared" si="199"/>
        <v>222.22222222222223</v>
      </c>
      <c r="N920" s="25">
        <v>50</v>
      </c>
      <c r="O920" s="26" t="str">
        <f t="shared" si="200"/>
        <v>June</v>
      </c>
      <c r="P920" s="25">
        <f t="shared" si="201"/>
        <v>50</v>
      </c>
      <c r="Q920" s="27">
        <f t="shared" si="202"/>
        <v>50</v>
      </c>
      <c r="R920" s="26" t="b">
        <f t="shared" si="203"/>
        <v>0</v>
      </c>
      <c r="S920" s="28" t="str">
        <f t="shared" si="204"/>
        <v>GROWTH</v>
      </c>
      <c r="T920" s="24">
        <v>50</v>
      </c>
      <c r="U920" s="29" t="str">
        <f t="shared" si="205"/>
        <v>May</v>
      </c>
      <c r="V920" s="24">
        <f t="shared" si="206"/>
        <v>50</v>
      </c>
      <c r="W920" s="30">
        <f t="shared" si="207"/>
        <v>50</v>
      </c>
      <c r="X920" s="31" t="b">
        <f t="shared" si="208"/>
        <v>0</v>
      </c>
      <c r="Y920" s="32" t="str">
        <f t="shared" si="209"/>
        <v>GROWTH</v>
      </c>
      <c r="Z920" s="41">
        <v>0</v>
      </c>
      <c r="AA920" s="36"/>
      <c r="AB920" s="36" t="s">
        <v>24</v>
      </c>
      <c r="AC920" s="36" t="s">
        <v>1836</v>
      </c>
      <c r="AD920" s="34"/>
      <c r="AE920" s="35">
        <f>IFERROR(INDEX([1]Last6M_AvgSales_Ref!$B$2:$B$12659,MATCH(D920,[1]Last6M_AvgSales_Ref!$A$2:$A$12659,0)),"")</f>
        <v>106.166666666667</v>
      </c>
    </row>
    <row r="921" spans="1:31" ht="14.25" customHeight="1" x14ac:dyDescent="0.3">
      <c r="A921" s="36" t="s">
        <v>1836</v>
      </c>
      <c r="B921" s="38" t="s">
        <v>1837</v>
      </c>
      <c r="C921" s="39" t="s">
        <v>1889</v>
      </c>
      <c r="D921" s="38">
        <v>1000002045</v>
      </c>
      <c r="E921" s="39" t="s">
        <v>1890</v>
      </c>
      <c r="F921" s="40">
        <v>44501</v>
      </c>
      <c r="G921" s="22" t="str">
        <f t="shared" si="196"/>
        <v>Targeted Dealer</v>
      </c>
      <c r="H921" s="22"/>
      <c r="I921" s="23">
        <v>390</v>
      </c>
      <c r="J921" s="23">
        <f t="shared" si="197"/>
        <v>390</v>
      </c>
      <c r="K921" s="24">
        <v>524</v>
      </c>
      <c r="L921" s="24">
        <f t="shared" si="198"/>
        <v>-134</v>
      </c>
      <c r="M921" s="24">
        <f t="shared" si="199"/>
        <v>134.35897435897436</v>
      </c>
      <c r="N921" s="25">
        <v>336</v>
      </c>
      <c r="O921" s="26" t="str">
        <f t="shared" si="200"/>
        <v>June</v>
      </c>
      <c r="P921" s="25">
        <f t="shared" si="201"/>
        <v>336</v>
      </c>
      <c r="Q921" s="27">
        <f t="shared" si="202"/>
        <v>188</v>
      </c>
      <c r="R921" s="26" t="b">
        <f t="shared" si="203"/>
        <v>0</v>
      </c>
      <c r="S921" s="28" t="str">
        <f t="shared" si="204"/>
        <v>GROWTH</v>
      </c>
      <c r="T921" s="24">
        <v>418</v>
      </c>
      <c r="U921" s="29" t="str">
        <f t="shared" si="205"/>
        <v>May</v>
      </c>
      <c r="V921" s="24">
        <f t="shared" si="206"/>
        <v>418</v>
      </c>
      <c r="W921" s="30">
        <f t="shared" si="207"/>
        <v>106</v>
      </c>
      <c r="X921" s="31" t="b">
        <f t="shared" si="208"/>
        <v>0</v>
      </c>
      <c r="Y921" s="32" t="str">
        <f t="shared" si="209"/>
        <v>GROWTH</v>
      </c>
      <c r="Z921" s="41">
        <v>0</v>
      </c>
      <c r="AA921" s="36"/>
      <c r="AB921" s="36" t="s">
        <v>24</v>
      </c>
      <c r="AC921" s="36" t="s">
        <v>1836</v>
      </c>
      <c r="AD921" s="34"/>
      <c r="AE921" s="35">
        <f>IFERROR(INDEX([1]Last6M_AvgSales_Ref!$B$2:$B$12659,MATCH(D921,[1]Last6M_AvgSales_Ref!$A$2:$A$12659,0)),"")</f>
        <v>583.66666666666697</v>
      </c>
    </row>
    <row r="922" spans="1:31" ht="14.25" customHeight="1" x14ac:dyDescent="0.3">
      <c r="A922" s="36" t="s">
        <v>1836</v>
      </c>
      <c r="B922" s="38" t="s">
        <v>1837</v>
      </c>
      <c r="C922" s="38" t="s">
        <v>1891</v>
      </c>
      <c r="D922" s="38">
        <v>1000002982</v>
      </c>
      <c r="E922" s="39" t="s">
        <v>1892</v>
      </c>
      <c r="F922" s="40">
        <v>44830</v>
      </c>
      <c r="G922" s="22" t="str">
        <f t="shared" si="196"/>
        <v>Targeted Dealer</v>
      </c>
      <c r="H922" s="22"/>
      <c r="I922" s="23">
        <v>115</v>
      </c>
      <c r="J922" s="23">
        <f t="shared" si="197"/>
        <v>115</v>
      </c>
      <c r="K922" s="24">
        <v>100</v>
      </c>
      <c r="L922" s="24">
        <f t="shared" si="198"/>
        <v>15</v>
      </c>
      <c r="M922" s="24">
        <f t="shared" si="199"/>
        <v>86.956521739130437</v>
      </c>
      <c r="N922" s="25">
        <v>75</v>
      </c>
      <c r="O922" s="26" t="str">
        <f t="shared" si="200"/>
        <v>June</v>
      </c>
      <c r="P922" s="25">
        <f t="shared" si="201"/>
        <v>75</v>
      </c>
      <c r="Q922" s="27">
        <f t="shared" si="202"/>
        <v>25</v>
      </c>
      <c r="R922" s="26" t="b">
        <f t="shared" si="203"/>
        <v>0</v>
      </c>
      <c r="S922" s="28" t="str">
        <f t="shared" si="204"/>
        <v>GROWTH</v>
      </c>
      <c r="T922" s="24">
        <v>125</v>
      </c>
      <c r="U922" s="29" t="str">
        <f t="shared" si="205"/>
        <v>May</v>
      </c>
      <c r="V922" s="24">
        <f t="shared" si="206"/>
        <v>125</v>
      </c>
      <c r="W922" s="30">
        <f t="shared" si="207"/>
        <v>-25</v>
      </c>
      <c r="X922" s="31" t="b">
        <f t="shared" si="208"/>
        <v>0</v>
      </c>
      <c r="Y922" s="32" t="str">
        <f t="shared" si="209"/>
        <v>GROWTH</v>
      </c>
      <c r="Z922" s="41">
        <v>0</v>
      </c>
      <c r="AA922" s="36"/>
      <c r="AB922" s="36" t="s">
        <v>24</v>
      </c>
      <c r="AC922" s="36" t="s">
        <v>1836</v>
      </c>
      <c r="AD922" s="34"/>
      <c r="AE922" s="35">
        <f>IFERROR(INDEX([1]Last6M_AvgSales_Ref!$B$2:$B$12659,MATCH(D922,[1]Last6M_AvgSales_Ref!$A$2:$A$12659,0)),"")</f>
        <v>165.666666666667</v>
      </c>
    </row>
    <row r="923" spans="1:31" ht="14.25" customHeight="1" x14ac:dyDescent="0.3">
      <c r="A923" s="36" t="s">
        <v>1836</v>
      </c>
      <c r="B923" s="38" t="s">
        <v>1837</v>
      </c>
      <c r="C923" s="38" t="s">
        <v>1893</v>
      </c>
      <c r="D923" s="38">
        <v>1000003247</v>
      </c>
      <c r="E923" s="39" t="s">
        <v>1894</v>
      </c>
      <c r="F923" s="40">
        <v>44942</v>
      </c>
      <c r="G923" s="22" t="str">
        <f t="shared" si="196"/>
        <v>Targeted Dealer</v>
      </c>
      <c r="H923" s="22"/>
      <c r="I923" s="23">
        <v>15</v>
      </c>
      <c r="J923" s="23">
        <f t="shared" si="197"/>
        <v>15</v>
      </c>
      <c r="K923" s="24">
        <v>125</v>
      </c>
      <c r="L923" s="24">
        <f t="shared" si="198"/>
        <v>-110</v>
      </c>
      <c r="M923" s="24">
        <f t="shared" si="199"/>
        <v>833.33333333333337</v>
      </c>
      <c r="N923" s="25">
        <v>100</v>
      </c>
      <c r="O923" s="26" t="str">
        <f t="shared" si="200"/>
        <v>June</v>
      </c>
      <c r="P923" s="25">
        <f t="shared" si="201"/>
        <v>100</v>
      </c>
      <c r="Q923" s="27">
        <f t="shared" si="202"/>
        <v>25</v>
      </c>
      <c r="R923" s="26" t="b">
        <f t="shared" si="203"/>
        <v>0</v>
      </c>
      <c r="S923" s="28" t="str">
        <f t="shared" si="204"/>
        <v>GROWTH</v>
      </c>
      <c r="T923" s="24">
        <v>10</v>
      </c>
      <c r="U923" s="29" t="str">
        <f t="shared" si="205"/>
        <v>May</v>
      </c>
      <c r="V923" s="24">
        <f t="shared" si="206"/>
        <v>10</v>
      </c>
      <c r="W923" s="30">
        <f t="shared" si="207"/>
        <v>115</v>
      </c>
      <c r="X923" s="31" t="b">
        <f t="shared" si="208"/>
        <v>0</v>
      </c>
      <c r="Y923" s="32" t="str">
        <f t="shared" si="209"/>
        <v>GROWTH</v>
      </c>
      <c r="Z923" s="41">
        <v>0</v>
      </c>
      <c r="AA923" s="36"/>
      <c r="AB923" s="36" t="s">
        <v>24</v>
      </c>
      <c r="AC923" s="36" t="s">
        <v>1836</v>
      </c>
      <c r="AD923" s="34"/>
      <c r="AE923" s="35">
        <f>IFERROR(INDEX([1]Last6M_AvgSales_Ref!$B$2:$B$12659,MATCH(D923,[1]Last6M_AvgSales_Ref!$A$2:$A$12659,0)),"")</f>
        <v>145.5</v>
      </c>
    </row>
    <row r="924" spans="1:31" ht="14.25" customHeight="1" x14ac:dyDescent="0.3">
      <c r="A924" s="36" t="s">
        <v>1836</v>
      </c>
      <c r="B924" s="38" t="s">
        <v>1837</v>
      </c>
      <c r="C924" s="38" t="s">
        <v>1895</v>
      </c>
      <c r="D924" s="38">
        <v>1000003610</v>
      </c>
      <c r="E924" s="39" t="s">
        <v>1896</v>
      </c>
      <c r="F924" s="40">
        <v>45099</v>
      </c>
      <c r="G924" s="22" t="str">
        <f t="shared" si="196"/>
        <v>Targeted Dealer</v>
      </c>
      <c r="H924" s="22"/>
      <c r="I924" s="23">
        <v>20</v>
      </c>
      <c r="J924" s="23">
        <f t="shared" si="197"/>
        <v>20</v>
      </c>
      <c r="K924" s="24">
        <v>12</v>
      </c>
      <c r="L924" s="24">
        <f t="shared" si="198"/>
        <v>8</v>
      </c>
      <c r="M924" s="24">
        <f t="shared" si="199"/>
        <v>60</v>
      </c>
      <c r="N924" s="25">
        <v>12</v>
      </c>
      <c r="O924" s="26" t="str">
        <f t="shared" si="200"/>
        <v>June</v>
      </c>
      <c r="P924" s="25">
        <f t="shared" si="201"/>
        <v>12</v>
      </c>
      <c r="Q924" s="27">
        <f t="shared" si="202"/>
        <v>0</v>
      </c>
      <c r="R924" s="26" t="b">
        <f t="shared" si="203"/>
        <v>0</v>
      </c>
      <c r="S924" s="28" t="str">
        <f t="shared" si="204"/>
        <v>GROWTH</v>
      </c>
      <c r="T924" s="24">
        <v>12</v>
      </c>
      <c r="U924" s="29" t="str">
        <f t="shared" si="205"/>
        <v>May</v>
      </c>
      <c r="V924" s="24">
        <f t="shared" si="206"/>
        <v>12</v>
      </c>
      <c r="W924" s="30">
        <f t="shared" si="207"/>
        <v>0</v>
      </c>
      <c r="X924" s="31" t="b">
        <f t="shared" si="208"/>
        <v>0</v>
      </c>
      <c r="Y924" s="32" t="str">
        <f t="shared" si="209"/>
        <v>GROWTH</v>
      </c>
      <c r="Z924" s="41">
        <v>0</v>
      </c>
      <c r="AA924" s="36"/>
      <c r="AB924" s="36" t="s">
        <v>24</v>
      </c>
      <c r="AC924" s="36" t="s">
        <v>1836</v>
      </c>
      <c r="AD924" s="34"/>
      <c r="AE924" s="35">
        <f>IFERROR(INDEX([1]Last6M_AvgSales_Ref!$B$2:$B$12659,MATCH(D924,[1]Last6M_AvgSales_Ref!$A$2:$A$12659,0)),"")</f>
        <v>12</v>
      </c>
    </row>
    <row r="925" spans="1:31" ht="14.25" customHeight="1" x14ac:dyDescent="0.3">
      <c r="A925" s="36" t="s">
        <v>1836</v>
      </c>
      <c r="B925" s="38" t="s">
        <v>1837</v>
      </c>
      <c r="C925" s="38" t="s">
        <v>1897</v>
      </c>
      <c r="D925" s="38">
        <v>1000003723</v>
      </c>
      <c r="E925" s="39" t="s">
        <v>1898</v>
      </c>
      <c r="F925" s="40">
        <v>45198</v>
      </c>
      <c r="G925" s="22" t="str">
        <f t="shared" si="196"/>
        <v>Targeted Dealer</v>
      </c>
      <c r="H925" s="22"/>
      <c r="I925" s="23">
        <v>125</v>
      </c>
      <c r="J925" s="23">
        <f t="shared" si="197"/>
        <v>125.00000000000001</v>
      </c>
      <c r="K925" s="24">
        <v>148</v>
      </c>
      <c r="L925" s="24">
        <f t="shared" si="198"/>
        <v>-23</v>
      </c>
      <c r="M925" s="24">
        <f t="shared" si="199"/>
        <v>118.39999999999998</v>
      </c>
      <c r="N925" s="25">
        <v>204</v>
      </c>
      <c r="O925" s="26" t="str">
        <f t="shared" si="200"/>
        <v>June</v>
      </c>
      <c r="P925" s="25">
        <f t="shared" si="201"/>
        <v>204</v>
      </c>
      <c r="Q925" s="27">
        <f t="shared" si="202"/>
        <v>-56</v>
      </c>
      <c r="R925" s="26" t="b">
        <f t="shared" si="203"/>
        <v>0</v>
      </c>
      <c r="S925" s="28" t="str">
        <f t="shared" si="204"/>
        <v>GROWTH</v>
      </c>
      <c r="T925" s="24">
        <v>60</v>
      </c>
      <c r="U925" s="29" t="str">
        <f t="shared" si="205"/>
        <v>May</v>
      </c>
      <c r="V925" s="24">
        <f t="shared" si="206"/>
        <v>60</v>
      </c>
      <c r="W925" s="30">
        <f t="shared" si="207"/>
        <v>88</v>
      </c>
      <c r="X925" s="31" t="b">
        <f t="shared" si="208"/>
        <v>0</v>
      </c>
      <c r="Y925" s="32" t="str">
        <f t="shared" si="209"/>
        <v>GROWTH</v>
      </c>
      <c r="Z925" s="41">
        <v>0</v>
      </c>
      <c r="AA925" s="36"/>
      <c r="AB925" s="36" t="s">
        <v>24</v>
      </c>
      <c r="AC925" s="36" t="s">
        <v>1836</v>
      </c>
      <c r="AD925" s="34"/>
      <c r="AE925" s="35">
        <f>IFERROR(INDEX([1]Last6M_AvgSales_Ref!$B$2:$B$12659,MATCH(D925,[1]Last6M_AvgSales_Ref!$A$2:$A$12659,0)),"")</f>
        <v>203.166666666667</v>
      </c>
    </row>
    <row r="926" spans="1:31" ht="14.25" customHeight="1" x14ac:dyDescent="0.3">
      <c r="A926" s="36" t="s">
        <v>1836</v>
      </c>
      <c r="B926" s="44" t="s">
        <v>1837</v>
      </c>
      <c r="C926" s="44" t="s">
        <v>1899</v>
      </c>
      <c r="D926" s="46">
        <v>1000004091</v>
      </c>
      <c r="E926" s="46" t="s">
        <v>1900</v>
      </c>
      <c r="F926" s="40">
        <v>45525</v>
      </c>
      <c r="G926" s="22" t="str">
        <f t="shared" si="196"/>
        <v>Targeted Dealer</v>
      </c>
      <c r="H926" s="22"/>
      <c r="I926" s="23">
        <v>430</v>
      </c>
      <c r="J926" s="23">
        <f t="shared" si="197"/>
        <v>430</v>
      </c>
      <c r="K926" s="24">
        <v>264</v>
      </c>
      <c r="L926" s="24">
        <f t="shared" si="198"/>
        <v>166</v>
      </c>
      <c r="M926" s="24">
        <f t="shared" si="199"/>
        <v>61.395348837209305</v>
      </c>
      <c r="N926" s="25">
        <v>193</v>
      </c>
      <c r="O926" s="26" t="str">
        <f t="shared" si="200"/>
        <v>June</v>
      </c>
      <c r="P926" s="25">
        <f t="shared" si="201"/>
        <v>193</v>
      </c>
      <c r="Q926" s="27">
        <f t="shared" si="202"/>
        <v>71</v>
      </c>
      <c r="R926" s="26" t="b">
        <f t="shared" si="203"/>
        <v>0</v>
      </c>
      <c r="S926" s="28" t="str">
        <f t="shared" si="204"/>
        <v>GROWTH</v>
      </c>
      <c r="T926" s="24">
        <v>420</v>
      </c>
      <c r="U926" s="29" t="str">
        <f t="shared" si="205"/>
        <v>May</v>
      </c>
      <c r="V926" s="24">
        <f t="shared" si="206"/>
        <v>420</v>
      </c>
      <c r="W926" s="30">
        <f t="shared" si="207"/>
        <v>-156</v>
      </c>
      <c r="X926" s="31" t="b">
        <f t="shared" si="208"/>
        <v>0</v>
      </c>
      <c r="Y926" s="32" t="str">
        <f t="shared" si="209"/>
        <v>GROWTH</v>
      </c>
      <c r="Z926" s="41">
        <v>0</v>
      </c>
      <c r="AA926" s="36"/>
      <c r="AB926" s="36" t="s">
        <v>24</v>
      </c>
      <c r="AC926" s="36" t="s">
        <v>1836</v>
      </c>
      <c r="AD926" s="34"/>
      <c r="AE926" s="35">
        <f>IFERROR(INDEX([1]Last6M_AvgSales_Ref!$B$2:$B$12659,MATCH(D926,[1]Last6M_AvgSales_Ref!$A$2:$A$12659,0)),"")</f>
        <v>180.333333333333</v>
      </c>
    </row>
    <row r="927" spans="1:31" ht="14.25" customHeight="1" x14ac:dyDescent="0.3">
      <c r="A927" s="36" t="s">
        <v>1836</v>
      </c>
      <c r="B927" s="38" t="s">
        <v>1901</v>
      </c>
      <c r="C927" s="38" t="s">
        <v>1902</v>
      </c>
      <c r="D927" s="38">
        <v>1000001141</v>
      </c>
      <c r="E927" s="39" t="s">
        <v>1903</v>
      </c>
      <c r="F927" s="40">
        <v>39566</v>
      </c>
      <c r="G927" s="22" t="str">
        <f t="shared" si="196"/>
        <v>Targeted Dealer</v>
      </c>
      <c r="H927" s="22"/>
      <c r="I927" s="23">
        <v>1050</v>
      </c>
      <c r="J927" s="23">
        <f t="shared" si="197"/>
        <v>1050</v>
      </c>
      <c r="K927" s="24">
        <v>1649</v>
      </c>
      <c r="L927" s="24">
        <f t="shared" si="198"/>
        <v>-599</v>
      </c>
      <c r="M927" s="24">
        <f t="shared" si="199"/>
        <v>157.04761904761904</v>
      </c>
      <c r="N927" s="25">
        <v>1050</v>
      </c>
      <c r="O927" s="26" t="str">
        <f t="shared" si="200"/>
        <v>June</v>
      </c>
      <c r="P927" s="25">
        <f t="shared" si="201"/>
        <v>1050</v>
      </c>
      <c r="Q927" s="27">
        <f t="shared" si="202"/>
        <v>599</v>
      </c>
      <c r="R927" s="26" t="b">
        <f t="shared" si="203"/>
        <v>0</v>
      </c>
      <c r="S927" s="28" t="str">
        <f t="shared" si="204"/>
        <v>GROWTH</v>
      </c>
      <c r="T927" s="24">
        <v>662</v>
      </c>
      <c r="U927" s="29" t="str">
        <f t="shared" si="205"/>
        <v>May</v>
      </c>
      <c r="V927" s="24">
        <f t="shared" si="206"/>
        <v>662</v>
      </c>
      <c r="W927" s="30">
        <f t="shared" si="207"/>
        <v>987</v>
      </c>
      <c r="X927" s="31" t="b">
        <f t="shared" si="208"/>
        <v>0</v>
      </c>
      <c r="Y927" s="32" t="str">
        <f t="shared" si="209"/>
        <v>GROWTH</v>
      </c>
      <c r="Z927" s="41">
        <v>0</v>
      </c>
      <c r="AA927" s="36"/>
      <c r="AB927" s="36" t="s">
        <v>24</v>
      </c>
      <c r="AC927" s="36" t="s">
        <v>1836</v>
      </c>
      <c r="AD927" s="34"/>
      <c r="AE927" s="35">
        <f>IFERROR(INDEX([1]Last6M_AvgSales_Ref!$B$2:$B$12659,MATCH(D927,[1]Last6M_AvgSales_Ref!$A$2:$A$12659,0)),"")</f>
        <v>1568</v>
      </c>
    </row>
    <row r="928" spans="1:31" ht="14.25" customHeight="1" x14ac:dyDescent="0.3">
      <c r="A928" s="36" t="s">
        <v>1836</v>
      </c>
      <c r="B928" s="38" t="s">
        <v>1901</v>
      </c>
      <c r="C928" s="38" t="s">
        <v>1904</v>
      </c>
      <c r="D928" s="38">
        <v>1000001140</v>
      </c>
      <c r="E928" s="39" t="s">
        <v>1905</v>
      </c>
      <c r="F928" s="40">
        <v>41304</v>
      </c>
      <c r="G928" s="22" t="str">
        <f t="shared" si="196"/>
        <v>Targeted Dealer</v>
      </c>
      <c r="H928" s="22"/>
      <c r="I928" s="23">
        <v>1500</v>
      </c>
      <c r="J928" s="23">
        <f t="shared" si="197"/>
        <v>1500</v>
      </c>
      <c r="K928" s="24">
        <v>768</v>
      </c>
      <c r="L928" s="24">
        <f t="shared" si="198"/>
        <v>732</v>
      </c>
      <c r="M928" s="24">
        <f t="shared" si="199"/>
        <v>51.2</v>
      </c>
      <c r="N928" s="25">
        <v>522</v>
      </c>
      <c r="O928" s="26" t="str">
        <f t="shared" si="200"/>
        <v>June</v>
      </c>
      <c r="P928" s="25">
        <f t="shared" si="201"/>
        <v>522</v>
      </c>
      <c r="Q928" s="27">
        <f t="shared" si="202"/>
        <v>246</v>
      </c>
      <c r="R928" s="26" t="b">
        <f t="shared" si="203"/>
        <v>0</v>
      </c>
      <c r="S928" s="28" t="str">
        <f t="shared" si="204"/>
        <v>GROWTH</v>
      </c>
      <c r="T928" s="24">
        <v>1706</v>
      </c>
      <c r="U928" s="29" t="str">
        <f t="shared" si="205"/>
        <v>May</v>
      </c>
      <c r="V928" s="24">
        <f t="shared" si="206"/>
        <v>1706</v>
      </c>
      <c r="W928" s="30">
        <f t="shared" si="207"/>
        <v>-938</v>
      </c>
      <c r="X928" s="31" t="b">
        <f t="shared" si="208"/>
        <v>0</v>
      </c>
      <c r="Y928" s="32" t="str">
        <f t="shared" si="209"/>
        <v>GROWTH</v>
      </c>
      <c r="Z928" s="41">
        <v>0</v>
      </c>
      <c r="AA928" s="36"/>
      <c r="AB928" s="36" t="s">
        <v>24</v>
      </c>
      <c r="AC928" s="36" t="s">
        <v>1836</v>
      </c>
      <c r="AD928" s="34"/>
      <c r="AE928" s="35">
        <f>IFERROR(INDEX([1]Last6M_AvgSales_Ref!$B$2:$B$12659,MATCH(D928,[1]Last6M_AvgSales_Ref!$A$2:$A$12659,0)),"")</f>
        <v>1609.4166666666699</v>
      </c>
    </row>
    <row r="929" spans="1:31" ht="14.25" customHeight="1" x14ac:dyDescent="0.3">
      <c r="A929" s="36" t="s">
        <v>1836</v>
      </c>
      <c r="B929" s="38" t="s">
        <v>1901</v>
      </c>
      <c r="C929" s="38" t="s">
        <v>1906</v>
      </c>
      <c r="D929" s="38">
        <v>1000001146</v>
      </c>
      <c r="E929" s="39" t="s">
        <v>1907</v>
      </c>
      <c r="F929" s="40">
        <v>42223</v>
      </c>
      <c r="G929" s="22" t="str">
        <f t="shared" si="196"/>
        <v>Targeted Dealer</v>
      </c>
      <c r="H929" s="22"/>
      <c r="I929" s="23">
        <v>650</v>
      </c>
      <c r="J929" s="23">
        <f t="shared" si="197"/>
        <v>650</v>
      </c>
      <c r="K929" s="24">
        <v>468</v>
      </c>
      <c r="L929" s="24">
        <f t="shared" si="198"/>
        <v>182</v>
      </c>
      <c r="M929" s="24">
        <f t="shared" si="199"/>
        <v>72</v>
      </c>
      <c r="N929" s="25">
        <v>216</v>
      </c>
      <c r="O929" s="26" t="str">
        <f t="shared" si="200"/>
        <v>June</v>
      </c>
      <c r="P929" s="25">
        <f t="shared" si="201"/>
        <v>216</v>
      </c>
      <c r="Q929" s="27">
        <f t="shared" si="202"/>
        <v>252</v>
      </c>
      <c r="R929" s="26" t="b">
        <f t="shared" si="203"/>
        <v>0</v>
      </c>
      <c r="S929" s="28" t="str">
        <f t="shared" si="204"/>
        <v>GROWTH</v>
      </c>
      <c r="T929" s="24">
        <v>877</v>
      </c>
      <c r="U929" s="29" t="str">
        <f t="shared" si="205"/>
        <v>May</v>
      </c>
      <c r="V929" s="24">
        <f t="shared" si="206"/>
        <v>877</v>
      </c>
      <c r="W929" s="30">
        <f t="shared" si="207"/>
        <v>-409</v>
      </c>
      <c r="X929" s="31" t="b">
        <f t="shared" si="208"/>
        <v>0</v>
      </c>
      <c r="Y929" s="32" t="str">
        <f t="shared" si="209"/>
        <v>GROWTH</v>
      </c>
      <c r="Z929" s="41">
        <v>0</v>
      </c>
      <c r="AA929" s="36"/>
      <c r="AB929" s="36" t="s">
        <v>24</v>
      </c>
      <c r="AC929" s="36" t="s">
        <v>1836</v>
      </c>
      <c r="AD929" s="34"/>
      <c r="AE929" s="35">
        <f>IFERROR(INDEX([1]Last6M_AvgSales_Ref!$B$2:$B$12659,MATCH(D929,[1]Last6M_AvgSales_Ref!$A$2:$A$12659,0)),"")</f>
        <v>1015</v>
      </c>
    </row>
    <row r="930" spans="1:31" ht="14.25" customHeight="1" x14ac:dyDescent="0.3">
      <c r="A930" s="36" t="s">
        <v>1836</v>
      </c>
      <c r="B930" s="38" t="s">
        <v>1901</v>
      </c>
      <c r="C930" s="38" t="s">
        <v>1908</v>
      </c>
      <c r="D930" s="38">
        <v>1000001150</v>
      </c>
      <c r="E930" s="39" t="s">
        <v>1909</v>
      </c>
      <c r="F930" s="40">
        <v>42524</v>
      </c>
      <c r="G930" s="22" t="str">
        <f t="shared" si="196"/>
        <v>-</v>
      </c>
      <c r="H930" s="22"/>
      <c r="I930" s="23">
        <v>0</v>
      </c>
      <c r="J930" s="23">
        <f t="shared" si="197"/>
        <v>0</v>
      </c>
      <c r="K930" s="24">
        <v>0</v>
      </c>
      <c r="L930" s="24">
        <f t="shared" si="198"/>
        <v>0</v>
      </c>
      <c r="M930" s="24" t="str">
        <f t="shared" si="199"/>
        <v>-</v>
      </c>
      <c r="N930" s="25">
        <v>0</v>
      </c>
      <c r="O930" s="26" t="str">
        <f t="shared" si="200"/>
        <v>June</v>
      </c>
      <c r="P930" s="25">
        <f t="shared" si="201"/>
        <v>0</v>
      </c>
      <c r="Q930" s="27">
        <f t="shared" si="202"/>
        <v>0</v>
      </c>
      <c r="R930" s="26" t="b">
        <f t="shared" si="203"/>
        <v>0</v>
      </c>
      <c r="S930" s="28" t="b">
        <f t="shared" si="204"/>
        <v>0</v>
      </c>
      <c r="T930" s="24">
        <v>425</v>
      </c>
      <c r="U930" s="29" t="str">
        <f t="shared" si="205"/>
        <v>May</v>
      </c>
      <c r="V930" s="24">
        <f t="shared" si="206"/>
        <v>425</v>
      </c>
      <c r="W930" s="30">
        <f t="shared" si="207"/>
        <v>-425</v>
      </c>
      <c r="X930" s="31" t="b">
        <f t="shared" si="208"/>
        <v>0</v>
      </c>
      <c r="Y930" s="32" t="str">
        <f t="shared" si="209"/>
        <v>GROWTH</v>
      </c>
      <c r="Z930" s="41">
        <v>0</v>
      </c>
      <c r="AA930" s="36"/>
      <c r="AB930" s="36" t="s">
        <v>24</v>
      </c>
      <c r="AC930" s="36" t="s">
        <v>1836</v>
      </c>
      <c r="AD930" s="34"/>
      <c r="AE930" s="35">
        <f>IFERROR(INDEX([1]Last6M_AvgSales_Ref!$B$2:$B$12659,MATCH(D930,[1]Last6M_AvgSales_Ref!$A$2:$A$12659,0)),"")</f>
        <v>547.66666666666697</v>
      </c>
    </row>
    <row r="931" spans="1:31" ht="14.25" customHeight="1" x14ac:dyDescent="0.3">
      <c r="A931" s="36" t="s">
        <v>1836</v>
      </c>
      <c r="B931" s="38" t="s">
        <v>1901</v>
      </c>
      <c r="C931" s="38" t="s">
        <v>1910</v>
      </c>
      <c r="D931" s="38">
        <v>1000001144</v>
      </c>
      <c r="E931" s="39" t="s">
        <v>1911</v>
      </c>
      <c r="F931" s="40">
        <v>43589</v>
      </c>
      <c r="G931" s="22" t="str">
        <f t="shared" si="196"/>
        <v>Targeted Dealer</v>
      </c>
      <c r="H931" s="22"/>
      <c r="I931" s="23">
        <v>2374</v>
      </c>
      <c r="J931" s="23">
        <f t="shared" si="197"/>
        <v>2374</v>
      </c>
      <c r="K931" s="24">
        <v>2174</v>
      </c>
      <c r="L931" s="24">
        <f t="shared" si="198"/>
        <v>200</v>
      </c>
      <c r="M931" s="24">
        <f t="shared" si="199"/>
        <v>91.575400168491996</v>
      </c>
      <c r="N931" s="25">
        <v>1316</v>
      </c>
      <c r="O931" s="26" t="str">
        <f t="shared" si="200"/>
        <v>June</v>
      </c>
      <c r="P931" s="25">
        <f t="shared" si="201"/>
        <v>1316</v>
      </c>
      <c r="Q931" s="27">
        <f t="shared" si="202"/>
        <v>858</v>
      </c>
      <c r="R931" s="26" t="b">
        <f t="shared" si="203"/>
        <v>0</v>
      </c>
      <c r="S931" s="28" t="str">
        <f t="shared" si="204"/>
        <v>GROWTH</v>
      </c>
      <c r="T931" s="24">
        <v>2329</v>
      </c>
      <c r="U931" s="29" t="str">
        <f t="shared" si="205"/>
        <v>May</v>
      </c>
      <c r="V931" s="24">
        <f t="shared" si="206"/>
        <v>2329</v>
      </c>
      <c r="W931" s="30">
        <f t="shared" si="207"/>
        <v>-155</v>
      </c>
      <c r="X931" s="31" t="b">
        <f t="shared" si="208"/>
        <v>0</v>
      </c>
      <c r="Y931" s="32" t="str">
        <f t="shared" si="209"/>
        <v>GROWTH</v>
      </c>
      <c r="Z931" s="41">
        <v>0</v>
      </c>
      <c r="AA931" s="36"/>
      <c r="AB931" s="36" t="s">
        <v>24</v>
      </c>
      <c r="AC931" s="36" t="s">
        <v>1836</v>
      </c>
      <c r="AD931" s="34"/>
      <c r="AE931" s="35">
        <f>IFERROR(INDEX([1]Last6M_AvgSales_Ref!$B$2:$B$12659,MATCH(D931,[1]Last6M_AvgSales_Ref!$A$2:$A$12659,0)),"")</f>
        <v>2879.25</v>
      </c>
    </row>
    <row r="932" spans="1:31" ht="14.25" customHeight="1" x14ac:dyDescent="0.3">
      <c r="A932" s="36" t="s">
        <v>1836</v>
      </c>
      <c r="B932" s="38" t="s">
        <v>1901</v>
      </c>
      <c r="C932" s="38" t="s">
        <v>1912</v>
      </c>
      <c r="D932" s="38">
        <v>1000001154</v>
      </c>
      <c r="E932" s="39" t="s">
        <v>1913</v>
      </c>
      <c r="F932" s="40">
        <v>43749</v>
      </c>
      <c r="G932" s="22" t="str">
        <f t="shared" si="196"/>
        <v>Targeted Dealer</v>
      </c>
      <c r="H932" s="22"/>
      <c r="I932" s="23">
        <v>200</v>
      </c>
      <c r="J932" s="23">
        <f t="shared" si="197"/>
        <v>200</v>
      </c>
      <c r="K932" s="24">
        <v>124</v>
      </c>
      <c r="L932" s="24">
        <f t="shared" si="198"/>
        <v>76</v>
      </c>
      <c r="M932" s="24">
        <f t="shared" si="199"/>
        <v>62</v>
      </c>
      <c r="N932" s="25">
        <v>56</v>
      </c>
      <c r="O932" s="26" t="str">
        <f t="shared" si="200"/>
        <v>June</v>
      </c>
      <c r="P932" s="25">
        <f t="shared" si="201"/>
        <v>56</v>
      </c>
      <c r="Q932" s="27">
        <f t="shared" si="202"/>
        <v>68</v>
      </c>
      <c r="R932" s="26" t="b">
        <f t="shared" si="203"/>
        <v>0</v>
      </c>
      <c r="S932" s="28" t="str">
        <f t="shared" si="204"/>
        <v>GROWTH</v>
      </c>
      <c r="T932" s="24">
        <v>169</v>
      </c>
      <c r="U932" s="29" t="str">
        <f t="shared" si="205"/>
        <v>May</v>
      </c>
      <c r="V932" s="24">
        <f t="shared" si="206"/>
        <v>169</v>
      </c>
      <c r="W932" s="30">
        <f t="shared" si="207"/>
        <v>-45</v>
      </c>
      <c r="X932" s="31" t="b">
        <f t="shared" si="208"/>
        <v>0</v>
      </c>
      <c r="Y932" s="32" t="str">
        <f t="shared" si="209"/>
        <v>GROWTH</v>
      </c>
      <c r="Z932" s="41">
        <v>0</v>
      </c>
      <c r="AA932" s="36"/>
      <c r="AB932" s="36" t="s">
        <v>24</v>
      </c>
      <c r="AC932" s="36" t="s">
        <v>1836</v>
      </c>
      <c r="AD932" s="34"/>
      <c r="AE932" s="35">
        <f>IFERROR(INDEX([1]Last6M_AvgSales_Ref!$B$2:$B$12659,MATCH(D932,[1]Last6M_AvgSales_Ref!$A$2:$A$12659,0)),"")</f>
        <v>158.833333333333</v>
      </c>
    </row>
    <row r="933" spans="1:31" ht="14.25" customHeight="1" x14ac:dyDescent="0.3">
      <c r="A933" s="36" t="s">
        <v>1836</v>
      </c>
      <c r="B933" s="38" t="s">
        <v>1901</v>
      </c>
      <c r="C933" s="38" t="s">
        <v>1914</v>
      </c>
      <c r="D933" s="38">
        <v>1000001147</v>
      </c>
      <c r="E933" s="39" t="s">
        <v>1915</v>
      </c>
      <c r="F933" s="40">
        <v>44228</v>
      </c>
      <c r="G933" s="22" t="str">
        <f t="shared" si="196"/>
        <v>Targeted Dealer</v>
      </c>
      <c r="H933" s="22"/>
      <c r="I933" s="23">
        <v>140</v>
      </c>
      <c r="J933" s="23">
        <f t="shared" si="197"/>
        <v>140</v>
      </c>
      <c r="K933" s="24">
        <v>36</v>
      </c>
      <c r="L933" s="24">
        <f t="shared" si="198"/>
        <v>104</v>
      </c>
      <c r="M933" s="24">
        <f t="shared" si="199"/>
        <v>25.714285714285715</v>
      </c>
      <c r="N933" s="25">
        <v>12</v>
      </c>
      <c r="O933" s="26" t="str">
        <f t="shared" si="200"/>
        <v>June</v>
      </c>
      <c r="P933" s="25">
        <f t="shared" si="201"/>
        <v>12</v>
      </c>
      <c r="Q933" s="27">
        <f t="shared" si="202"/>
        <v>24</v>
      </c>
      <c r="R933" s="26" t="b">
        <f t="shared" si="203"/>
        <v>0</v>
      </c>
      <c r="S933" s="28" t="str">
        <f t="shared" si="204"/>
        <v>GROWTH</v>
      </c>
      <c r="T933" s="24">
        <v>126</v>
      </c>
      <c r="U933" s="29" t="str">
        <f t="shared" si="205"/>
        <v>May</v>
      </c>
      <c r="V933" s="24">
        <f t="shared" si="206"/>
        <v>126</v>
      </c>
      <c r="W933" s="30">
        <f t="shared" si="207"/>
        <v>-90</v>
      </c>
      <c r="X933" s="31" t="b">
        <f t="shared" si="208"/>
        <v>0</v>
      </c>
      <c r="Y933" s="32" t="str">
        <f t="shared" si="209"/>
        <v>GROWTH</v>
      </c>
      <c r="Z933" s="41">
        <v>0</v>
      </c>
      <c r="AA933" s="36"/>
      <c r="AB933" s="36" t="s">
        <v>24</v>
      </c>
      <c r="AC933" s="36" t="s">
        <v>1836</v>
      </c>
      <c r="AD933" s="34"/>
      <c r="AE933" s="35">
        <f>IFERROR(INDEX([1]Last6M_AvgSales_Ref!$B$2:$B$12659,MATCH(D933,[1]Last6M_AvgSales_Ref!$A$2:$A$12659,0)),"")</f>
        <v>103</v>
      </c>
    </row>
    <row r="934" spans="1:31" ht="14.25" customHeight="1" x14ac:dyDescent="0.3">
      <c r="A934" s="36" t="s">
        <v>1836</v>
      </c>
      <c r="B934" s="38" t="s">
        <v>1901</v>
      </c>
      <c r="C934" s="38" t="s">
        <v>1916</v>
      </c>
      <c r="D934" s="38">
        <v>1000001153</v>
      </c>
      <c r="E934" s="39" t="s">
        <v>1917</v>
      </c>
      <c r="F934" s="40">
        <v>44230</v>
      </c>
      <c r="G934" s="22" t="str">
        <f t="shared" si="196"/>
        <v>Targeted Dealer</v>
      </c>
      <c r="H934" s="22"/>
      <c r="I934" s="23">
        <v>2300</v>
      </c>
      <c r="J934" s="23">
        <f t="shared" si="197"/>
        <v>2300</v>
      </c>
      <c r="K934" s="24">
        <v>2528</v>
      </c>
      <c r="L934" s="24">
        <f t="shared" si="198"/>
        <v>-228</v>
      </c>
      <c r="M934" s="24">
        <f t="shared" si="199"/>
        <v>109.91304347826087</v>
      </c>
      <c r="N934" s="25">
        <v>1519</v>
      </c>
      <c r="O934" s="26" t="str">
        <f t="shared" si="200"/>
        <v>June</v>
      </c>
      <c r="P934" s="25">
        <f t="shared" si="201"/>
        <v>1519</v>
      </c>
      <c r="Q934" s="27">
        <f t="shared" si="202"/>
        <v>1009</v>
      </c>
      <c r="R934" s="26" t="b">
        <f t="shared" si="203"/>
        <v>0</v>
      </c>
      <c r="S934" s="28" t="str">
        <f t="shared" si="204"/>
        <v>GROWTH</v>
      </c>
      <c r="T934" s="24">
        <v>2050</v>
      </c>
      <c r="U934" s="29" t="str">
        <f t="shared" si="205"/>
        <v>May</v>
      </c>
      <c r="V934" s="24">
        <f t="shared" si="206"/>
        <v>2050</v>
      </c>
      <c r="W934" s="30">
        <f t="shared" si="207"/>
        <v>478</v>
      </c>
      <c r="X934" s="31" t="b">
        <f t="shared" si="208"/>
        <v>0</v>
      </c>
      <c r="Y934" s="32" t="str">
        <f t="shared" si="209"/>
        <v>GROWTH</v>
      </c>
      <c r="Z934" s="41">
        <v>0</v>
      </c>
      <c r="AA934" s="36"/>
      <c r="AB934" s="36" t="s">
        <v>24</v>
      </c>
      <c r="AC934" s="36" t="s">
        <v>1836</v>
      </c>
      <c r="AD934" s="34"/>
      <c r="AE934" s="35">
        <f>IFERROR(INDEX([1]Last6M_AvgSales_Ref!$B$2:$B$12659,MATCH(D934,[1]Last6M_AvgSales_Ref!$A$2:$A$12659,0)),"")</f>
        <v>3123.6666666666702</v>
      </c>
    </row>
    <row r="935" spans="1:31" ht="14.25" customHeight="1" x14ac:dyDescent="0.3">
      <c r="A935" s="36" t="s">
        <v>1836</v>
      </c>
      <c r="B935" s="38" t="s">
        <v>1901</v>
      </c>
      <c r="C935" s="38" t="s">
        <v>1918</v>
      </c>
      <c r="D935" s="38">
        <v>1000001143</v>
      </c>
      <c r="E935" s="39" t="s">
        <v>1919</v>
      </c>
      <c r="F935" s="40">
        <v>44257</v>
      </c>
      <c r="G935" s="22" t="str">
        <f t="shared" si="196"/>
        <v>-</v>
      </c>
      <c r="H935" s="22"/>
      <c r="I935" s="23">
        <v>0</v>
      </c>
      <c r="J935" s="23">
        <f t="shared" si="197"/>
        <v>0</v>
      </c>
      <c r="K935" s="24">
        <v>0</v>
      </c>
      <c r="L935" s="24">
        <f t="shared" si="198"/>
        <v>0</v>
      </c>
      <c r="M935" s="24" t="str">
        <f t="shared" si="199"/>
        <v>-</v>
      </c>
      <c r="N935" s="25">
        <v>0</v>
      </c>
      <c r="O935" s="26" t="str">
        <f t="shared" si="200"/>
        <v>June</v>
      </c>
      <c r="P935" s="25">
        <f t="shared" si="201"/>
        <v>0</v>
      </c>
      <c r="Q935" s="27">
        <f t="shared" si="202"/>
        <v>0</v>
      </c>
      <c r="R935" s="26" t="b">
        <f t="shared" si="203"/>
        <v>0</v>
      </c>
      <c r="S935" s="28" t="b">
        <f t="shared" si="204"/>
        <v>0</v>
      </c>
      <c r="T935" s="24">
        <v>36</v>
      </c>
      <c r="U935" s="29" t="str">
        <f t="shared" si="205"/>
        <v>May</v>
      </c>
      <c r="V935" s="24">
        <f t="shared" si="206"/>
        <v>36</v>
      </c>
      <c r="W935" s="30">
        <f t="shared" si="207"/>
        <v>-36</v>
      </c>
      <c r="X935" s="31" t="b">
        <f t="shared" si="208"/>
        <v>0</v>
      </c>
      <c r="Y935" s="32" t="str">
        <f t="shared" si="209"/>
        <v>GROWTH</v>
      </c>
      <c r="Z935" s="41">
        <v>0</v>
      </c>
      <c r="AA935" s="36"/>
      <c r="AB935" s="36" t="s">
        <v>24</v>
      </c>
      <c r="AC935" s="36" t="s">
        <v>1836</v>
      </c>
      <c r="AD935" s="34"/>
      <c r="AE935" s="35">
        <f>IFERROR(INDEX([1]Last6M_AvgSales_Ref!$B$2:$B$12659,MATCH(D935,[1]Last6M_AvgSales_Ref!$A$2:$A$12659,0)),"")</f>
        <v>24</v>
      </c>
    </row>
    <row r="936" spans="1:31" ht="14.25" customHeight="1" x14ac:dyDescent="0.3">
      <c r="A936" s="36" t="s">
        <v>1836</v>
      </c>
      <c r="B936" s="38" t="s">
        <v>1901</v>
      </c>
      <c r="C936" s="38" t="s">
        <v>1920</v>
      </c>
      <c r="D936" s="38">
        <v>1000001148</v>
      </c>
      <c r="E936" s="39" t="s">
        <v>1921</v>
      </c>
      <c r="F936" s="40">
        <v>44337</v>
      </c>
      <c r="G936" s="22" t="str">
        <f t="shared" si="196"/>
        <v>Targeted Dealer</v>
      </c>
      <c r="H936" s="22"/>
      <c r="I936" s="23">
        <v>150</v>
      </c>
      <c r="J936" s="23">
        <f t="shared" si="197"/>
        <v>150</v>
      </c>
      <c r="K936" s="24">
        <v>105</v>
      </c>
      <c r="L936" s="24">
        <f t="shared" si="198"/>
        <v>45</v>
      </c>
      <c r="M936" s="24">
        <f t="shared" si="199"/>
        <v>70</v>
      </c>
      <c r="N936" s="25">
        <v>108</v>
      </c>
      <c r="O936" s="26" t="str">
        <f t="shared" si="200"/>
        <v>June</v>
      </c>
      <c r="P936" s="25">
        <f t="shared" si="201"/>
        <v>108</v>
      </c>
      <c r="Q936" s="27">
        <f t="shared" si="202"/>
        <v>-3</v>
      </c>
      <c r="R936" s="26" t="b">
        <f t="shared" si="203"/>
        <v>0</v>
      </c>
      <c r="S936" s="28" t="str">
        <f t="shared" si="204"/>
        <v>GROWTH</v>
      </c>
      <c r="T936" s="24">
        <v>158</v>
      </c>
      <c r="U936" s="29" t="str">
        <f t="shared" si="205"/>
        <v>May</v>
      </c>
      <c r="V936" s="24">
        <f t="shared" si="206"/>
        <v>158</v>
      </c>
      <c r="W936" s="30">
        <f t="shared" si="207"/>
        <v>-53</v>
      </c>
      <c r="X936" s="31" t="b">
        <f t="shared" si="208"/>
        <v>0</v>
      </c>
      <c r="Y936" s="32" t="str">
        <f t="shared" si="209"/>
        <v>GROWTH</v>
      </c>
      <c r="Z936" s="41">
        <v>0</v>
      </c>
      <c r="AA936" s="36"/>
      <c r="AB936" s="36" t="s">
        <v>24</v>
      </c>
      <c r="AC936" s="36" t="s">
        <v>1836</v>
      </c>
      <c r="AD936" s="34"/>
      <c r="AE936" s="35">
        <f>IFERROR(INDEX([1]Last6M_AvgSales_Ref!$B$2:$B$12659,MATCH(D936,[1]Last6M_AvgSales_Ref!$A$2:$A$12659,0)),"")</f>
        <v>363.5</v>
      </c>
    </row>
    <row r="937" spans="1:31" ht="14.25" customHeight="1" x14ac:dyDescent="0.3">
      <c r="A937" s="36" t="s">
        <v>1836</v>
      </c>
      <c r="B937" s="38" t="s">
        <v>1901</v>
      </c>
      <c r="C937" s="38" t="s">
        <v>1922</v>
      </c>
      <c r="D937" s="38">
        <v>1000002535</v>
      </c>
      <c r="E937" s="39" t="s">
        <v>1923</v>
      </c>
      <c r="F937" s="40">
        <v>44602</v>
      </c>
      <c r="G937" s="22" t="str">
        <f t="shared" si="196"/>
        <v>Targeted Dealer</v>
      </c>
      <c r="H937" s="22"/>
      <c r="I937" s="23">
        <v>150</v>
      </c>
      <c r="J937" s="23">
        <f t="shared" si="197"/>
        <v>150</v>
      </c>
      <c r="K937" s="24">
        <v>350</v>
      </c>
      <c r="L937" s="24">
        <f t="shared" si="198"/>
        <v>-200</v>
      </c>
      <c r="M937" s="24">
        <f t="shared" si="199"/>
        <v>233.33333333333334</v>
      </c>
      <c r="N937" s="25">
        <v>0</v>
      </c>
      <c r="O937" s="26" t="str">
        <f t="shared" si="200"/>
        <v>June</v>
      </c>
      <c r="P937" s="25">
        <f t="shared" si="201"/>
        <v>0</v>
      </c>
      <c r="Q937" s="27">
        <f t="shared" si="202"/>
        <v>350</v>
      </c>
      <c r="R937" s="26" t="b">
        <f t="shared" si="203"/>
        <v>0</v>
      </c>
      <c r="S937" s="28" t="b">
        <f t="shared" si="204"/>
        <v>0</v>
      </c>
      <c r="T937" s="24">
        <v>75</v>
      </c>
      <c r="U937" s="29" t="str">
        <f t="shared" si="205"/>
        <v>May</v>
      </c>
      <c r="V937" s="24">
        <f t="shared" si="206"/>
        <v>75</v>
      </c>
      <c r="W937" s="30">
        <f t="shared" si="207"/>
        <v>275</v>
      </c>
      <c r="X937" s="31" t="b">
        <f t="shared" si="208"/>
        <v>0</v>
      </c>
      <c r="Y937" s="32" t="str">
        <f t="shared" si="209"/>
        <v>GROWTH</v>
      </c>
      <c r="Z937" s="41">
        <v>0</v>
      </c>
      <c r="AA937" s="36"/>
      <c r="AB937" s="36" t="s">
        <v>24</v>
      </c>
      <c r="AC937" s="36" t="s">
        <v>1836</v>
      </c>
      <c r="AD937" s="34"/>
      <c r="AE937" s="35">
        <f>IFERROR(INDEX([1]Last6M_AvgSales_Ref!$B$2:$B$12659,MATCH(D937,[1]Last6M_AvgSales_Ref!$A$2:$A$12659,0)),"")</f>
        <v>209.416666666667</v>
      </c>
    </row>
    <row r="938" spans="1:31" ht="14.25" customHeight="1" x14ac:dyDescent="0.3">
      <c r="A938" s="36" t="s">
        <v>1836</v>
      </c>
      <c r="B938" s="38" t="s">
        <v>1901</v>
      </c>
      <c r="C938" s="38" t="s">
        <v>1924</v>
      </c>
      <c r="D938" s="38">
        <v>1000003700</v>
      </c>
      <c r="E938" s="38" t="s">
        <v>1925</v>
      </c>
      <c r="F938" s="40">
        <v>45167</v>
      </c>
      <c r="G938" s="22" t="str">
        <f t="shared" si="196"/>
        <v>Targeted Dealer</v>
      </c>
      <c r="H938" s="22"/>
      <c r="I938" s="23">
        <v>100</v>
      </c>
      <c r="J938" s="23">
        <f t="shared" si="197"/>
        <v>100</v>
      </c>
      <c r="K938" s="24">
        <v>30</v>
      </c>
      <c r="L938" s="24">
        <f t="shared" si="198"/>
        <v>70</v>
      </c>
      <c r="M938" s="24">
        <f t="shared" si="199"/>
        <v>30</v>
      </c>
      <c r="N938" s="25">
        <v>72</v>
      </c>
      <c r="O938" s="26" t="str">
        <f t="shared" si="200"/>
        <v>June</v>
      </c>
      <c r="P938" s="25">
        <f t="shared" si="201"/>
        <v>72</v>
      </c>
      <c r="Q938" s="27">
        <f t="shared" si="202"/>
        <v>-42</v>
      </c>
      <c r="R938" s="26" t="b">
        <f t="shared" si="203"/>
        <v>0</v>
      </c>
      <c r="S938" s="28" t="str">
        <f t="shared" si="204"/>
        <v>GROWTH</v>
      </c>
      <c r="T938" s="24">
        <v>72</v>
      </c>
      <c r="U938" s="29" t="str">
        <f t="shared" si="205"/>
        <v>May</v>
      </c>
      <c r="V938" s="24">
        <f t="shared" si="206"/>
        <v>72</v>
      </c>
      <c r="W938" s="30">
        <f t="shared" si="207"/>
        <v>-42</v>
      </c>
      <c r="X938" s="31" t="b">
        <f t="shared" si="208"/>
        <v>0</v>
      </c>
      <c r="Y938" s="32" t="str">
        <f t="shared" si="209"/>
        <v>GROWTH</v>
      </c>
      <c r="Z938" s="41">
        <v>0</v>
      </c>
      <c r="AA938" s="36"/>
      <c r="AB938" s="36" t="s">
        <v>24</v>
      </c>
      <c r="AC938" s="36" t="s">
        <v>1836</v>
      </c>
      <c r="AD938" s="34"/>
      <c r="AE938" s="35">
        <f>IFERROR(INDEX([1]Last6M_AvgSales_Ref!$B$2:$B$12659,MATCH(D938,[1]Last6M_AvgSales_Ref!$A$2:$A$12659,0)),"")</f>
        <v>139.833333333333</v>
      </c>
    </row>
    <row r="939" spans="1:31" ht="14.25" customHeight="1" x14ac:dyDescent="0.3">
      <c r="A939" s="36" t="s">
        <v>1836</v>
      </c>
      <c r="B939" s="38" t="s">
        <v>1901</v>
      </c>
      <c r="C939" s="38" t="s">
        <v>1926</v>
      </c>
      <c r="D939" s="38">
        <v>1000003743</v>
      </c>
      <c r="E939" s="38" t="s">
        <v>1927</v>
      </c>
      <c r="F939" s="40">
        <v>45230</v>
      </c>
      <c r="G939" s="22" t="str">
        <f t="shared" si="196"/>
        <v>Targeted Dealer</v>
      </c>
      <c r="H939" s="22"/>
      <c r="I939" s="23">
        <v>36</v>
      </c>
      <c r="J939" s="23">
        <f t="shared" si="197"/>
        <v>36</v>
      </c>
      <c r="K939" s="24">
        <v>24</v>
      </c>
      <c r="L939" s="24">
        <f t="shared" si="198"/>
        <v>12</v>
      </c>
      <c r="M939" s="24">
        <f t="shared" si="199"/>
        <v>66.666666666666671</v>
      </c>
      <c r="N939" s="25">
        <v>24</v>
      </c>
      <c r="O939" s="26" t="str">
        <f t="shared" si="200"/>
        <v>June</v>
      </c>
      <c r="P939" s="25">
        <f t="shared" si="201"/>
        <v>24</v>
      </c>
      <c r="Q939" s="27">
        <f t="shared" si="202"/>
        <v>0</v>
      </c>
      <c r="R939" s="26" t="b">
        <f t="shared" si="203"/>
        <v>0</v>
      </c>
      <c r="S939" s="28" t="str">
        <f t="shared" si="204"/>
        <v>GROWTH</v>
      </c>
      <c r="T939" s="24">
        <v>24</v>
      </c>
      <c r="U939" s="29" t="str">
        <f t="shared" si="205"/>
        <v>May</v>
      </c>
      <c r="V939" s="24">
        <f t="shared" si="206"/>
        <v>24</v>
      </c>
      <c r="W939" s="30">
        <f t="shared" si="207"/>
        <v>0</v>
      </c>
      <c r="X939" s="31" t="b">
        <f t="shared" si="208"/>
        <v>0</v>
      </c>
      <c r="Y939" s="32" t="str">
        <f t="shared" si="209"/>
        <v>GROWTH</v>
      </c>
      <c r="Z939" s="41">
        <v>0</v>
      </c>
      <c r="AA939" s="36"/>
      <c r="AB939" s="36" t="s">
        <v>24</v>
      </c>
      <c r="AC939" s="36" t="s">
        <v>1836</v>
      </c>
      <c r="AD939" s="34"/>
      <c r="AE939" s="35">
        <f>IFERROR(INDEX([1]Last6M_AvgSales_Ref!$B$2:$B$12659,MATCH(D939,[1]Last6M_AvgSales_Ref!$A$2:$A$12659,0)),"")</f>
        <v>41.1666666666667</v>
      </c>
    </row>
    <row r="940" spans="1:31" ht="14.25" customHeight="1" x14ac:dyDescent="0.3">
      <c r="A940" s="36" t="s">
        <v>1836</v>
      </c>
      <c r="B940" s="44" t="s">
        <v>1901</v>
      </c>
      <c r="C940" s="44" t="s">
        <v>1928</v>
      </c>
      <c r="D940" s="44">
        <v>1000004007</v>
      </c>
      <c r="E940" s="44" t="s">
        <v>1929</v>
      </c>
      <c r="F940" s="40">
        <v>45457</v>
      </c>
      <c r="G940" s="22" t="str">
        <f t="shared" si="196"/>
        <v>Targeted Dealer</v>
      </c>
      <c r="H940" s="22"/>
      <c r="I940" s="23">
        <v>150</v>
      </c>
      <c r="J940" s="23">
        <f t="shared" si="197"/>
        <v>150</v>
      </c>
      <c r="K940" s="24">
        <v>60</v>
      </c>
      <c r="L940" s="24">
        <f t="shared" si="198"/>
        <v>90</v>
      </c>
      <c r="M940" s="24">
        <f t="shared" si="199"/>
        <v>40</v>
      </c>
      <c r="N940" s="25">
        <v>76</v>
      </c>
      <c r="O940" s="26" t="str">
        <f t="shared" si="200"/>
        <v>June</v>
      </c>
      <c r="P940" s="25">
        <f t="shared" si="201"/>
        <v>76</v>
      </c>
      <c r="Q940" s="27">
        <f t="shared" si="202"/>
        <v>-16</v>
      </c>
      <c r="R940" s="26" t="b">
        <f t="shared" si="203"/>
        <v>0</v>
      </c>
      <c r="S940" s="28" t="str">
        <f t="shared" si="204"/>
        <v>GROWTH</v>
      </c>
      <c r="T940" s="24">
        <v>133</v>
      </c>
      <c r="U940" s="29" t="str">
        <f t="shared" si="205"/>
        <v>May</v>
      </c>
      <c r="V940" s="24">
        <f t="shared" si="206"/>
        <v>133</v>
      </c>
      <c r="W940" s="30">
        <f t="shared" si="207"/>
        <v>-73</v>
      </c>
      <c r="X940" s="31" t="b">
        <f t="shared" si="208"/>
        <v>0</v>
      </c>
      <c r="Y940" s="32" t="str">
        <f t="shared" si="209"/>
        <v>GROWTH</v>
      </c>
      <c r="Z940" s="41">
        <v>0</v>
      </c>
      <c r="AA940" s="36"/>
      <c r="AB940" s="36" t="s">
        <v>24</v>
      </c>
      <c r="AC940" s="36" t="s">
        <v>1836</v>
      </c>
      <c r="AD940" s="34"/>
      <c r="AE940" s="35">
        <f>IFERROR(INDEX([1]Last6M_AvgSales_Ref!$B$2:$B$12659,MATCH(D940,[1]Last6M_AvgSales_Ref!$A$2:$A$12659,0)),"")</f>
        <v>121.5</v>
      </c>
    </row>
    <row r="941" spans="1:31" ht="14.25" customHeight="1" x14ac:dyDescent="0.3">
      <c r="A941" s="36" t="s">
        <v>1836</v>
      </c>
      <c r="B941" s="44" t="s">
        <v>1901</v>
      </c>
      <c r="C941" s="44" t="s">
        <v>1930</v>
      </c>
      <c r="D941" s="44">
        <v>1000004069</v>
      </c>
      <c r="E941" s="44" t="s">
        <v>1931</v>
      </c>
      <c r="F941" s="40">
        <v>45504</v>
      </c>
      <c r="G941" s="22" t="str">
        <f t="shared" si="196"/>
        <v>Targeted Dealer</v>
      </c>
      <c r="H941" s="22"/>
      <c r="I941" s="23">
        <v>100</v>
      </c>
      <c r="J941" s="23">
        <f t="shared" si="197"/>
        <v>100</v>
      </c>
      <c r="K941" s="24">
        <v>78</v>
      </c>
      <c r="L941" s="24">
        <f t="shared" si="198"/>
        <v>22</v>
      </c>
      <c r="M941" s="24">
        <f t="shared" si="199"/>
        <v>78</v>
      </c>
      <c r="N941" s="25">
        <v>102</v>
      </c>
      <c r="O941" s="26" t="str">
        <f t="shared" si="200"/>
        <v>June</v>
      </c>
      <c r="P941" s="25">
        <f t="shared" si="201"/>
        <v>102</v>
      </c>
      <c r="Q941" s="27">
        <f t="shared" si="202"/>
        <v>-24</v>
      </c>
      <c r="R941" s="26" t="b">
        <f t="shared" si="203"/>
        <v>0</v>
      </c>
      <c r="S941" s="28" t="str">
        <f t="shared" si="204"/>
        <v>GROWTH</v>
      </c>
      <c r="T941" s="24">
        <v>90</v>
      </c>
      <c r="U941" s="29" t="str">
        <f t="shared" si="205"/>
        <v>May</v>
      </c>
      <c r="V941" s="24">
        <f t="shared" si="206"/>
        <v>90</v>
      </c>
      <c r="W941" s="30">
        <f t="shared" si="207"/>
        <v>-12</v>
      </c>
      <c r="X941" s="31" t="b">
        <f t="shared" si="208"/>
        <v>0</v>
      </c>
      <c r="Y941" s="32" t="str">
        <f t="shared" si="209"/>
        <v>GROWTH</v>
      </c>
      <c r="Z941" s="41">
        <v>0</v>
      </c>
      <c r="AA941" s="36"/>
      <c r="AB941" s="36" t="s">
        <v>24</v>
      </c>
      <c r="AC941" s="36" t="s">
        <v>1836</v>
      </c>
      <c r="AD941" s="34"/>
      <c r="AE941" s="35">
        <f>IFERROR(INDEX([1]Last6M_AvgSales_Ref!$B$2:$B$12659,MATCH(D941,[1]Last6M_AvgSales_Ref!$A$2:$A$12659,0)),"")</f>
        <v>169.333333333333</v>
      </c>
    </row>
    <row r="942" spans="1:31" ht="14.25" customHeight="1" x14ac:dyDescent="0.3">
      <c r="A942" s="36" t="s">
        <v>1836</v>
      </c>
      <c r="B942" s="38" t="s">
        <v>1932</v>
      </c>
      <c r="C942" s="38" t="s">
        <v>1933</v>
      </c>
      <c r="D942" s="38">
        <v>1000001408</v>
      </c>
      <c r="E942" s="39" t="s">
        <v>1934</v>
      </c>
      <c r="F942" s="40">
        <v>40614</v>
      </c>
      <c r="G942" s="22" t="str">
        <f t="shared" si="196"/>
        <v>Targeted Dealer</v>
      </c>
      <c r="H942" s="22"/>
      <c r="I942" s="23">
        <v>500</v>
      </c>
      <c r="J942" s="23">
        <f t="shared" si="197"/>
        <v>500.00000000000006</v>
      </c>
      <c r="K942" s="24">
        <v>282</v>
      </c>
      <c r="L942" s="24">
        <f t="shared" si="198"/>
        <v>218</v>
      </c>
      <c r="M942" s="24">
        <f t="shared" si="199"/>
        <v>56.399999999999991</v>
      </c>
      <c r="N942" s="25">
        <v>20</v>
      </c>
      <c r="O942" s="26" t="str">
        <f t="shared" si="200"/>
        <v>June</v>
      </c>
      <c r="P942" s="25">
        <f t="shared" si="201"/>
        <v>20</v>
      </c>
      <c r="Q942" s="27">
        <f t="shared" si="202"/>
        <v>262</v>
      </c>
      <c r="R942" s="26" t="b">
        <f t="shared" si="203"/>
        <v>0</v>
      </c>
      <c r="S942" s="28" t="str">
        <f t="shared" si="204"/>
        <v>GROWTH</v>
      </c>
      <c r="T942" s="24">
        <v>503</v>
      </c>
      <c r="U942" s="29" t="str">
        <f t="shared" si="205"/>
        <v>May</v>
      </c>
      <c r="V942" s="24">
        <f t="shared" si="206"/>
        <v>503</v>
      </c>
      <c r="W942" s="30">
        <f t="shared" si="207"/>
        <v>-221</v>
      </c>
      <c r="X942" s="31" t="b">
        <f t="shared" si="208"/>
        <v>0</v>
      </c>
      <c r="Y942" s="32" t="str">
        <f t="shared" si="209"/>
        <v>GROWTH</v>
      </c>
      <c r="Z942" s="41">
        <v>0</v>
      </c>
      <c r="AA942" s="36"/>
      <c r="AB942" s="36" t="s">
        <v>24</v>
      </c>
      <c r="AC942" s="36" t="s">
        <v>1836</v>
      </c>
      <c r="AD942" s="34"/>
      <c r="AE942" s="35">
        <f>IFERROR(INDEX([1]Last6M_AvgSales_Ref!$B$2:$B$12659,MATCH(D942,[1]Last6M_AvgSales_Ref!$A$2:$A$12659,0)),"")</f>
        <v>404.79166666666703</v>
      </c>
    </row>
    <row r="943" spans="1:31" ht="14.25" customHeight="1" x14ac:dyDescent="0.3">
      <c r="A943" s="36" t="s">
        <v>1836</v>
      </c>
      <c r="B943" s="38" t="s">
        <v>1932</v>
      </c>
      <c r="C943" s="38" t="s">
        <v>1935</v>
      </c>
      <c r="D943" s="38">
        <v>1000001405</v>
      </c>
      <c r="E943" s="39" t="s">
        <v>1936</v>
      </c>
      <c r="F943" s="40">
        <v>40876</v>
      </c>
      <c r="G943" s="22" t="str">
        <f t="shared" si="196"/>
        <v>Targeted Dealer</v>
      </c>
      <c r="H943" s="22"/>
      <c r="I943" s="23">
        <v>210</v>
      </c>
      <c r="J943" s="23">
        <f t="shared" si="197"/>
        <v>210</v>
      </c>
      <c r="K943" s="24">
        <v>116</v>
      </c>
      <c r="L943" s="24">
        <f t="shared" si="198"/>
        <v>94</v>
      </c>
      <c r="M943" s="24">
        <f t="shared" si="199"/>
        <v>55.238095238095234</v>
      </c>
      <c r="N943" s="25">
        <v>132</v>
      </c>
      <c r="O943" s="26" t="str">
        <f t="shared" si="200"/>
        <v>June</v>
      </c>
      <c r="P943" s="25">
        <f t="shared" si="201"/>
        <v>132</v>
      </c>
      <c r="Q943" s="27">
        <f t="shared" si="202"/>
        <v>-16</v>
      </c>
      <c r="R943" s="26" t="b">
        <f t="shared" si="203"/>
        <v>0</v>
      </c>
      <c r="S943" s="28" t="str">
        <f t="shared" si="204"/>
        <v>GROWTH</v>
      </c>
      <c r="T943" s="24">
        <v>201</v>
      </c>
      <c r="U943" s="29" t="str">
        <f t="shared" si="205"/>
        <v>May</v>
      </c>
      <c r="V943" s="24">
        <f t="shared" si="206"/>
        <v>201</v>
      </c>
      <c r="W943" s="30">
        <f t="shared" si="207"/>
        <v>-85</v>
      </c>
      <c r="X943" s="31" t="b">
        <f t="shared" si="208"/>
        <v>0</v>
      </c>
      <c r="Y943" s="32" t="str">
        <f t="shared" si="209"/>
        <v>GROWTH</v>
      </c>
      <c r="Z943" s="41">
        <v>0</v>
      </c>
      <c r="AA943" s="36"/>
      <c r="AB943" s="36" t="s">
        <v>24</v>
      </c>
      <c r="AC943" s="36" t="s">
        <v>1836</v>
      </c>
      <c r="AD943" s="34"/>
      <c r="AE943" s="35">
        <f>IFERROR(INDEX([1]Last6M_AvgSales_Ref!$B$2:$B$12659,MATCH(D943,[1]Last6M_AvgSales_Ref!$A$2:$A$12659,0)),"")</f>
        <v>197.166666666667</v>
      </c>
    </row>
    <row r="944" spans="1:31" ht="14.25" customHeight="1" x14ac:dyDescent="0.3">
      <c r="A944" s="36" t="s">
        <v>1836</v>
      </c>
      <c r="B944" s="38" t="s">
        <v>1932</v>
      </c>
      <c r="C944" s="38" t="s">
        <v>1937</v>
      </c>
      <c r="D944" s="38">
        <v>1000001418</v>
      </c>
      <c r="E944" s="39" t="s">
        <v>1938</v>
      </c>
      <c r="F944" s="40">
        <v>40925</v>
      </c>
      <c r="G944" s="22" t="str">
        <f t="shared" si="196"/>
        <v>Targeted Dealer</v>
      </c>
      <c r="H944" s="22"/>
      <c r="I944" s="23">
        <v>230</v>
      </c>
      <c r="J944" s="23">
        <f t="shared" si="197"/>
        <v>230</v>
      </c>
      <c r="K944" s="24">
        <v>175</v>
      </c>
      <c r="L944" s="24">
        <f t="shared" si="198"/>
        <v>55</v>
      </c>
      <c r="M944" s="24">
        <f t="shared" si="199"/>
        <v>76.08695652173914</v>
      </c>
      <c r="N944" s="25">
        <v>256</v>
      </c>
      <c r="O944" s="26" t="str">
        <f t="shared" si="200"/>
        <v>June</v>
      </c>
      <c r="P944" s="25">
        <f t="shared" si="201"/>
        <v>256</v>
      </c>
      <c r="Q944" s="27">
        <f t="shared" si="202"/>
        <v>-81</v>
      </c>
      <c r="R944" s="26" t="b">
        <f t="shared" si="203"/>
        <v>0</v>
      </c>
      <c r="S944" s="28" t="str">
        <f t="shared" si="204"/>
        <v>GROWTH</v>
      </c>
      <c r="T944" s="24">
        <v>228</v>
      </c>
      <c r="U944" s="29" t="str">
        <f t="shared" si="205"/>
        <v>May</v>
      </c>
      <c r="V944" s="24">
        <f t="shared" si="206"/>
        <v>228</v>
      </c>
      <c r="W944" s="30">
        <f t="shared" si="207"/>
        <v>-53</v>
      </c>
      <c r="X944" s="31" t="b">
        <f t="shared" si="208"/>
        <v>0</v>
      </c>
      <c r="Y944" s="32" t="str">
        <f t="shared" si="209"/>
        <v>GROWTH</v>
      </c>
      <c r="Z944" s="41">
        <v>0</v>
      </c>
      <c r="AA944" s="36"/>
      <c r="AB944" s="36" t="s">
        <v>24</v>
      </c>
      <c r="AC944" s="36" t="s">
        <v>1836</v>
      </c>
      <c r="AD944" s="34"/>
      <c r="AE944" s="35">
        <f>IFERROR(INDEX([1]Last6M_AvgSales_Ref!$B$2:$B$12659,MATCH(D944,[1]Last6M_AvgSales_Ref!$A$2:$A$12659,0)),"")</f>
        <v>313.5</v>
      </c>
    </row>
    <row r="945" spans="1:31" ht="14.25" customHeight="1" x14ac:dyDescent="0.3">
      <c r="A945" s="36" t="s">
        <v>1836</v>
      </c>
      <c r="B945" s="38" t="s">
        <v>1932</v>
      </c>
      <c r="C945" s="38" t="s">
        <v>1939</v>
      </c>
      <c r="D945" s="38">
        <v>1000002808</v>
      </c>
      <c r="E945" s="39" t="s">
        <v>1940</v>
      </c>
      <c r="F945" s="40">
        <v>40942</v>
      </c>
      <c r="G945" s="22" t="str">
        <f t="shared" si="196"/>
        <v>Targeted Dealer</v>
      </c>
      <c r="H945" s="22"/>
      <c r="I945" s="23">
        <v>2450</v>
      </c>
      <c r="J945" s="23">
        <f t="shared" si="197"/>
        <v>2450</v>
      </c>
      <c r="K945" s="24">
        <v>1691.85</v>
      </c>
      <c r="L945" s="24">
        <f t="shared" si="198"/>
        <v>758.15000000000009</v>
      </c>
      <c r="M945" s="24">
        <f t="shared" si="199"/>
        <v>69.055102040816323</v>
      </c>
      <c r="N945" s="25">
        <v>1768.85</v>
      </c>
      <c r="O945" s="26" t="str">
        <f t="shared" si="200"/>
        <v>June</v>
      </c>
      <c r="P945" s="25">
        <f t="shared" si="201"/>
        <v>1768.85</v>
      </c>
      <c r="Q945" s="27">
        <f t="shared" si="202"/>
        <v>-77</v>
      </c>
      <c r="R945" s="26" t="b">
        <f t="shared" si="203"/>
        <v>0</v>
      </c>
      <c r="S945" s="28" t="str">
        <f t="shared" si="204"/>
        <v>GROWTH</v>
      </c>
      <c r="T945" s="24">
        <v>2319.5500000000002</v>
      </c>
      <c r="U945" s="29" t="str">
        <f t="shared" si="205"/>
        <v>May</v>
      </c>
      <c r="V945" s="24">
        <f t="shared" si="206"/>
        <v>2319.5500000000002</v>
      </c>
      <c r="W945" s="30">
        <f t="shared" si="207"/>
        <v>-627.70000000000027</v>
      </c>
      <c r="X945" s="31" t="b">
        <f t="shared" si="208"/>
        <v>0</v>
      </c>
      <c r="Y945" s="32" t="str">
        <f t="shared" si="209"/>
        <v>GROWTH</v>
      </c>
      <c r="Z945" s="41">
        <v>0</v>
      </c>
      <c r="AA945" s="36"/>
      <c r="AB945" s="36" t="s">
        <v>24</v>
      </c>
      <c r="AC945" s="36" t="s">
        <v>1836</v>
      </c>
      <c r="AD945" s="34"/>
      <c r="AE945" s="35">
        <f>IFERROR(INDEX([1]Last6M_AvgSales_Ref!$B$2:$B$12659,MATCH(D945,[1]Last6M_AvgSales_Ref!$A$2:$A$12659,0)),"")</f>
        <v>2380.8416666666699</v>
      </c>
    </row>
    <row r="946" spans="1:31" ht="14.25" customHeight="1" x14ac:dyDescent="0.3">
      <c r="A946" s="36" t="s">
        <v>1836</v>
      </c>
      <c r="B946" s="38" t="s">
        <v>1932</v>
      </c>
      <c r="C946" s="38" t="s">
        <v>1941</v>
      </c>
      <c r="D946" s="38">
        <v>1000001411</v>
      </c>
      <c r="E946" s="39" t="s">
        <v>1942</v>
      </c>
      <c r="F946" s="40">
        <v>41102</v>
      </c>
      <c r="G946" s="22" t="str">
        <f t="shared" si="196"/>
        <v>Targeted Dealer</v>
      </c>
      <c r="H946" s="22"/>
      <c r="I946" s="23">
        <v>100</v>
      </c>
      <c r="J946" s="23">
        <f t="shared" si="197"/>
        <v>100</v>
      </c>
      <c r="K946" s="24">
        <v>60</v>
      </c>
      <c r="L946" s="24">
        <f t="shared" si="198"/>
        <v>40</v>
      </c>
      <c r="M946" s="24">
        <f t="shared" si="199"/>
        <v>60</v>
      </c>
      <c r="N946" s="25">
        <v>68</v>
      </c>
      <c r="O946" s="26" t="str">
        <f t="shared" si="200"/>
        <v>June</v>
      </c>
      <c r="P946" s="25">
        <f t="shared" si="201"/>
        <v>68</v>
      </c>
      <c r="Q946" s="27">
        <f t="shared" si="202"/>
        <v>-8</v>
      </c>
      <c r="R946" s="26" t="b">
        <f t="shared" si="203"/>
        <v>0</v>
      </c>
      <c r="S946" s="28" t="str">
        <f t="shared" si="204"/>
        <v>GROWTH</v>
      </c>
      <c r="T946" s="24">
        <v>86</v>
      </c>
      <c r="U946" s="29" t="str">
        <f t="shared" si="205"/>
        <v>May</v>
      </c>
      <c r="V946" s="24">
        <f t="shared" si="206"/>
        <v>86</v>
      </c>
      <c r="W946" s="30">
        <f t="shared" si="207"/>
        <v>-26</v>
      </c>
      <c r="X946" s="31" t="b">
        <f t="shared" si="208"/>
        <v>0</v>
      </c>
      <c r="Y946" s="32" t="str">
        <f t="shared" si="209"/>
        <v>GROWTH</v>
      </c>
      <c r="Z946" s="41">
        <v>0</v>
      </c>
      <c r="AA946" s="36"/>
      <c r="AB946" s="36" t="s">
        <v>24</v>
      </c>
      <c r="AC946" s="36" t="s">
        <v>1836</v>
      </c>
      <c r="AD946" s="34"/>
      <c r="AE946" s="35">
        <f>IFERROR(INDEX([1]Last6M_AvgSales_Ref!$B$2:$B$12659,MATCH(D946,[1]Last6M_AvgSales_Ref!$A$2:$A$12659,0)),"")</f>
        <v>91.6666666666667</v>
      </c>
    </row>
    <row r="947" spans="1:31" ht="14.25" customHeight="1" x14ac:dyDescent="0.3">
      <c r="A947" s="36" t="s">
        <v>1836</v>
      </c>
      <c r="B947" s="38" t="s">
        <v>1932</v>
      </c>
      <c r="C947" s="38" t="s">
        <v>1943</v>
      </c>
      <c r="D947" s="38">
        <v>1000001413</v>
      </c>
      <c r="E947" s="39" t="s">
        <v>1944</v>
      </c>
      <c r="F947" s="40">
        <v>41234</v>
      </c>
      <c r="G947" s="22" t="str">
        <f t="shared" si="196"/>
        <v>Targeted Dealer</v>
      </c>
      <c r="H947" s="22"/>
      <c r="I947" s="23">
        <v>150</v>
      </c>
      <c r="J947" s="23">
        <f t="shared" si="197"/>
        <v>150</v>
      </c>
      <c r="K947" s="24">
        <v>145.5</v>
      </c>
      <c r="L947" s="24">
        <f t="shared" si="198"/>
        <v>4.5</v>
      </c>
      <c r="M947" s="24">
        <f t="shared" si="199"/>
        <v>97</v>
      </c>
      <c r="N947" s="25">
        <v>124.5</v>
      </c>
      <c r="O947" s="26" t="str">
        <f t="shared" si="200"/>
        <v>June</v>
      </c>
      <c r="P947" s="25">
        <f t="shared" si="201"/>
        <v>124.5</v>
      </c>
      <c r="Q947" s="27">
        <f t="shared" si="202"/>
        <v>21</v>
      </c>
      <c r="R947" s="26" t="b">
        <f t="shared" si="203"/>
        <v>0</v>
      </c>
      <c r="S947" s="28" t="str">
        <f t="shared" si="204"/>
        <v>GROWTH</v>
      </c>
      <c r="T947" s="24">
        <v>142.5</v>
      </c>
      <c r="U947" s="29" t="str">
        <f t="shared" si="205"/>
        <v>May</v>
      </c>
      <c r="V947" s="24">
        <f t="shared" si="206"/>
        <v>142.5</v>
      </c>
      <c r="W947" s="30">
        <f t="shared" si="207"/>
        <v>3</v>
      </c>
      <c r="X947" s="31" t="b">
        <f t="shared" si="208"/>
        <v>0</v>
      </c>
      <c r="Y947" s="32" t="str">
        <f t="shared" si="209"/>
        <v>GROWTH</v>
      </c>
      <c r="Z947" s="41">
        <v>0</v>
      </c>
      <c r="AA947" s="36"/>
      <c r="AB947" s="36" t="s">
        <v>24</v>
      </c>
      <c r="AC947" s="36" t="s">
        <v>1836</v>
      </c>
      <c r="AD947" s="34"/>
      <c r="AE947" s="35">
        <f>IFERROR(INDEX([1]Last6M_AvgSales_Ref!$B$2:$B$12659,MATCH(D947,[1]Last6M_AvgSales_Ref!$A$2:$A$12659,0)),"")</f>
        <v>171.708333333333</v>
      </c>
    </row>
    <row r="948" spans="1:31" ht="14.25" customHeight="1" x14ac:dyDescent="0.3">
      <c r="A948" s="36" t="s">
        <v>1836</v>
      </c>
      <c r="B948" s="38" t="s">
        <v>1932</v>
      </c>
      <c r="C948" s="38" t="s">
        <v>1945</v>
      </c>
      <c r="D948" s="38">
        <v>1000001406</v>
      </c>
      <c r="E948" s="39" t="s">
        <v>1946</v>
      </c>
      <c r="F948" s="40">
        <v>41479</v>
      </c>
      <c r="G948" s="22" t="str">
        <f t="shared" si="196"/>
        <v>Targeted Dealer</v>
      </c>
      <c r="H948" s="22"/>
      <c r="I948" s="23">
        <v>100</v>
      </c>
      <c r="J948" s="23">
        <f t="shared" si="197"/>
        <v>100</v>
      </c>
      <c r="K948" s="24">
        <v>85</v>
      </c>
      <c r="L948" s="24">
        <f t="shared" si="198"/>
        <v>15</v>
      </c>
      <c r="M948" s="24">
        <f t="shared" si="199"/>
        <v>85</v>
      </c>
      <c r="N948" s="25">
        <v>79.5</v>
      </c>
      <c r="O948" s="26" t="str">
        <f t="shared" si="200"/>
        <v>June</v>
      </c>
      <c r="P948" s="25">
        <f t="shared" si="201"/>
        <v>79.5</v>
      </c>
      <c r="Q948" s="27">
        <f t="shared" si="202"/>
        <v>5.5</v>
      </c>
      <c r="R948" s="26" t="b">
        <f t="shared" si="203"/>
        <v>0</v>
      </c>
      <c r="S948" s="28" t="str">
        <f t="shared" si="204"/>
        <v>GROWTH</v>
      </c>
      <c r="T948" s="24">
        <v>52</v>
      </c>
      <c r="U948" s="29" t="str">
        <f t="shared" si="205"/>
        <v>May</v>
      </c>
      <c r="V948" s="24">
        <f t="shared" si="206"/>
        <v>52</v>
      </c>
      <c r="W948" s="30">
        <f t="shared" si="207"/>
        <v>33</v>
      </c>
      <c r="X948" s="31" t="b">
        <f t="shared" si="208"/>
        <v>0</v>
      </c>
      <c r="Y948" s="32" t="str">
        <f t="shared" si="209"/>
        <v>GROWTH</v>
      </c>
      <c r="Z948" s="41">
        <v>0</v>
      </c>
      <c r="AA948" s="36"/>
      <c r="AB948" s="36" t="s">
        <v>24</v>
      </c>
      <c r="AC948" s="36" t="s">
        <v>1836</v>
      </c>
      <c r="AD948" s="34"/>
      <c r="AE948" s="35">
        <f>IFERROR(INDEX([1]Last6M_AvgSales_Ref!$B$2:$B$12659,MATCH(D948,[1]Last6M_AvgSales_Ref!$A$2:$A$12659,0)),"")</f>
        <v>68.6666666666667</v>
      </c>
    </row>
    <row r="949" spans="1:31" ht="14.25" customHeight="1" x14ac:dyDescent="0.3">
      <c r="A949" s="36" t="s">
        <v>1836</v>
      </c>
      <c r="B949" s="38" t="s">
        <v>1932</v>
      </c>
      <c r="C949" s="38" t="s">
        <v>1947</v>
      </c>
      <c r="D949" s="38">
        <v>1000001416</v>
      </c>
      <c r="E949" s="39" t="s">
        <v>1948</v>
      </c>
      <c r="F949" s="40">
        <v>41578</v>
      </c>
      <c r="G949" s="22" t="str">
        <f t="shared" si="196"/>
        <v>Targeted Dealer</v>
      </c>
      <c r="H949" s="22"/>
      <c r="I949" s="23">
        <v>200</v>
      </c>
      <c r="J949" s="23">
        <f t="shared" si="197"/>
        <v>200</v>
      </c>
      <c r="K949" s="24">
        <v>181</v>
      </c>
      <c r="L949" s="24">
        <f t="shared" si="198"/>
        <v>19</v>
      </c>
      <c r="M949" s="24">
        <f t="shared" si="199"/>
        <v>90.5</v>
      </c>
      <c r="N949" s="25">
        <v>92</v>
      </c>
      <c r="O949" s="26" t="str">
        <f t="shared" si="200"/>
        <v>June</v>
      </c>
      <c r="P949" s="25">
        <f t="shared" si="201"/>
        <v>92</v>
      </c>
      <c r="Q949" s="27">
        <f t="shared" si="202"/>
        <v>89</v>
      </c>
      <c r="R949" s="26" t="b">
        <f t="shared" si="203"/>
        <v>0</v>
      </c>
      <c r="S949" s="28" t="str">
        <f t="shared" si="204"/>
        <v>GROWTH</v>
      </c>
      <c r="T949" s="24">
        <v>234</v>
      </c>
      <c r="U949" s="29" t="str">
        <f t="shared" si="205"/>
        <v>May</v>
      </c>
      <c r="V949" s="24">
        <f t="shared" si="206"/>
        <v>234</v>
      </c>
      <c r="W949" s="30">
        <f t="shared" si="207"/>
        <v>-53</v>
      </c>
      <c r="X949" s="31" t="b">
        <f t="shared" si="208"/>
        <v>0</v>
      </c>
      <c r="Y949" s="32" t="str">
        <f t="shared" si="209"/>
        <v>GROWTH</v>
      </c>
      <c r="Z949" s="41">
        <v>0</v>
      </c>
      <c r="AA949" s="36"/>
      <c r="AB949" s="36" t="s">
        <v>24</v>
      </c>
      <c r="AC949" s="36" t="s">
        <v>1836</v>
      </c>
      <c r="AD949" s="34"/>
      <c r="AE949" s="35">
        <f>IFERROR(INDEX([1]Last6M_AvgSales_Ref!$B$2:$B$12659,MATCH(D949,[1]Last6M_AvgSales_Ref!$A$2:$A$12659,0)),"")</f>
        <v>232.333333333333</v>
      </c>
    </row>
    <row r="950" spans="1:31" ht="14.25" customHeight="1" x14ac:dyDescent="0.3">
      <c r="A950" s="36" t="s">
        <v>1836</v>
      </c>
      <c r="B950" s="38" t="s">
        <v>1932</v>
      </c>
      <c r="C950" s="38" t="s">
        <v>1949</v>
      </c>
      <c r="D950" s="38">
        <v>1000001435</v>
      </c>
      <c r="E950" s="39" t="s">
        <v>1950</v>
      </c>
      <c r="F950" s="40">
        <v>41965</v>
      </c>
      <c r="G950" s="22" t="str">
        <f t="shared" si="196"/>
        <v>Targeted Dealer</v>
      </c>
      <c r="H950" s="22"/>
      <c r="I950" s="23">
        <v>300</v>
      </c>
      <c r="J950" s="23">
        <f t="shared" si="197"/>
        <v>300</v>
      </c>
      <c r="K950" s="24">
        <v>116</v>
      </c>
      <c r="L950" s="24">
        <f t="shared" si="198"/>
        <v>184</v>
      </c>
      <c r="M950" s="24">
        <f t="shared" si="199"/>
        <v>38.666666666666664</v>
      </c>
      <c r="N950" s="25">
        <v>84</v>
      </c>
      <c r="O950" s="26" t="str">
        <f t="shared" si="200"/>
        <v>June</v>
      </c>
      <c r="P950" s="25">
        <f t="shared" si="201"/>
        <v>84</v>
      </c>
      <c r="Q950" s="27">
        <f t="shared" si="202"/>
        <v>32</v>
      </c>
      <c r="R950" s="26" t="b">
        <f t="shared" si="203"/>
        <v>0</v>
      </c>
      <c r="S950" s="28" t="str">
        <f t="shared" si="204"/>
        <v>GROWTH</v>
      </c>
      <c r="T950" s="24">
        <v>370</v>
      </c>
      <c r="U950" s="29" t="str">
        <f t="shared" si="205"/>
        <v>May</v>
      </c>
      <c r="V950" s="24">
        <f t="shared" si="206"/>
        <v>370</v>
      </c>
      <c r="W950" s="30">
        <f t="shared" si="207"/>
        <v>-254</v>
      </c>
      <c r="X950" s="31" t="b">
        <f t="shared" si="208"/>
        <v>0</v>
      </c>
      <c r="Y950" s="32" t="str">
        <f t="shared" si="209"/>
        <v>GROWTH</v>
      </c>
      <c r="Z950" s="41">
        <v>0</v>
      </c>
      <c r="AA950" s="36"/>
      <c r="AB950" s="36" t="s">
        <v>24</v>
      </c>
      <c r="AC950" s="36" t="s">
        <v>1836</v>
      </c>
      <c r="AD950" s="34"/>
      <c r="AE950" s="35">
        <f>IFERROR(INDEX([1]Last6M_AvgSales_Ref!$B$2:$B$12659,MATCH(D950,[1]Last6M_AvgSales_Ref!$A$2:$A$12659,0)),"")</f>
        <v>204.5</v>
      </c>
    </row>
    <row r="951" spans="1:31" ht="14.25" customHeight="1" x14ac:dyDescent="0.3">
      <c r="A951" s="36" t="s">
        <v>1836</v>
      </c>
      <c r="B951" s="38" t="s">
        <v>1932</v>
      </c>
      <c r="C951" s="38" t="s">
        <v>1951</v>
      </c>
      <c r="D951" s="38">
        <v>1000001439</v>
      </c>
      <c r="E951" s="39" t="s">
        <v>1952</v>
      </c>
      <c r="F951" s="40">
        <v>42116</v>
      </c>
      <c r="G951" s="22" t="str">
        <f t="shared" si="196"/>
        <v>Targeted Dealer</v>
      </c>
      <c r="H951" s="22"/>
      <c r="I951" s="23">
        <v>920</v>
      </c>
      <c r="J951" s="23">
        <f t="shared" si="197"/>
        <v>920</v>
      </c>
      <c r="K951" s="24">
        <v>693</v>
      </c>
      <c r="L951" s="24">
        <f t="shared" si="198"/>
        <v>227</v>
      </c>
      <c r="M951" s="24">
        <f t="shared" si="199"/>
        <v>75.326086956521749</v>
      </c>
      <c r="N951" s="25">
        <v>480</v>
      </c>
      <c r="O951" s="26" t="str">
        <f t="shared" si="200"/>
        <v>June</v>
      </c>
      <c r="P951" s="25">
        <f t="shared" si="201"/>
        <v>480</v>
      </c>
      <c r="Q951" s="27">
        <f t="shared" si="202"/>
        <v>213</v>
      </c>
      <c r="R951" s="26" t="b">
        <f t="shared" si="203"/>
        <v>0</v>
      </c>
      <c r="S951" s="28" t="str">
        <f t="shared" si="204"/>
        <v>GROWTH</v>
      </c>
      <c r="T951" s="24">
        <v>912</v>
      </c>
      <c r="U951" s="29" t="str">
        <f t="shared" si="205"/>
        <v>May</v>
      </c>
      <c r="V951" s="24">
        <f t="shared" si="206"/>
        <v>912</v>
      </c>
      <c r="W951" s="30">
        <f t="shared" si="207"/>
        <v>-219</v>
      </c>
      <c r="X951" s="31" t="b">
        <f t="shared" si="208"/>
        <v>0</v>
      </c>
      <c r="Y951" s="32" t="str">
        <f t="shared" si="209"/>
        <v>GROWTH</v>
      </c>
      <c r="Z951" s="41">
        <v>0</v>
      </c>
      <c r="AA951" s="36"/>
      <c r="AB951" s="36" t="s">
        <v>24</v>
      </c>
      <c r="AC951" s="36" t="s">
        <v>1836</v>
      </c>
      <c r="AD951" s="34"/>
      <c r="AE951" s="35">
        <f>IFERROR(INDEX([1]Last6M_AvgSales_Ref!$B$2:$B$12659,MATCH(D951,[1]Last6M_AvgSales_Ref!$A$2:$A$12659,0)),"")</f>
        <v>1120.0416666666699</v>
      </c>
    </row>
    <row r="952" spans="1:31" ht="14.25" customHeight="1" x14ac:dyDescent="0.3">
      <c r="A952" s="36" t="s">
        <v>1836</v>
      </c>
      <c r="B952" s="38" t="s">
        <v>1932</v>
      </c>
      <c r="C952" s="38" t="s">
        <v>1953</v>
      </c>
      <c r="D952" s="38">
        <v>1000001433</v>
      </c>
      <c r="E952" s="39" t="s">
        <v>1954</v>
      </c>
      <c r="F952" s="40">
        <v>42282</v>
      </c>
      <c r="G952" s="22" t="str">
        <f t="shared" si="196"/>
        <v>Targeted Dealer</v>
      </c>
      <c r="H952" s="22"/>
      <c r="I952" s="23">
        <v>350</v>
      </c>
      <c r="J952" s="23">
        <f t="shared" si="197"/>
        <v>350</v>
      </c>
      <c r="K952" s="24">
        <v>270</v>
      </c>
      <c r="L952" s="24">
        <f t="shared" si="198"/>
        <v>80</v>
      </c>
      <c r="M952" s="24">
        <f t="shared" si="199"/>
        <v>77.142857142857139</v>
      </c>
      <c r="N952" s="25">
        <v>180</v>
      </c>
      <c r="O952" s="26" t="str">
        <f t="shared" si="200"/>
        <v>June</v>
      </c>
      <c r="P952" s="25">
        <f t="shared" si="201"/>
        <v>180</v>
      </c>
      <c r="Q952" s="27">
        <f t="shared" si="202"/>
        <v>90</v>
      </c>
      <c r="R952" s="26" t="b">
        <f t="shared" si="203"/>
        <v>0</v>
      </c>
      <c r="S952" s="28" t="str">
        <f t="shared" si="204"/>
        <v>GROWTH</v>
      </c>
      <c r="T952" s="24">
        <v>312</v>
      </c>
      <c r="U952" s="29" t="str">
        <f t="shared" si="205"/>
        <v>May</v>
      </c>
      <c r="V952" s="24">
        <f t="shared" si="206"/>
        <v>312</v>
      </c>
      <c r="W952" s="30">
        <f t="shared" si="207"/>
        <v>-42</v>
      </c>
      <c r="X952" s="31" t="b">
        <f t="shared" si="208"/>
        <v>0</v>
      </c>
      <c r="Y952" s="32" t="str">
        <f t="shared" si="209"/>
        <v>GROWTH</v>
      </c>
      <c r="Z952" s="41">
        <v>0</v>
      </c>
      <c r="AA952" s="36"/>
      <c r="AB952" s="36" t="s">
        <v>24</v>
      </c>
      <c r="AC952" s="36" t="s">
        <v>1836</v>
      </c>
      <c r="AD952" s="34"/>
      <c r="AE952" s="35">
        <f>IFERROR(INDEX([1]Last6M_AvgSales_Ref!$B$2:$B$12659,MATCH(D952,[1]Last6M_AvgSales_Ref!$A$2:$A$12659,0)),"")</f>
        <v>350</v>
      </c>
    </row>
    <row r="953" spans="1:31" ht="14.25" customHeight="1" x14ac:dyDescent="0.3">
      <c r="A953" s="36" t="s">
        <v>1836</v>
      </c>
      <c r="B953" s="38" t="s">
        <v>1932</v>
      </c>
      <c r="C953" s="38" t="s">
        <v>1955</v>
      </c>
      <c r="D953" s="38">
        <v>1000001445</v>
      </c>
      <c r="E953" s="39" t="s">
        <v>1956</v>
      </c>
      <c r="F953" s="40">
        <v>42325</v>
      </c>
      <c r="G953" s="22" t="str">
        <f t="shared" si="196"/>
        <v>Targeted Dealer</v>
      </c>
      <c r="H953" s="22"/>
      <c r="I953" s="23">
        <v>568</v>
      </c>
      <c r="J953" s="23">
        <f t="shared" si="197"/>
        <v>568</v>
      </c>
      <c r="K953" s="24">
        <v>446</v>
      </c>
      <c r="L953" s="24">
        <f t="shared" si="198"/>
        <v>122</v>
      </c>
      <c r="M953" s="24">
        <f t="shared" si="199"/>
        <v>78.521126760563391</v>
      </c>
      <c r="N953" s="25">
        <v>144</v>
      </c>
      <c r="O953" s="26" t="str">
        <f t="shared" si="200"/>
        <v>June</v>
      </c>
      <c r="P953" s="25">
        <f t="shared" si="201"/>
        <v>144</v>
      </c>
      <c r="Q953" s="27">
        <f t="shared" si="202"/>
        <v>302</v>
      </c>
      <c r="R953" s="26" t="b">
        <f t="shared" si="203"/>
        <v>0</v>
      </c>
      <c r="S953" s="28" t="str">
        <f t="shared" si="204"/>
        <v>GROWTH</v>
      </c>
      <c r="T953" s="24">
        <v>568</v>
      </c>
      <c r="U953" s="29" t="str">
        <f t="shared" si="205"/>
        <v>May</v>
      </c>
      <c r="V953" s="24">
        <f t="shared" si="206"/>
        <v>568</v>
      </c>
      <c r="W953" s="30">
        <f t="shared" si="207"/>
        <v>-122</v>
      </c>
      <c r="X953" s="31" t="b">
        <f t="shared" si="208"/>
        <v>0</v>
      </c>
      <c r="Y953" s="32" t="str">
        <f t="shared" si="209"/>
        <v>GROWTH</v>
      </c>
      <c r="Z953" s="41">
        <v>0</v>
      </c>
      <c r="AA953" s="36"/>
      <c r="AB953" s="36" t="s">
        <v>24</v>
      </c>
      <c r="AC953" s="36" t="s">
        <v>1836</v>
      </c>
      <c r="AD953" s="34"/>
      <c r="AE953" s="35">
        <f>IFERROR(INDEX([1]Last6M_AvgSales_Ref!$B$2:$B$12659,MATCH(D953,[1]Last6M_AvgSales_Ref!$A$2:$A$12659,0)),"")</f>
        <v>494.33333333333297</v>
      </c>
    </row>
    <row r="954" spans="1:31" ht="14.25" customHeight="1" x14ac:dyDescent="0.3">
      <c r="A954" s="36" t="s">
        <v>1836</v>
      </c>
      <c r="B954" s="38" t="s">
        <v>1932</v>
      </c>
      <c r="C954" s="38" t="s">
        <v>1957</v>
      </c>
      <c r="D954" s="38">
        <v>1000001429</v>
      </c>
      <c r="E954" s="39" t="s">
        <v>1958</v>
      </c>
      <c r="F954" s="40">
        <v>42483</v>
      </c>
      <c r="G954" s="22" t="str">
        <f t="shared" si="196"/>
        <v>Targeted Dealer</v>
      </c>
      <c r="H954" s="22"/>
      <c r="I954" s="23">
        <v>500</v>
      </c>
      <c r="J954" s="23">
        <f t="shared" si="197"/>
        <v>500.00000000000006</v>
      </c>
      <c r="K954" s="24">
        <v>309</v>
      </c>
      <c r="L954" s="24">
        <f t="shared" si="198"/>
        <v>191</v>
      </c>
      <c r="M954" s="24">
        <f t="shared" si="199"/>
        <v>61.79999999999999</v>
      </c>
      <c r="N954" s="25">
        <v>165</v>
      </c>
      <c r="O954" s="26" t="str">
        <f t="shared" si="200"/>
        <v>June</v>
      </c>
      <c r="P954" s="25">
        <f t="shared" si="201"/>
        <v>165</v>
      </c>
      <c r="Q954" s="27">
        <f t="shared" si="202"/>
        <v>144</v>
      </c>
      <c r="R954" s="26" t="b">
        <f t="shared" si="203"/>
        <v>0</v>
      </c>
      <c r="S954" s="28" t="str">
        <f t="shared" si="204"/>
        <v>GROWTH</v>
      </c>
      <c r="T954" s="24">
        <v>450</v>
      </c>
      <c r="U954" s="29" t="str">
        <f t="shared" si="205"/>
        <v>May</v>
      </c>
      <c r="V954" s="24">
        <f t="shared" si="206"/>
        <v>450</v>
      </c>
      <c r="W954" s="30">
        <f t="shared" si="207"/>
        <v>-141</v>
      </c>
      <c r="X954" s="31" t="b">
        <f t="shared" si="208"/>
        <v>0</v>
      </c>
      <c r="Y954" s="32" t="str">
        <f t="shared" si="209"/>
        <v>GROWTH</v>
      </c>
      <c r="Z954" s="41">
        <v>0</v>
      </c>
      <c r="AA954" s="36"/>
      <c r="AB954" s="36" t="s">
        <v>24</v>
      </c>
      <c r="AC954" s="36" t="s">
        <v>1836</v>
      </c>
      <c r="AD954" s="34"/>
      <c r="AE954" s="35">
        <f>IFERROR(INDEX([1]Last6M_AvgSales_Ref!$B$2:$B$12659,MATCH(D954,[1]Last6M_AvgSales_Ref!$A$2:$A$12659,0)),"")</f>
        <v>576.43333333333305</v>
      </c>
    </row>
    <row r="955" spans="1:31" ht="14.25" customHeight="1" x14ac:dyDescent="0.3">
      <c r="A955" s="36" t="s">
        <v>1836</v>
      </c>
      <c r="B955" s="38" t="s">
        <v>1932</v>
      </c>
      <c r="C955" s="38" t="s">
        <v>1959</v>
      </c>
      <c r="D955" s="38">
        <v>1000001437</v>
      </c>
      <c r="E955" s="39" t="s">
        <v>1960</v>
      </c>
      <c r="F955" s="40">
        <v>42724</v>
      </c>
      <c r="G955" s="22" t="str">
        <f t="shared" si="196"/>
        <v>Targeted Dealer</v>
      </c>
      <c r="H955" s="22"/>
      <c r="I955" s="23">
        <v>1000</v>
      </c>
      <c r="J955" s="23">
        <f t="shared" si="197"/>
        <v>1000.0000000000001</v>
      </c>
      <c r="K955" s="24">
        <v>749</v>
      </c>
      <c r="L955" s="24">
        <f t="shared" si="198"/>
        <v>251</v>
      </c>
      <c r="M955" s="24">
        <f t="shared" si="199"/>
        <v>74.899999999999991</v>
      </c>
      <c r="N955" s="25">
        <v>810</v>
      </c>
      <c r="O955" s="26" t="str">
        <f t="shared" si="200"/>
        <v>June</v>
      </c>
      <c r="P955" s="25">
        <f t="shared" si="201"/>
        <v>810</v>
      </c>
      <c r="Q955" s="27">
        <f t="shared" si="202"/>
        <v>-61</v>
      </c>
      <c r="R955" s="26" t="b">
        <f t="shared" si="203"/>
        <v>0</v>
      </c>
      <c r="S955" s="28" t="str">
        <f t="shared" si="204"/>
        <v>GROWTH</v>
      </c>
      <c r="T955" s="24">
        <v>1255</v>
      </c>
      <c r="U955" s="29" t="str">
        <f t="shared" si="205"/>
        <v>May</v>
      </c>
      <c r="V955" s="24">
        <f t="shared" si="206"/>
        <v>1255</v>
      </c>
      <c r="W955" s="30">
        <f t="shared" si="207"/>
        <v>-506</v>
      </c>
      <c r="X955" s="31" t="b">
        <f t="shared" si="208"/>
        <v>0</v>
      </c>
      <c r="Y955" s="32" t="str">
        <f t="shared" si="209"/>
        <v>GROWTH</v>
      </c>
      <c r="Z955" s="41">
        <v>0</v>
      </c>
      <c r="AA955" s="36"/>
      <c r="AB955" s="36" t="s">
        <v>24</v>
      </c>
      <c r="AC955" s="36" t="s">
        <v>1836</v>
      </c>
      <c r="AD955" s="34"/>
      <c r="AE955" s="35">
        <f>IFERROR(INDEX([1]Last6M_AvgSales_Ref!$B$2:$B$12659,MATCH(D955,[1]Last6M_AvgSales_Ref!$A$2:$A$12659,0)),"")</f>
        <v>1176.5</v>
      </c>
    </row>
    <row r="956" spans="1:31" ht="14.25" customHeight="1" x14ac:dyDescent="0.3">
      <c r="A956" s="36" t="s">
        <v>1836</v>
      </c>
      <c r="B956" s="38" t="s">
        <v>1932</v>
      </c>
      <c r="C956" s="38" t="s">
        <v>1961</v>
      </c>
      <c r="D956" s="38">
        <v>1000001446</v>
      </c>
      <c r="E956" s="39" t="s">
        <v>1962</v>
      </c>
      <c r="F956" s="40">
        <v>43239</v>
      </c>
      <c r="G956" s="22" t="str">
        <f t="shared" si="196"/>
        <v>Targeted Dealer</v>
      </c>
      <c r="H956" s="22"/>
      <c r="I956" s="23">
        <v>50</v>
      </c>
      <c r="J956" s="23">
        <f t="shared" si="197"/>
        <v>50</v>
      </c>
      <c r="K956" s="24">
        <v>0</v>
      </c>
      <c r="L956" s="24">
        <f t="shared" si="198"/>
        <v>50</v>
      </c>
      <c r="M956" s="24">
        <f t="shared" si="199"/>
        <v>0</v>
      </c>
      <c r="N956" s="25">
        <v>0</v>
      </c>
      <c r="O956" s="26" t="str">
        <f t="shared" si="200"/>
        <v>June</v>
      </c>
      <c r="P956" s="25">
        <f t="shared" si="201"/>
        <v>0</v>
      </c>
      <c r="Q956" s="27">
        <f t="shared" si="202"/>
        <v>0</v>
      </c>
      <c r="R956" s="26" t="b">
        <f t="shared" si="203"/>
        <v>0</v>
      </c>
      <c r="S956" s="28" t="b">
        <f t="shared" si="204"/>
        <v>0</v>
      </c>
      <c r="T956" s="24">
        <v>69</v>
      </c>
      <c r="U956" s="29" t="str">
        <f t="shared" si="205"/>
        <v>May</v>
      </c>
      <c r="V956" s="24">
        <f t="shared" si="206"/>
        <v>69</v>
      </c>
      <c r="W956" s="30">
        <f t="shared" si="207"/>
        <v>-69</v>
      </c>
      <c r="X956" s="31" t="b">
        <f t="shared" si="208"/>
        <v>0</v>
      </c>
      <c r="Y956" s="32" t="str">
        <f t="shared" si="209"/>
        <v>GROWTH</v>
      </c>
      <c r="Z956" s="41">
        <v>0</v>
      </c>
      <c r="AA956" s="36"/>
      <c r="AB956" s="36" t="s">
        <v>24</v>
      </c>
      <c r="AC956" s="36" t="s">
        <v>1836</v>
      </c>
      <c r="AD956" s="34"/>
      <c r="AE956" s="35">
        <f>IFERROR(INDEX([1]Last6M_AvgSales_Ref!$B$2:$B$12659,MATCH(D956,[1]Last6M_AvgSales_Ref!$A$2:$A$12659,0)),"")</f>
        <v>24.5833333333333</v>
      </c>
    </row>
    <row r="957" spans="1:31" ht="14.25" customHeight="1" x14ac:dyDescent="0.3">
      <c r="A957" s="36" t="s">
        <v>1836</v>
      </c>
      <c r="B957" s="38" t="s">
        <v>1932</v>
      </c>
      <c r="C957" s="38" t="s">
        <v>1963</v>
      </c>
      <c r="D957" s="38">
        <v>1000001443</v>
      </c>
      <c r="E957" s="39" t="s">
        <v>1964</v>
      </c>
      <c r="F957" s="40">
        <v>43616</v>
      </c>
      <c r="G957" s="22" t="str">
        <f t="shared" si="196"/>
        <v>Targeted Dealer</v>
      </c>
      <c r="H957" s="22"/>
      <c r="I957" s="23">
        <v>50</v>
      </c>
      <c r="J957" s="23">
        <f t="shared" si="197"/>
        <v>50</v>
      </c>
      <c r="K957" s="24">
        <v>0</v>
      </c>
      <c r="L957" s="24">
        <f t="shared" si="198"/>
        <v>50</v>
      </c>
      <c r="M957" s="24">
        <f t="shared" si="199"/>
        <v>0</v>
      </c>
      <c r="N957" s="25">
        <v>0</v>
      </c>
      <c r="O957" s="26" t="str">
        <f t="shared" si="200"/>
        <v>June</v>
      </c>
      <c r="P957" s="25">
        <f t="shared" si="201"/>
        <v>0</v>
      </c>
      <c r="Q957" s="27">
        <f t="shared" si="202"/>
        <v>0</v>
      </c>
      <c r="R957" s="26" t="b">
        <f t="shared" si="203"/>
        <v>0</v>
      </c>
      <c r="S957" s="28" t="b">
        <f t="shared" si="204"/>
        <v>0</v>
      </c>
      <c r="T957" s="24">
        <v>12</v>
      </c>
      <c r="U957" s="29" t="str">
        <f t="shared" si="205"/>
        <v>May</v>
      </c>
      <c r="V957" s="24">
        <f t="shared" si="206"/>
        <v>12</v>
      </c>
      <c r="W957" s="30">
        <f t="shared" si="207"/>
        <v>-12</v>
      </c>
      <c r="X957" s="31" t="b">
        <f t="shared" si="208"/>
        <v>0</v>
      </c>
      <c r="Y957" s="32" t="str">
        <f t="shared" si="209"/>
        <v>GROWTH</v>
      </c>
      <c r="Z957" s="41">
        <v>0</v>
      </c>
      <c r="AA957" s="36"/>
      <c r="AB957" s="36" t="s">
        <v>24</v>
      </c>
      <c r="AC957" s="36" t="s">
        <v>1836</v>
      </c>
      <c r="AD957" s="34"/>
      <c r="AE957" s="35">
        <f>IFERROR(INDEX([1]Last6M_AvgSales_Ref!$B$2:$B$12659,MATCH(D957,[1]Last6M_AvgSales_Ref!$A$2:$A$12659,0)),"")</f>
        <v>4</v>
      </c>
    </row>
    <row r="958" spans="1:31" ht="14.25" customHeight="1" x14ac:dyDescent="0.3">
      <c r="A958" s="36" t="s">
        <v>1836</v>
      </c>
      <c r="B958" s="38" t="s">
        <v>1932</v>
      </c>
      <c r="C958" s="38" t="s">
        <v>1965</v>
      </c>
      <c r="D958" s="38">
        <v>1000001421</v>
      </c>
      <c r="E958" s="39" t="s">
        <v>1966</v>
      </c>
      <c r="F958" s="40">
        <v>43622</v>
      </c>
      <c r="G958" s="22" t="str">
        <f t="shared" si="196"/>
        <v>Targeted Dealer</v>
      </c>
      <c r="H958" s="22"/>
      <c r="I958" s="23">
        <v>150</v>
      </c>
      <c r="J958" s="23">
        <f t="shared" si="197"/>
        <v>150</v>
      </c>
      <c r="K958" s="24">
        <v>84</v>
      </c>
      <c r="L958" s="24">
        <f t="shared" si="198"/>
        <v>66</v>
      </c>
      <c r="M958" s="24">
        <f t="shared" si="199"/>
        <v>56</v>
      </c>
      <c r="N958" s="25">
        <v>12</v>
      </c>
      <c r="O958" s="26" t="str">
        <f t="shared" si="200"/>
        <v>June</v>
      </c>
      <c r="P958" s="25">
        <f t="shared" si="201"/>
        <v>12</v>
      </c>
      <c r="Q958" s="27">
        <f t="shared" si="202"/>
        <v>72</v>
      </c>
      <c r="R958" s="26" t="b">
        <f t="shared" si="203"/>
        <v>0</v>
      </c>
      <c r="S958" s="28" t="str">
        <f t="shared" si="204"/>
        <v>GROWTH</v>
      </c>
      <c r="T958" s="24">
        <v>192</v>
      </c>
      <c r="U958" s="29" t="str">
        <f t="shared" si="205"/>
        <v>May</v>
      </c>
      <c r="V958" s="24">
        <f t="shared" si="206"/>
        <v>192</v>
      </c>
      <c r="W958" s="30">
        <f t="shared" si="207"/>
        <v>-108</v>
      </c>
      <c r="X958" s="31" t="b">
        <f t="shared" si="208"/>
        <v>0</v>
      </c>
      <c r="Y958" s="32" t="str">
        <f t="shared" si="209"/>
        <v>GROWTH</v>
      </c>
      <c r="Z958" s="41">
        <v>0</v>
      </c>
      <c r="AA958" s="36"/>
      <c r="AB958" s="36" t="s">
        <v>24</v>
      </c>
      <c r="AC958" s="36" t="s">
        <v>1836</v>
      </c>
      <c r="AD958" s="34"/>
      <c r="AE958" s="35">
        <f>IFERROR(INDEX([1]Last6M_AvgSales_Ref!$B$2:$B$12659,MATCH(D958,[1]Last6M_AvgSales_Ref!$A$2:$A$12659,0)),"")</f>
        <v>110.166666666667</v>
      </c>
    </row>
    <row r="959" spans="1:31" ht="14.25" customHeight="1" x14ac:dyDescent="0.3">
      <c r="A959" s="36" t="s">
        <v>1836</v>
      </c>
      <c r="B959" s="38" t="s">
        <v>1932</v>
      </c>
      <c r="C959" s="38" t="s">
        <v>1967</v>
      </c>
      <c r="D959" s="38">
        <v>1000001423</v>
      </c>
      <c r="E959" s="39" t="s">
        <v>1968</v>
      </c>
      <c r="F959" s="40">
        <v>43735</v>
      </c>
      <c r="G959" s="22" t="str">
        <f t="shared" si="196"/>
        <v>Targeted Dealer</v>
      </c>
      <c r="H959" s="22"/>
      <c r="I959" s="23">
        <v>150</v>
      </c>
      <c r="J959" s="23">
        <f t="shared" si="197"/>
        <v>150</v>
      </c>
      <c r="K959" s="24">
        <v>98</v>
      </c>
      <c r="L959" s="24">
        <f t="shared" si="198"/>
        <v>52</v>
      </c>
      <c r="M959" s="24">
        <f t="shared" si="199"/>
        <v>65.333333333333329</v>
      </c>
      <c r="N959" s="25">
        <v>51</v>
      </c>
      <c r="O959" s="26" t="str">
        <f t="shared" si="200"/>
        <v>June</v>
      </c>
      <c r="P959" s="25">
        <f t="shared" si="201"/>
        <v>51</v>
      </c>
      <c r="Q959" s="27">
        <f t="shared" si="202"/>
        <v>47</v>
      </c>
      <c r="R959" s="26" t="b">
        <f t="shared" si="203"/>
        <v>0</v>
      </c>
      <c r="S959" s="28" t="str">
        <f t="shared" si="204"/>
        <v>GROWTH</v>
      </c>
      <c r="T959" s="24">
        <v>207</v>
      </c>
      <c r="U959" s="29" t="str">
        <f t="shared" si="205"/>
        <v>May</v>
      </c>
      <c r="V959" s="24">
        <f t="shared" si="206"/>
        <v>207</v>
      </c>
      <c r="W959" s="30">
        <f t="shared" si="207"/>
        <v>-109</v>
      </c>
      <c r="X959" s="31" t="b">
        <f t="shared" si="208"/>
        <v>0</v>
      </c>
      <c r="Y959" s="32" t="str">
        <f t="shared" si="209"/>
        <v>GROWTH</v>
      </c>
      <c r="Z959" s="41">
        <v>0</v>
      </c>
      <c r="AA959" s="36"/>
      <c r="AB959" s="36" t="s">
        <v>24</v>
      </c>
      <c r="AC959" s="36" t="s">
        <v>1836</v>
      </c>
      <c r="AD959" s="34"/>
      <c r="AE959" s="35">
        <f>IFERROR(INDEX([1]Last6M_AvgSales_Ref!$B$2:$B$12659,MATCH(D959,[1]Last6M_AvgSales_Ref!$A$2:$A$12659,0)),"")</f>
        <v>201.833333333333</v>
      </c>
    </row>
    <row r="960" spans="1:31" ht="14.25" customHeight="1" x14ac:dyDescent="0.3">
      <c r="A960" s="36" t="s">
        <v>1836</v>
      </c>
      <c r="B960" s="38" t="s">
        <v>1932</v>
      </c>
      <c r="C960" s="38" t="s">
        <v>1969</v>
      </c>
      <c r="D960" s="38">
        <v>1000001425</v>
      </c>
      <c r="E960" s="39" t="s">
        <v>1970</v>
      </c>
      <c r="F960" s="40">
        <v>43742</v>
      </c>
      <c r="G960" s="22" t="str">
        <f t="shared" si="196"/>
        <v>Targeted Dealer</v>
      </c>
      <c r="H960" s="22"/>
      <c r="I960" s="23">
        <v>12</v>
      </c>
      <c r="J960" s="23">
        <f t="shared" si="197"/>
        <v>12</v>
      </c>
      <c r="K960" s="24">
        <v>18</v>
      </c>
      <c r="L960" s="24">
        <f t="shared" si="198"/>
        <v>-6</v>
      </c>
      <c r="M960" s="24">
        <f t="shared" si="199"/>
        <v>150</v>
      </c>
      <c r="N960" s="25">
        <v>0</v>
      </c>
      <c r="O960" s="26" t="str">
        <f t="shared" si="200"/>
        <v>June</v>
      </c>
      <c r="P960" s="25">
        <f t="shared" si="201"/>
        <v>0</v>
      </c>
      <c r="Q960" s="27">
        <f t="shared" si="202"/>
        <v>18</v>
      </c>
      <c r="R960" s="26" t="b">
        <f t="shared" si="203"/>
        <v>0</v>
      </c>
      <c r="S960" s="28" t="b">
        <f t="shared" si="204"/>
        <v>0</v>
      </c>
      <c r="T960" s="24">
        <v>12</v>
      </c>
      <c r="U960" s="29" t="str">
        <f t="shared" si="205"/>
        <v>May</v>
      </c>
      <c r="V960" s="24">
        <f t="shared" si="206"/>
        <v>12</v>
      </c>
      <c r="W960" s="30">
        <f t="shared" si="207"/>
        <v>6</v>
      </c>
      <c r="X960" s="31" t="b">
        <f t="shared" si="208"/>
        <v>0</v>
      </c>
      <c r="Y960" s="32" t="str">
        <f t="shared" si="209"/>
        <v>GROWTH</v>
      </c>
      <c r="Z960" s="41">
        <v>0</v>
      </c>
      <c r="AA960" s="36"/>
      <c r="AB960" s="36" t="s">
        <v>24</v>
      </c>
      <c r="AC960" s="36" t="s">
        <v>1836</v>
      </c>
      <c r="AD960" s="34"/>
      <c r="AE960" s="35">
        <f>IFERROR(INDEX([1]Last6M_AvgSales_Ref!$B$2:$B$12659,MATCH(D960,[1]Last6M_AvgSales_Ref!$A$2:$A$12659,0)),"")</f>
        <v>15</v>
      </c>
    </row>
    <row r="961" spans="1:31" ht="14.25" customHeight="1" x14ac:dyDescent="0.3">
      <c r="A961" s="36" t="s">
        <v>1836</v>
      </c>
      <c r="B961" s="38" t="s">
        <v>1932</v>
      </c>
      <c r="C961" s="38" t="s">
        <v>1971</v>
      </c>
      <c r="D961" s="38">
        <v>1000001451</v>
      </c>
      <c r="E961" s="39" t="s">
        <v>1972</v>
      </c>
      <c r="F961" s="40">
        <v>43952</v>
      </c>
      <c r="G961" s="22" t="str">
        <f t="shared" si="196"/>
        <v>Targeted Dealer</v>
      </c>
      <c r="H961" s="22"/>
      <c r="I961" s="23">
        <v>250</v>
      </c>
      <c r="J961" s="23">
        <f t="shared" si="197"/>
        <v>250.00000000000003</v>
      </c>
      <c r="K961" s="24">
        <v>12</v>
      </c>
      <c r="L961" s="24">
        <f t="shared" si="198"/>
        <v>238</v>
      </c>
      <c r="M961" s="24">
        <f t="shared" si="199"/>
        <v>4.7999999999999989</v>
      </c>
      <c r="N961" s="25">
        <v>0</v>
      </c>
      <c r="O961" s="26" t="str">
        <f t="shared" si="200"/>
        <v>June</v>
      </c>
      <c r="P961" s="25">
        <f t="shared" si="201"/>
        <v>0</v>
      </c>
      <c r="Q961" s="27">
        <f t="shared" si="202"/>
        <v>12</v>
      </c>
      <c r="R961" s="26" t="b">
        <f t="shared" si="203"/>
        <v>0</v>
      </c>
      <c r="S961" s="28" t="b">
        <f t="shared" si="204"/>
        <v>0</v>
      </c>
      <c r="T961" s="24">
        <v>544</v>
      </c>
      <c r="U961" s="29" t="str">
        <f t="shared" si="205"/>
        <v>May</v>
      </c>
      <c r="V961" s="24">
        <f t="shared" si="206"/>
        <v>544</v>
      </c>
      <c r="W961" s="30">
        <f t="shared" si="207"/>
        <v>-532</v>
      </c>
      <c r="X961" s="31" t="b">
        <f t="shared" si="208"/>
        <v>0</v>
      </c>
      <c r="Y961" s="32" t="str">
        <f t="shared" si="209"/>
        <v>GROWTH</v>
      </c>
      <c r="Z961" s="41">
        <v>0</v>
      </c>
      <c r="AA961" s="36"/>
      <c r="AB961" s="36" t="s">
        <v>24</v>
      </c>
      <c r="AC961" s="36" t="s">
        <v>1836</v>
      </c>
      <c r="AD961" s="34"/>
      <c r="AE961" s="35">
        <f>IFERROR(INDEX([1]Last6M_AvgSales_Ref!$B$2:$B$12659,MATCH(D961,[1]Last6M_AvgSales_Ref!$A$2:$A$12659,0)),"")</f>
        <v>249.9</v>
      </c>
    </row>
    <row r="962" spans="1:31" ht="14.25" customHeight="1" x14ac:dyDescent="0.3">
      <c r="A962" s="36" t="s">
        <v>1836</v>
      </c>
      <c r="B962" s="38" t="s">
        <v>1932</v>
      </c>
      <c r="C962" s="38" t="s">
        <v>1973</v>
      </c>
      <c r="D962" s="38">
        <v>1000001428</v>
      </c>
      <c r="E962" s="39" t="s">
        <v>1974</v>
      </c>
      <c r="F962" s="40">
        <v>43981</v>
      </c>
      <c r="G962" s="22" t="str">
        <f t="shared" si="196"/>
        <v>Targeted Dealer</v>
      </c>
      <c r="H962" s="22"/>
      <c r="I962" s="23">
        <v>350</v>
      </c>
      <c r="J962" s="23">
        <f t="shared" si="197"/>
        <v>350</v>
      </c>
      <c r="K962" s="24">
        <v>285</v>
      </c>
      <c r="L962" s="24">
        <f t="shared" si="198"/>
        <v>65</v>
      </c>
      <c r="M962" s="24">
        <f t="shared" si="199"/>
        <v>81.428571428571431</v>
      </c>
      <c r="N962" s="25">
        <v>126</v>
      </c>
      <c r="O962" s="26" t="str">
        <f t="shared" si="200"/>
        <v>June</v>
      </c>
      <c r="P962" s="25">
        <f t="shared" si="201"/>
        <v>126</v>
      </c>
      <c r="Q962" s="27">
        <f t="shared" si="202"/>
        <v>159</v>
      </c>
      <c r="R962" s="26" t="b">
        <f t="shared" si="203"/>
        <v>0</v>
      </c>
      <c r="S962" s="28" t="str">
        <f t="shared" si="204"/>
        <v>GROWTH</v>
      </c>
      <c r="T962" s="24">
        <v>291</v>
      </c>
      <c r="U962" s="29" t="str">
        <f t="shared" si="205"/>
        <v>May</v>
      </c>
      <c r="V962" s="24">
        <f t="shared" si="206"/>
        <v>291</v>
      </c>
      <c r="W962" s="30">
        <f t="shared" si="207"/>
        <v>-6</v>
      </c>
      <c r="X962" s="31" t="b">
        <f t="shared" si="208"/>
        <v>0</v>
      </c>
      <c r="Y962" s="32" t="str">
        <f t="shared" si="209"/>
        <v>GROWTH</v>
      </c>
      <c r="Z962" s="41">
        <v>0</v>
      </c>
      <c r="AA962" s="36"/>
      <c r="AB962" s="36" t="s">
        <v>24</v>
      </c>
      <c r="AC962" s="36" t="s">
        <v>1836</v>
      </c>
      <c r="AD962" s="34"/>
      <c r="AE962" s="35">
        <f>IFERROR(INDEX([1]Last6M_AvgSales_Ref!$B$2:$B$12659,MATCH(D962,[1]Last6M_AvgSales_Ref!$A$2:$A$12659,0)),"")</f>
        <v>425.5</v>
      </c>
    </row>
    <row r="963" spans="1:31" ht="14.25" customHeight="1" x14ac:dyDescent="0.3">
      <c r="A963" s="36" t="s">
        <v>1836</v>
      </c>
      <c r="B963" s="38" t="s">
        <v>1932</v>
      </c>
      <c r="C963" s="38" t="s">
        <v>1975</v>
      </c>
      <c r="D963" s="38">
        <v>1000001377</v>
      </c>
      <c r="E963" s="39" t="s">
        <v>1976</v>
      </c>
      <c r="F963" s="40">
        <v>44018</v>
      </c>
      <c r="G963" s="22" t="str">
        <f t="shared" ref="G963:G1026" si="210">IF(I963&gt;0,"Targeted Dealer","-")</f>
        <v>Targeted Dealer</v>
      </c>
      <c r="H963" s="22"/>
      <c r="I963" s="23">
        <v>2400</v>
      </c>
      <c r="J963" s="23">
        <f t="shared" ref="J963:J1026" si="211">I963/$J$1*($J$1-$E$1)</f>
        <v>2400</v>
      </c>
      <c r="K963" s="24">
        <v>2362.9499999999998</v>
      </c>
      <c r="L963" s="24">
        <f t="shared" ref="L963:L1026" si="212">I963-K963</f>
        <v>37.050000000000182</v>
      </c>
      <c r="M963" s="24">
        <f t="shared" ref="M963:M1026" si="213">IFERROR((K963/J963%),"-")</f>
        <v>98.456249999999997</v>
      </c>
      <c r="N963" s="25">
        <v>1830.05</v>
      </c>
      <c r="O963" s="26" t="str">
        <f t="shared" ref="O963:O1026" si="214">IF(F963&lt;=$P$2,"June","")</f>
        <v>June</v>
      </c>
      <c r="P963" s="25">
        <f t="shared" ref="P963:P1026" si="215">N963</f>
        <v>1830.05</v>
      </c>
      <c r="Q963" s="27">
        <f t="shared" ref="Q963:Q1026" si="216">K963-P963</f>
        <v>532.89999999999986</v>
      </c>
      <c r="R963" s="26" t="b">
        <f t="shared" ref="R963:R1026" si="217">IFERROR(IF(O963="May",(K963/P963-1))," ")</f>
        <v>0</v>
      </c>
      <c r="S963" s="28" t="str">
        <f t="shared" ref="S963:S1026" si="218">IF(N963&gt;0,IF(O963="","-",IF(R963&lt;0%,"DEGROWTH","GROWTH")))</f>
        <v>GROWTH</v>
      </c>
      <c r="T963" s="24">
        <v>2231.0500000000002</v>
      </c>
      <c r="U963" s="29" t="str">
        <f t="shared" ref="U963:U1026" si="219">IF(F963&lt;=$V$2,"May","")</f>
        <v>May</v>
      </c>
      <c r="V963" s="24">
        <f t="shared" ref="V963:V1026" si="220">T963</f>
        <v>2231.0500000000002</v>
      </c>
      <c r="W963" s="30">
        <f t="shared" ref="W963:W1026" si="221">K963-V963</f>
        <v>131.89999999999964</v>
      </c>
      <c r="X963" s="31" t="b">
        <f t="shared" ref="X963:X1026" si="222">IFERROR(IF(U963="June",(K963/V963-1)),0)</f>
        <v>0</v>
      </c>
      <c r="Y963" s="32" t="str">
        <f t="shared" ref="Y963:Y1026" si="223">IF(T963&gt;0,IF(U963="","-",IF(X963&lt;0%,"DEGROWTH","GROWTH")))</f>
        <v>GROWTH</v>
      </c>
      <c r="Z963" s="41">
        <v>0</v>
      </c>
      <c r="AA963" s="36"/>
      <c r="AB963" s="36" t="s">
        <v>24</v>
      </c>
      <c r="AC963" s="36" t="s">
        <v>1836</v>
      </c>
      <c r="AD963" s="34"/>
      <c r="AE963" s="35">
        <f>IFERROR(INDEX([1]Last6M_AvgSales_Ref!$B$2:$B$12659,MATCH(D963,[1]Last6M_AvgSales_Ref!$A$2:$A$12659,0)),"")</f>
        <v>2405.3083333333302</v>
      </c>
    </row>
    <row r="964" spans="1:31" ht="14.25" customHeight="1" x14ac:dyDescent="0.3">
      <c r="A964" s="36" t="s">
        <v>1836</v>
      </c>
      <c r="B964" s="38" t="s">
        <v>1932</v>
      </c>
      <c r="C964" s="38" t="s">
        <v>1977</v>
      </c>
      <c r="D964" s="38">
        <v>1000001426</v>
      </c>
      <c r="E964" s="39" t="s">
        <v>1978</v>
      </c>
      <c r="F964" s="40">
        <v>44049</v>
      </c>
      <c r="G964" s="22" t="str">
        <f t="shared" si="210"/>
        <v>Targeted Dealer</v>
      </c>
      <c r="H964" s="22"/>
      <c r="I964" s="23">
        <v>165</v>
      </c>
      <c r="J964" s="23">
        <f t="shared" si="211"/>
        <v>165</v>
      </c>
      <c r="K964" s="24">
        <v>184</v>
      </c>
      <c r="L964" s="24">
        <f t="shared" si="212"/>
        <v>-19</v>
      </c>
      <c r="M964" s="24">
        <f t="shared" si="213"/>
        <v>111.51515151515152</v>
      </c>
      <c r="N964" s="25">
        <v>106.5</v>
      </c>
      <c r="O964" s="26" t="str">
        <f t="shared" si="214"/>
        <v>June</v>
      </c>
      <c r="P964" s="25">
        <f t="shared" si="215"/>
        <v>106.5</v>
      </c>
      <c r="Q964" s="27">
        <f t="shared" si="216"/>
        <v>77.5</v>
      </c>
      <c r="R964" s="26" t="b">
        <f t="shared" si="217"/>
        <v>0</v>
      </c>
      <c r="S964" s="28" t="str">
        <f t="shared" si="218"/>
        <v>GROWTH</v>
      </c>
      <c r="T964" s="24">
        <v>159</v>
      </c>
      <c r="U964" s="29" t="str">
        <f t="shared" si="219"/>
        <v>May</v>
      </c>
      <c r="V964" s="24">
        <f t="shared" si="220"/>
        <v>159</v>
      </c>
      <c r="W964" s="30">
        <f t="shared" si="221"/>
        <v>25</v>
      </c>
      <c r="X964" s="31" t="b">
        <f t="shared" si="222"/>
        <v>0</v>
      </c>
      <c r="Y964" s="32" t="str">
        <f t="shared" si="223"/>
        <v>GROWTH</v>
      </c>
      <c r="Z964" s="41">
        <v>0</v>
      </c>
      <c r="AA964" s="36"/>
      <c r="AB964" s="36" t="s">
        <v>24</v>
      </c>
      <c r="AC964" s="36" t="s">
        <v>1836</v>
      </c>
      <c r="AD964" s="34"/>
      <c r="AE964" s="35">
        <f>IFERROR(INDEX([1]Last6M_AvgSales_Ref!$B$2:$B$12659,MATCH(D964,[1]Last6M_AvgSales_Ref!$A$2:$A$12659,0)),"")</f>
        <v>237.666666666667</v>
      </c>
    </row>
    <row r="965" spans="1:31" ht="14.25" customHeight="1" x14ac:dyDescent="0.3">
      <c r="A965" s="36" t="s">
        <v>1836</v>
      </c>
      <c r="B965" s="38" t="s">
        <v>1932</v>
      </c>
      <c r="C965" s="38" t="s">
        <v>1979</v>
      </c>
      <c r="D965" s="38">
        <v>1000001444</v>
      </c>
      <c r="E965" s="39" t="s">
        <v>1980</v>
      </c>
      <c r="F965" s="40">
        <v>44235</v>
      </c>
      <c r="G965" s="22" t="str">
        <f t="shared" si="210"/>
        <v>Targeted Dealer</v>
      </c>
      <c r="H965" s="22"/>
      <c r="I965" s="23">
        <v>294</v>
      </c>
      <c r="J965" s="23">
        <f t="shared" si="211"/>
        <v>294</v>
      </c>
      <c r="K965" s="24">
        <v>162</v>
      </c>
      <c r="L965" s="24">
        <f t="shared" si="212"/>
        <v>132</v>
      </c>
      <c r="M965" s="24">
        <f t="shared" si="213"/>
        <v>55.102040816326529</v>
      </c>
      <c r="N965" s="25">
        <v>137</v>
      </c>
      <c r="O965" s="26" t="str">
        <f t="shared" si="214"/>
        <v>June</v>
      </c>
      <c r="P965" s="25">
        <f t="shared" si="215"/>
        <v>137</v>
      </c>
      <c r="Q965" s="27">
        <f t="shared" si="216"/>
        <v>25</v>
      </c>
      <c r="R965" s="26" t="b">
        <f t="shared" si="217"/>
        <v>0</v>
      </c>
      <c r="S965" s="28" t="str">
        <f t="shared" si="218"/>
        <v>GROWTH</v>
      </c>
      <c r="T965" s="24">
        <v>399</v>
      </c>
      <c r="U965" s="29" t="str">
        <f t="shared" si="219"/>
        <v>May</v>
      </c>
      <c r="V965" s="24">
        <f t="shared" si="220"/>
        <v>399</v>
      </c>
      <c r="W965" s="30">
        <f t="shared" si="221"/>
        <v>-237</v>
      </c>
      <c r="X965" s="31" t="b">
        <f t="shared" si="222"/>
        <v>0</v>
      </c>
      <c r="Y965" s="32" t="str">
        <f t="shared" si="223"/>
        <v>GROWTH</v>
      </c>
      <c r="Z965" s="41">
        <v>0</v>
      </c>
      <c r="AA965" s="36"/>
      <c r="AB965" s="36" t="s">
        <v>24</v>
      </c>
      <c r="AC965" s="36" t="s">
        <v>1836</v>
      </c>
      <c r="AD965" s="34"/>
      <c r="AE965" s="35">
        <f>IFERROR(INDEX([1]Last6M_AvgSales_Ref!$B$2:$B$12659,MATCH(D965,[1]Last6M_AvgSales_Ref!$A$2:$A$12659,0)),"")</f>
        <v>334.66666666666703</v>
      </c>
    </row>
    <row r="966" spans="1:31" ht="14.25" customHeight="1" x14ac:dyDescent="0.3">
      <c r="A966" s="36" t="s">
        <v>1836</v>
      </c>
      <c r="B966" s="38" t="s">
        <v>1932</v>
      </c>
      <c r="C966" s="38" t="s">
        <v>1981</v>
      </c>
      <c r="D966" s="38">
        <v>1000002031</v>
      </c>
      <c r="E966" s="39" t="s">
        <v>1982</v>
      </c>
      <c r="F966" s="40">
        <v>44501</v>
      </c>
      <c r="G966" s="22" t="str">
        <f t="shared" si="210"/>
        <v>-</v>
      </c>
      <c r="H966" s="22"/>
      <c r="I966" s="23">
        <v>0</v>
      </c>
      <c r="J966" s="23">
        <f t="shared" si="211"/>
        <v>0</v>
      </c>
      <c r="K966" s="24">
        <v>0</v>
      </c>
      <c r="L966" s="24">
        <f t="shared" si="212"/>
        <v>0</v>
      </c>
      <c r="M966" s="24" t="str">
        <f t="shared" si="213"/>
        <v>-</v>
      </c>
      <c r="N966" s="25">
        <v>0</v>
      </c>
      <c r="O966" s="26" t="str">
        <f t="shared" si="214"/>
        <v>June</v>
      </c>
      <c r="P966" s="25">
        <f t="shared" si="215"/>
        <v>0</v>
      </c>
      <c r="Q966" s="27">
        <f t="shared" si="216"/>
        <v>0</v>
      </c>
      <c r="R966" s="26" t="b">
        <f t="shared" si="217"/>
        <v>0</v>
      </c>
      <c r="S966" s="28" t="b">
        <f t="shared" si="218"/>
        <v>0</v>
      </c>
      <c r="T966" s="24">
        <v>25</v>
      </c>
      <c r="U966" s="29" t="str">
        <f t="shared" si="219"/>
        <v>May</v>
      </c>
      <c r="V966" s="24">
        <f t="shared" si="220"/>
        <v>25</v>
      </c>
      <c r="W966" s="30">
        <f t="shared" si="221"/>
        <v>-25</v>
      </c>
      <c r="X966" s="31" t="b">
        <f t="shared" si="222"/>
        <v>0</v>
      </c>
      <c r="Y966" s="32" t="str">
        <f t="shared" si="223"/>
        <v>GROWTH</v>
      </c>
      <c r="Z966" s="41">
        <v>0</v>
      </c>
      <c r="AA966" s="36"/>
      <c r="AB966" s="36" t="s">
        <v>24</v>
      </c>
      <c r="AC966" s="36" t="s">
        <v>1836</v>
      </c>
      <c r="AD966" s="34"/>
      <c r="AE966" s="35">
        <f>IFERROR(INDEX([1]Last6M_AvgSales_Ref!$B$2:$B$12659,MATCH(D966,[1]Last6M_AvgSales_Ref!$A$2:$A$12659,0)),"")</f>
        <v>6.1666666666666696</v>
      </c>
    </row>
    <row r="967" spans="1:31" ht="14.25" customHeight="1" x14ac:dyDescent="0.3">
      <c r="A967" s="36" t="s">
        <v>1836</v>
      </c>
      <c r="B967" s="38" t="s">
        <v>1932</v>
      </c>
      <c r="C967" s="38" t="s">
        <v>1983</v>
      </c>
      <c r="D967" s="38">
        <v>1000002083</v>
      </c>
      <c r="E967" s="39" t="s">
        <v>1984</v>
      </c>
      <c r="F967" s="40">
        <v>44569</v>
      </c>
      <c r="G967" s="22" t="str">
        <f t="shared" si="210"/>
        <v>Targeted Dealer</v>
      </c>
      <c r="H967" s="22"/>
      <c r="I967" s="23">
        <v>50</v>
      </c>
      <c r="J967" s="23">
        <f t="shared" si="211"/>
        <v>50</v>
      </c>
      <c r="K967" s="24">
        <v>0</v>
      </c>
      <c r="L967" s="24">
        <f t="shared" si="212"/>
        <v>50</v>
      </c>
      <c r="M967" s="24">
        <f t="shared" si="213"/>
        <v>0</v>
      </c>
      <c r="N967" s="25">
        <v>0</v>
      </c>
      <c r="O967" s="26" t="str">
        <f t="shared" si="214"/>
        <v>June</v>
      </c>
      <c r="P967" s="25">
        <f t="shared" si="215"/>
        <v>0</v>
      </c>
      <c r="Q967" s="27">
        <f t="shared" si="216"/>
        <v>0</v>
      </c>
      <c r="R967" s="26" t="b">
        <f t="shared" si="217"/>
        <v>0</v>
      </c>
      <c r="S967" s="28" t="b">
        <f t="shared" si="218"/>
        <v>0</v>
      </c>
      <c r="T967" s="24">
        <v>0</v>
      </c>
      <c r="U967" s="29" t="str">
        <f t="shared" si="219"/>
        <v>May</v>
      </c>
      <c r="V967" s="24">
        <f t="shared" si="220"/>
        <v>0</v>
      </c>
      <c r="W967" s="30">
        <f t="shared" si="221"/>
        <v>0</v>
      </c>
      <c r="X967" s="31" t="b">
        <f t="shared" si="222"/>
        <v>0</v>
      </c>
      <c r="Y967" s="32" t="b">
        <f t="shared" si="223"/>
        <v>0</v>
      </c>
      <c r="Z967" s="41">
        <v>0</v>
      </c>
      <c r="AA967" s="36"/>
      <c r="AB967" s="36" t="s">
        <v>24</v>
      </c>
      <c r="AC967" s="36" t="s">
        <v>1836</v>
      </c>
      <c r="AD967" s="34"/>
      <c r="AE967" s="35">
        <f>IFERROR(INDEX([1]Last6M_AvgSales_Ref!$B$2:$B$12659,MATCH(D967,[1]Last6M_AvgSales_Ref!$A$2:$A$12659,0)),"")</f>
        <v>7.4166666666666696</v>
      </c>
    </row>
    <row r="968" spans="1:31" ht="14.25" customHeight="1" x14ac:dyDescent="0.3">
      <c r="A968" s="36" t="s">
        <v>1836</v>
      </c>
      <c r="B968" s="38" t="s">
        <v>1932</v>
      </c>
      <c r="C968" s="38" t="s">
        <v>1985</v>
      </c>
      <c r="D968" s="38">
        <v>1000002522</v>
      </c>
      <c r="E968" s="39" t="s">
        <v>1986</v>
      </c>
      <c r="F968" s="40">
        <v>44592</v>
      </c>
      <c r="G968" s="22" t="str">
        <f t="shared" si="210"/>
        <v>Targeted Dealer</v>
      </c>
      <c r="H968" s="22"/>
      <c r="I968" s="23">
        <v>170</v>
      </c>
      <c r="J968" s="23">
        <f t="shared" si="211"/>
        <v>170</v>
      </c>
      <c r="K968" s="24">
        <v>123</v>
      </c>
      <c r="L968" s="24">
        <f t="shared" si="212"/>
        <v>47</v>
      </c>
      <c r="M968" s="24">
        <f t="shared" si="213"/>
        <v>72.352941176470594</v>
      </c>
      <c r="N968" s="25">
        <v>102</v>
      </c>
      <c r="O968" s="26" t="str">
        <f t="shared" si="214"/>
        <v>June</v>
      </c>
      <c r="P968" s="25">
        <f t="shared" si="215"/>
        <v>102</v>
      </c>
      <c r="Q968" s="27">
        <f t="shared" si="216"/>
        <v>21</v>
      </c>
      <c r="R968" s="26" t="b">
        <f t="shared" si="217"/>
        <v>0</v>
      </c>
      <c r="S968" s="28" t="str">
        <f t="shared" si="218"/>
        <v>GROWTH</v>
      </c>
      <c r="T968" s="24">
        <v>176</v>
      </c>
      <c r="U968" s="29" t="str">
        <f t="shared" si="219"/>
        <v>May</v>
      </c>
      <c r="V968" s="24">
        <f t="shared" si="220"/>
        <v>176</v>
      </c>
      <c r="W968" s="30">
        <f t="shared" si="221"/>
        <v>-53</v>
      </c>
      <c r="X968" s="31" t="b">
        <f t="shared" si="222"/>
        <v>0</v>
      </c>
      <c r="Y968" s="32" t="str">
        <f t="shared" si="223"/>
        <v>GROWTH</v>
      </c>
      <c r="Z968" s="41">
        <v>0</v>
      </c>
      <c r="AA968" s="36"/>
      <c r="AB968" s="36" t="s">
        <v>24</v>
      </c>
      <c r="AC968" s="36" t="s">
        <v>1836</v>
      </c>
      <c r="AD968" s="34"/>
      <c r="AE968" s="35">
        <f>IFERROR(INDEX([1]Last6M_AvgSales_Ref!$B$2:$B$12659,MATCH(D968,[1]Last6M_AvgSales_Ref!$A$2:$A$12659,0)),"")</f>
        <v>206.166666666667</v>
      </c>
    </row>
    <row r="969" spans="1:31" ht="14.25" customHeight="1" x14ac:dyDescent="0.3">
      <c r="A969" s="36" t="s">
        <v>1836</v>
      </c>
      <c r="B969" s="38" t="s">
        <v>1932</v>
      </c>
      <c r="C969" s="38" t="s">
        <v>1987</v>
      </c>
      <c r="D969" s="38">
        <v>1000002795</v>
      </c>
      <c r="E969" s="38" t="s">
        <v>1988</v>
      </c>
      <c r="F969" s="40">
        <v>44719</v>
      </c>
      <c r="G969" s="22" t="str">
        <f t="shared" si="210"/>
        <v>Targeted Dealer</v>
      </c>
      <c r="H969" s="22"/>
      <c r="I969" s="23">
        <v>180</v>
      </c>
      <c r="J969" s="23">
        <f t="shared" si="211"/>
        <v>180</v>
      </c>
      <c r="K969" s="24">
        <v>84</v>
      </c>
      <c r="L969" s="24">
        <f t="shared" si="212"/>
        <v>96</v>
      </c>
      <c r="M969" s="24">
        <f t="shared" si="213"/>
        <v>46.666666666666664</v>
      </c>
      <c r="N969" s="25">
        <v>96</v>
      </c>
      <c r="O969" s="26" t="str">
        <f t="shared" si="214"/>
        <v>June</v>
      </c>
      <c r="P969" s="25">
        <f t="shared" si="215"/>
        <v>96</v>
      </c>
      <c r="Q969" s="27">
        <f t="shared" si="216"/>
        <v>-12</v>
      </c>
      <c r="R969" s="26" t="b">
        <f t="shared" si="217"/>
        <v>0</v>
      </c>
      <c r="S969" s="28" t="str">
        <f t="shared" si="218"/>
        <v>GROWTH</v>
      </c>
      <c r="T969" s="24">
        <v>169</v>
      </c>
      <c r="U969" s="29" t="str">
        <f t="shared" si="219"/>
        <v>May</v>
      </c>
      <c r="V969" s="24">
        <f t="shared" si="220"/>
        <v>169</v>
      </c>
      <c r="W969" s="30">
        <f t="shared" si="221"/>
        <v>-85</v>
      </c>
      <c r="X969" s="31" t="b">
        <f t="shared" si="222"/>
        <v>0</v>
      </c>
      <c r="Y969" s="32" t="str">
        <f t="shared" si="223"/>
        <v>GROWTH</v>
      </c>
      <c r="Z969" s="41">
        <v>0</v>
      </c>
      <c r="AA969" s="36"/>
      <c r="AB969" s="36" t="s">
        <v>24</v>
      </c>
      <c r="AC969" s="36" t="s">
        <v>1836</v>
      </c>
      <c r="AD969" s="34"/>
      <c r="AE969" s="35">
        <f>IFERROR(INDEX([1]Last6M_AvgSales_Ref!$B$2:$B$12659,MATCH(D969,[1]Last6M_AvgSales_Ref!$A$2:$A$12659,0)),"")</f>
        <v>191.5</v>
      </c>
    </row>
    <row r="970" spans="1:31" ht="14.25" customHeight="1" x14ac:dyDescent="0.3">
      <c r="A970" s="36" t="s">
        <v>1836</v>
      </c>
      <c r="B970" s="38" t="s">
        <v>1932</v>
      </c>
      <c r="C970" s="38" t="s">
        <v>1989</v>
      </c>
      <c r="D970" s="38">
        <v>1000002673</v>
      </c>
      <c r="E970" s="38" t="s">
        <v>249</v>
      </c>
      <c r="F970" s="40">
        <v>44739</v>
      </c>
      <c r="G970" s="22" t="str">
        <f t="shared" si="210"/>
        <v>Targeted Dealer</v>
      </c>
      <c r="H970" s="22"/>
      <c r="I970" s="23">
        <v>225</v>
      </c>
      <c r="J970" s="23">
        <f t="shared" si="211"/>
        <v>225</v>
      </c>
      <c r="K970" s="24">
        <v>60</v>
      </c>
      <c r="L970" s="24">
        <f t="shared" si="212"/>
        <v>165</v>
      </c>
      <c r="M970" s="24">
        <f t="shared" si="213"/>
        <v>26.666666666666668</v>
      </c>
      <c r="N970" s="25">
        <v>84</v>
      </c>
      <c r="O970" s="26" t="str">
        <f t="shared" si="214"/>
        <v>June</v>
      </c>
      <c r="P970" s="25">
        <f t="shared" si="215"/>
        <v>84</v>
      </c>
      <c r="Q970" s="27">
        <f t="shared" si="216"/>
        <v>-24</v>
      </c>
      <c r="R970" s="26" t="b">
        <f t="shared" si="217"/>
        <v>0</v>
      </c>
      <c r="S970" s="28" t="str">
        <f t="shared" si="218"/>
        <v>GROWTH</v>
      </c>
      <c r="T970" s="24">
        <v>212</v>
      </c>
      <c r="U970" s="29" t="str">
        <f t="shared" si="219"/>
        <v>May</v>
      </c>
      <c r="V970" s="24">
        <f t="shared" si="220"/>
        <v>212</v>
      </c>
      <c r="W970" s="30">
        <f t="shared" si="221"/>
        <v>-152</v>
      </c>
      <c r="X970" s="31" t="b">
        <f t="shared" si="222"/>
        <v>0</v>
      </c>
      <c r="Y970" s="32" t="str">
        <f t="shared" si="223"/>
        <v>GROWTH</v>
      </c>
      <c r="Z970" s="41">
        <v>0</v>
      </c>
      <c r="AA970" s="36"/>
      <c r="AB970" s="36" t="s">
        <v>24</v>
      </c>
      <c r="AC970" s="36" t="s">
        <v>1836</v>
      </c>
      <c r="AD970" s="34"/>
      <c r="AE970" s="35">
        <f>IFERROR(INDEX([1]Last6M_AvgSales_Ref!$B$2:$B$12659,MATCH(D970,[1]Last6M_AvgSales_Ref!$A$2:$A$12659,0)),"")</f>
        <v>241.666666666667</v>
      </c>
    </row>
    <row r="971" spans="1:31" ht="14.25" customHeight="1" x14ac:dyDescent="0.3">
      <c r="A971" s="36" t="s">
        <v>1836</v>
      </c>
      <c r="B971" s="38" t="s">
        <v>1932</v>
      </c>
      <c r="C971" s="38" t="s">
        <v>1990</v>
      </c>
      <c r="D971" s="38">
        <v>1000002889</v>
      </c>
      <c r="E971" s="38" t="s">
        <v>1991</v>
      </c>
      <c r="F971" s="40">
        <v>44793</v>
      </c>
      <c r="G971" s="22" t="str">
        <f t="shared" si="210"/>
        <v>Targeted Dealer</v>
      </c>
      <c r="H971" s="22"/>
      <c r="I971" s="23">
        <v>550</v>
      </c>
      <c r="J971" s="23">
        <f t="shared" si="211"/>
        <v>550</v>
      </c>
      <c r="K971" s="24">
        <v>54</v>
      </c>
      <c r="L971" s="24">
        <f t="shared" si="212"/>
        <v>496</v>
      </c>
      <c r="M971" s="24">
        <f t="shared" si="213"/>
        <v>9.8181818181818183</v>
      </c>
      <c r="N971" s="25">
        <v>42</v>
      </c>
      <c r="O971" s="26" t="str">
        <f t="shared" si="214"/>
        <v>June</v>
      </c>
      <c r="P971" s="25">
        <f t="shared" si="215"/>
        <v>42</v>
      </c>
      <c r="Q971" s="27">
        <f t="shared" si="216"/>
        <v>12</v>
      </c>
      <c r="R971" s="26" t="b">
        <f t="shared" si="217"/>
        <v>0</v>
      </c>
      <c r="S971" s="28" t="str">
        <f t="shared" si="218"/>
        <v>GROWTH</v>
      </c>
      <c r="T971" s="24">
        <v>531</v>
      </c>
      <c r="U971" s="29" t="str">
        <f t="shared" si="219"/>
        <v>May</v>
      </c>
      <c r="V971" s="24">
        <f t="shared" si="220"/>
        <v>531</v>
      </c>
      <c r="W971" s="30">
        <f t="shared" si="221"/>
        <v>-477</v>
      </c>
      <c r="X971" s="31" t="b">
        <f t="shared" si="222"/>
        <v>0</v>
      </c>
      <c r="Y971" s="32" t="str">
        <f t="shared" si="223"/>
        <v>GROWTH</v>
      </c>
      <c r="Z971" s="41">
        <v>0</v>
      </c>
      <c r="AA971" s="36"/>
      <c r="AB971" s="36" t="s">
        <v>24</v>
      </c>
      <c r="AC971" s="36" t="s">
        <v>1836</v>
      </c>
      <c r="AD971" s="34"/>
      <c r="AE971" s="35">
        <f>IFERROR(INDEX([1]Last6M_AvgSales_Ref!$B$2:$B$12659,MATCH(D971,[1]Last6M_AvgSales_Ref!$A$2:$A$12659,0)),"")</f>
        <v>218.5</v>
      </c>
    </row>
    <row r="972" spans="1:31" ht="14.25" customHeight="1" x14ac:dyDescent="0.3">
      <c r="A972" s="36" t="s">
        <v>1836</v>
      </c>
      <c r="B972" s="38" t="s">
        <v>1932</v>
      </c>
      <c r="C972" s="38" t="s">
        <v>1992</v>
      </c>
      <c r="D972" s="38">
        <v>1000003232</v>
      </c>
      <c r="E972" s="38" t="s">
        <v>1993</v>
      </c>
      <c r="F972" s="40">
        <v>44935</v>
      </c>
      <c r="G972" s="22" t="str">
        <f t="shared" si="210"/>
        <v>Targeted Dealer</v>
      </c>
      <c r="H972" s="22"/>
      <c r="I972" s="23">
        <v>100</v>
      </c>
      <c r="J972" s="23">
        <f t="shared" si="211"/>
        <v>100</v>
      </c>
      <c r="K972" s="24">
        <v>24</v>
      </c>
      <c r="L972" s="24">
        <f t="shared" si="212"/>
        <v>76</v>
      </c>
      <c r="M972" s="24">
        <f t="shared" si="213"/>
        <v>24</v>
      </c>
      <c r="N972" s="25">
        <v>15.5</v>
      </c>
      <c r="O972" s="26" t="str">
        <f t="shared" si="214"/>
        <v>June</v>
      </c>
      <c r="P972" s="25">
        <f t="shared" si="215"/>
        <v>15.5</v>
      </c>
      <c r="Q972" s="27">
        <f t="shared" si="216"/>
        <v>8.5</v>
      </c>
      <c r="R972" s="26" t="b">
        <f t="shared" si="217"/>
        <v>0</v>
      </c>
      <c r="S972" s="28" t="str">
        <f t="shared" si="218"/>
        <v>GROWTH</v>
      </c>
      <c r="T972" s="24">
        <v>18</v>
      </c>
      <c r="U972" s="29" t="str">
        <f t="shared" si="219"/>
        <v>May</v>
      </c>
      <c r="V972" s="24">
        <f t="shared" si="220"/>
        <v>18</v>
      </c>
      <c r="W972" s="30">
        <f t="shared" si="221"/>
        <v>6</v>
      </c>
      <c r="X972" s="31" t="b">
        <f t="shared" si="222"/>
        <v>0</v>
      </c>
      <c r="Y972" s="32" t="str">
        <f t="shared" si="223"/>
        <v>GROWTH</v>
      </c>
      <c r="Z972" s="41">
        <v>0</v>
      </c>
      <c r="AA972" s="36"/>
      <c r="AB972" s="36" t="s">
        <v>24</v>
      </c>
      <c r="AC972" s="36" t="s">
        <v>1836</v>
      </c>
      <c r="AD972" s="34"/>
      <c r="AE972" s="35">
        <f>IFERROR(INDEX([1]Last6M_AvgSales_Ref!$B$2:$B$12659,MATCH(D972,[1]Last6M_AvgSales_Ref!$A$2:$A$12659,0)),"")</f>
        <v>28.6666666666667</v>
      </c>
    </row>
    <row r="973" spans="1:31" ht="14.25" customHeight="1" x14ac:dyDescent="0.3">
      <c r="A973" s="36" t="s">
        <v>1836</v>
      </c>
      <c r="B973" s="38" t="s">
        <v>1932</v>
      </c>
      <c r="C973" s="38" t="s">
        <v>1994</v>
      </c>
      <c r="D973" s="38">
        <v>1000003387</v>
      </c>
      <c r="E973" s="38" t="s">
        <v>1995</v>
      </c>
      <c r="F973" s="40">
        <v>44984</v>
      </c>
      <c r="G973" s="22" t="str">
        <f t="shared" si="210"/>
        <v>Targeted Dealer</v>
      </c>
      <c r="H973" s="22"/>
      <c r="I973" s="23">
        <v>12</v>
      </c>
      <c r="J973" s="23">
        <f t="shared" si="211"/>
        <v>12</v>
      </c>
      <c r="K973" s="24">
        <v>12</v>
      </c>
      <c r="L973" s="24">
        <f t="shared" si="212"/>
        <v>0</v>
      </c>
      <c r="M973" s="24">
        <f t="shared" si="213"/>
        <v>100</v>
      </c>
      <c r="N973" s="25">
        <v>0</v>
      </c>
      <c r="O973" s="26" t="str">
        <f t="shared" si="214"/>
        <v>June</v>
      </c>
      <c r="P973" s="25">
        <f t="shared" si="215"/>
        <v>0</v>
      </c>
      <c r="Q973" s="27">
        <f t="shared" si="216"/>
        <v>12</v>
      </c>
      <c r="R973" s="26" t="b">
        <f t="shared" si="217"/>
        <v>0</v>
      </c>
      <c r="S973" s="28" t="b">
        <f t="shared" si="218"/>
        <v>0</v>
      </c>
      <c r="T973" s="24">
        <v>12</v>
      </c>
      <c r="U973" s="29" t="str">
        <f t="shared" si="219"/>
        <v>May</v>
      </c>
      <c r="V973" s="24">
        <f t="shared" si="220"/>
        <v>12</v>
      </c>
      <c r="W973" s="30">
        <f t="shared" si="221"/>
        <v>0</v>
      </c>
      <c r="X973" s="31" t="b">
        <f t="shared" si="222"/>
        <v>0</v>
      </c>
      <c r="Y973" s="32" t="str">
        <f t="shared" si="223"/>
        <v>GROWTH</v>
      </c>
      <c r="Z973" s="41">
        <v>0</v>
      </c>
      <c r="AA973" s="36"/>
      <c r="AB973" s="36" t="s">
        <v>24</v>
      </c>
      <c r="AC973" s="36" t="s">
        <v>1836</v>
      </c>
      <c r="AD973" s="34"/>
      <c r="AE973" s="35">
        <f>IFERROR(INDEX([1]Last6M_AvgSales_Ref!$B$2:$B$12659,MATCH(D973,[1]Last6M_AvgSales_Ref!$A$2:$A$12659,0)),"")</f>
        <v>8</v>
      </c>
    </row>
    <row r="974" spans="1:31" ht="14.25" customHeight="1" x14ac:dyDescent="0.3">
      <c r="A974" s="36" t="s">
        <v>1836</v>
      </c>
      <c r="B974" s="38" t="s">
        <v>1932</v>
      </c>
      <c r="C974" s="38" t="s">
        <v>1996</v>
      </c>
      <c r="D974" s="38">
        <v>1000003529</v>
      </c>
      <c r="E974" s="38" t="s">
        <v>1997</v>
      </c>
      <c r="F974" s="40">
        <v>45065</v>
      </c>
      <c r="G974" s="22" t="str">
        <f t="shared" si="210"/>
        <v>Targeted Dealer</v>
      </c>
      <c r="H974" s="22"/>
      <c r="I974" s="23">
        <v>50</v>
      </c>
      <c r="J974" s="23">
        <f t="shared" si="211"/>
        <v>50</v>
      </c>
      <c r="K974" s="24">
        <v>11</v>
      </c>
      <c r="L974" s="24">
        <f t="shared" si="212"/>
        <v>39</v>
      </c>
      <c r="M974" s="24">
        <f t="shared" si="213"/>
        <v>22</v>
      </c>
      <c r="N974" s="25">
        <v>0</v>
      </c>
      <c r="O974" s="26" t="str">
        <f t="shared" si="214"/>
        <v>June</v>
      </c>
      <c r="P974" s="25">
        <f t="shared" si="215"/>
        <v>0</v>
      </c>
      <c r="Q974" s="27">
        <f t="shared" si="216"/>
        <v>11</v>
      </c>
      <c r="R974" s="26" t="b">
        <f t="shared" si="217"/>
        <v>0</v>
      </c>
      <c r="S974" s="28" t="b">
        <f t="shared" si="218"/>
        <v>0</v>
      </c>
      <c r="T974" s="24">
        <v>6</v>
      </c>
      <c r="U974" s="29" t="str">
        <f t="shared" si="219"/>
        <v>May</v>
      </c>
      <c r="V974" s="24">
        <f t="shared" si="220"/>
        <v>6</v>
      </c>
      <c r="W974" s="30">
        <f t="shared" si="221"/>
        <v>5</v>
      </c>
      <c r="X974" s="31" t="b">
        <f t="shared" si="222"/>
        <v>0</v>
      </c>
      <c r="Y974" s="32" t="str">
        <f t="shared" si="223"/>
        <v>GROWTH</v>
      </c>
      <c r="Z974" s="41">
        <v>0</v>
      </c>
      <c r="AA974" s="36"/>
      <c r="AB974" s="36" t="s">
        <v>24</v>
      </c>
      <c r="AC974" s="36" t="s">
        <v>1836</v>
      </c>
      <c r="AD974" s="34"/>
      <c r="AE974" s="35">
        <f>IFERROR(INDEX([1]Last6M_AvgSales_Ref!$B$2:$B$12659,MATCH(D974,[1]Last6M_AvgSales_Ref!$A$2:$A$12659,0)),"")</f>
        <v>8</v>
      </c>
    </row>
    <row r="975" spans="1:31" ht="14.25" customHeight="1" x14ac:dyDescent="0.3">
      <c r="A975" s="36" t="s">
        <v>1836</v>
      </c>
      <c r="B975" s="38" t="s">
        <v>1932</v>
      </c>
      <c r="C975" s="38" t="s">
        <v>1998</v>
      </c>
      <c r="D975" s="38">
        <v>1000003730</v>
      </c>
      <c r="E975" s="38" t="s">
        <v>1999</v>
      </c>
      <c r="F975" s="40">
        <v>45217</v>
      </c>
      <c r="G975" s="22" t="str">
        <f t="shared" si="210"/>
        <v>Targeted Dealer</v>
      </c>
      <c r="H975" s="22"/>
      <c r="I975" s="23">
        <v>190</v>
      </c>
      <c r="J975" s="23">
        <f t="shared" si="211"/>
        <v>190</v>
      </c>
      <c r="K975" s="24">
        <v>192</v>
      </c>
      <c r="L975" s="24">
        <f t="shared" si="212"/>
        <v>-2</v>
      </c>
      <c r="M975" s="24">
        <f t="shared" si="213"/>
        <v>101.05263157894737</v>
      </c>
      <c r="N975" s="25">
        <v>168</v>
      </c>
      <c r="O975" s="26" t="str">
        <f t="shared" si="214"/>
        <v>June</v>
      </c>
      <c r="P975" s="25">
        <f t="shared" si="215"/>
        <v>168</v>
      </c>
      <c r="Q975" s="27">
        <f t="shared" si="216"/>
        <v>24</v>
      </c>
      <c r="R975" s="26" t="b">
        <f t="shared" si="217"/>
        <v>0</v>
      </c>
      <c r="S975" s="28" t="str">
        <f t="shared" si="218"/>
        <v>GROWTH</v>
      </c>
      <c r="T975" s="24">
        <v>183</v>
      </c>
      <c r="U975" s="29" t="str">
        <f t="shared" si="219"/>
        <v>May</v>
      </c>
      <c r="V975" s="24">
        <f t="shared" si="220"/>
        <v>183</v>
      </c>
      <c r="W975" s="30">
        <f t="shared" si="221"/>
        <v>9</v>
      </c>
      <c r="X975" s="31" t="b">
        <f t="shared" si="222"/>
        <v>0</v>
      </c>
      <c r="Y975" s="32" t="str">
        <f t="shared" si="223"/>
        <v>GROWTH</v>
      </c>
      <c r="Z975" s="41">
        <v>0</v>
      </c>
      <c r="AA975" s="36"/>
      <c r="AB975" s="36" t="s">
        <v>24</v>
      </c>
      <c r="AC975" s="36" t="s">
        <v>1836</v>
      </c>
      <c r="AD975" s="34"/>
      <c r="AE975" s="35">
        <f>IFERROR(INDEX([1]Last6M_AvgSales_Ref!$B$2:$B$12659,MATCH(D975,[1]Last6M_AvgSales_Ref!$A$2:$A$12659,0)),"")</f>
        <v>230</v>
      </c>
    </row>
    <row r="976" spans="1:31" ht="14.25" customHeight="1" x14ac:dyDescent="0.3">
      <c r="A976" s="36" t="s">
        <v>1836</v>
      </c>
      <c r="B976" s="38" t="s">
        <v>1932</v>
      </c>
      <c r="C976" s="44" t="s">
        <v>2000</v>
      </c>
      <c r="D976" s="44">
        <v>1000003869</v>
      </c>
      <c r="E976" s="44" t="s">
        <v>2001</v>
      </c>
      <c r="F976" s="40">
        <v>45349</v>
      </c>
      <c r="G976" s="22" t="str">
        <f t="shared" si="210"/>
        <v>-</v>
      </c>
      <c r="H976" s="22"/>
      <c r="I976" s="23">
        <v>0</v>
      </c>
      <c r="J976" s="23">
        <f t="shared" si="211"/>
        <v>0</v>
      </c>
      <c r="K976" s="24">
        <v>0</v>
      </c>
      <c r="L976" s="24">
        <f t="shared" si="212"/>
        <v>0</v>
      </c>
      <c r="M976" s="24" t="str">
        <f t="shared" si="213"/>
        <v>-</v>
      </c>
      <c r="N976" s="25">
        <v>0</v>
      </c>
      <c r="O976" s="26" t="str">
        <f t="shared" si="214"/>
        <v>June</v>
      </c>
      <c r="P976" s="25">
        <f t="shared" si="215"/>
        <v>0</v>
      </c>
      <c r="Q976" s="27">
        <f t="shared" si="216"/>
        <v>0</v>
      </c>
      <c r="R976" s="26" t="b">
        <f t="shared" si="217"/>
        <v>0</v>
      </c>
      <c r="S976" s="28" t="b">
        <f t="shared" si="218"/>
        <v>0</v>
      </c>
      <c r="T976" s="24">
        <v>12</v>
      </c>
      <c r="U976" s="29" t="str">
        <f t="shared" si="219"/>
        <v>May</v>
      </c>
      <c r="V976" s="24">
        <f t="shared" si="220"/>
        <v>12</v>
      </c>
      <c r="W976" s="30">
        <f t="shared" si="221"/>
        <v>-12</v>
      </c>
      <c r="X976" s="31" t="b">
        <f t="shared" si="222"/>
        <v>0</v>
      </c>
      <c r="Y976" s="32" t="str">
        <f t="shared" si="223"/>
        <v>GROWTH</v>
      </c>
      <c r="Z976" s="41">
        <v>0</v>
      </c>
      <c r="AA976" s="36"/>
      <c r="AB976" s="36" t="s">
        <v>24</v>
      </c>
      <c r="AC976" s="36" t="s">
        <v>1836</v>
      </c>
      <c r="AD976" s="34"/>
      <c r="AE976" s="35">
        <f>IFERROR(INDEX([1]Last6M_AvgSales_Ref!$B$2:$B$12659,MATCH(D976,[1]Last6M_AvgSales_Ref!$A$2:$A$12659,0)),"")</f>
        <v>24.5833333333333</v>
      </c>
    </row>
    <row r="977" spans="1:31" ht="14.25" customHeight="1" x14ac:dyDescent="0.3">
      <c r="A977" s="36" t="s">
        <v>1836</v>
      </c>
      <c r="B977" s="44" t="s">
        <v>1932</v>
      </c>
      <c r="C977" s="44" t="s">
        <v>2002</v>
      </c>
      <c r="D977" s="44">
        <v>1000003898</v>
      </c>
      <c r="E977" s="44" t="s">
        <v>2003</v>
      </c>
      <c r="F977" s="40">
        <v>45381</v>
      </c>
      <c r="G977" s="22" t="str">
        <f t="shared" si="210"/>
        <v>Targeted Dealer</v>
      </c>
      <c r="H977" s="22"/>
      <c r="I977" s="23">
        <v>1500</v>
      </c>
      <c r="J977" s="23">
        <f t="shared" si="211"/>
        <v>1500</v>
      </c>
      <c r="K977" s="24">
        <v>1505.5</v>
      </c>
      <c r="L977" s="24">
        <f t="shared" si="212"/>
        <v>-5.5</v>
      </c>
      <c r="M977" s="24">
        <f t="shared" si="213"/>
        <v>100.36666666666666</v>
      </c>
      <c r="N977" s="25">
        <v>1006.5</v>
      </c>
      <c r="O977" s="26" t="str">
        <f t="shared" si="214"/>
        <v>June</v>
      </c>
      <c r="P977" s="25">
        <f t="shared" si="215"/>
        <v>1006.5</v>
      </c>
      <c r="Q977" s="27">
        <f t="shared" si="216"/>
        <v>499</v>
      </c>
      <c r="R977" s="26" t="b">
        <f t="shared" si="217"/>
        <v>0</v>
      </c>
      <c r="S977" s="28" t="str">
        <f t="shared" si="218"/>
        <v>GROWTH</v>
      </c>
      <c r="T977" s="24">
        <v>1370.5</v>
      </c>
      <c r="U977" s="29" t="str">
        <f t="shared" si="219"/>
        <v>May</v>
      </c>
      <c r="V977" s="24">
        <f t="shared" si="220"/>
        <v>1370.5</v>
      </c>
      <c r="W977" s="30">
        <f t="shared" si="221"/>
        <v>135</v>
      </c>
      <c r="X977" s="31" t="b">
        <f t="shared" si="222"/>
        <v>0</v>
      </c>
      <c r="Y977" s="32" t="str">
        <f t="shared" si="223"/>
        <v>GROWTH</v>
      </c>
      <c r="Z977" s="41">
        <v>0</v>
      </c>
      <c r="AA977" s="36"/>
      <c r="AB977" s="36" t="s">
        <v>24</v>
      </c>
      <c r="AC977" s="36" t="s">
        <v>1836</v>
      </c>
      <c r="AD977" s="34"/>
      <c r="AE977" s="35">
        <f>IFERROR(INDEX([1]Last6M_AvgSales_Ref!$B$2:$B$12659,MATCH(D977,[1]Last6M_AvgSales_Ref!$A$2:$A$12659,0)),"")</f>
        <v>1814.31666666667</v>
      </c>
    </row>
    <row r="978" spans="1:31" ht="14.25" customHeight="1" x14ac:dyDescent="0.3">
      <c r="A978" s="36" t="s">
        <v>1836</v>
      </c>
      <c r="B978" s="38" t="s">
        <v>2004</v>
      </c>
      <c r="C978" s="38" t="s">
        <v>2005</v>
      </c>
      <c r="D978" s="38">
        <v>1000002667</v>
      </c>
      <c r="E978" s="38" t="s">
        <v>2006</v>
      </c>
      <c r="F978" s="40">
        <v>44739</v>
      </c>
      <c r="G978" s="22" t="str">
        <f t="shared" si="210"/>
        <v>Targeted Dealer</v>
      </c>
      <c r="H978" s="22"/>
      <c r="I978" s="23">
        <v>70</v>
      </c>
      <c r="J978" s="23">
        <f t="shared" si="211"/>
        <v>70</v>
      </c>
      <c r="K978" s="24">
        <v>63</v>
      </c>
      <c r="L978" s="24">
        <f t="shared" si="212"/>
        <v>7</v>
      </c>
      <c r="M978" s="24">
        <f t="shared" si="213"/>
        <v>90</v>
      </c>
      <c r="N978" s="25">
        <v>68</v>
      </c>
      <c r="O978" s="26" t="str">
        <f t="shared" si="214"/>
        <v>June</v>
      </c>
      <c r="P978" s="25">
        <f t="shared" si="215"/>
        <v>68</v>
      </c>
      <c r="Q978" s="27">
        <f t="shared" si="216"/>
        <v>-5</v>
      </c>
      <c r="R978" s="26" t="b">
        <f t="shared" si="217"/>
        <v>0</v>
      </c>
      <c r="S978" s="28" t="str">
        <f t="shared" si="218"/>
        <v>GROWTH</v>
      </c>
      <c r="T978" s="24">
        <v>13</v>
      </c>
      <c r="U978" s="29" t="str">
        <f t="shared" si="219"/>
        <v>May</v>
      </c>
      <c r="V978" s="24">
        <f t="shared" si="220"/>
        <v>13</v>
      </c>
      <c r="W978" s="30">
        <f t="shared" si="221"/>
        <v>50</v>
      </c>
      <c r="X978" s="31" t="b">
        <f t="shared" si="222"/>
        <v>0</v>
      </c>
      <c r="Y978" s="32" t="str">
        <f t="shared" si="223"/>
        <v>GROWTH</v>
      </c>
      <c r="Z978" s="41">
        <v>0</v>
      </c>
      <c r="AA978" s="36"/>
      <c r="AB978" s="36" t="s">
        <v>24</v>
      </c>
      <c r="AC978" s="36" t="s">
        <v>1836</v>
      </c>
      <c r="AD978" s="34"/>
      <c r="AE978" s="35">
        <f>IFERROR(INDEX([1]Last6M_AvgSales_Ref!$B$2:$B$12659,MATCH(D978,[1]Last6M_AvgSales_Ref!$A$2:$A$12659,0)),"")</f>
        <v>26.1666666666667</v>
      </c>
    </row>
    <row r="979" spans="1:31" ht="14.25" customHeight="1" x14ac:dyDescent="0.3">
      <c r="A979" s="36" t="s">
        <v>1836</v>
      </c>
      <c r="B979" s="38" t="s">
        <v>2004</v>
      </c>
      <c r="C979" s="38" t="s">
        <v>2007</v>
      </c>
      <c r="D979" s="38">
        <v>1000002659</v>
      </c>
      <c r="E979" s="38" t="s">
        <v>2008</v>
      </c>
      <c r="F979" s="40">
        <v>44739</v>
      </c>
      <c r="G979" s="22" t="str">
        <f t="shared" si="210"/>
        <v>Targeted Dealer</v>
      </c>
      <c r="H979" s="22"/>
      <c r="I979" s="23">
        <v>30</v>
      </c>
      <c r="J979" s="23">
        <f t="shared" si="211"/>
        <v>30</v>
      </c>
      <c r="K979" s="24">
        <v>24</v>
      </c>
      <c r="L979" s="24">
        <f t="shared" si="212"/>
        <v>6</v>
      </c>
      <c r="M979" s="24">
        <f t="shared" si="213"/>
        <v>80</v>
      </c>
      <c r="N979" s="25">
        <v>60</v>
      </c>
      <c r="O979" s="26" t="str">
        <f t="shared" si="214"/>
        <v>June</v>
      </c>
      <c r="P979" s="25">
        <f t="shared" si="215"/>
        <v>60</v>
      </c>
      <c r="Q979" s="27">
        <f t="shared" si="216"/>
        <v>-36</v>
      </c>
      <c r="R979" s="26" t="b">
        <f t="shared" si="217"/>
        <v>0</v>
      </c>
      <c r="S979" s="28" t="str">
        <f t="shared" si="218"/>
        <v>GROWTH</v>
      </c>
      <c r="T979" s="24">
        <v>23</v>
      </c>
      <c r="U979" s="29" t="str">
        <f t="shared" si="219"/>
        <v>May</v>
      </c>
      <c r="V979" s="24">
        <f t="shared" si="220"/>
        <v>23</v>
      </c>
      <c r="W979" s="30">
        <f t="shared" si="221"/>
        <v>1</v>
      </c>
      <c r="X979" s="31" t="b">
        <f t="shared" si="222"/>
        <v>0</v>
      </c>
      <c r="Y979" s="32" t="str">
        <f t="shared" si="223"/>
        <v>GROWTH</v>
      </c>
      <c r="Z979" s="41">
        <v>0</v>
      </c>
      <c r="AA979" s="36"/>
      <c r="AB979" s="36" t="s">
        <v>24</v>
      </c>
      <c r="AC979" s="36" t="s">
        <v>1836</v>
      </c>
      <c r="AD979" s="34"/>
      <c r="AE979" s="35">
        <f>IFERROR(INDEX([1]Last6M_AvgSales_Ref!$B$2:$B$12659,MATCH(D979,[1]Last6M_AvgSales_Ref!$A$2:$A$12659,0)),"")</f>
        <v>11.1666666666667</v>
      </c>
    </row>
    <row r="980" spans="1:31" ht="14.25" customHeight="1" x14ac:dyDescent="0.3">
      <c r="A980" s="36" t="s">
        <v>1836</v>
      </c>
      <c r="B980" s="38" t="s">
        <v>2004</v>
      </c>
      <c r="C980" s="38" t="s">
        <v>2009</v>
      </c>
      <c r="D980" s="38">
        <v>1000001879</v>
      </c>
      <c r="E980" s="39" t="s">
        <v>2010</v>
      </c>
      <c r="F980" s="40">
        <v>42059</v>
      </c>
      <c r="G980" s="22" t="str">
        <f t="shared" si="210"/>
        <v>Targeted Dealer</v>
      </c>
      <c r="H980" s="22"/>
      <c r="I980" s="23">
        <v>100</v>
      </c>
      <c r="J980" s="23">
        <f t="shared" si="211"/>
        <v>100</v>
      </c>
      <c r="K980" s="24">
        <v>66</v>
      </c>
      <c r="L980" s="24">
        <f t="shared" si="212"/>
        <v>34</v>
      </c>
      <c r="M980" s="24">
        <f t="shared" si="213"/>
        <v>66</v>
      </c>
      <c r="N980" s="25">
        <v>83.5</v>
      </c>
      <c r="O980" s="26" t="str">
        <f t="shared" si="214"/>
        <v>June</v>
      </c>
      <c r="P980" s="25">
        <f t="shared" si="215"/>
        <v>83.5</v>
      </c>
      <c r="Q980" s="27">
        <f t="shared" si="216"/>
        <v>-17.5</v>
      </c>
      <c r="R980" s="26" t="b">
        <f t="shared" si="217"/>
        <v>0</v>
      </c>
      <c r="S980" s="28" t="str">
        <f t="shared" si="218"/>
        <v>GROWTH</v>
      </c>
      <c r="T980" s="24">
        <v>51</v>
      </c>
      <c r="U980" s="29" t="str">
        <f t="shared" si="219"/>
        <v>May</v>
      </c>
      <c r="V980" s="24">
        <f t="shared" si="220"/>
        <v>51</v>
      </c>
      <c r="W980" s="30">
        <f t="shared" si="221"/>
        <v>15</v>
      </c>
      <c r="X980" s="31" t="b">
        <f t="shared" si="222"/>
        <v>0</v>
      </c>
      <c r="Y980" s="32" t="str">
        <f t="shared" si="223"/>
        <v>GROWTH</v>
      </c>
      <c r="Z980" s="41">
        <v>0</v>
      </c>
      <c r="AA980" s="36"/>
      <c r="AB980" s="36" t="s">
        <v>24</v>
      </c>
      <c r="AC980" s="36" t="s">
        <v>1836</v>
      </c>
      <c r="AD980" s="34"/>
      <c r="AE980" s="35">
        <f>IFERROR(INDEX([1]Last6M_AvgSales_Ref!$B$2:$B$12659,MATCH(D980,[1]Last6M_AvgSales_Ref!$A$2:$A$12659,0)),"")</f>
        <v>40.75</v>
      </c>
    </row>
    <row r="981" spans="1:31" ht="14.25" customHeight="1" x14ac:dyDescent="0.3">
      <c r="A981" s="36" t="s">
        <v>1836</v>
      </c>
      <c r="B981" s="38" t="s">
        <v>2004</v>
      </c>
      <c r="C981" s="38" t="s">
        <v>2011</v>
      </c>
      <c r="D981" s="38">
        <v>1000001887</v>
      </c>
      <c r="E981" s="39" t="s">
        <v>2012</v>
      </c>
      <c r="F981" s="40">
        <v>42116</v>
      </c>
      <c r="G981" s="22" t="str">
        <f t="shared" si="210"/>
        <v>Targeted Dealer</v>
      </c>
      <c r="H981" s="22"/>
      <c r="I981" s="23">
        <v>200</v>
      </c>
      <c r="J981" s="23">
        <f t="shared" si="211"/>
        <v>200</v>
      </c>
      <c r="K981" s="24">
        <v>117</v>
      </c>
      <c r="L981" s="24">
        <f t="shared" si="212"/>
        <v>83</v>
      </c>
      <c r="M981" s="24">
        <f t="shared" si="213"/>
        <v>58.5</v>
      </c>
      <c r="N981" s="25">
        <v>170.3</v>
      </c>
      <c r="O981" s="26" t="str">
        <f t="shared" si="214"/>
        <v>June</v>
      </c>
      <c r="P981" s="25">
        <f t="shared" si="215"/>
        <v>170.3</v>
      </c>
      <c r="Q981" s="27">
        <f t="shared" si="216"/>
        <v>-53.300000000000011</v>
      </c>
      <c r="R981" s="26" t="b">
        <f t="shared" si="217"/>
        <v>0</v>
      </c>
      <c r="S981" s="28" t="str">
        <f t="shared" si="218"/>
        <v>GROWTH</v>
      </c>
      <c r="T981" s="24">
        <v>143.5</v>
      </c>
      <c r="U981" s="29" t="str">
        <f t="shared" si="219"/>
        <v>May</v>
      </c>
      <c r="V981" s="24">
        <f t="shared" si="220"/>
        <v>143.5</v>
      </c>
      <c r="W981" s="30">
        <f t="shared" si="221"/>
        <v>-26.5</v>
      </c>
      <c r="X981" s="31" t="b">
        <f t="shared" si="222"/>
        <v>0</v>
      </c>
      <c r="Y981" s="32" t="str">
        <f t="shared" si="223"/>
        <v>GROWTH</v>
      </c>
      <c r="Z981" s="41">
        <v>0</v>
      </c>
      <c r="AA981" s="36"/>
      <c r="AB981" s="36" t="s">
        <v>24</v>
      </c>
      <c r="AC981" s="36" t="s">
        <v>1836</v>
      </c>
      <c r="AD981" s="34"/>
      <c r="AE981" s="35">
        <f>IFERROR(INDEX([1]Last6M_AvgSales_Ref!$B$2:$B$12659,MATCH(D981,[1]Last6M_AvgSales_Ref!$A$2:$A$12659,0)),"")</f>
        <v>153.99166666666699</v>
      </c>
    </row>
    <row r="982" spans="1:31" ht="14.25" customHeight="1" x14ac:dyDescent="0.3">
      <c r="A982" s="36" t="s">
        <v>1836</v>
      </c>
      <c r="B982" s="38" t="s">
        <v>2004</v>
      </c>
      <c r="C982" s="38" t="s">
        <v>2013</v>
      </c>
      <c r="D982" s="38">
        <v>1000001892</v>
      </c>
      <c r="E982" s="39" t="s">
        <v>2014</v>
      </c>
      <c r="F982" s="40">
        <v>42214</v>
      </c>
      <c r="G982" s="22" t="str">
        <f t="shared" si="210"/>
        <v>Targeted Dealer</v>
      </c>
      <c r="H982" s="22"/>
      <c r="I982" s="23">
        <v>390</v>
      </c>
      <c r="J982" s="23">
        <f t="shared" si="211"/>
        <v>390</v>
      </c>
      <c r="K982" s="24">
        <v>314.5</v>
      </c>
      <c r="L982" s="24">
        <f t="shared" si="212"/>
        <v>75.5</v>
      </c>
      <c r="M982" s="24">
        <f t="shared" si="213"/>
        <v>80.641025641025649</v>
      </c>
      <c r="N982" s="25">
        <v>429.75</v>
      </c>
      <c r="O982" s="26" t="str">
        <f t="shared" si="214"/>
        <v>June</v>
      </c>
      <c r="P982" s="25">
        <f t="shared" si="215"/>
        <v>429.75</v>
      </c>
      <c r="Q982" s="27">
        <f t="shared" si="216"/>
        <v>-115.25</v>
      </c>
      <c r="R982" s="26" t="b">
        <f t="shared" si="217"/>
        <v>0</v>
      </c>
      <c r="S982" s="28" t="str">
        <f t="shared" si="218"/>
        <v>GROWTH</v>
      </c>
      <c r="T982" s="24">
        <v>246</v>
      </c>
      <c r="U982" s="29" t="str">
        <f t="shared" si="219"/>
        <v>May</v>
      </c>
      <c r="V982" s="24">
        <f t="shared" si="220"/>
        <v>246</v>
      </c>
      <c r="W982" s="30">
        <f t="shared" si="221"/>
        <v>68.5</v>
      </c>
      <c r="X982" s="31" t="b">
        <f t="shared" si="222"/>
        <v>0</v>
      </c>
      <c r="Y982" s="32" t="str">
        <f t="shared" si="223"/>
        <v>GROWTH</v>
      </c>
      <c r="Z982" s="41">
        <v>0</v>
      </c>
      <c r="AA982" s="36"/>
      <c r="AB982" s="36" t="s">
        <v>24</v>
      </c>
      <c r="AC982" s="36" t="s">
        <v>1836</v>
      </c>
      <c r="AD982" s="34"/>
      <c r="AE982" s="35">
        <f>IFERROR(INDEX([1]Last6M_AvgSales_Ref!$B$2:$B$12659,MATCH(D982,[1]Last6M_AvgSales_Ref!$A$2:$A$12659,0)),"")</f>
        <v>417.16666666666703</v>
      </c>
    </row>
    <row r="983" spans="1:31" ht="14.25" customHeight="1" x14ac:dyDescent="0.3">
      <c r="A983" s="36" t="s">
        <v>1836</v>
      </c>
      <c r="B983" s="38" t="s">
        <v>2004</v>
      </c>
      <c r="C983" s="38" t="s">
        <v>2015</v>
      </c>
      <c r="D983" s="38">
        <v>1000001874</v>
      </c>
      <c r="E983" s="39" t="s">
        <v>2016</v>
      </c>
      <c r="F983" s="40">
        <v>42220</v>
      </c>
      <c r="G983" s="22" t="str">
        <f t="shared" si="210"/>
        <v>Targeted Dealer</v>
      </c>
      <c r="H983" s="22"/>
      <c r="I983" s="23">
        <v>200</v>
      </c>
      <c r="J983" s="23">
        <f t="shared" si="211"/>
        <v>200</v>
      </c>
      <c r="K983" s="24">
        <v>248</v>
      </c>
      <c r="L983" s="24">
        <f t="shared" si="212"/>
        <v>-48</v>
      </c>
      <c r="M983" s="24">
        <f t="shared" si="213"/>
        <v>124</v>
      </c>
      <c r="N983" s="25">
        <v>223</v>
      </c>
      <c r="O983" s="26" t="str">
        <f t="shared" si="214"/>
        <v>June</v>
      </c>
      <c r="P983" s="25">
        <f t="shared" si="215"/>
        <v>223</v>
      </c>
      <c r="Q983" s="27">
        <f t="shared" si="216"/>
        <v>25</v>
      </c>
      <c r="R983" s="26" t="b">
        <f t="shared" si="217"/>
        <v>0</v>
      </c>
      <c r="S983" s="28" t="str">
        <f t="shared" si="218"/>
        <v>GROWTH</v>
      </c>
      <c r="T983" s="24">
        <v>127.5</v>
      </c>
      <c r="U983" s="29" t="str">
        <f t="shared" si="219"/>
        <v>May</v>
      </c>
      <c r="V983" s="24">
        <f t="shared" si="220"/>
        <v>127.5</v>
      </c>
      <c r="W983" s="30">
        <f t="shared" si="221"/>
        <v>120.5</v>
      </c>
      <c r="X983" s="31" t="b">
        <f t="shared" si="222"/>
        <v>0</v>
      </c>
      <c r="Y983" s="32" t="str">
        <f t="shared" si="223"/>
        <v>GROWTH</v>
      </c>
      <c r="Z983" s="41">
        <v>0</v>
      </c>
      <c r="AA983" s="36"/>
      <c r="AB983" s="36" t="s">
        <v>24</v>
      </c>
      <c r="AC983" s="36" t="s">
        <v>1836</v>
      </c>
      <c r="AD983" s="34"/>
      <c r="AE983" s="35">
        <f>IFERROR(INDEX([1]Last6M_AvgSales_Ref!$B$2:$B$12659,MATCH(D983,[1]Last6M_AvgSales_Ref!$A$2:$A$12659,0)),"")</f>
        <v>129.583333333333</v>
      </c>
    </row>
    <row r="984" spans="1:31" ht="14.25" customHeight="1" x14ac:dyDescent="0.3">
      <c r="A984" s="36" t="s">
        <v>1836</v>
      </c>
      <c r="B984" s="38" t="s">
        <v>2004</v>
      </c>
      <c r="C984" s="38" t="s">
        <v>2017</v>
      </c>
      <c r="D984" s="38">
        <v>1000001877</v>
      </c>
      <c r="E984" s="39" t="s">
        <v>2018</v>
      </c>
      <c r="F984" s="40">
        <v>42343</v>
      </c>
      <c r="G984" s="22" t="str">
        <f t="shared" si="210"/>
        <v>-</v>
      </c>
      <c r="H984" s="22"/>
      <c r="I984" s="23">
        <v>0</v>
      </c>
      <c r="J984" s="23">
        <f t="shared" si="211"/>
        <v>0</v>
      </c>
      <c r="K984" s="24">
        <v>0</v>
      </c>
      <c r="L984" s="24">
        <f t="shared" si="212"/>
        <v>0</v>
      </c>
      <c r="M984" s="24" t="str">
        <f t="shared" si="213"/>
        <v>-</v>
      </c>
      <c r="N984" s="25">
        <v>0</v>
      </c>
      <c r="O984" s="26" t="str">
        <f t="shared" si="214"/>
        <v>June</v>
      </c>
      <c r="P984" s="25">
        <f t="shared" si="215"/>
        <v>0</v>
      </c>
      <c r="Q984" s="27">
        <f t="shared" si="216"/>
        <v>0</v>
      </c>
      <c r="R984" s="26" t="b">
        <f t="shared" si="217"/>
        <v>0</v>
      </c>
      <c r="S984" s="28" t="b">
        <f t="shared" si="218"/>
        <v>0</v>
      </c>
      <c r="T984" s="24">
        <v>280.5</v>
      </c>
      <c r="U984" s="29" t="str">
        <f t="shared" si="219"/>
        <v>May</v>
      </c>
      <c r="V984" s="24">
        <f t="shared" si="220"/>
        <v>280.5</v>
      </c>
      <c r="W984" s="30">
        <f t="shared" si="221"/>
        <v>-280.5</v>
      </c>
      <c r="X984" s="31" t="b">
        <f t="shared" si="222"/>
        <v>0</v>
      </c>
      <c r="Y984" s="32" t="str">
        <f t="shared" si="223"/>
        <v>GROWTH</v>
      </c>
      <c r="Z984" s="41">
        <v>0</v>
      </c>
      <c r="AA984" s="36"/>
      <c r="AB984" s="36" t="s">
        <v>24</v>
      </c>
      <c r="AC984" s="36" t="s">
        <v>1836</v>
      </c>
      <c r="AD984" s="34"/>
      <c r="AE984" s="35">
        <f>IFERROR(INDEX([1]Last6M_AvgSales_Ref!$B$2:$B$12659,MATCH(D984,[1]Last6M_AvgSales_Ref!$A$2:$A$12659,0)),"")</f>
        <v>400.70833333333297</v>
      </c>
    </row>
    <row r="985" spans="1:31" ht="14.25" customHeight="1" x14ac:dyDescent="0.3">
      <c r="A985" s="36" t="s">
        <v>1836</v>
      </c>
      <c r="B985" s="38" t="s">
        <v>2004</v>
      </c>
      <c r="C985" s="38" t="s">
        <v>2019</v>
      </c>
      <c r="D985" s="38">
        <v>1000001901</v>
      </c>
      <c r="E985" s="39" t="s">
        <v>2020</v>
      </c>
      <c r="F985" s="40">
        <v>43479</v>
      </c>
      <c r="G985" s="22" t="str">
        <f t="shared" si="210"/>
        <v>Targeted Dealer</v>
      </c>
      <c r="H985" s="22"/>
      <c r="I985" s="23">
        <v>480</v>
      </c>
      <c r="J985" s="23">
        <f t="shared" si="211"/>
        <v>480</v>
      </c>
      <c r="K985" s="24">
        <v>387</v>
      </c>
      <c r="L985" s="24">
        <f t="shared" si="212"/>
        <v>93</v>
      </c>
      <c r="M985" s="24">
        <f t="shared" si="213"/>
        <v>80.625</v>
      </c>
      <c r="N985" s="25">
        <v>318</v>
      </c>
      <c r="O985" s="26" t="str">
        <f t="shared" si="214"/>
        <v>June</v>
      </c>
      <c r="P985" s="25">
        <f t="shared" si="215"/>
        <v>318</v>
      </c>
      <c r="Q985" s="27">
        <f t="shared" si="216"/>
        <v>69</v>
      </c>
      <c r="R985" s="26" t="b">
        <f t="shared" si="217"/>
        <v>0</v>
      </c>
      <c r="S985" s="28" t="str">
        <f t="shared" si="218"/>
        <v>GROWTH</v>
      </c>
      <c r="T985" s="24">
        <v>224.45</v>
      </c>
      <c r="U985" s="29" t="str">
        <f t="shared" si="219"/>
        <v>May</v>
      </c>
      <c r="V985" s="24">
        <f t="shared" si="220"/>
        <v>224.45</v>
      </c>
      <c r="W985" s="30">
        <f t="shared" si="221"/>
        <v>162.55000000000001</v>
      </c>
      <c r="X985" s="31" t="b">
        <f t="shared" si="222"/>
        <v>0</v>
      </c>
      <c r="Y985" s="32" t="str">
        <f t="shared" si="223"/>
        <v>GROWTH</v>
      </c>
      <c r="Z985" s="41">
        <v>0</v>
      </c>
      <c r="AA985" s="36"/>
      <c r="AB985" s="36" t="s">
        <v>24</v>
      </c>
      <c r="AC985" s="36" t="s">
        <v>1836</v>
      </c>
      <c r="AD985" s="34"/>
      <c r="AE985" s="35">
        <f>IFERROR(INDEX([1]Last6M_AvgSales_Ref!$B$2:$B$12659,MATCH(D985,[1]Last6M_AvgSales_Ref!$A$2:$A$12659,0)),"")</f>
        <v>381.8</v>
      </c>
    </row>
    <row r="986" spans="1:31" ht="14.25" customHeight="1" x14ac:dyDescent="0.3">
      <c r="A986" s="36" t="s">
        <v>1836</v>
      </c>
      <c r="B986" s="38" t="s">
        <v>2004</v>
      </c>
      <c r="C986" s="38" t="s">
        <v>2021</v>
      </c>
      <c r="D986" s="38">
        <v>1000002781</v>
      </c>
      <c r="E986" s="38" t="s">
        <v>2022</v>
      </c>
      <c r="F986" s="40">
        <v>44699</v>
      </c>
      <c r="G986" s="22" t="str">
        <f t="shared" si="210"/>
        <v>Targeted Dealer</v>
      </c>
      <c r="H986" s="22"/>
      <c r="I986" s="23">
        <v>60</v>
      </c>
      <c r="J986" s="23">
        <f t="shared" si="211"/>
        <v>60</v>
      </c>
      <c r="K986" s="24">
        <v>41</v>
      </c>
      <c r="L986" s="24">
        <f t="shared" si="212"/>
        <v>19</v>
      </c>
      <c r="M986" s="24">
        <f t="shared" si="213"/>
        <v>68.333333333333343</v>
      </c>
      <c r="N986" s="25">
        <v>71</v>
      </c>
      <c r="O986" s="26" t="str">
        <f t="shared" si="214"/>
        <v>June</v>
      </c>
      <c r="P986" s="25">
        <f t="shared" si="215"/>
        <v>71</v>
      </c>
      <c r="Q986" s="27">
        <f t="shared" si="216"/>
        <v>-30</v>
      </c>
      <c r="R986" s="26" t="b">
        <f t="shared" si="217"/>
        <v>0</v>
      </c>
      <c r="S986" s="28" t="str">
        <f t="shared" si="218"/>
        <v>GROWTH</v>
      </c>
      <c r="T986" s="24">
        <v>0</v>
      </c>
      <c r="U986" s="29" t="str">
        <f t="shared" si="219"/>
        <v>May</v>
      </c>
      <c r="V986" s="24">
        <f t="shared" si="220"/>
        <v>0</v>
      </c>
      <c r="W986" s="30">
        <f t="shared" si="221"/>
        <v>41</v>
      </c>
      <c r="X986" s="31" t="b">
        <f t="shared" si="222"/>
        <v>0</v>
      </c>
      <c r="Y986" s="32" t="b">
        <f t="shared" si="223"/>
        <v>0</v>
      </c>
      <c r="Z986" s="41">
        <v>0</v>
      </c>
      <c r="AA986" s="36"/>
      <c r="AB986" s="36" t="s">
        <v>24</v>
      </c>
      <c r="AC986" s="36" t="s">
        <v>1836</v>
      </c>
      <c r="AD986" s="34"/>
      <c r="AE986" s="35">
        <f>IFERROR(INDEX([1]Last6M_AvgSales_Ref!$B$2:$B$12659,MATCH(D986,[1]Last6M_AvgSales_Ref!$A$2:$A$12659,0)),"")</f>
        <v>35.1666666666667</v>
      </c>
    </row>
    <row r="987" spans="1:31" ht="14.25" customHeight="1" x14ac:dyDescent="0.3">
      <c r="A987" s="36" t="s">
        <v>1836</v>
      </c>
      <c r="B987" s="38" t="s">
        <v>2004</v>
      </c>
      <c r="C987" s="38" t="s">
        <v>2023</v>
      </c>
      <c r="D987" s="38">
        <v>1000003495</v>
      </c>
      <c r="E987" s="38" t="s">
        <v>2024</v>
      </c>
      <c r="F987" s="40">
        <v>45041</v>
      </c>
      <c r="G987" s="22" t="str">
        <f t="shared" si="210"/>
        <v>Targeted Dealer</v>
      </c>
      <c r="H987" s="22"/>
      <c r="I987" s="23">
        <v>180</v>
      </c>
      <c r="J987" s="23">
        <f t="shared" si="211"/>
        <v>180</v>
      </c>
      <c r="K987" s="24">
        <v>154.5</v>
      </c>
      <c r="L987" s="24">
        <f t="shared" si="212"/>
        <v>25.5</v>
      </c>
      <c r="M987" s="24">
        <f t="shared" si="213"/>
        <v>85.833333333333329</v>
      </c>
      <c r="N987" s="25">
        <v>101</v>
      </c>
      <c r="O987" s="26" t="str">
        <f t="shared" si="214"/>
        <v>June</v>
      </c>
      <c r="P987" s="25">
        <f t="shared" si="215"/>
        <v>101</v>
      </c>
      <c r="Q987" s="27">
        <f t="shared" si="216"/>
        <v>53.5</v>
      </c>
      <c r="R987" s="26" t="b">
        <f t="shared" si="217"/>
        <v>0</v>
      </c>
      <c r="S987" s="28" t="str">
        <f t="shared" si="218"/>
        <v>GROWTH</v>
      </c>
      <c r="T987" s="24">
        <v>159.5</v>
      </c>
      <c r="U987" s="29" t="str">
        <f t="shared" si="219"/>
        <v>May</v>
      </c>
      <c r="V987" s="24">
        <f t="shared" si="220"/>
        <v>159.5</v>
      </c>
      <c r="W987" s="30">
        <f t="shared" si="221"/>
        <v>-5</v>
      </c>
      <c r="X987" s="31" t="b">
        <f t="shared" si="222"/>
        <v>0</v>
      </c>
      <c r="Y987" s="32" t="str">
        <f t="shared" si="223"/>
        <v>GROWTH</v>
      </c>
      <c r="Z987" s="41">
        <v>0</v>
      </c>
      <c r="AA987" s="36"/>
      <c r="AB987" s="36" t="s">
        <v>24</v>
      </c>
      <c r="AC987" s="36" t="s">
        <v>1836</v>
      </c>
      <c r="AD987" s="34"/>
      <c r="AE987" s="35">
        <f>IFERROR(INDEX([1]Last6M_AvgSales_Ref!$B$2:$B$12659,MATCH(D987,[1]Last6M_AvgSales_Ref!$A$2:$A$12659,0)),"")</f>
        <v>121.083333333333</v>
      </c>
    </row>
    <row r="988" spans="1:31" ht="14.25" customHeight="1" x14ac:dyDescent="0.3">
      <c r="A988" s="36" t="s">
        <v>1836</v>
      </c>
      <c r="B988" s="38" t="s">
        <v>2004</v>
      </c>
      <c r="C988" s="38" t="s">
        <v>2025</v>
      </c>
      <c r="D988" s="38">
        <v>1000003658</v>
      </c>
      <c r="E988" s="38" t="s">
        <v>2026</v>
      </c>
      <c r="F988" s="40">
        <v>45136</v>
      </c>
      <c r="G988" s="22" t="str">
        <f t="shared" si="210"/>
        <v>Targeted Dealer</v>
      </c>
      <c r="H988" s="22"/>
      <c r="I988" s="23">
        <v>300</v>
      </c>
      <c r="J988" s="23">
        <f t="shared" si="211"/>
        <v>300</v>
      </c>
      <c r="K988" s="24">
        <v>426.75</v>
      </c>
      <c r="L988" s="24">
        <f t="shared" si="212"/>
        <v>-126.75</v>
      </c>
      <c r="M988" s="24">
        <f t="shared" si="213"/>
        <v>142.25</v>
      </c>
      <c r="N988" s="25">
        <v>303</v>
      </c>
      <c r="O988" s="26" t="str">
        <f t="shared" si="214"/>
        <v>June</v>
      </c>
      <c r="P988" s="25">
        <f t="shared" si="215"/>
        <v>303</v>
      </c>
      <c r="Q988" s="27">
        <f t="shared" si="216"/>
        <v>123.75</v>
      </c>
      <c r="R988" s="26" t="b">
        <f t="shared" si="217"/>
        <v>0</v>
      </c>
      <c r="S988" s="28" t="str">
        <f t="shared" si="218"/>
        <v>GROWTH</v>
      </c>
      <c r="T988" s="24">
        <v>71.5</v>
      </c>
      <c r="U988" s="29" t="str">
        <f t="shared" si="219"/>
        <v>May</v>
      </c>
      <c r="V988" s="24">
        <f t="shared" si="220"/>
        <v>71.5</v>
      </c>
      <c r="W988" s="30">
        <f t="shared" si="221"/>
        <v>355.25</v>
      </c>
      <c r="X988" s="31" t="b">
        <f t="shared" si="222"/>
        <v>0</v>
      </c>
      <c r="Y988" s="32" t="str">
        <f t="shared" si="223"/>
        <v>GROWTH</v>
      </c>
      <c r="Z988" s="41">
        <v>0</v>
      </c>
      <c r="AA988" s="36"/>
      <c r="AB988" s="36" t="s">
        <v>24</v>
      </c>
      <c r="AC988" s="36" t="s">
        <v>1836</v>
      </c>
      <c r="AD988" s="34"/>
      <c r="AE988" s="35">
        <f>IFERROR(INDEX([1]Last6M_AvgSales_Ref!$B$2:$B$12659,MATCH(D988,[1]Last6M_AvgSales_Ref!$A$2:$A$12659,0)),"")</f>
        <v>158.833333333333</v>
      </c>
    </row>
    <row r="989" spans="1:31" ht="14.25" customHeight="1" x14ac:dyDescent="0.3">
      <c r="A989" s="41" t="s">
        <v>2027</v>
      </c>
      <c r="B989" s="44" t="s">
        <v>2028</v>
      </c>
      <c r="C989" s="38" t="s">
        <v>2029</v>
      </c>
      <c r="D989" s="38">
        <v>1000002670</v>
      </c>
      <c r="E989" s="38" t="s">
        <v>2030</v>
      </c>
      <c r="F989" s="40">
        <v>44739</v>
      </c>
      <c r="G989" s="22" t="str">
        <f t="shared" si="210"/>
        <v>Targeted Dealer</v>
      </c>
      <c r="H989" s="22"/>
      <c r="I989" s="23">
        <v>125</v>
      </c>
      <c r="J989" s="23">
        <f t="shared" si="211"/>
        <v>125.00000000000001</v>
      </c>
      <c r="K989" s="24">
        <v>164</v>
      </c>
      <c r="L989" s="24">
        <f t="shared" si="212"/>
        <v>-39</v>
      </c>
      <c r="M989" s="24">
        <f t="shared" si="213"/>
        <v>131.19999999999999</v>
      </c>
      <c r="N989" s="25">
        <v>130</v>
      </c>
      <c r="O989" s="26" t="str">
        <f t="shared" si="214"/>
        <v>June</v>
      </c>
      <c r="P989" s="25">
        <f t="shared" si="215"/>
        <v>130</v>
      </c>
      <c r="Q989" s="27">
        <f t="shared" si="216"/>
        <v>34</v>
      </c>
      <c r="R989" s="26" t="b">
        <f t="shared" si="217"/>
        <v>0</v>
      </c>
      <c r="S989" s="28" t="str">
        <f t="shared" si="218"/>
        <v>GROWTH</v>
      </c>
      <c r="T989" s="24">
        <v>157</v>
      </c>
      <c r="U989" s="29" t="str">
        <f t="shared" si="219"/>
        <v>May</v>
      </c>
      <c r="V989" s="24">
        <f t="shared" si="220"/>
        <v>157</v>
      </c>
      <c r="W989" s="30">
        <f t="shared" si="221"/>
        <v>7</v>
      </c>
      <c r="X989" s="31" t="b">
        <f t="shared" si="222"/>
        <v>0</v>
      </c>
      <c r="Y989" s="32" t="str">
        <f t="shared" si="223"/>
        <v>GROWTH</v>
      </c>
      <c r="Z989" s="41">
        <v>0</v>
      </c>
      <c r="AA989" s="36"/>
      <c r="AB989" s="36" t="s">
        <v>24</v>
      </c>
      <c r="AC989" s="41" t="s">
        <v>2027</v>
      </c>
      <c r="AD989" s="34"/>
      <c r="AE989" s="35">
        <f>IFERROR(INDEX([1]Last6M_AvgSales_Ref!$B$2:$B$12659,MATCH(D989,[1]Last6M_AvgSales_Ref!$A$2:$A$12659,0)),"")</f>
        <v>187.583333333333</v>
      </c>
    </row>
    <row r="990" spans="1:31" ht="14.25" customHeight="1" x14ac:dyDescent="0.3">
      <c r="A990" s="41" t="s">
        <v>2027</v>
      </c>
      <c r="B990" s="38" t="s">
        <v>2028</v>
      </c>
      <c r="C990" s="38" t="s">
        <v>2031</v>
      </c>
      <c r="D990" s="38">
        <v>1000001910</v>
      </c>
      <c r="E990" s="39" t="s">
        <v>2032</v>
      </c>
      <c r="F990" s="40">
        <v>41341</v>
      </c>
      <c r="G990" s="22" t="str">
        <f t="shared" si="210"/>
        <v>Targeted Dealer</v>
      </c>
      <c r="H990" s="22"/>
      <c r="I990" s="23">
        <v>150</v>
      </c>
      <c r="J990" s="23">
        <f t="shared" si="211"/>
        <v>150</v>
      </c>
      <c r="K990" s="24">
        <v>160</v>
      </c>
      <c r="L990" s="24">
        <f t="shared" si="212"/>
        <v>-10</v>
      </c>
      <c r="M990" s="24">
        <f t="shared" si="213"/>
        <v>106.66666666666667</v>
      </c>
      <c r="N990" s="25">
        <v>135</v>
      </c>
      <c r="O990" s="26" t="str">
        <f t="shared" si="214"/>
        <v>June</v>
      </c>
      <c r="P990" s="25">
        <f t="shared" si="215"/>
        <v>135</v>
      </c>
      <c r="Q990" s="27">
        <f t="shared" si="216"/>
        <v>25</v>
      </c>
      <c r="R990" s="26" t="b">
        <f t="shared" si="217"/>
        <v>0</v>
      </c>
      <c r="S990" s="28" t="str">
        <f t="shared" si="218"/>
        <v>GROWTH</v>
      </c>
      <c r="T990" s="24">
        <v>135</v>
      </c>
      <c r="U990" s="29" t="str">
        <f t="shared" si="219"/>
        <v>May</v>
      </c>
      <c r="V990" s="24">
        <f t="shared" si="220"/>
        <v>135</v>
      </c>
      <c r="W990" s="30">
        <f t="shared" si="221"/>
        <v>25</v>
      </c>
      <c r="X990" s="31" t="b">
        <f t="shared" si="222"/>
        <v>0</v>
      </c>
      <c r="Y990" s="32" t="str">
        <f t="shared" si="223"/>
        <v>GROWTH</v>
      </c>
      <c r="Z990" s="41">
        <v>0</v>
      </c>
      <c r="AA990" s="36"/>
      <c r="AB990" s="36" t="s">
        <v>24</v>
      </c>
      <c r="AC990" s="41" t="s">
        <v>2027</v>
      </c>
      <c r="AD990" s="34"/>
      <c r="AE990" s="35">
        <f>IFERROR(INDEX([1]Last6M_AvgSales_Ref!$B$2:$B$12659,MATCH(D990,[1]Last6M_AvgSales_Ref!$A$2:$A$12659,0)),"")</f>
        <v>133.333333333333</v>
      </c>
    </row>
    <row r="991" spans="1:31" ht="14.25" customHeight="1" x14ac:dyDescent="0.3">
      <c r="A991" s="41" t="s">
        <v>2027</v>
      </c>
      <c r="B991" s="38" t="s">
        <v>2028</v>
      </c>
      <c r="C991" s="38" t="s">
        <v>2033</v>
      </c>
      <c r="D991" s="38">
        <v>1000001952</v>
      </c>
      <c r="E991" s="39" t="s">
        <v>2034</v>
      </c>
      <c r="F991" s="40">
        <v>41900</v>
      </c>
      <c r="G991" s="22" t="str">
        <f t="shared" si="210"/>
        <v>Targeted Dealer</v>
      </c>
      <c r="H991" s="22"/>
      <c r="I991" s="23">
        <v>75</v>
      </c>
      <c r="J991" s="23">
        <f t="shared" si="211"/>
        <v>75</v>
      </c>
      <c r="K991" s="24">
        <v>75</v>
      </c>
      <c r="L991" s="24">
        <f t="shared" si="212"/>
        <v>0</v>
      </c>
      <c r="M991" s="24">
        <f t="shared" si="213"/>
        <v>100</v>
      </c>
      <c r="N991" s="25">
        <v>27.5</v>
      </c>
      <c r="O991" s="26" t="str">
        <f t="shared" si="214"/>
        <v>June</v>
      </c>
      <c r="P991" s="25">
        <f t="shared" si="215"/>
        <v>27.5</v>
      </c>
      <c r="Q991" s="27">
        <f t="shared" si="216"/>
        <v>47.5</v>
      </c>
      <c r="R991" s="26" t="b">
        <f t="shared" si="217"/>
        <v>0</v>
      </c>
      <c r="S991" s="28" t="str">
        <f t="shared" si="218"/>
        <v>GROWTH</v>
      </c>
      <c r="T991" s="24">
        <v>105.5</v>
      </c>
      <c r="U991" s="29" t="str">
        <f t="shared" si="219"/>
        <v>May</v>
      </c>
      <c r="V991" s="24">
        <f t="shared" si="220"/>
        <v>105.5</v>
      </c>
      <c r="W991" s="30">
        <f t="shared" si="221"/>
        <v>-30.5</v>
      </c>
      <c r="X991" s="31" t="b">
        <f t="shared" si="222"/>
        <v>0</v>
      </c>
      <c r="Y991" s="32" t="str">
        <f t="shared" si="223"/>
        <v>GROWTH</v>
      </c>
      <c r="Z991" s="41">
        <v>0</v>
      </c>
      <c r="AA991" s="36"/>
      <c r="AB991" s="36" t="s">
        <v>24</v>
      </c>
      <c r="AC991" s="41" t="s">
        <v>2027</v>
      </c>
      <c r="AD991" s="34"/>
      <c r="AE991" s="35">
        <f>IFERROR(INDEX([1]Last6M_AvgSales_Ref!$B$2:$B$12659,MATCH(D991,[1]Last6M_AvgSales_Ref!$A$2:$A$12659,0)),"")</f>
        <v>64.7083333333333</v>
      </c>
    </row>
    <row r="992" spans="1:31" ht="14.25" customHeight="1" x14ac:dyDescent="0.3">
      <c r="A992" s="41" t="s">
        <v>2027</v>
      </c>
      <c r="B992" s="38" t="s">
        <v>2028</v>
      </c>
      <c r="C992" s="38" t="s">
        <v>2035</v>
      </c>
      <c r="D992" s="38">
        <v>1000001916</v>
      </c>
      <c r="E992" s="39" t="s">
        <v>2036</v>
      </c>
      <c r="F992" s="40">
        <v>42621</v>
      </c>
      <c r="G992" s="22" t="str">
        <f t="shared" si="210"/>
        <v>Targeted Dealer</v>
      </c>
      <c r="H992" s="22"/>
      <c r="I992" s="23">
        <v>225</v>
      </c>
      <c r="J992" s="23">
        <f t="shared" si="211"/>
        <v>225</v>
      </c>
      <c r="K992" s="24">
        <v>264.35000000000002</v>
      </c>
      <c r="L992" s="24">
        <f t="shared" si="212"/>
        <v>-39.350000000000023</v>
      </c>
      <c r="M992" s="24">
        <f t="shared" si="213"/>
        <v>117.48888888888889</v>
      </c>
      <c r="N992" s="25">
        <v>255</v>
      </c>
      <c r="O992" s="26" t="str">
        <f t="shared" si="214"/>
        <v>June</v>
      </c>
      <c r="P992" s="25">
        <f t="shared" si="215"/>
        <v>255</v>
      </c>
      <c r="Q992" s="27">
        <f t="shared" si="216"/>
        <v>9.3500000000000227</v>
      </c>
      <c r="R992" s="26" t="b">
        <f t="shared" si="217"/>
        <v>0</v>
      </c>
      <c r="S992" s="28" t="str">
        <f t="shared" si="218"/>
        <v>GROWTH</v>
      </c>
      <c r="T992" s="24">
        <v>240</v>
      </c>
      <c r="U992" s="29" t="str">
        <f t="shared" si="219"/>
        <v>May</v>
      </c>
      <c r="V992" s="24">
        <f t="shared" si="220"/>
        <v>240</v>
      </c>
      <c r="W992" s="30">
        <f t="shared" si="221"/>
        <v>24.350000000000023</v>
      </c>
      <c r="X992" s="31" t="b">
        <f t="shared" si="222"/>
        <v>0</v>
      </c>
      <c r="Y992" s="32" t="str">
        <f t="shared" si="223"/>
        <v>GROWTH</v>
      </c>
      <c r="Z992" s="41">
        <v>0</v>
      </c>
      <c r="AA992" s="36"/>
      <c r="AB992" s="36" t="s">
        <v>24</v>
      </c>
      <c r="AC992" s="41" t="s">
        <v>2027</v>
      </c>
      <c r="AD992" s="34"/>
      <c r="AE992" s="35">
        <f>IFERROR(INDEX([1]Last6M_AvgSales_Ref!$B$2:$B$12659,MATCH(D992,[1]Last6M_AvgSales_Ref!$A$2:$A$12659,0)),"")</f>
        <v>340.941666666667</v>
      </c>
    </row>
    <row r="993" spans="1:31" ht="14.25" customHeight="1" x14ac:dyDescent="0.3">
      <c r="A993" s="41" t="s">
        <v>2027</v>
      </c>
      <c r="B993" s="38" t="s">
        <v>2028</v>
      </c>
      <c r="C993" s="38" t="s">
        <v>2037</v>
      </c>
      <c r="D993" s="38">
        <v>1000001914</v>
      </c>
      <c r="E993" s="39" t="s">
        <v>2038</v>
      </c>
      <c r="F993" s="40">
        <v>42803</v>
      </c>
      <c r="G993" s="22" t="str">
        <f t="shared" si="210"/>
        <v>Targeted Dealer</v>
      </c>
      <c r="H993" s="22"/>
      <c r="I993" s="23">
        <v>75</v>
      </c>
      <c r="J993" s="23">
        <f t="shared" si="211"/>
        <v>75</v>
      </c>
      <c r="K993" s="24">
        <v>35</v>
      </c>
      <c r="L993" s="24">
        <f t="shared" si="212"/>
        <v>40</v>
      </c>
      <c r="M993" s="24">
        <f t="shared" si="213"/>
        <v>46.666666666666664</v>
      </c>
      <c r="N993" s="25">
        <v>20</v>
      </c>
      <c r="O993" s="26" t="str">
        <f t="shared" si="214"/>
        <v>June</v>
      </c>
      <c r="P993" s="25">
        <f t="shared" si="215"/>
        <v>20</v>
      </c>
      <c r="Q993" s="27">
        <f t="shared" si="216"/>
        <v>15</v>
      </c>
      <c r="R993" s="26" t="b">
        <f t="shared" si="217"/>
        <v>0</v>
      </c>
      <c r="S993" s="28" t="str">
        <f t="shared" si="218"/>
        <v>GROWTH</v>
      </c>
      <c r="T993" s="24">
        <v>16</v>
      </c>
      <c r="U993" s="29" t="str">
        <f t="shared" si="219"/>
        <v>May</v>
      </c>
      <c r="V993" s="24">
        <f t="shared" si="220"/>
        <v>16</v>
      </c>
      <c r="W993" s="30">
        <f t="shared" si="221"/>
        <v>19</v>
      </c>
      <c r="X993" s="31" t="b">
        <f t="shared" si="222"/>
        <v>0</v>
      </c>
      <c r="Y993" s="32" t="str">
        <f t="shared" si="223"/>
        <v>GROWTH</v>
      </c>
      <c r="Z993" s="41">
        <v>0</v>
      </c>
      <c r="AA993" s="36"/>
      <c r="AB993" s="36" t="s">
        <v>24</v>
      </c>
      <c r="AC993" s="41" t="s">
        <v>2027</v>
      </c>
      <c r="AD993" s="34"/>
      <c r="AE993" s="35">
        <f>IFERROR(INDEX([1]Last6M_AvgSales_Ref!$B$2:$B$12659,MATCH(D993,[1]Last6M_AvgSales_Ref!$A$2:$A$12659,0)),"")</f>
        <v>23.3333333333333</v>
      </c>
    </row>
    <row r="994" spans="1:31" ht="14.25" customHeight="1" x14ac:dyDescent="0.3">
      <c r="A994" s="41" t="s">
        <v>2027</v>
      </c>
      <c r="B994" s="38" t="s">
        <v>2028</v>
      </c>
      <c r="C994" s="38" t="s">
        <v>2039</v>
      </c>
      <c r="D994" s="38">
        <v>1000001924</v>
      </c>
      <c r="E994" s="39" t="s">
        <v>2040</v>
      </c>
      <c r="F994" s="40">
        <v>43088</v>
      </c>
      <c r="G994" s="22" t="str">
        <f t="shared" si="210"/>
        <v>-</v>
      </c>
      <c r="H994" s="22"/>
      <c r="I994" s="23">
        <v>0</v>
      </c>
      <c r="J994" s="23">
        <f t="shared" si="211"/>
        <v>0</v>
      </c>
      <c r="K994" s="24">
        <v>0</v>
      </c>
      <c r="L994" s="24">
        <f t="shared" si="212"/>
        <v>0</v>
      </c>
      <c r="M994" s="24" t="str">
        <f t="shared" si="213"/>
        <v>-</v>
      </c>
      <c r="N994" s="25">
        <v>0</v>
      </c>
      <c r="O994" s="26" t="str">
        <f t="shared" si="214"/>
        <v>June</v>
      </c>
      <c r="P994" s="25">
        <f t="shared" si="215"/>
        <v>0</v>
      </c>
      <c r="Q994" s="27">
        <f t="shared" si="216"/>
        <v>0</v>
      </c>
      <c r="R994" s="26" t="b">
        <f t="shared" si="217"/>
        <v>0</v>
      </c>
      <c r="S994" s="28" t="b">
        <f t="shared" si="218"/>
        <v>0</v>
      </c>
      <c r="T994" s="24">
        <v>20</v>
      </c>
      <c r="U994" s="29" t="str">
        <f t="shared" si="219"/>
        <v>May</v>
      </c>
      <c r="V994" s="24">
        <f t="shared" si="220"/>
        <v>20</v>
      </c>
      <c r="W994" s="30">
        <f t="shared" si="221"/>
        <v>-20</v>
      </c>
      <c r="X994" s="31" t="b">
        <f t="shared" si="222"/>
        <v>0</v>
      </c>
      <c r="Y994" s="32" t="str">
        <f t="shared" si="223"/>
        <v>GROWTH</v>
      </c>
      <c r="Z994" s="41">
        <v>0</v>
      </c>
      <c r="AA994" s="36"/>
      <c r="AB994" s="36" t="s">
        <v>24</v>
      </c>
      <c r="AC994" s="41" t="s">
        <v>2027</v>
      </c>
      <c r="AD994" s="34"/>
      <c r="AE994" s="35">
        <f>IFERROR(INDEX([1]Last6M_AvgSales_Ref!$B$2:$B$12659,MATCH(D994,[1]Last6M_AvgSales_Ref!$A$2:$A$12659,0)),"")</f>
        <v>9</v>
      </c>
    </row>
    <row r="995" spans="1:31" ht="14.25" customHeight="1" x14ac:dyDescent="0.3">
      <c r="A995" s="41" t="s">
        <v>2027</v>
      </c>
      <c r="B995" s="38" t="s">
        <v>2028</v>
      </c>
      <c r="C995" s="38" t="s">
        <v>2041</v>
      </c>
      <c r="D995" s="38">
        <v>1000001938</v>
      </c>
      <c r="E995" s="39" t="s">
        <v>2042</v>
      </c>
      <c r="F995" s="40">
        <v>43091</v>
      </c>
      <c r="G995" s="22" t="str">
        <f t="shared" si="210"/>
        <v>Targeted Dealer</v>
      </c>
      <c r="H995" s="22"/>
      <c r="I995" s="23">
        <v>75</v>
      </c>
      <c r="J995" s="23">
        <f t="shared" si="211"/>
        <v>75</v>
      </c>
      <c r="K995" s="24">
        <v>100</v>
      </c>
      <c r="L995" s="24">
        <f t="shared" si="212"/>
        <v>-25</v>
      </c>
      <c r="M995" s="24">
        <f t="shared" si="213"/>
        <v>133.33333333333334</v>
      </c>
      <c r="N995" s="25">
        <v>125</v>
      </c>
      <c r="O995" s="26" t="str">
        <f t="shared" si="214"/>
        <v>June</v>
      </c>
      <c r="P995" s="25">
        <f t="shared" si="215"/>
        <v>125</v>
      </c>
      <c r="Q995" s="27">
        <f t="shared" si="216"/>
        <v>-25</v>
      </c>
      <c r="R995" s="26" t="b">
        <f t="shared" si="217"/>
        <v>0</v>
      </c>
      <c r="S995" s="28" t="str">
        <f t="shared" si="218"/>
        <v>GROWTH</v>
      </c>
      <c r="T995" s="24">
        <v>125</v>
      </c>
      <c r="U995" s="29" t="str">
        <f t="shared" si="219"/>
        <v>May</v>
      </c>
      <c r="V995" s="24">
        <f t="shared" si="220"/>
        <v>125</v>
      </c>
      <c r="W995" s="30">
        <f t="shared" si="221"/>
        <v>-25</v>
      </c>
      <c r="X995" s="31" t="b">
        <f t="shared" si="222"/>
        <v>0</v>
      </c>
      <c r="Y995" s="32" t="str">
        <f t="shared" si="223"/>
        <v>GROWTH</v>
      </c>
      <c r="Z995" s="41">
        <v>0</v>
      </c>
      <c r="AA995" s="36"/>
      <c r="AB995" s="36" t="s">
        <v>24</v>
      </c>
      <c r="AC995" s="41" t="s">
        <v>2027</v>
      </c>
      <c r="AD995" s="34"/>
      <c r="AE995" s="35">
        <f>IFERROR(INDEX([1]Last6M_AvgSales_Ref!$B$2:$B$12659,MATCH(D995,[1]Last6M_AvgSales_Ref!$A$2:$A$12659,0)),"")</f>
        <v>170.833333333333</v>
      </c>
    </row>
    <row r="996" spans="1:31" ht="14.25" customHeight="1" x14ac:dyDescent="0.3">
      <c r="A996" s="41" t="s">
        <v>2027</v>
      </c>
      <c r="B996" s="38" t="s">
        <v>2028</v>
      </c>
      <c r="C996" s="38" t="s">
        <v>2043</v>
      </c>
      <c r="D996" s="38">
        <v>1000001928</v>
      </c>
      <c r="E996" s="39" t="s">
        <v>2044</v>
      </c>
      <c r="F996" s="40">
        <v>43315</v>
      </c>
      <c r="G996" s="22" t="str">
        <f t="shared" si="210"/>
        <v>Targeted Dealer</v>
      </c>
      <c r="H996" s="22"/>
      <c r="I996" s="23">
        <v>800</v>
      </c>
      <c r="J996" s="23">
        <f t="shared" si="211"/>
        <v>800</v>
      </c>
      <c r="K996" s="24">
        <v>710.95</v>
      </c>
      <c r="L996" s="24">
        <f t="shared" si="212"/>
        <v>89.049999999999955</v>
      </c>
      <c r="M996" s="24">
        <f t="shared" si="213"/>
        <v>88.868750000000006</v>
      </c>
      <c r="N996" s="25">
        <v>804.95</v>
      </c>
      <c r="O996" s="26" t="str">
        <f t="shared" si="214"/>
        <v>June</v>
      </c>
      <c r="P996" s="25">
        <f t="shared" si="215"/>
        <v>804.95</v>
      </c>
      <c r="Q996" s="27">
        <f t="shared" si="216"/>
        <v>-94</v>
      </c>
      <c r="R996" s="26" t="b">
        <f t="shared" si="217"/>
        <v>0</v>
      </c>
      <c r="S996" s="28" t="str">
        <f t="shared" si="218"/>
        <v>GROWTH</v>
      </c>
      <c r="T996" s="24">
        <v>388</v>
      </c>
      <c r="U996" s="29" t="str">
        <f t="shared" si="219"/>
        <v>May</v>
      </c>
      <c r="V996" s="24">
        <f t="shared" si="220"/>
        <v>388</v>
      </c>
      <c r="W996" s="30">
        <f t="shared" si="221"/>
        <v>322.95000000000005</v>
      </c>
      <c r="X996" s="31" t="b">
        <f t="shared" si="222"/>
        <v>0</v>
      </c>
      <c r="Y996" s="32" t="str">
        <f t="shared" si="223"/>
        <v>GROWTH</v>
      </c>
      <c r="Z996" s="41">
        <v>0</v>
      </c>
      <c r="AA996" s="36"/>
      <c r="AB996" s="36" t="s">
        <v>24</v>
      </c>
      <c r="AC996" s="41" t="s">
        <v>2027</v>
      </c>
      <c r="AD996" s="34"/>
      <c r="AE996" s="35">
        <f>IFERROR(INDEX([1]Last6M_AvgSales_Ref!$B$2:$B$12659,MATCH(D996,[1]Last6M_AvgSales_Ref!$A$2:$A$12659,0)),"")</f>
        <v>751.11666666666702</v>
      </c>
    </row>
    <row r="997" spans="1:31" ht="14.25" customHeight="1" x14ac:dyDescent="0.3">
      <c r="A997" s="41" t="s">
        <v>2027</v>
      </c>
      <c r="B997" s="38" t="s">
        <v>2028</v>
      </c>
      <c r="C997" s="38" t="s">
        <v>2045</v>
      </c>
      <c r="D997" s="38">
        <v>1000001947</v>
      </c>
      <c r="E997" s="39" t="s">
        <v>2046</v>
      </c>
      <c r="F997" s="40">
        <v>43339</v>
      </c>
      <c r="G997" s="22" t="str">
        <f t="shared" si="210"/>
        <v>Targeted Dealer</v>
      </c>
      <c r="H997" s="22"/>
      <c r="I997" s="23">
        <v>300</v>
      </c>
      <c r="J997" s="23">
        <f t="shared" si="211"/>
        <v>300</v>
      </c>
      <c r="K997" s="24">
        <v>776.5</v>
      </c>
      <c r="L997" s="24">
        <f t="shared" si="212"/>
        <v>-476.5</v>
      </c>
      <c r="M997" s="24">
        <f t="shared" si="213"/>
        <v>258.83333333333331</v>
      </c>
      <c r="N997" s="25">
        <v>1015.25</v>
      </c>
      <c r="O997" s="26" t="str">
        <f t="shared" si="214"/>
        <v>June</v>
      </c>
      <c r="P997" s="25">
        <f t="shared" si="215"/>
        <v>1015.25</v>
      </c>
      <c r="Q997" s="27">
        <f t="shared" si="216"/>
        <v>-238.75</v>
      </c>
      <c r="R997" s="26" t="b">
        <f t="shared" si="217"/>
        <v>0</v>
      </c>
      <c r="S997" s="28" t="str">
        <f t="shared" si="218"/>
        <v>GROWTH</v>
      </c>
      <c r="T997" s="24">
        <v>752.5</v>
      </c>
      <c r="U997" s="29" t="str">
        <f t="shared" si="219"/>
        <v>May</v>
      </c>
      <c r="V997" s="24">
        <f t="shared" si="220"/>
        <v>752.5</v>
      </c>
      <c r="W997" s="30">
        <f t="shared" si="221"/>
        <v>24</v>
      </c>
      <c r="X997" s="31" t="b">
        <f t="shared" si="222"/>
        <v>0</v>
      </c>
      <c r="Y997" s="32" t="str">
        <f t="shared" si="223"/>
        <v>GROWTH</v>
      </c>
      <c r="Z997" s="41">
        <v>0</v>
      </c>
      <c r="AA997" s="36"/>
      <c r="AB997" s="36" t="s">
        <v>24</v>
      </c>
      <c r="AC997" s="41" t="s">
        <v>2027</v>
      </c>
      <c r="AD997" s="34"/>
      <c r="AE997" s="35">
        <f>IFERROR(INDEX([1]Last6M_AvgSales_Ref!$B$2:$B$12659,MATCH(D997,[1]Last6M_AvgSales_Ref!$A$2:$A$12659,0)),"")</f>
        <v>409.41666666666703</v>
      </c>
    </row>
    <row r="998" spans="1:31" ht="14.25" customHeight="1" x14ac:dyDescent="0.3">
      <c r="A998" s="41" t="s">
        <v>2027</v>
      </c>
      <c r="B998" s="38" t="s">
        <v>2028</v>
      </c>
      <c r="C998" s="38" t="s">
        <v>2047</v>
      </c>
      <c r="D998" s="38">
        <v>1000001920</v>
      </c>
      <c r="E998" s="39" t="s">
        <v>2048</v>
      </c>
      <c r="F998" s="40">
        <v>43421</v>
      </c>
      <c r="G998" s="22" t="str">
        <f t="shared" si="210"/>
        <v>Targeted Dealer</v>
      </c>
      <c r="H998" s="22"/>
      <c r="I998" s="23">
        <v>100</v>
      </c>
      <c r="J998" s="23">
        <f t="shared" si="211"/>
        <v>100</v>
      </c>
      <c r="K998" s="24">
        <v>77.5</v>
      </c>
      <c r="L998" s="24">
        <f t="shared" si="212"/>
        <v>22.5</v>
      </c>
      <c r="M998" s="24">
        <f t="shared" si="213"/>
        <v>77.5</v>
      </c>
      <c r="N998" s="25">
        <v>117.5</v>
      </c>
      <c r="O998" s="26" t="str">
        <f t="shared" si="214"/>
        <v>June</v>
      </c>
      <c r="P998" s="25">
        <f t="shared" si="215"/>
        <v>117.5</v>
      </c>
      <c r="Q998" s="27">
        <f t="shared" si="216"/>
        <v>-40</v>
      </c>
      <c r="R998" s="26" t="b">
        <f t="shared" si="217"/>
        <v>0</v>
      </c>
      <c r="S998" s="28" t="str">
        <f t="shared" si="218"/>
        <v>GROWTH</v>
      </c>
      <c r="T998" s="24">
        <v>235</v>
      </c>
      <c r="U998" s="29" t="str">
        <f t="shared" si="219"/>
        <v>May</v>
      </c>
      <c r="V998" s="24">
        <f t="shared" si="220"/>
        <v>235</v>
      </c>
      <c r="W998" s="30">
        <f t="shared" si="221"/>
        <v>-157.5</v>
      </c>
      <c r="X998" s="31" t="b">
        <f t="shared" si="222"/>
        <v>0</v>
      </c>
      <c r="Y998" s="32" t="str">
        <f t="shared" si="223"/>
        <v>GROWTH</v>
      </c>
      <c r="Z998" s="41">
        <v>0</v>
      </c>
      <c r="AA998" s="36"/>
      <c r="AB998" s="36" t="s">
        <v>24</v>
      </c>
      <c r="AC998" s="41" t="s">
        <v>2027</v>
      </c>
      <c r="AD998" s="34"/>
      <c r="AE998" s="35">
        <f>IFERROR(INDEX([1]Last6M_AvgSales_Ref!$B$2:$B$12659,MATCH(D998,[1]Last6M_AvgSales_Ref!$A$2:$A$12659,0)),"")</f>
        <v>138.191666666667</v>
      </c>
    </row>
    <row r="999" spans="1:31" ht="14.25" customHeight="1" x14ac:dyDescent="0.3">
      <c r="A999" s="41" t="s">
        <v>2027</v>
      </c>
      <c r="B999" s="38" t="s">
        <v>2028</v>
      </c>
      <c r="C999" s="38" t="s">
        <v>2049</v>
      </c>
      <c r="D999" s="38">
        <v>1000001918</v>
      </c>
      <c r="E999" s="39" t="s">
        <v>2050</v>
      </c>
      <c r="F999" s="40">
        <v>43424</v>
      </c>
      <c r="G999" s="22" t="str">
        <f t="shared" si="210"/>
        <v>Targeted Dealer</v>
      </c>
      <c r="H999" s="22"/>
      <c r="I999" s="23">
        <v>100</v>
      </c>
      <c r="J999" s="23">
        <f t="shared" si="211"/>
        <v>100</v>
      </c>
      <c r="K999" s="24">
        <v>82</v>
      </c>
      <c r="L999" s="24">
        <f t="shared" si="212"/>
        <v>18</v>
      </c>
      <c r="M999" s="24">
        <f t="shared" si="213"/>
        <v>82</v>
      </c>
      <c r="N999" s="25">
        <v>60</v>
      </c>
      <c r="O999" s="26" t="str">
        <f t="shared" si="214"/>
        <v>June</v>
      </c>
      <c r="P999" s="25">
        <f t="shared" si="215"/>
        <v>60</v>
      </c>
      <c r="Q999" s="27">
        <f t="shared" si="216"/>
        <v>22</v>
      </c>
      <c r="R999" s="26" t="b">
        <f t="shared" si="217"/>
        <v>0</v>
      </c>
      <c r="S999" s="28" t="str">
        <f t="shared" si="218"/>
        <v>GROWTH</v>
      </c>
      <c r="T999" s="24">
        <v>80</v>
      </c>
      <c r="U999" s="29" t="str">
        <f t="shared" si="219"/>
        <v>May</v>
      </c>
      <c r="V999" s="24">
        <f t="shared" si="220"/>
        <v>80</v>
      </c>
      <c r="W999" s="30">
        <f t="shared" si="221"/>
        <v>2</v>
      </c>
      <c r="X999" s="31" t="b">
        <f t="shared" si="222"/>
        <v>0</v>
      </c>
      <c r="Y999" s="32" t="str">
        <f t="shared" si="223"/>
        <v>GROWTH</v>
      </c>
      <c r="Z999" s="41">
        <v>0</v>
      </c>
      <c r="AA999" s="36"/>
      <c r="AB999" s="36" t="s">
        <v>24</v>
      </c>
      <c r="AC999" s="41" t="s">
        <v>2027</v>
      </c>
      <c r="AD999" s="34"/>
      <c r="AE999" s="35">
        <f>IFERROR(INDEX([1]Last6M_AvgSales_Ref!$B$2:$B$12659,MATCH(D999,[1]Last6M_AvgSales_Ref!$A$2:$A$12659,0)),"")</f>
        <v>113.833333333333</v>
      </c>
    </row>
    <row r="1000" spans="1:31" ht="14.25" customHeight="1" x14ac:dyDescent="0.3">
      <c r="A1000" s="41" t="s">
        <v>2027</v>
      </c>
      <c r="B1000" s="38" t="s">
        <v>2028</v>
      </c>
      <c r="C1000" s="38" t="s">
        <v>2051</v>
      </c>
      <c r="D1000" s="38">
        <v>1000001931</v>
      </c>
      <c r="E1000" s="39" t="s">
        <v>2052</v>
      </c>
      <c r="F1000" s="40">
        <v>43690</v>
      </c>
      <c r="G1000" s="22" t="str">
        <f t="shared" si="210"/>
        <v>Targeted Dealer</v>
      </c>
      <c r="H1000" s="22"/>
      <c r="I1000" s="23">
        <v>100</v>
      </c>
      <c r="J1000" s="23">
        <f t="shared" si="211"/>
        <v>100</v>
      </c>
      <c r="K1000" s="24">
        <v>70</v>
      </c>
      <c r="L1000" s="24">
        <f t="shared" si="212"/>
        <v>30</v>
      </c>
      <c r="M1000" s="24">
        <f t="shared" si="213"/>
        <v>70</v>
      </c>
      <c r="N1000" s="25">
        <v>70</v>
      </c>
      <c r="O1000" s="26" t="str">
        <f t="shared" si="214"/>
        <v>June</v>
      </c>
      <c r="P1000" s="25">
        <f t="shared" si="215"/>
        <v>70</v>
      </c>
      <c r="Q1000" s="27">
        <f t="shared" si="216"/>
        <v>0</v>
      </c>
      <c r="R1000" s="26" t="b">
        <f t="shared" si="217"/>
        <v>0</v>
      </c>
      <c r="S1000" s="28" t="str">
        <f t="shared" si="218"/>
        <v>GROWTH</v>
      </c>
      <c r="T1000" s="24">
        <v>55</v>
      </c>
      <c r="U1000" s="29" t="str">
        <f t="shared" si="219"/>
        <v>May</v>
      </c>
      <c r="V1000" s="24">
        <f t="shared" si="220"/>
        <v>55</v>
      </c>
      <c r="W1000" s="30">
        <f t="shared" si="221"/>
        <v>15</v>
      </c>
      <c r="X1000" s="31" t="b">
        <f t="shared" si="222"/>
        <v>0</v>
      </c>
      <c r="Y1000" s="32" t="str">
        <f t="shared" si="223"/>
        <v>GROWTH</v>
      </c>
      <c r="Z1000" s="41">
        <v>0</v>
      </c>
      <c r="AA1000" s="36"/>
      <c r="AB1000" s="36" t="s">
        <v>24</v>
      </c>
      <c r="AC1000" s="41" t="s">
        <v>2027</v>
      </c>
      <c r="AD1000" s="34"/>
      <c r="AE1000" s="35">
        <f>IFERROR(INDEX([1]Last6M_AvgSales_Ref!$B$2:$B$12659,MATCH(D1000,[1]Last6M_AvgSales_Ref!$A$2:$A$12659,0)),"")</f>
        <v>136.666666666667</v>
      </c>
    </row>
    <row r="1001" spans="1:31" ht="14.25" customHeight="1" x14ac:dyDescent="0.3">
      <c r="A1001" s="41" t="s">
        <v>2027</v>
      </c>
      <c r="B1001" s="38" t="s">
        <v>2028</v>
      </c>
      <c r="C1001" s="38" t="s">
        <v>2053</v>
      </c>
      <c r="D1001" s="38">
        <v>1000001932</v>
      </c>
      <c r="E1001" s="39" t="s">
        <v>2054</v>
      </c>
      <c r="F1001" s="40">
        <v>43698</v>
      </c>
      <c r="G1001" s="22" t="str">
        <f t="shared" si="210"/>
        <v>Targeted Dealer</v>
      </c>
      <c r="H1001" s="22"/>
      <c r="I1001" s="23">
        <v>4000</v>
      </c>
      <c r="J1001" s="23">
        <f t="shared" si="211"/>
        <v>4000.0000000000005</v>
      </c>
      <c r="K1001" s="24">
        <v>5227</v>
      </c>
      <c r="L1001" s="24">
        <f t="shared" si="212"/>
        <v>-1227</v>
      </c>
      <c r="M1001" s="24">
        <f t="shared" si="213"/>
        <v>130.67499999999998</v>
      </c>
      <c r="N1001" s="25">
        <v>4343.5</v>
      </c>
      <c r="O1001" s="26" t="str">
        <f t="shared" si="214"/>
        <v>June</v>
      </c>
      <c r="P1001" s="25">
        <f t="shared" si="215"/>
        <v>4343.5</v>
      </c>
      <c r="Q1001" s="27">
        <f t="shared" si="216"/>
        <v>883.5</v>
      </c>
      <c r="R1001" s="26" t="b">
        <f t="shared" si="217"/>
        <v>0</v>
      </c>
      <c r="S1001" s="28" t="str">
        <f t="shared" si="218"/>
        <v>GROWTH</v>
      </c>
      <c r="T1001" s="24">
        <v>2594.5</v>
      </c>
      <c r="U1001" s="29" t="str">
        <f t="shared" si="219"/>
        <v>May</v>
      </c>
      <c r="V1001" s="24">
        <f t="shared" si="220"/>
        <v>2594.5</v>
      </c>
      <c r="W1001" s="30">
        <f t="shared" si="221"/>
        <v>2632.5</v>
      </c>
      <c r="X1001" s="31" t="b">
        <f t="shared" si="222"/>
        <v>0</v>
      </c>
      <c r="Y1001" s="32" t="str">
        <f t="shared" si="223"/>
        <v>GROWTH</v>
      </c>
      <c r="Z1001" s="41">
        <v>0</v>
      </c>
      <c r="AA1001" s="36"/>
      <c r="AB1001" s="36" t="s">
        <v>24</v>
      </c>
      <c r="AC1001" s="41" t="s">
        <v>2027</v>
      </c>
      <c r="AD1001" s="34"/>
      <c r="AE1001" s="35">
        <f>IFERROR(INDEX([1]Last6M_AvgSales_Ref!$B$2:$B$12659,MATCH(D1001,[1]Last6M_AvgSales_Ref!$A$2:$A$12659,0)),"")</f>
        <v>5055.625</v>
      </c>
    </row>
    <row r="1002" spans="1:31" ht="14.25" customHeight="1" x14ac:dyDescent="0.3">
      <c r="A1002" s="41" t="s">
        <v>2027</v>
      </c>
      <c r="B1002" s="38" t="s">
        <v>2028</v>
      </c>
      <c r="C1002" s="38" t="s">
        <v>2055</v>
      </c>
      <c r="D1002" s="38">
        <v>1000001950</v>
      </c>
      <c r="E1002" s="39" t="s">
        <v>2056</v>
      </c>
      <c r="F1002" s="40">
        <v>43774</v>
      </c>
      <c r="G1002" s="22" t="str">
        <f t="shared" si="210"/>
        <v>Targeted Dealer</v>
      </c>
      <c r="H1002" s="22"/>
      <c r="I1002" s="23">
        <v>65</v>
      </c>
      <c r="J1002" s="23">
        <f t="shared" si="211"/>
        <v>65</v>
      </c>
      <c r="K1002" s="24">
        <v>67</v>
      </c>
      <c r="L1002" s="24">
        <f t="shared" si="212"/>
        <v>-2</v>
      </c>
      <c r="M1002" s="24">
        <f t="shared" si="213"/>
        <v>103.07692307692308</v>
      </c>
      <c r="N1002" s="25">
        <v>65</v>
      </c>
      <c r="O1002" s="26" t="str">
        <f t="shared" si="214"/>
        <v>June</v>
      </c>
      <c r="P1002" s="25">
        <f t="shared" si="215"/>
        <v>65</v>
      </c>
      <c r="Q1002" s="27">
        <f t="shared" si="216"/>
        <v>2</v>
      </c>
      <c r="R1002" s="26" t="b">
        <f t="shared" si="217"/>
        <v>0</v>
      </c>
      <c r="S1002" s="28" t="str">
        <f t="shared" si="218"/>
        <v>GROWTH</v>
      </c>
      <c r="T1002" s="24">
        <v>55</v>
      </c>
      <c r="U1002" s="29" t="str">
        <f t="shared" si="219"/>
        <v>May</v>
      </c>
      <c r="V1002" s="24">
        <f t="shared" si="220"/>
        <v>55</v>
      </c>
      <c r="W1002" s="30">
        <f t="shared" si="221"/>
        <v>12</v>
      </c>
      <c r="X1002" s="31" t="b">
        <f t="shared" si="222"/>
        <v>0</v>
      </c>
      <c r="Y1002" s="32" t="str">
        <f t="shared" si="223"/>
        <v>GROWTH</v>
      </c>
      <c r="Z1002" s="41">
        <v>0</v>
      </c>
      <c r="AA1002" s="36"/>
      <c r="AB1002" s="36" t="s">
        <v>24</v>
      </c>
      <c r="AC1002" s="41" t="s">
        <v>2027</v>
      </c>
      <c r="AD1002" s="34"/>
      <c r="AE1002" s="35">
        <f>IFERROR(INDEX([1]Last6M_AvgSales_Ref!$B$2:$B$12659,MATCH(D1002,[1]Last6M_AvgSales_Ref!$A$2:$A$12659,0)),"")</f>
        <v>45.8333333333333</v>
      </c>
    </row>
    <row r="1003" spans="1:31" ht="14.25" customHeight="1" x14ac:dyDescent="0.3">
      <c r="A1003" s="41" t="s">
        <v>2027</v>
      </c>
      <c r="B1003" s="38" t="s">
        <v>2028</v>
      </c>
      <c r="C1003" s="38" t="s">
        <v>2057</v>
      </c>
      <c r="D1003" s="38">
        <v>1000001942</v>
      </c>
      <c r="E1003" s="39" t="s">
        <v>2058</v>
      </c>
      <c r="F1003" s="40">
        <v>44096</v>
      </c>
      <c r="G1003" s="22" t="str">
        <f t="shared" si="210"/>
        <v>Targeted Dealer</v>
      </c>
      <c r="H1003" s="22"/>
      <c r="I1003" s="23">
        <v>500</v>
      </c>
      <c r="J1003" s="23">
        <f t="shared" si="211"/>
        <v>500.00000000000006</v>
      </c>
      <c r="K1003" s="24">
        <v>215</v>
      </c>
      <c r="L1003" s="24">
        <f t="shared" si="212"/>
        <v>285</v>
      </c>
      <c r="M1003" s="24">
        <f t="shared" si="213"/>
        <v>42.999999999999993</v>
      </c>
      <c r="N1003" s="25">
        <v>211</v>
      </c>
      <c r="O1003" s="26" t="str">
        <f t="shared" si="214"/>
        <v>June</v>
      </c>
      <c r="P1003" s="25">
        <f t="shared" si="215"/>
        <v>211</v>
      </c>
      <c r="Q1003" s="27">
        <f t="shared" si="216"/>
        <v>4</v>
      </c>
      <c r="R1003" s="26" t="b">
        <f t="shared" si="217"/>
        <v>0</v>
      </c>
      <c r="S1003" s="28" t="str">
        <f t="shared" si="218"/>
        <v>GROWTH</v>
      </c>
      <c r="T1003" s="24">
        <v>399.5</v>
      </c>
      <c r="U1003" s="29" t="str">
        <f t="shared" si="219"/>
        <v>May</v>
      </c>
      <c r="V1003" s="24">
        <f t="shared" si="220"/>
        <v>399.5</v>
      </c>
      <c r="W1003" s="30">
        <f t="shared" si="221"/>
        <v>-184.5</v>
      </c>
      <c r="X1003" s="31" t="b">
        <f t="shared" si="222"/>
        <v>0</v>
      </c>
      <c r="Y1003" s="32" t="str">
        <f t="shared" si="223"/>
        <v>GROWTH</v>
      </c>
      <c r="Z1003" s="41">
        <v>0</v>
      </c>
      <c r="AA1003" s="36"/>
      <c r="AB1003" s="36" t="s">
        <v>24</v>
      </c>
      <c r="AC1003" s="41" t="s">
        <v>2027</v>
      </c>
      <c r="AD1003" s="34"/>
      <c r="AE1003" s="35">
        <f>IFERROR(INDEX([1]Last6M_AvgSales_Ref!$B$2:$B$12659,MATCH(D1003,[1]Last6M_AvgSales_Ref!$A$2:$A$12659,0)),"")</f>
        <v>697.28333333333296</v>
      </c>
    </row>
    <row r="1004" spans="1:31" ht="14.25" customHeight="1" x14ac:dyDescent="0.3">
      <c r="A1004" s="41" t="s">
        <v>2027</v>
      </c>
      <c r="B1004" s="38" t="s">
        <v>2028</v>
      </c>
      <c r="C1004" s="38" t="s">
        <v>2059</v>
      </c>
      <c r="D1004" s="38">
        <v>1000001951</v>
      </c>
      <c r="E1004" s="39" t="s">
        <v>2060</v>
      </c>
      <c r="F1004" s="40">
        <v>44181</v>
      </c>
      <c r="G1004" s="22" t="str">
        <f t="shared" si="210"/>
        <v>Targeted Dealer</v>
      </c>
      <c r="H1004" s="22"/>
      <c r="I1004" s="23">
        <v>400</v>
      </c>
      <c r="J1004" s="23">
        <f t="shared" si="211"/>
        <v>400</v>
      </c>
      <c r="K1004" s="24">
        <v>428</v>
      </c>
      <c r="L1004" s="24">
        <f t="shared" si="212"/>
        <v>-28</v>
      </c>
      <c r="M1004" s="24">
        <f t="shared" si="213"/>
        <v>107</v>
      </c>
      <c r="N1004" s="25">
        <v>401</v>
      </c>
      <c r="O1004" s="26" t="str">
        <f t="shared" si="214"/>
        <v>June</v>
      </c>
      <c r="P1004" s="25">
        <f t="shared" si="215"/>
        <v>401</v>
      </c>
      <c r="Q1004" s="27">
        <f t="shared" si="216"/>
        <v>27</v>
      </c>
      <c r="R1004" s="26" t="b">
        <f t="shared" si="217"/>
        <v>0</v>
      </c>
      <c r="S1004" s="28" t="str">
        <f t="shared" si="218"/>
        <v>GROWTH</v>
      </c>
      <c r="T1004" s="24">
        <v>550</v>
      </c>
      <c r="U1004" s="29" t="str">
        <f t="shared" si="219"/>
        <v>May</v>
      </c>
      <c r="V1004" s="24">
        <f t="shared" si="220"/>
        <v>550</v>
      </c>
      <c r="W1004" s="30">
        <f t="shared" si="221"/>
        <v>-122</v>
      </c>
      <c r="X1004" s="31" t="b">
        <f t="shared" si="222"/>
        <v>0</v>
      </c>
      <c r="Y1004" s="32" t="str">
        <f t="shared" si="223"/>
        <v>GROWTH</v>
      </c>
      <c r="Z1004" s="41">
        <v>0</v>
      </c>
      <c r="AA1004" s="36"/>
      <c r="AB1004" s="36" t="s">
        <v>24</v>
      </c>
      <c r="AC1004" s="41" t="s">
        <v>2027</v>
      </c>
      <c r="AD1004" s="34"/>
      <c r="AE1004" s="35">
        <f>IFERROR(INDEX([1]Last6M_AvgSales_Ref!$B$2:$B$12659,MATCH(D1004,[1]Last6M_AvgSales_Ref!$A$2:$A$12659,0)),"")</f>
        <v>773.66666666666697</v>
      </c>
    </row>
    <row r="1005" spans="1:31" ht="14.25" customHeight="1" x14ac:dyDescent="0.3">
      <c r="A1005" s="41" t="s">
        <v>2027</v>
      </c>
      <c r="B1005" s="38" t="s">
        <v>2028</v>
      </c>
      <c r="C1005" s="38" t="s">
        <v>2061</v>
      </c>
      <c r="D1005" s="38">
        <v>1000002024</v>
      </c>
      <c r="E1005" s="39" t="s">
        <v>2062</v>
      </c>
      <c r="F1005" s="40">
        <v>44501</v>
      </c>
      <c r="G1005" s="22" t="str">
        <f t="shared" si="210"/>
        <v>Targeted Dealer</v>
      </c>
      <c r="H1005" s="22"/>
      <c r="I1005" s="23">
        <v>25</v>
      </c>
      <c r="J1005" s="23">
        <f t="shared" si="211"/>
        <v>25</v>
      </c>
      <c r="K1005" s="24">
        <v>10</v>
      </c>
      <c r="L1005" s="24">
        <f t="shared" si="212"/>
        <v>15</v>
      </c>
      <c r="M1005" s="24">
        <f t="shared" si="213"/>
        <v>40</v>
      </c>
      <c r="N1005" s="25">
        <v>0</v>
      </c>
      <c r="O1005" s="26" t="str">
        <f t="shared" si="214"/>
        <v>June</v>
      </c>
      <c r="P1005" s="25">
        <f t="shared" si="215"/>
        <v>0</v>
      </c>
      <c r="Q1005" s="27">
        <f t="shared" si="216"/>
        <v>10</v>
      </c>
      <c r="R1005" s="26" t="b">
        <f t="shared" si="217"/>
        <v>0</v>
      </c>
      <c r="S1005" s="28" t="b">
        <f t="shared" si="218"/>
        <v>0</v>
      </c>
      <c r="T1005" s="24">
        <v>0</v>
      </c>
      <c r="U1005" s="29" t="str">
        <f t="shared" si="219"/>
        <v>May</v>
      </c>
      <c r="V1005" s="24">
        <f t="shared" si="220"/>
        <v>0</v>
      </c>
      <c r="W1005" s="30">
        <f t="shared" si="221"/>
        <v>10</v>
      </c>
      <c r="X1005" s="31" t="b">
        <f t="shared" si="222"/>
        <v>0</v>
      </c>
      <c r="Y1005" s="32" t="b">
        <f t="shared" si="223"/>
        <v>0</v>
      </c>
      <c r="Z1005" s="41">
        <v>0</v>
      </c>
      <c r="AA1005" s="36"/>
      <c r="AB1005" s="36" t="s">
        <v>24</v>
      </c>
      <c r="AC1005" s="41" t="s">
        <v>2027</v>
      </c>
      <c r="AD1005" s="34"/>
      <c r="AE1005" s="35">
        <f>IFERROR(INDEX([1]Last6M_AvgSales_Ref!$B$2:$B$12659,MATCH(D1005,[1]Last6M_AvgSales_Ref!$A$2:$A$12659,0)),"")</f>
        <v>15</v>
      </c>
    </row>
    <row r="1006" spans="1:31" ht="14.25" customHeight="1" x14ac:dyDescent="0.3">
      <c r="A1006" s="41" t="s">
        <v>2027</v>
      </c>
      <c r="B1006" s="38" t="s">
        <v>2028</v>
      </c>
      <c r="C1006" s="38" t="s">
        <v>2063</v>
      </c>
      <c r="D1006" s="38">
        <v>1000002036</v>
      </c>
      <c r="E1006" s="39" t="s">
        <v>2064</v>
      </c>
      <c r="F1006" s="40">
        <v>44501</v>
      </c>
      <c r="G1006" s="22" t="str">
        <f t="shared" si="210"/>
        <v>Targeted Dealer</v>
      </c>
      <c r="H1006" s="22"/>
      <c r="I1006" s="23">
        <v>100</v>
      </c>
      <c r="J1006" s="23">
        <f t="shared" si="211"/>
        <v>100</v>
      </c>
      <c r="K1006" s="24">
        <v>180</v>
      </c>
      <c r="L1006" s="24">
        <f t="shared" si="212"/>
        <v>-80</v>
      </c>
      <c r="M1006" s="24">
        <f t="shared" si="213"/>
        <v>180</v>
      </c>
      <c r="N1006" s="25">
        <v>215</v>
      </c>
      <c r="O1006" s="26" t="str">
        <f t="shared" si="214"/>
        <v>June</v>
      </c>
      <c r="P1006" s="25">
        <f t="shared" si="215"/>
        <v>215</v>
      </c>
      <c r="Q1006" s="27">
        <f t="shared" si="216"/>
        <v>-35</v>
      </c>
      <c r="R1006" s="26" t="b">
        <f t="shared" si="217"/>
        <v>0</v>
      </c>
      <c r="S1006" s="28" t="str">
        <f t="shared" si="218"/>
        <v>GROWTH</v>
      </c>
      <c r="T1006" s="24">
        <v>150</v>
      </c>
      <c r="U1006" s="29" t="str">
        <f t="shared" si="219"/>
        <v>May</v>
      </c>
      <c r="V1006" s="24">
        <f t="shared" si="220"/>
        <v>150</v>
      </c>
      <c r="W1006" s="30">
        <f t="shared" si="221"/>
        <v>30</v>
      </c>
      <c r="X1006" s="31" t="b">
        <f t="shared" si="222"/>
        <v>0</v>
      </c>
      <c r="Y1006" s="32" t="str">
        <f t="shared" si="223"/>
        <v>GROWTH</v>
      </c>
      <c r="Z1006" s="41">
        <v>0</v>
      </c>
      <c r="AA1006" s="36"/>
      <c r="AB1006" s="36" t="s">
        <v>24</v>
      </c>
      <c r="AC1006" s="41" t="s">
        <v>2027</v>
      </c>
      <c r="AD1006" s="34"/>
      <c r="AE1006" s="35">
        <f>IFERROR(INDEX([1]Last6M_AvgSales_Ref!$B$2:$B$12659,MATCH(D1006,[1]Last6M_AvgSales_Ref!$A$2:$A$12659,0)),"")</f>
        <v>237.5</v>
      </c>
    </row>
    <row r="1007" spans="1:31" ht="14.25" customHeight="1" x14ac:dyDescent="0.3">
      <c r="A1007" s="41" t="s">
        <v>2027</v>
      </c>
      <c r="B1007" s="38" t="s">
        <v>2028</v>
      </c>
      <c r="C1007" s="38" t="s">
        <v>2065</v>
      </c>
      <c r="D1007" s="38">
        <v>1000002552</v>
      </c>
      <c r="E1007" s="39" t="s">
        <v>2066</v>
      </c>
      <c r="F1007" s="40">
        <v>44615</v>
      </c>
      <c r="G1007" s="22" t="str">
        <f t="shared" si="210"/>
        <v>Targeted Dealer</v>
      </c>
      <c r="H1007" s="22"/>
      <c r="I1007" s="23">
        <v>80</v>
      </c>
      <c r="J1007" s="23">
        <f t="shared" si="211"/>
        <v>80</v>
      </c>
      <c r="K1007" s="24">
        <v>82</v>
      </c>
      <c r="L1007" s="24">
        <f t="shared" si="212"/>
        <v>-2</v>
      </c>
      <c r="M1007" s="24">
        <f t="shared" si="213"/>
        <v>102.5</v>
      </c>
      <c r="N1007" s="25">
        <v>137</v>
      </c>
      <c r="O1007" s="26" t="str">
        <f t="shared" si="214"/>
        <v>June</v>
      </c>
      <c r="P1007" s="25">
        <f t="shared" si="215"/>
        <v>137</v>
      </c>
      <c r="Q1007" s="27">
        <f t="shared" si="216"/>
        <v>-55</v>
      </c>
      <c r="R1007" s="26" t="b">
        <f t="shared" si="217"/>
        <v>0</v>
      </c>
      <c r="S1007" s="28" t="str">
        <f t="shared" si="218"/>
        <v>GROWTH</v>
      </c>
      <c r="T1007" s="24">
        <v>164</v>
      </c>
      <c r="U1007" s="29" t="str">
        <f t="shared" si="219"/>
        <v>May</v>
      </c>
      <c r="V1007" s="24">
        <f t="shared" si="220"/>
        <v>164</v>
      </c>
      <c r="W1007" s="30">
        <f t="shared" si="221"/>
        <v>-82</v>
      </c>
      <c r="X1007" s="31" t="b">
        <f t="shared" si="222"/>
        <v>0</v>
      </c>
      <c r="Y1007" s="32" t="str">
        <f t="shared" si="223"/>
        <v>GROWTH</v>
      </c>
      <c r="Z1007" s="41">
        <v>0</v>
      </c>
      <c r="AA1007" s="36"/>
      <c r="AB1007" s="36" t="s">
        <v>24</v>
      </c>
      <c r="AC1007" s="41" t="s">
        <v>2027</v>
      </c>
      <c r="AD1007" s="34"/>
      <c r="AE1007" s="35">
        <f>IFERROR(INDEX([1]Last6M_AvgSales_Ref!$B$2:$B$12659,MATCH(D1007,[1]Last6M_AvgSales_Ref!$A$2:$A$12659,0)),"")</f>
        <v>188.53333333333299</v>
      </c>
    </row>
    <row r="1008" spans="1:31" ht="14.25" customHeight="1" x14ac:dyDescent="0.3">
      <c r="A1008" s="41" t="s">
        <v>2027</v>
      </c>
      <c r="B1008" s="38" t="s">
        <v>2028</v>
      </c>
      <c r="C1008" s="38" t="s">
        <v>2067</v>
      </c>
      <c r="D1008" s="38">
        <v>1000002558</v>
      </c>
      <c r="E1008" s="39" t="s">
        <v>2068</v>
      </c>
      <c r="F1008" s="40">
        <v>44617</v>
      </c>
      <c r="G1008" s="22" t="str">
        <f t="shared" si="210"/>
        <v>Targeted Dealer</v>
      </c>
      <c r="H1008" s="22"/>
      <c r="I1008" s="23">
        <v>100</v>
      </c>
      <c r="J1008" s="23">
        <f t="shared" si="211"/>
        <v>100</v>
      </c>
      <c r="K1008" s="24">
        <v>169.25</v>
      </c>
      <c r="L1008" s="24">
        <f t="shared" si="212"/>
        <v>-69.25</v>
      </c>
      <c r="M1008" s="24">
        <f t="shared" si="213"/>
        <v>169.25</v>
      </c>
      <c r="N1008" s="25">
        <v>250.75</v>
      </c>
      <c r="O1008" s="26" t="str">
        <f t="shared" si="214"/>
        <v>June</v>
      </c>
      <c r="P1008" s="25">
        <f t="shared" si="215"/>
        <v>250.75</v>
      </c>
      <c r="Q1008" s="27">
        <f t="shared" si="216"/>
        <v>-81.5</v>
      </c>
      <c r="R1008" s="26" t="b">
        <f t="shared" si="217"/>
        <v>0</v>
      </c>
      <c r="S1008" s="28" t="str">
        <f t="shared" si="218"/>
        <v>GROWTH</v>
      </c>
      <c r="T1008" s="24">
        <v>200.25</v>
      </c>
      <c r="U1008" s="29" t="str">
        <f t="shared" si="219"/>
        <v>May</v>
      </c>
      <c r="V1008" s="24">
        <f t="shared" si="220"/>
        <v>200.25</v>
      </c>
      <c r="W1008" s="30">
        <f t="shared" si="221"/>
        <v>-31</v>
      </c>
      <c r="X1008" s="31" t="b">
        <f t="shared" si="222"/>
        <v>0</v>
      </c>
      <c r="Y1008" s="32" t="str">
        <f t="shared" si="223"/>
        <v>GROWTH</v>
      </c>
      <c r="Z1008" s="41">
        <v>0</v>
      </c>
      <c r="AA1008" s="36"/>
      <c r="AB1008" s="36" t="s">
        <v>24</v>
      </c>
      <c r="AC1008" s="41" t="s">
        <v>2027</v>
      </c>
      <c r="AD1008" s="34"/>
      <c r="AE1008" s="35">
        <f>IFERROR(INDEX([1]Last6M_AvgSales_Ref!$B$2:$B$12659,MATCH(D1008,[1]Last6M_AvgSales_Ref!$A$2:$A$12659,0)),"")</f>
        <v>199.083333333333</v>
      </c>
    </row>
    <row r="1009" spans="1:31" ht="14.25" customHeight="1" x14ac:dyDescent="0.3">
      <c r="A1009" s="41" t="s">
        <v>2027</v>
      </c>
      <c r="B1009" s="38" t="s">
        <v>2028</v>
      </c>
      <c r="C1009" s="38" t="s">
        <v>2069</v>
      </c>
      <c r="D1009" s="38">
        <v>1000002632</v>
      </c>
      <c r="E1009" s="39" t="s">
        <v>2070</v>
      </c>
      <c r="F1009" s="40">
        <v>44621</v>
      </c>
      <c r="G1009" s="22" t="str">
        <f t="shared" si="210"/>
        <v>Targeted Dealer</v>
      </c>
      <c r="H1009" s="22"/>
      <c r="I1009" s="23">
        <v>50</v>
      </c>
      <c r="J1009" s="23">
        <f t="shared" si="211"/>
        <v>50</v>
      </c>
      <c r="K1009" s="24">
        <v>40</v>
      </c>
      <c r="L1009" s="24">
        <f t="shared" si="212"/>
        <v>10</v>
      </c>
      <c r="M1009" s="24">
        <f t="shared" si="213"/>
        <v>80</v>
      </c>
      <c r="N1009" s="25">
        <v>10</v>
      </c>
      <c r="O1009" s="26" t="str">
        <f t="shared" si="214"/>
        <v>June</v>
      </c>
      <c r="P1009" s="25">
        <f t="shared" si="215"/>
        <v>10</v>
      </c>
      <c r="Q1009" s="27">
        <f t="shared" si="216"/>
        <v>30</v>
      </c>
      <c r="R1009" s="26" t="b">
        <f t="shared" si="217"/>
        <v>0</v>
      </c>
      <c r="S1009" s="28" t="str">
        <f t="shared" si="218"/>
        <v>GROWTH</v>
      </c>
      <c r="T1009" s="24">
        <v>60</v>
      </c>
      <c r="U1009" s="29" t="str">
        <f t="shared" si="219"/>
        <v>May</v>
      </c>
      <c r="V1009" s="24">
        <f t="shared" si="220"/>
        <v>60</v>
      </c>
      <c r="W1009" s="30">
        <f t="shared" si="221"/>
        <v>-20</v>
      </c>
      <c r="X1009" s="31" t="b">
        <f t="shared" si="222"/>
        <v>0</v>
      </c>
      <c r="Y1009" s="32" t="str">
        <f t="shared" si="223"/>
        <v>GROWTH</v>
      </c>
      <c r="Z1009" s="41">
        <v>0</v>
      </c>
      <c r="AA1009" s="36"/>
      <c r="AB1009" s="36" t="s">
        <v>24</v>
      </c>
      <c r="AC1009" s="41" t="s">
        <v>2027</v>
      </c>
      <c r="AD1009" s="34"/>
      <c r="AE1009" s="35">
        <f>IFERROR(INDEX([1]Last6M_AvgSales_Ref!$B$2:$B$12659,MATCH(D1009,[1]Last6M_AvgSales_Ref!$A$2:$A$12659,0)),"")</f>
        <v>58.5</v>
      </c>
    </row>
    <row r="1010" spans="1:31" ht="14.25" customHeight="1" x14ac:dyDescent="0.3">
      <c r="A1010" s="41" t="s">
        <v>2027</v>
      </c>
      <c r="B1010" s="38" t="s">
        <v>2028</v>
      </c>
      <c r="C1010" s="38" t="s">
        <v>2071</v>
      </c>
      <c r="D1010" s="38">
        <v>1000003020</v>
      </c>
      <c r="E1010" s="38" t="s">
        <v>2072</v>
      </c>
      <c r="F1010" s="40">
        <v>44845</v>
      </c>
      <c r="G1010" s="22" t="str">
        <f t="shared" si="210"/>
        <v>Targeted Dealer</v>
      </c>
      <c r="H1010" s="22"/>
      <c r="I1010" s="23">
        <v>200</v>
      </c>
      <c r="J1010" s="23">
        <f t="shared" si="211"/>
        <v>200</v>
      </c>
      <c r="K1010" s="24">
        <v>138</v>
      </c>
      <c r="L1010" s="24">
        <f t="shared" si="212"/>
        <v>62</v>
      </c>
      <c r="M1010" s="24">
        <f t="shared" si="213"/>
        <v>69</v>
      </c>
      <c r="N1010" s="25">
        <v>140</v>
      </c>
      <c r="O1010" s="26" t="str">
        <f t="shared" si="214"/>
        <v>June</v>
      </c>
      <c r="P1010" s="25">
        <f t="shared" si="215"/>
        <v>140</v>
      </c>
      <c r="Q1010" s="27">
        <f t="shared" si="216"/>
        <v>-2</v>
      </c>
      <c r="R1010" s="26" t="b">
        <f t="shared" si="217"/>
        <v>0</v>
      </c>
      <c r="S1010" s="28" t="str">
        <f t="shared" si="218"/>
        <v>GROWTH</v>
      </c>
      <c r="T1010" s="24">
        <v>218</v>
      </c>
      <c r="U1010" s="29" t="str">
        <f t="shared" si="219"/>
        <v>May</v>
      </c>
      <c r="V1010" s="24">
        <f t="shared" si="220"/>
        <v>218</v>
      </c>
      <c r="W1010" s="30">
        <f t="shared" si="221"/>
        <v>-80</v>
      </c>
      <c r="X1010" s="31" t="b">
        <f t="shared" si="222"/>
        <v>0</v>
      </c>
      <c r="Y1010" s="32" t="str">
        <f t="shared" si="223"/>
        <v>GROWTH</v>
      </c>
      <c r="Z1010" s="41">
        <v>0</v>
      </c>
      <c r="AA1010" s="36"/>
      <c r="AB1010" s="36" t="s">
        <v>24</v>
      </c>
      <c r="AC1010" s="41" t="s">
        <v>2027</v>
      </c>
      <c r="AD1010" s="34"/>
      <c r="AE1010" s="35">
        <f>IFERROR(INDEX([1]Last6M_AvgSales_Ref!$B$2:$B$12659,MATCH(D1010,[1]Last6M_AvgSales_Ref!$A$2:$A$12659,0)),"")</f>
        <v>287.51666666666699</v>
      </c>
    </row>
    <row r="1011" spans="1:31" ht="14.25" customHeight="1" x14ac:dyDescent="0.3">
      <c r="A1011" s="41" t="s">
        <v>2027</v>
      </c>
      <c r="B1011" s="38" t="s">
        <v>2028</v>
      </c>
      <c r="C1011" s="38" t="s">
        <v>2073</v>
      </c>
      <c r="D1011" s="38">
        <v>1000003310</v>
      </c>
      <c r="E1011" s="38" t="s">
        <v>2074</v>
      </c>
      <c r="F1011" s="40">
        <v>44957</v>
      </c>
      <c r="G1011" s="22" t="str">
        <f t="shared" si="210"/>
        <v>Targeted Dealer</v>
      </c>
      <c r="H1011" s="22"/>
      <c r="I1011" s="23">
        <v>450</v>
      </c>
      <c r="J1011" s="23">
        <f t="shared" si="211"/>
        <v>450</v>
      </c>
      <c r="K1011" s="24">
        <v>541.5</v>
      </c>
      <c r="L1011" s="24">
        <f t="shared" si="212"/>
        <v>-91.5</v>
      </c>
      <c r="M1011" s="24">
        <f t="shared" si="213"/>
        <v>120.33333333333333</v>
      </c>
      <c r="N1011" s="25">
        <v>525.75</v>
      </c>
      <c r="O1011" s="26" t="str">
        <f t="shared" si="214"/>
        <v>June</v>
      </c>
      <c r="P1011" s="25">
        <f t="shared" si="215"/>
        <v>525.75</v>
      </c>
      <c r="Q1011" s="27">
        <f t="shared" si="216"/>
        <v>15.75</v>
      </c>
      <c r="R1011" s="26" t="b">
        <f t="shared" si="217"/>
        <v>0</v>
      </c>
      <c r="S1011" s="28" t="str">
        <f t="shared" si="218"/>
        <v>GROWTH</v>
      </c>
      <c r="T1011" s="24">
        <v>601</v>
      </c>
      <c r="U1011" s="29" t="str">
        <f t="shared" si="219"/>
        <v>May</v>
      </c>
      <c r="V1011" s="24">
        <f t="shared" si="220"/>
        <v>601</v>
      </c>
      <c r="W1011" s="30">
        <f t="shared" si="221"/>
        <v>-59.5</v>
      </c>
      <c r="X1011" s="31" t="b">
        <f t="shared" si="222"/>
        <v>0</v>
      </c>
      <c r="Y1011" s="32" t="str">
        <f t="shared" si="223"/>
        <v>GROWTH</v>
      </c>
      <c r="Z1011" s="41">
        <v>0</v>
      </c>
      <c r="AA1011" s="36"/>
      <c r="AB1011" s="36" t="s">
        <v>24</v>
      </c>
      <c r="AC1011" s="41" t="s">
        <v>2027</v>
      </c>
      <c r="AD1011" s="34"/>
      <c r="AE1011" s="35">
        <f>IFERROR(INDEX([1]Last6M_AvgSales_Ref!$B$2:$B$12659,MATCH(D1011,[1]Last6M_AvgSales_Ref!$A$2:$A$12659,0)),"")</f>
        <v>629.70833333333303</v>
      </c>
    </row>
    <row r="1012" spans="1:31" ht="14.25" customHeight="1" x14ac:dyDescent="0.3">
      <c r="A1012" s="41" t="s">
        <v>2027</v>
      </c>
      <c r="B1012" s="38" t="s">
        <v>2028</v>
      </c>
      <c r="C1012" s="38" t="s">
        <v>2075</v>
      </c>
      <c r="D1012" s="38">
        <v>1000003516</v>
      </c>
      <c r="E1012" s="38" t="s">
        <v>2076</v>
      </c>
      <c r="F1012" s="40">
        <v>45057</v>
      </c>
      <c r="G1012" s="22" t="str">
        <f t="shared" si="210"/>
        <v>Targeted Dealer</v>
      </c>
      <c r="H1012" s="22"/>
      <c r="I1012" s="23">
        <v>150</v>
      </c>
      <c r="J1012" s="23">
        <f t="shared" si="211"/>
        <v>150</v>
      </c>
      <c r="K1012" s="24">
        <v>110</v>
      </c>
      <c r="L1012" s="24">
        <f t="shared" si="212"/>
        <v>40</v>
      </c>
      <c r="M1012" s="24">
        <f t="shared" si="213"/>
        <v>73.333333333333329</v>
      </c>
      <c r="N1012" s="25">
        <v>150</v>
      </c>
      <c r="O1012" s="26" t="str">
        <f t="shared" si="214"/>
        <v>June</v>
      </c>
      <c r="P1012" s="25">
        <f t="shared" si="215"/>
        <v>150</v>
      </c>
      <c r="Q1012" s="27">
        <f t="shared" si="216"/>
        <v>-40</v>
      </c>
      <c r="R1012" s="26" t="b">
        <f t="shared" si="217"/>
        <v>0</v>
      </c>
      <c r="S1012" s="28" t="str">
        <f t="shared" si="218"/>
        <v>GROWTH</v>
      </c>
      <c r="T1012" s="24">
        <v>110</v>
      </c>
      <c r="U1012" s="29" t="str">
        <f t="shared" si="219"/>
        <v>May</v>
      </c>
      <c r="V1012" s="24">
        <f t="shared" si="220"/>
        <v>110</v>
      </c>
      <c r="W1012" s="30">
        <f t="shared" si="221"/>
        <v>0</v>
      </c>
      <c r="X1012" s="31" t="b">
        <f t="shared" si="222"/>
        <v>0</v>
      </c>
      <c r="Y1012" s="32" t="str">
        <f t="shared" si="223"/>
        <v>GROWTH</v>
      </c>
      <c r="Z1012" s="41">
        <v>0</v>
      </c>
      <c r="AA1012" s="36"/>
      <c r="AB1012" s="36" t="s">
        <v>24</v>
      </c>
      <c r="AC1012" s="41" t="s">
        <v>2027</v>
      </c>
      <c r="AD1012" s="34"/>
      <c r="AE1012" s="35">
        <f>IFERROR(INDEX([1]Last6M_AvgSales_Ref!$B$2:$B$12659,MATCH(D1012,[1]Last6M_AvgSales_Ref!$A$2:$A$12659,0)),"")</f>
        <v>115.25</v>
      </c>
    </row>
    <row r="1013" spans="1:31" ht="14.25" customHeight="1" x14ac:dyDescent="0.3">
      <c r="A1013" s="41" t="s">
        <v>2027</v>
      </c>
      <c r="B1013" s="38" t="s">
        <v>2028</v>
      </c>
      <c r="C1013" s="38" t="s">
        <v>2077</v>
      </c>
      <c r="D1013" s="38">
        <v>1000003517</v>
      </c>
      <c r="E1013" s="38" t="s">
        <v>2078</v>
      </c>
      <c r="F1013" s="40">
        <v>45058</v>
      </c>
      <c r="G1013" s="22" t="str">
        <f t="shared" si="210"/>
        <v>Targeted Dealer</v>
      </c>
      <c r="H1013" s="22"/>
      <c r="I1013" s="23">
        <v>550</v>
      </c>
      <c r="J1013" s="23">
        <f t="shared" si="211"/>
        <v>550</v>
      </c>
      <c r="K1013" s="24">
        <v>526</v>
      </c>
      <c r="L1013" s="24">
        <f t="shared" si="212"/>
        <v>24</v>
      </c>
      <c r="M1013" s="24">
        <f t="shared" si="213"/>
        <v>95.63636363636364</v>
      </c>
      <c r="N1013" s="25">
        <v>554</v>
      </c>
      <c r="O1013" s="26" t="str">
        <f t="shared" si="214"/>
        <v>June</v>
      </c>
      <c r="P1013" s="25">
        <f t="shared" si="215"/>
        <v>554</v>
      </c>
      <c r="Q1013" s="27">
        <f t="shared" si="216"/>
        <v>-28</v>
      </c>
      <c r="R1013" s="26" t="b">
        <f t="shared" si="217"/>
        <v>0</v>
      </c>
      <c r="S1013" s="28" t="str">
        <f t="shared" si="218"/>
        <v>GROWTH</v>
      </c>
      <c r="T1013" s="24">
        <v>315</v>
      </c>
      <c r="U1013" s="29" t="str">
        <f t="shared" si="219"/>
        <v>May</v>
      </c>
      <c r="V1013" s="24">
        <f t="shared" si="220"/>
        <v>315</v>
      </c>
      <c r="W1013" s="30">
        <f t="shared" si="221"/>
        <v>211</v>
      </c>
      <c r="X1013" s="31" t="b">
        <f t="shared" si="222"/>
        <v>0</v>
      </c>
      <c r="Y1013" s="32" t="str">
        <f t="shared" si="223"/>
        <v>GROWTH</v>
      </c>
      <c r="Z1013" s="41">
        <v>0</v>
      </c>
      <c r="AA1013" s="36"/>
      <c r="AB1013" s="36" t="s">
        <v>24</v>
      </c>
      <c r="AC1013" s="41" t="s">
        <v>2027</v>
      </c>
      <c r="AD1013" s="34"/>
      <c r="AE1013" s="35">
        <f>IFERROR(INDEX([1]Last6M_AvgSales_Ref!$B$2:$B$12659,MATCH(D1013,[1]Last6M_AvgSales_Ref!$A$2:$A$12659,0)),"")</f>
        <v>615.66666666666697</v>
      </c>
    </row>
    <row r="1014" spans="1:31" ht="14.25" customHeight="1" x14ac:dyDescent="0.3">
      <c r="A1014" s="41" t="s">
        <v>2027</v>
      </c>
      <c r="B1014" s="38" t="s">
        <v>2028</v>
      </c>
      <c r="C1014" s="38" t="s">
        <v>2079</v>
      </c>
      <c r="D1014" s="38">
        <v>1000003614</v>
      </c>
      <c r="E1014" s="38" t="s">
        <v>2080</v>
      </c>
      <c r="F1014" s="40">
        <v>45106</v>
      </c>
      <c r="G1014" s="22" t="str">
        <f t="shared" si="210"/>
        <v>Targeted Dealer</v>
      </c>
      <c r="H1014" s="22"/>
      <c r="I1014" s="23">
        <v>450</v>
      </c>
      <c r="J1014" s="23">
        <f t="shared" si="211"/>
        <v>450</v>
      </c>
      <c r="K1014" s="24">
        <v>680.5</v>
      </c>
      <c r="L1014" s="24">
        <f t="shared" si="212"/>
        <v>-230.5</v>
      </c>
      <c r="M1014" s="24">
        <f t="shared" si="213"/>
        <v>151.22222222222223</v>
      </c>
      <c r="N1014" s="25">
        <v>460</v>
      </c>
      <c r="O1014" s="26" t="str">
        <f t="shared" si="214"/>
        <v>June</v>
      </c>
      <c r="P1014" s="25">
        <f t="shared" si="215"/>
        <v>460</v>
      </c>
      <c r="Q1014" s="27">
        <f t="shared" si="216"/>
        <v>220.5</v>
      </c>
      <c r="R1014" s="26" t="b">
        <f t="shared" si="217"/>
        <v>0</v>
      </c>
      <c r="S1014" s="28" t="str">
        <f t="shared" si="218"/>
        <v>GROWTH</v>
      </c>
      <c r="T1014" s="24">
        <v>105</v>
      </c>
      <c r="U1014" s="29" t="str">
        <f t="shared" si="219"/>
        <v>May</v>
      </c>
      <c r="V1014" s="24">
        <f t="shared" si="220"/>
        <v>105</v>
      </c>
      <c r="W1014" s="30">
        <f t="shared" si="221"/>
        <v>575.5</v>
      </c>
      <c r="X1014" s="31" t="b">
        <f t="shared" si="222"/>
        <v>0</v>
      </c>
      <c r="Y1014" s="32" t="str">
        <f t="shared" si="223"/>
        <v>GROWTH</v>
      </c>
      <c r="Z1014" s="41">
        <v>0</v>
      </c>
      <c r="AA1014" s="36"/>
      <c r="AB1014" s="36" t="s">
        <v>24</v>
      </c>
      <c r="AC1014" s="41" t="s">
        <v>2027</v>
      </c>
      <c r="AD1014" s="34"/>
      <c r="AE1014" s="35">
        <f>IFERROR(INDEX([1]Last6M_AvgSales_Ref!$B$2:$B$12659,MATCH(D1014,[1]Last6M_AvgSales_Ref!$A$2:$A$12659,0)),"")</f>
        <v>433.41666666666703</v>
      </c>
    </row>
    <row r="1015" spans="1:31" ht="14.25" customHeight="1" x14ac:dyDescent="0.3">
      <c r="A1015" s="41" t="s">
        <v>2027</v>
      </c>
      <c r="B1015" s="38" t="s">
        <v>2028</v>
      </c>
      <c r="C1015" s="38" t="s">
        <v>2081</v>
      </c>
      <c r="D1015" s="38">
        <v>1000003721</v>
      </c>
      <c r="E1015" s="38" t="s">
        <v>2082</v>
      </c>
      <c r="F1015" s="40">
        <v>45185</v>
      </c>
      <c r="G1015" s="22" t="str">
        <f t="shared" si="210"/>
        <v>Targeted Dealer</v>
      </c>
      <c r="H1015" s="22"/>
      <c r="I1015" s="23">
        <v>170</v>
      </c>
      <c r="J1015" s="23">
        <f t="shared" si="211"/>
        <v>170</v>
      </c>
      <c r="K1015" s="24">
        <v>210</v>
      </c>
      <c r="L1015" s="24">
        <f t="shared" si="212"/>
        <v>-40</v>
      </c>
      <c r="M1015" s="24">
        <f t="shared" si="213"/>
        <v>123.52941176470588</v>
      </c>
      <c r="N1015" s="25">
        <v>225</v>
      </c>
      <c r="O1015" s="26" t="str">
        <f t="shared" si="214"/>
        <v>June</v>
      </c>
      <c r="P1015" s="25">
        <f t="shared" si="215"/>
        <v>225</v>
      </c>
      <c r="Q1015" s="27">
        <f t="shared" si="216"/>
        <v>-15</v>
      </c>
      <c r="R1015" s="26" t="b">
        <f t="shared" si="217"/>
        <v>0</v>
      </c>
      <c r="S1015" s="28" t="str">
        <f t="shared" si="218"/>
        <v>GROWTH</v>
      </c>
      <c r="T1015" s="24">
        <v>120</v>
      </c>
      <c r="U1015" s="29" t="str">
        <f t="shared" si="219"/>
        <v>May</v>
      </c>
      <c r="V1015" s="24">
        <f t="shared" si="220"/>
        <v>120</v>
      </c>
      <c r="W1015" s="30">
        <f t="shared" si="221"/>
        <v>90</v>
      </c>
      <c r="X1015" s="31" t="b">
        <f t="shared" si="222"/>
        <v>0</v>
      </c>
      <c r="Y1015" s="32" t="str">
        <f t="shared" si="223"/>
        <v>GROWTH</v>
      </c>
      <c r="Z1015" s="41">
        <v>0</v>
      </c>
      <c r="AA1015" s="36"/>
      <c r="AB1015" s="36" t="s">
        <v>24</v>
      </c>
      <c r="AC1015" s="41" t="s">
        <v>2027</v>
      </c>
      <c r="AD1015" s="34"/>
      <c r="AE1015" s="35">
        <f>IFERROR(INDEX([1]Last6M_AvgSales_Ref!$B$2:$B$12659,MATCH(D1015,[1]Last6M_AvgSales_Ref!$A$2:$A$12659,0)),"")</f>
        <v>233.666666666667</v>
      </c>
    </row>
    <row r="1016" spans="1:31" ht="14.25" customHeight="1" x14ac:dyDescent="0.3">
      <c r="A1016" s="41" t="s">
        <v>2027</v>
      </c>
      <c r="B1016" s="38" t="s">
        <v>2028</v>
      </c>
      <c r="C1016" s="38" t="s">
        <v>2083</v>
      </c>
      <c r="D1016" s="38">
        <v>1000003756</v>
      </c>
      <c r="E1016" s="38" t="s">
        <v>2084</v>
      </c>
      <c r="F1016" s="40">
        <v>45247</v>
      </c>
      <c r="G1016" s="22" t="str">
        <f t="shared" si="210"/>
        <v>Targeted Dealer</v>
      </c>
      <c r="H1016" s="22"/>
      <c r="I1016" s="23">
        <v>75</v>
      </c>
      <c r="J1016" s="23">
        <f t="shared" si="211"/>
        <v>75</v>
      </c>
      <c r="K1016" s="24">
        <v>130</v>
      </c>
      <c r="L1016" s="24">
        <f t="shared" si="212"/>
        <v>-55</v>
      </c>
      <c r="M1016" s="24">
        <f t="shared" si="213"/>
        <v>173.33333333333334</v>
      </c>
      <c r="N1016" s="25">
        <v>14.5</v>
      </c>
      <c r="O1016" s="26" t="str">
        <f t="shared" si="214"/>
        <v>June</v>
      </c>
      <c r="P1016" s="25">
        <f t="shared" si="215"/>
        <v>14.5</v>
      </c>
      <c r="Q1016" s="27">
        <f t="shared" si="216"/>
        <v>115.5</v>
      </c>
      <c r="R1016" s="26" t="b">
        <f t="shared" si="217"/>
        <v>0</v>
      </c>
      <c r="S1016" s="28" t="str">
        <f t="shared" si="218"/>
        <v>GROWTH</v>
      </c>
      <c r="T1016" s="24">
        <v>126</v>
      </c>
      <c r="U1016" s="29" t="str">
        <f t="shared" si="219"/>
        <v>May</v>
      </c>
      <c r="V1016" s="24">
        <f t="shared" si="220"/>
        <v>126</v>
      </c>
      <c r="W1016" s="30">
        <f t="shared" si="221"/>
        <v>4</v>
      </c>
      <c r="X1016" s="31" t="b">
        <f t="shared" si="222"/>
        <v>0</v>
      </c>
      <c r="Y1016" s="32" t="str">
        <f t="shared" si="223"/>
        <v>GROWTH</v>
      </c>
      <c r="Z1016" s="41">
        <v>0</v>
      </c>
      <c r="AA1016" s="36"/>
      <c r="AB1016" s="36" t="s">
        <v>24</v>
      </c>
      <c r="AC1016" s="41" t="s">
        <v>2027</v>
      </c>
      <c r="AD1016" s="34"/>
      <c r="AE1016" s="35">
        <f>IFERROR(INDEX([1]Last6M_AvgSales_Ref!$B$2:$B$12659,MATCH(D1016,[1]Last6M_AvgSales_Ref!$A$2:$A$12659,0)),"")</f>
        <v>123.083333333333</v>
      </c>
    </row>
    <row r="1017" spans="1:31" ht="14.25" customHeight="1" x14ac:dyDescent="0.3">
      <c r="A1017" s="41" t="s">
        <v>2027</v>
      </c>
      <c r="B1017" s="44" t="s">
        <v>2028</v>
      </c>
      <c r="C1017" s="44" t="s">
        <v>2085</v>
      </c>
      <c r="D1017" s="44">
        <v>1000003886</v>
      </c>
      <c r="E1017" s="44" t="s">
        <v>2086</v>
      </c>
      <c r="F1017" s="40">
        <v>45364</v>
      </c>
      <c r="G1017" s="22" t="str">
        <f t="shared" si="210"/>
        <v>Targeted Dealer</v>
      </c>
      <c r="H1017" s="22"/>
      <c r="I1017" s="23">
        <v>40</v>
      </c>
      <c r="J1017" s="23">
        <f t="shared" si="211"/>
        <v>40</v>
      </c>
      <c r="K1017" s="24">
        <v>10</v>
      </c>
      <c r="L1017" s="24">
        <f t="shared" si="212"/>
        <v>30</v>
      </c>
      <c r="M1017" s="24">
        <f t="shared" si="213"/>
        <v>25</v>
      </c>
      <c r="N1017" s="25">
        <v>0</v>
      </c>
      <c r="O1017" s="26" t="str">
        <f t="shared" si="214"/>
        <v>June</v>
      </c>
      <c r="P1017" s="25">
        <f t="shared" si="215"/>
        <v>0</v>
      </c>
      <c r="Q1017" s="27">
        <f t="shared" si="216"/>
        <v>10</v>
      </c>
      <c r="R1017" s="26" t="b">
        <f t="shared" si="217"/>
        <v>0</v>
      </c>
      <c r="S1017" s="28" t="b">
        <f t="shared" si="218"/>
        <v>0</v>
      </c>
      <c r="T1017" s="24">
        <v>35</v>
      </c>
      <c r="U1017" s="29" t="str">
        <f t="shared" si="219"/>
        <v>May</v>
      </c>
      <c r="V1017" s="24">
        <f t="shared" si="220"/>
        <v>35</v>
      </c>
      <c r="W1017" s="30">
        <f t="shared" si="221"/>
        <v>-25</v>
      </c>
      <c r="X1017" s="31" t="b">
        <f t="shared" si="222"/>
        <v>0</v>
      </c>
      <c r="Y1017" s="32" t="str">
        <f t="shared" si="223"/>
        <v>GROWTH</v>
      </c>
      <c r="Z1017" s="41">
        <v>0</v>
      </c>
      <c r="AA1017" s="36"/>
      <c r="AB1017" s="36" t="s">
        <v>24</v>
      </c>
      <c r="AC1017" s="41" t="s">
        <v>2027</v>
      </c>
      <c r="AD1017" s="34"/>
      <c r="AE1017" s="35">
        <f>IFERROR(INDEX([1]Last6M_AvgSales_Ref!$B$2:$B$12659,MATCH(D1017,[1]Last6M_AvgSales_Ref!$A$2:$A$12659,0)),"")</f>
        <v>11.6666666666667</v>
      </c>
    </row>
    <row r="1018" spans="1:31" ht="14.25" customHeight="1" x14ac:dyDescent="0.3">
      <c r="A1018" s="41" t="s">
        <v>2027</v>
      </c>
      <c r="B1018" s="44" t="s">
        <v>2028</v>
      </c>
      <c r="C1018" s="44" t="s">
        <v>2087</v>
      </c>
      <c r="D1018" s="44">
        <v>1000003955</v>
      </c>
      <c r="E1018" s="44" t="s">
        <v>2088</v>
      </c>
      <c r="F1018" s="40">
        <v>45427</v>
      </c>
      <c r="G1018" s="22" t="str">
        <f t="shared" si="210"/>
        <v>Targeted Dealer</v>
      </c>
      <c r="H1018" s="22"/>
      <c r="I1018" s="23">
        <v>70</v>
      </c>
      <c r="J1018" s="23">
        <f t="shared" si="211"/>
        <v>70</v>
      </c>
      <c r="K1018" s="24">
        <v>95</v>
      </c>
      <c r="L1018" s="24">
        <f t="shared" si="212"/>
        <v>-25</v>
      </c>
      <c r="M1018" s="24">
        <f t="shared" si="213"/>
        <v>135.71428571428572</v>
      </c>
      <c r="N1018" s="25">
        <v>70</v>
      </c>
      <c r="O1018" s="26" t="str">
        <f t="shared" si="214"/>
        <v>June</v>
      </c>
      <c r="P1018" s="25">
        <f t="shared" si="215"/>
        <v>70</v>
      </c>
      <c r="Q1018" s="27">
        <f t="shared" si="216"/>
        <v>25</v>
      </c>
      <c r="R1018" s="26" t="b">
        <f t="shared" si="217"/>
        <v>0</v>
      </c>
      <c r="S1018" s="28" t="str">
        <f t="shared" si="218"/>
        <v>GROWTH</v>
      </c>
      <c r="T1018" s="24">
        <v>60</v>
      </c>
      <c r="U1018" s="29" t="str">
        <f t="shared" si="219"/>
        <v>May</v>
      </c>
      <c r="V1018" s="24">
        <f t="shared" si="220"/>
        <v>60</v>
      </c>
      <c r="W1018" s="30">
        <f t="shared" si="221"/>
        <v>35</v>
      </c>
      <c r="X1018" s="31" t="b">
        <f t="shared" si="222"/>
        <v>0</v>
      </c>
      <c r="Y1018" s="32" t="str">
        <f t="shared" si="223"/>
        <v>GROWTH</v>
      </c>
      <c r="Z1018" s="41">
        <v>0</v>
      </c>
      <c r="AA1018" s="36"/>
      <c r="AB1018" s="36" t="s">
        <v>24</v>
      </c>
      <c r="AC1018" s="41" t="s">
        <v>2027</v>
      </c>
      <c r="AD1018" s="34"/>
      <c r="AE1018" s="35">
        <f>IFERROR(INDEX([1]Last6M_AvgSales_Ref!$B$2:$B$12659,MATCH(D1018,[1]Last6M_AvgSales_Ref!$A$2:$A$12659,0)),"")</f>
        <v>98.466666666666697</v>
      </c>
    </row>
    <row r="1019" spans="1:31" ht="14.25" customHeight="1" x14ac:dyDescent="0.3">
      <c r="A1019" s="41" t="s">
        <v>2027</v>
      </c>
      <c r="B1019" s="44" t="s">
        <v>2028</v>
      </c>
      <c r="C1019" s="44" t="s">
        <v>2089</v>
      </c>
      <c r="D1019" s="44">
        <v>1000003957</v>
      </c>
      <c r="E1019" s="44" t="s">
        <v>2090</v>
      </c>
      <c r="F1019" s="40">
        <v>45428</v>
      </c>
      <c r="G1019" s="22" t="str">
        <f t="shared" si="210"/>
        <v>Targeted Dealer</v>
      </c>
      <c r="H1019" s="22"/>
      <c r="I1019" s="23">
        <v>100</v>
      </c>
      <c r="J1019" s="23">
        <f t="shared" si="211"/>
        <v>100</v>
      </c>
      <c r="K1019" s="24">
        <v>150.9</v>
      </c>
      <c r="L1019" s="24">
        <f t="shared" si="212"/>
        <v>-50.900000000000006</v>
      </c>
      <c r="M1019" s="24">
        <f t="shared" si="213"/>
        <v>150.9</v>
      </c>
      <c r="N1019" s="25">
        <v>132.44999999999999</v>
      </c>
      <c r="O1019" s="26" t="str">
        <f t="shared" si="214"/>
        <v>June</v>
      </c>
      <c r="P1019" s="25">
        <f t="shared" si="215"/>
        <v>132.44999999999999</v>
      </c>
      <c r="Q1019" s="27">
        <f t="shared" si="216"/>
        <v>18.450000000000017</v>
      </c>
      <c r="R1019" s="26" t="b">
        <f t="shared" si="217"/>
        <v>0</v>
      </c>
      <c r="S1019" s="28" t="str">
        <f t="shared" si="218"/>
        <v>GROWTH</v>
      </c>
      <c r="T1019" s="24">
        <v>86</v>
      </c>
      <c r="U1019" s="29" t="str">
        <f t="shared" si="219"/>
        <v>May</v>
      </c>
      <c r="V1019" s="24">
        <f t="shared" si="220"/>
        <v>86</v>
      </c>
      <c r="W1019" s="30">
        <f t="shared" si="221"/>
        <v>64.900000000000006</v>
      </c>
      <c r="X1019" s="31" t="b">
        <f t="shared" si="222"/>
        <v>0</v>
      </c>
      <c r="Y1019" s="32" t="str">
        <f t="shared" si="223"/>
        <v>GROWTH</v>
      </c>
      <c r="Z1019" s="41">
        <v>0</v>
      </c>
      <c r="AA1019" s="36"/>
      <c r="AB1019" s="36" t="s">
        <v>24</v>
      </c>
      <c r="AC1019" s="41" t="s">
        <v>2027</v>
      </c>
      <c r="AD1019" s="34"/>
      <c r="AE1019" s="35">
        <f>IFERROR(INDEX([1]Last6M_AvgSales_Ref!$B$2:$B$12659,MATCH(D1019,[1]Last6M_AvgSales_Ref!$A$2:$A$12659,0)),"")</f>
        <v>134.308333333333</v>
      </c>
    </row>
    <row r="1020" spans="1:31" ht="14.25" customHeight="1" x14ac:dyDescent="0.3">
      <c r="A1020" s="41" t="s">
        <v>2027</v>
      </c>
      <c r="B1020" s="44" t="s">
        <v>2028</v>
      </c>
      <c r="C1020" s="44" t="s">
        <v>2091</v>
      </c>
      <c r="D1020" s="44">
        <v>1000004009</v>
      </c>
      <c r="E1020" s="44" t="s">
        <v>2092</v>
      </c>
      <c r="F1020" s="40">
        <v>45457</v>
      </c>
      <c r="G1020" s="22" t="str">
        <f t="shared" si="210"/>
        <v>-</v>
      </c>
      <c r="H1020" s="22"/>
      <c r="I1020" s="23">
        <v>0</v>
      </c>
      <c r="J1020" s="23">
        <f t="shared" si="211"/>
        <v>0</v>
      </c>
      <c r="K1020" s="24">
        <v>0</v>
      </c>
      <c r="L1020" s="24">
        <f t="shared" si="212"/>
        <v>0</v>
      </c>
      <c r="M1020" s="24" t="str">
        <f t="shared" si="213"/>
        <v>-</v>
      </c>
      <c r="N1020" s="25">
        <v>10</v>
      </c>
      <c r="O1020" s="26" t="str">
        <f t="shared" si="214"/>
        <v>June</v>
      </c>
      <c r="P1020" s="25">
        <f t="shared" si="215"/>
        <v>10</v>
      </c>
      <c r="Q1020" s="27">
        <f t="shared" si="216"/>
        <v>-10</v>
      </c>
      <c r="R1020" s="26" t="b">
        <f t="shared" si="217"/>
        <v>0</v>
      </c>
      <c r="S1020" s="28" t="str">
        <f t="shared" si="218"/>
        <v>GROWTH</v>
      </c>
      <c r="T1020" s="24">
        <v>10</v>
      </c>
      <c r="U1020" s="29" t="str">
        <f t="shared" si="219"/>
        <v>May</v>
      </c>
      <c r="V1020" s="24">
        <f t="shared" si="220"/>
        <v>10</v>
      </c>
      <c r="W1020" s="30">
        <f t="shared" si="221"/>
        <v>-10</v>
      </c>
      <c r="X1020" s="31" t="b">
        <f t="shared" si="222"/>
        <v>0</v>
      </c>
      <c r="Y1020" s="32" t="str">
        <f t="shared" si="223"/>
        <v>GROWTH</v>
      </c>
      <c r="Z1020" s="41">
        <v>0</v>
      </c>
      <c r="AA1020" s="36"/>
      <c r="AB1020" s="36" t="s">
        <v>24</v>
      </c>
      <c r="AC1020" s="41" t="s">
        <v>2027</v>
      </c>
      <c r="AD1020" s="34"/>
      <c r="AE1020" s="35">
        <f>IFERROR(INDEX([1]Last6M_AvgSales_Ref!$B$2:$B$12659,MATCH(D1020,[1]Last6M_AvgSales_Ref!$A$2:$A$12659,0)),"")</f>
        <v>5</v>
      </c>
    </row>
    <row r="1021" spans="1:31" ht="14.25" customHeight="1" x14ac:dyDescent="0.3">
      <c r="A1021" s="41" t="s">
        <v>2027</v>
      </c>
      <c r="B1021" s="44" t="s">
        <v>2028</v>
      </c>
      <c r="C1021" s="44" t="s">
        <v>2093</v>
      </c>
      <c r="D1021" s="44">
        <v>1000004036</v>
      </c>
      <c r="E1021" s="44" t="s">
        <v>2094</v>
      </c>
      <c r="F1021" s="40">
        <v>45483</v>
      </c>
      <c r="G1021" s="22" t="str">
        <f t="shared" si="210"/>
        <v>Targeted Dealer</v>
      </c>
      <c r="H1021" s="22"/>
      <c r="I1021" s="23">
        <v>50</v>
      </c>
      <c r="J1021" s="23">
        <f t="shared" si="211"/>
        <v>50</v>
      </c>
      <c r="K1021" s="24">
        <v>120</v>
      </c>
      <c r="L1021" s="24">
        <f t="shared" si="212"/>
        <v>-70</v>
      </c>
      <c r="M1021" s="24">
        <f t="shared" si="213"/>
        <v>240</v>
      </c>
      <c r="N1021" s="25">
        <v>50.2</v>
      </c>
      <c r="O1021" s="26" t="str">
        <f t="shared" si="214"/>
        <v>June</v>
      </c>
      <c r="P1021" s="25">
        <f t="shared" si="215"/>
        <v>50.2</v>
      </c>
      <c r="Q1021" s="27">
        <f t="shared" si="216"/>
        <v>69.8</v>
      </c>
      <c r="R1021" s="26" t="b">
        <f t="shared" si="217"/>
        <v>0</v>
      </c>
      <c r="S1021" s="28" t="str">
        <f t="shared" si="218"/>
        <v>GROWTH</v>
      </c>
      <c r="T1021" s="24">
        <v>90</v>
      </c>
      <c r="U1021" s="29" t="str">
        <f t="shared" si="219"/>
        <v>May</v>
      </c>
      <c r="V1021" s="24">
        <f t="shared" si="220"/>
        <v>90</v>
      </c>
      <c r="W1021" s="30">
        <f t="shared" si="221"/>
        <v>30</v>
      </c>
      <c r="X1021" s="31" t="b">
        <f t="shared" si="222"/>
        <v>0</v>
      </c>
      <c r="Y1021" s="32" t="str">
        <f t="shared" si="223"/>
        <v>GROWTH</v>
      </c>
      <c r="Z1021" s="41">
        <v>0</v>
      </c>
      <c r="AA1021" s="36"/>
      <c r="AB1021" s="36" t="s">
        <v>24</v>
      </c>
      <c r="AC1021" s="41" t="s">
        <v>2027</v>
      </c>
      <c r="AD1021" s="34"/>
      <c r="AE1021" s="35">
        <f>IFERROR(INDEX([1]Last6M_AvgSales_Ref!$B$2:$B$12659,MATCH(D1021,[1]Last6M_AvgSales_Ref!$A$2:$A$12659,0)),"")</f>
        <v>53.3333333333333</v>
      </c>
    </row>
    <row r="1022" spans="1:31" ht="14.25" customHeight="1" x14ac:dyDescent="0.3">
      <c r="A1022" s="41" t="s">
        <v>2027</v>
      </c>
      <c r="B1022" s="38" t="s">
        <v>2095</v>
      </c>
      <c r="C1022" s="38" t="s">
        <v>2096</v>
      </c>
      <c r="D1022" s="38">
        <v>1000002702</v>
      </c>
      <c r="E1022" s="38" t="s">
        <v>2097</v>
      </c>
      <c r="F1022" s="40">
        <v>44739</v>
      </c>
      <c r="G1022" s="22" t="str">
        <f t="shared" si="210"/>
        <v>Targeted Dealer</v>
      </c>
      <c r="H1022" s="22"/>
      <c r="I1022" s="23">
        <v>300</v>
      </c>
      <c r="J1022" s="23">
        <f t="shared" si="211"/>
        <v>300</v>
      </c>
      <c r="K1022" s="24">
        <v>327</v>
      </c>
      <c r="L1022" s="24">
        <f t="shared" si="212"/>
        <v>-27</v>
      </c>
      <c r="M1022" s="24">
        <f t="shared" si="213"/>
        <v>109</v>
      </c>
      <c r="N1022" s="25">
        <v>136</v>
      </c>
      <c r="O1022" s="26" t="str">
        <f t="shared" si="214"/>
        <v>June</v>
      </c>
      <c r="P1022" s="25">
        <f t="shared" si="215"/>
        <v>136</v>
      </c>
      <c r="Q1022" s="27">
        <f t="shared" si="216"/>
        <v>191</v>
      </c>
      <c r="R1022" s="26" t="b">
        <f t="shared" si="217"/>
        <v>0</v>
      </c>
      <c r="S1022" s="28" t="str">
        <f t="shared" si="218"/>
        <v>GROWTH</v>
      </c>
      <c r="T1022" s="24">
        <v>146</v>
      </c>
      <c r="U1022" s="29" t="str">
        <f t="shared" si="219"/>
        <v>May</v>
      </c>
      <c r="V1022" s="24">
        <f t="shared" si="220"/>
        <v>146</v>
      </c>
      <c r="W1022" s="30">
        <f t="shared" si="221"/>
        <v>181</v>
      </c>
      <c r="X1022" s="31" t="b">
        <f t="shared" si="222"/>
        <v>0</v>
      </c>
      <c r="Y1022" s="32" t="str">
        <f t="shared" si="223"/>
        <v>GROWTH</v>
      </c>
      <c r="Z1022" s="41">
        <v>0</v>
      </c>
      <c r="AA1022" s="36"/>
      <c r="AB1022" s="36" t="s">
        <v>24</v>
      </c>
      <c r="AC1022" s="41" t="s">
        <v>2027</v>
      </c>
      <c r="AD1022" s="34"/>
      <c r="AE1022" s="35">
        <f>IFERROR(INDEX([1]Last6M_AvgSales_Ref!$B$2:$B$12659,MATCH(D1022,[1]Last6M_AvgSales_Ref!$A$2:$A$12659,0)),"")</f>
        <v>205.333333333333</v>
      </c>
    </row>
    <row r="1023" spans="1:31" ht="14.25" customHeight="1" x14ac:dyDescent="0.3">
      <c r="A1023" s="41" t="s">
        <v>2027</v>
      </c>
      <c r="B1023" s="38" t="s">
        <v>2095</v>
      </c>
      <c r="C1023" s="38" t="s">
        <v>2098</v>
      </c>
      <c r="D1023" s="38">
        <v>1000001329</v>
      </c>
      <c r="E1023" s="39" t="s">
        <v>2099</v>
      </c>
      <c r="F1023" s="40">
        <v>41898</v>
      </c>
      <c r="G1023" s="22" t="str">
        <f t="shared" si="210"/>
        <v>Targeted Dealer</v>
      </c>
      <c r="H1023" s="22"/>
      <c r="I1023" s="23">
        <v>250</v>
      </c>
      <c r="J1023" s="23">
        <f t="shared" si="211"/>
        <v>250.00000000000003</v>
      </c>
      <c r="K1023" s="24">
        <v>261</v>
      </c>
      <c r="L1023" s="24">
        <f t="shared" si="212"/>
        <v>-11</v>
      </c>
      <c r="M1023" s="24">
        <f t="shared" si="213"/>
        <v>104.39999999999998</v>
      </c>
      <c r="N1023" s="25">
        <v>250</v>
      </c>
      <c r="O1023" s="26" t="str">
        <f t="shared" si="214"/>
        <v>June</v>
      </c>
      <c r="P1023" s="25">
        <f t="shared" si="215"/>
        <v>250</v>
      </c>
      <c r="Q1023" s="27">
        <f t="shared" si="216"/>
        <v>11</v>
      </c>
      <c r="R1023" s="26" t="b">
        <f t="shared" si="217"/>
        <v>0</v>
      </c>
      <c r="S1023" s="28" t="str">
        <f t="shared" si="218"/>
        <v>GROWTH</v>
      </c>
      <c r="T1023" s="24">
        <v>158</v>
      </c>
      <c r="U1023" s="29" t="str">
        <f t="shared" si="219"/>
        <v>May</v>
      </c>
      <c r="V1023" s="24">
        <f t="shared" si="220"/>
        <v>158</v>
      </c>
      <c r="W1023" s="30">
        <f t="shared" si="221"/>
        <v>103</v>
      </c>
      <c r="X1023" s="31" t="b">
        <f t="shared" si="222"/>
        <v>0</v>
      </c>
      <c r="Y1023" s="32" t="str">
        <f t="shared" si="223"/>
        <v>GROWTH</v>
      </c>
      <c r="Z1023" s="41">
        <v>0</v>
      </c>
      <c r="AA1023" s="36"/>
      <c r="AB1023" s="36" t="s">
        <v>24</v>
      </c>
      <c r="AC1023" s="41" t="s">
        <v>2027</v>
      </c>
      <c r="AD1023" s="34"/>
      <c r="AE1023" s="35">
        <f>IFERROR(INDEX([1]Last6M_AvgSales_Ref!$B$2:$B$12659,MATCH(D1023,[1]Last6M_AvgSales_Ref!$A$2:$A$12659,0)),"")</f>
        <v>342.5</v>
      </c>
    </row>
    <row r="1024" spans="1:31" ht="14.25" customHeight="1" x14ac:dyDescent="0.3">
      <c r="A1024" s="41" t="s">
        <v>2027</v>
      </c>
      <c r="B1024" s="38" t="s">
        <v>2095</v>
      </c>
      <c r="C1024" s="38" t="s">
        <v>2100</v>
      </c>
      <c r="D1024" s="38">
        <v>1000001337</v>
      </c>
      <c r="E1024" s="39" t="s">
        <v>2101</v>
      </c>
      <c r="F1024" s="40">
        <v>42200</v>
      </c>
      <c r="G1024" s="22" t="str">
        <f t="shared" si="210"/>
        <v>Targeted Dealer</v>
      </c>
      <c r="H1024" s="22"/>
      <c r="I1024" s="23">
        <v>180</v>
      </c>
      <c r="J1024" s="23">
        <f t="shared" si="211"/>
        <v>180</v>
      </c>
      <c r="K1024" s="24">
        <v>184</v>
      </c>
      <c r="L1024" s="24">
        <f t="shared" si="212"/>
        <v>-4</v>
      </c>
      <c r="M1024" s="24">
        <f t="shared" si="213"/>
        <v>102.22222222222221</v>
      </c>
      <c r="N1024" s="25">
        <v>182</v>
      </c>
      <c r="O1024" s="26" t="str">
        <f t="shared" si="214"/>
        <v>June</v>
      </c>
      <c r="P1024" s="25">
        <f t="shared" si="215"/>
        <v>182</v>
      </c>
      <c r="Q1024" s="27">
        <f t="shared" si="216"/>
        <v>2</v>
      </c>
      <c r="R1024" s="26" t="b">
        <f t="shared" si="217"/>
        <v>0</v>
      </c>
      <c r="S1024" s="28" t="str">
        <f t="shared" si="218"/>
        <v>GROWTH</v>
      </c>
      <c r="T1024" s="24">
        <v>133</v>
      </c>
      <c r="U1024" s="29" t="str">
        <f t="shared" si="219"/>
        <v>May</v>
      </c>
      <c r="V1024" s="24">
        <f t="shared" si="220"/>
        <v>133</v>
      </c>
      <c r="W1024" s="30">
        <f t="shared" si="221"/>
        <v>51</v>
      </c>
      <c r="X1024" s="31" t="b">
        <f t="shared" si="222"/>
        <v>0</v>
      </c>
      <c r="Y1024" s="32" t="str">
        <f t="shared" si="223"/>
        <v>GROWTH</v>
      </c>
      <c r="Z1024" s="41">
        <v>0</v>
      </c>
      <c r="AA1024" s="36"/>
      <c r="AB1024" s="36" t="s">
        <v>24</v>
      </c>
      <c r="AC1024" s="41" t="s">
        <v>2027</v>
      </c>
      <c r="AD1024" s="34"/>
      <c r="AE1024" s="35">
        <f>IFERROR(INDEX([1]Last6M_AvgSales_Ref!$B$2:$B$12659,MATCH(D1024,[1]Last6M_AvgSales_Ref!$A$2:$A$12659,0)),"")</f>
        <v>200.916666666667</v>
      </c>
    </row>
    <row r="1025" spans="1:31" ht="14.25" customHeight="1" x14ac:dyDescent="0.3">
      <c r="A1025" s="41" t="s">
        <v>2027</v>
      </c>
      <c r="B1025" s="38" t="s">
        <v>2095</v>
      </c>
      <c r="C1025" s="38" t="s">
        <v>2102</v>
      </c>
      <c r="D1025" s="38">
        <v>1000001336</v>
      </c>
      <c r="E1025" s="39" t="s">
        <v>2103</v>
      </c>
      <c r="F1025" s="40">
        <v>42367</v>
      </c>
      <c r="G1025" s="22" t="str">
        <f t="shared" si="210"/>
        <v>Targeted Dealer</v>
      </c>
      <c r="H1025" s="22"/>
      <c r="I1025" s="23">
        <v>200</v>
      </c>
      <c r="J1025" s="23">
        <f t="shared" si="211"/>
        <v>200</v>
      </c>
      <c r="K1025" s="24">
        <v>213</v>
      </c>
      <c r="L1025" s="24">
        <f t="shared" si="212"/>
        <v>-13</v>
      </c>
      <c r="M1025" s="24">
        <f t="shared" si="213"/>
        <v>106.5</v>
      </c>
      <c r="N1025" s="25">
        <v>200</v>
      </c>
      <c r="O1025" s="26" t="str">
        <f t="shared" si="214"/>
        <v>June</v>
      </c>
      <c r="P1025" s="25">
        <f t="shared" si="215"/>
        <v>200</v>
      </c>
      <c r="Q1025" s="27">
        <f t="shared" si="216"/>
        <v>13</v>
      </c>
      <c r="R1025" s="26" t="b">
        <f t="shared" si="217"/>
        <v>0</v>
      </c>
      <c r="S1025" s="28" t="str">
        <f t="shared" si="218"/>
        <v>GROWTH</v>
      </c>
      <c r="T1025" s="24">
        <v>205</v>
      </c>
      <c r="U1025" s="29" t="str">
        <f t="shared" si="219"/>
        <v>May</v>
      </c>
      <c r="V1025" s="24">
        <f t="shared" si="220"/>
        <v>205</v>
      </c>
      <c r="W1025" s="30">
        <f t="shared" si="221"/>
        <v>8</v>
      </c>
      <c r="X1025" s="31" t="b">
        <f t="shared" si="222"/>
        <v>0</v>
      </c>
      <c r="Y1025" s="32" t="str">
        <f t="shared" si="223"/>
        <v>GROWTH</v>
      </c>
      <c r="Z1025" s="41">
        <v>0</v>
      </c>
      <c r="AA1025" s="36"/>
      <c r="AB1025" s="36" t="s">
        <v>24</v>
      </c>
      <c r="AC1025" s="41" t="s">
        <v>2027</v>
      </c>
      <c r="AD1025" s="34"/>
      <c r="AE1025" s="35">
        <f>IFERROR(INDEX([1]Last6M_AvgSales_Ref!$B$2:$B$12659,MATCH(D1025,[1]Last6M_AvgSales_Ref!$A$2:$A$12659,0)),"")</f>
        <v>341.91666666666703</v>
      </c>
    </row>
    <row r="1026" spans="1:31" ht="14.25" customHeight="1" x14ac:dyDescent="0.3">
      <c r="A1026" s="41" t="s">
        <v>2027</v>
      </c>
      <c r="B1026" s="38" t="s">
        <v>2095</v>
      </c>
      <c r="C1026" s="38" t="s">
        <v>2104</v>
      </c>
      <c r="D1026" s="38">
        <v>1000001330</v>
      </c>
      <c r="E1026" s="39" t="s">
        <v>2105</v>
      </c>
      <c r="F1026" s="40">
        <v>42766</v>
      </c>
      <c r="G1026" s="22" t="str">
        <f t="shared" si="210"/>
        <v>Targeted Dealer</v>
      </c>
      <c r="H1026" s="22"/>
      <c r="I1026" s="23">
        <v>50</v>
      </c>
      <c r="J1026" s="23">
        <f t="shared" si="211"/>
        <v>50</v>
      </c>
      <c r="K1026" s="24">
        <v>30</v>
      </c>
      <c r="L1026" s="24">
        <f t="shared" si="212"/>
        <v>20</v>
      </c>
      <c r="M1026" s="24">
        <f t="shared" si="213"/>
        <v>60</v>
      </c>
      <c r="N1026" s="25">
        <v>6</v>
      </c>
      <c r="O1026" s="26" t="str">
        <f t="shared" si="214"/>
        <v>June</v>
      </c>
      <c r="P1026" s="25">
        <f t="shared" si="215"/>
        <v>6</v>
      </c>
      <c r="Q1026" s="27">
        <f t="shared" si="216"/>
        <v>24</v>
      </c>
      <c r="R1026" s="26" t="b">
        <f t="shared" si="217"/>
        <v>0</v>
      </c>
      <c r="S1026" s="28" t="str">
        <f t="shared" si="218"/>
        <v>GROWTH</v>
      </c>
      <c r="T1026" s="24">
        <v>0</v>
      </c>
      <c r="U1026" s="29" t="str">
        <f t="shared" si="219"/>
        <v>May</v>
      </c>
      <c r="V1026" s="24">
        <f t="shared" si="220"/>
        <v>0</v>
      </c>
      <c r="W1026" s="30">
        <f t="shared" si="221"/>
        <v>30</v>
      </c>
      <c r="X1026" s="31" t="b">
        <f t="shared" si="222"/>
        <v>0</v>
      </c>
      <c r="Y1026" s="32" t="b">
        <f t="shared" si="223"/>
        <v>0</v>
      </c>
      <c r="Z1026" s="41">
        <v>0</v>
      </c>
      <c r="AA1026" s="36"/>
      <c r="AB1026" s="36" t="s">
        <v>24</v>
      </c>
      <c r="AC1026" s="41" t="s">
        <v>2027</v>
      </c>
      <c r="AD1026" s="34"/>
      <c r="AE1026" s="35">
        <f>IFERROR(INDEX([1]Last6M_AvgSales_Ref!$B$2:$B$12659,MATCH(D1026,[1]Last6M_AvgSales_Ref!$A$2:$A$12659,0)),"")</f>
        <v>16.8333333333333</v>
      </c>
    </row>
    <row r="1027" spans="1:31" ht="14.25" customHeight="1" x14ac:dyDescent="0.3">
      <c r="A1027" s="41" t="s">
        <v>2027</v>
      </c>
      <c r="B1027" s="38" t="s">
        <v>2095</v>
      </c>
      <c r="C1027" s="38" t="s">
        <v>2106</v>
      </c>
      <c r="D1027" s="38">
        <v>1000001341</v>
      </c>
      <c r="E1027" s="39" t="s">
        <v>2107</v>
      </c>
      <c r="F1027" s="40">
        <v>42803</v>
      </c>
      <c r="G1027" s="22" t="str">
        <f t="shared" ref="G1027:G1090" si="224">IF(I1027&gt;0,"Targeted Dealer","-")</f>
        <v>-</v>
      </c>
      <c r="H1027" s="22"/>
      <c r="I1027" s="23">
        <v>0</v>
      </c>
      <c r="J1027" s="23">
        <f t="shared" ref="J1027:J1090" si="225">I1027/$J$1*($J$1-$E$1)</f>
        <v>0</v>
      </c>
      <c r="K1027" s="24">
        <v>0</v>
      </c>
      <c r="L1027" s="24">
        <f t="shared" ref="L1027:L1090" si="226">I1027-K1027</f>
        <v>0</v>
      </c>
      <c r="M1027" s="24" t="str">
        <f t="shared" ref="M1027:M1090" si="227">IFERROR((K1027/J1027%),"-")</f>
        <v>-</v>
      </c>
      <c r="N1027" s="25">
        <v>0</v>
      </c>
      <c r="O1027" s="26" t="str">
        <f t="shared" ref="O1027:O1090" si="228">IF(F1027&lt;=$P$2,"June","")</f>
        <v>June</v>
      </c>
      <c r="P1027" s="25">
        <f t="shared" ref="P1027:P1090" si="229">N1027</f>
        <v>0</v>
      </c>
      <c r="Q1027" s="27">
        <f t="shared" ref="Q1027:Q1090" si="230">K1027-P1027</f>
        <v>0</v>
      </c>
      <c r="R1027" s="26" t="b">
        <f t="shared" ref="R1027:R1090" si="231">IFERROR(IF(O1027="May",(K1027/P1027-1))," ")</f>
        <v>0</v>
      </c>
      <c r="S1027" s="28" t="b">
        <f t="shared" ref="S1027:S1090" si="232">IF(N1027&gt;0,IF(O1027="","-",IF(R1027&lt;0%,"DEGROWTH","GROWTH")))</f>
        <v>0</v>
      </c>
      <c r="T1027" s="24">
        <v>205</v>
      </c>
      <c r="U1027" s="29" t="str">
        <f t="shared" ref="U1027:U1090" si="233">IF(F1027&lt;=$V$2,"May","")</f>
        <v>May</v>
      </c>
      <c r="V1027" s="24">
        <f t="shared" ref="V1027:V1090" si="234">T1027</f>
        <v>205</v>
      </c>
      <c r="W1027" s="30">
        <f t="shared" ref="W1027:W1090" si="235">K1027-V1027</f>
        <v>-205</v>
      </c>
      <c r="X1027" s="31" t="b">
        <f t="shared" ref="X1027:X1090" si="236">IFERROR(IF(U1027="June",(K1027/V1027-1)),0)</f>
        <v>0</v>
      </c>
      <c r="Y1027" s="32" t="str">
        <f t="shared" ref="Y1027:Y1090" si="237">IF(T1027&gt;0,IF(U1027="","-",IF(X1027&lt;0%,"DEGROWTH","GROWTH")))</f>
        <v>GROWTH</v>
      </c>
      <c r="Z1027" s="41">
        <v>0</v>
      </c>
      <c r="AA1027" s="36"/>
      <c r="AB1027" s="36" t="s">
        <v>24</v>
      </c>
      <c r="AC1027" s="41" t="s">
        <v>2027</v>
      </c>
      <c r="AD1027" s="34"/>
      <c r="AE1027" s="35">
        <f>IFERROR(INDEX([1]Last6M_AvgSales_Ref!$B$2:$B$12659,MATCH(D1027,[1]Last6M_AvgSales_Ref!$A$2:$A$12659,0)),"")</f>
        <v>78.8333333333333</v>
      </c>
    </row>
    <row r="1028" spans="1:31" ht="14.25" customHeight="1" x14ac:dyDescent="0.3">
      <c r="A1028" s="41" t="s">
        <v>2027</v>
      </c>
      <c r="B1028" s="38" t="s">
        <v>2095</v>
      </c>
      <c r="C1028" s="38" t="s">
        <v>2108</v>
      </c>
      <c r="D1028" s="38">
        <v>1000001334</v>
      </c>
      <c r="E1028" s="39" t="s">
        <v>2109</v>
      </c>
      <c r="F1028" s="40">
        <v>43089</v>
      </c>
      <c r="G1028" s="22" t="str">
        <f t="shared" si="224"/>
        <v>Targeted Dealer</v>
      </c>
      <c r="H1028" s="22"/>
      <c r="I1028" s="23">
        <v>50</v>
      </c>
      <c r="J1028" s="23">
        <f t="shared" si="225"/>
        <v>50</v>
      </c>
      <c r="K1028" s="24">
        <v>25</v>
      </c>
      <c r="L1028" s="24">
        <f t="shared" si="226"/>
        <v>25</v>
      </c>
      <c r="M1028" s="24">
        <f t="shared" si="227"/>
        <v>50</v>
      </c>
      <c r="N1028" s="25">
        <v>15</v>
      </c>
      <c r="O1028" s="26" t="str">
        <f t="shared" si="228"/>
        <v>June</v>
      </c>
      <c r="P1028" s="25">
        <f t="shared" si="229"/>
        <v>15</v>
      </c>
      <c r="Q1028" s="27">
        <f t="shared" si="230"/>
        <v>10</v>
      </c>
      <c r="R1028" s="26" t="b">
        <f t="shared" si="231"/>
        <v>0</v>
      </c>
      <c r="S1028" s="28" t="str">
        <f t="shared" si="232"/>
        <v>GROWTH</v>
      </c>
      <c r="T1028" s="24">
        <v>113</v>
      </c>
      <c r="U1028" s="29" t="str">
        <f t="shared" si="233"/>
        <v>May</v>
      </c>
      <c r="V1028" s="24">
        <f t="shared" si="234"/>
        <v>113</v>
      </c>
      <c r="W1028" s="30">
        <f t="shared" si="235"/>
        <v>-88</v>
      </c>
      <c r="X1028" s="31" t="b">
        <f t="shared" si="236"/>
        <v>0</v>
      </c>
      <c r="Y1028" s="32" t="str">
        <f t="shared" si="237"/>
        <v>GROWTH</v>
      </c>
      <c r="Z1028" s="41">
        <v>0</v>
      </c>
      <c r="AA1028" s="36"/>
      <c r="AB1028" s="36" t="s">
        <v>24</v>
      </c>
      <c r="AC1028" s="41" t="s">
        <v>2027</v>
      </c>
      <c r="AD1028" s="34"/>
      <c r="AE1028" s="35">
        <f>IFERROR(INDEX([1]Last6M_AvgSales_Ref!$B$2:$B$12659,MATCH(D1028,[1]Last6M_AvgSales_Ref!$A$2:$A$12659,0)),"")</f>
        <v>26.5</v>
      </c>
    </row>
    <row r="1029" spans="1:31" ht="14.25" customHeight="1" x14ac:dyDescent="0.3">
      <c r="A1029" s="41" t="s">
        <v>2027</v>
      </c>
      <c r="B1029" s="38" t="s">
        <v>2095</v>
      </c>
      <c r="C1029" s="38" t="s">
        <v>2110</v>
      </c>
      <c r="D1029" s="38">
        <v>1000001335</v>
      </c>
      <c r="E1029" s="39" t="s">
        <v>2111</v>
      </c>
      <c r="F1029" s="40">
        <v>43111</v>
      </c>
      <c r="G1029" s="22" t="str">
        <f t="shared" si="224"/>
        <v>Targeted Dealer</v>
      </c>
      <c r="H1029" s="22"/>
      <c r="I1029" s="23">
        <v>240</v>
      </c>
      <c r="J1029" s="23">
        <f t="shared" si="225"/>
        <v>240</v>
      </c>
      <c r="K1029" s="24">
        <v>267</v>
      </c>
      <c r="L1029" s="24">
        <f t="shared" si="226"/>
        <v>-27</v>
      </c>
      <c r="M1029" s="24">
        <f t="shared" si="227"/>
        <v>111.25</v>
      </c>
      <c r="N1029" s="25">
        <v>211.5</v>
      </c>
      <c r="O1029" s="26" t="str">
        <f t="shared" si="228"/>
        <v>June</v>
      </c>
      <c r="P1029" s="25">
        <f t="shared" si="229"/>
        <v>211.5</v>
      </c>
      <c r="Q1029" s="27">
        <f t="shared" si="230"/>
        <v>55.5</v>
      </c>
      <c r="R1029" s="26" t="b">
        <f t="shared" si="231"/>
        <v>0</v>
      </c>
      <c r="S1029" s="28" t="str">
        <f t="shared" si="232"/>
        <v>GROWTH</v>
      </c>
      <c r="T1029" s="24">
        <v>193</v>
      </c>
      <c r="U1029" s="29" t="str">
        <f t="shared" si="233"/>
        <v>May</v>
      </c>
      <c r="V1029" s="24">
        <f t="shared" si="234"/>
        <v>193</v>
      </c>
      <c r="W1029" s="30">
        <f t="shared" si="235"/>
        <v>74</v>
      </c>
      <c r="X1029" s="31" t="b">
        <f t="shared" si="236"/>
        <v>0</v>
      </c>
      <c r="Y1029" s="32" t="str">
        <f t="shared" si="237"/>
        <v>GROWTH</v>
      </c>
      <c r="Z1029" s="41">
        <v>0</v>
      </c>
      <c r="AA1029" s="36"/>
      <c r="AB1029" s="36" t="s">
        <v>24</v>
      </c>
      <c r="AC1029" s="41" t="s">
        <v>2027</v>
      </c>
      <c r="AD1029" s="34"/>
      <c r="AE1029" s="35">
        <f>IFERROR(INDEX([1]Last6M_AvgSales_Ref!$B$2:$B$12659,MATCH(D1029,[1]Last6M_AvgSales_Ref!$A$2:$A$12659,0)),"")</f>
        <v>187.5</v>
      </c>
    </row>
    <row r="1030" spans="1:31" ht="14.25" customHeight="1" x14ac:dyDescent="0.3">
      <c r="A1030" s="41" t="s">
        <v>2027</v>
      </c>
      <c r="B1030" s="38" t="s">
        <v>2095</v>
      </c>
      <c r="C1030" s="38" t="s">
        <v>2112</v>
      </c>
      <c r="D1030" s="38">
        <v>1000001930</v>
      </c>
      <c r="E1030" s="39" t="s">
        <v>2113</v>
      </c>
      <c r="F1030" s="40">
        <v>43652</v>
      </c>
      <c r="G1030" s="22" t="str">
        <f t="shared" si="224"/>
        <v>Targeted Dealer</v>
      </c>
      <c r="H1030" s="22"/>
      <c r="I1030" s="23">
        <v>100</v>
      </c>
      <c r="J1030" s="23">
        <f t="shared" si="225"/>
        <v>100</v>
      </c>
      <c r="K1030" s="24">
        <v>75</v>
      </c>
      <c r="L1030" s="24">
        <f t="shared" si="226"/>
        <v>25</v>
      </c>
      <c r="M1030" s="24">
        <f t="shared" si="227"/>
        <v>75</v>
      </c>
      <c r="N1030" s="25">
        <v>100</v>
      </c>
      <c r="O1030" s="26" t="str">
        <f t="shared" si="228"/>
        <v>June</v>
      </c>
      <c r="P1030" s="25">
        <f t="shared" si="229"/>
        <v>100</v>
      </c>
      <c r="Q1030" s="27">
        <f t="shared" si="230"/>
        <v>-25</v>
      </c>
      <c r="R1030" s="26" t="b">
        <f t="shared" si="231"/>
        <v>0</v>
      </c>
      <c r="S1030" s="28" t="str">
        <f t="shared" si="232"/>
        <v>GROWTH</v>
      </c>
      <c r="T1030" s="24">
        <v>0</v>
      </c>
      <c r="U1030" s="29" t="str">
        <f t="shared" si="233"/>
        <v>May</v>
      </c>
      <c r="V1030" s="24">
        <f t="shared" si="234"/>
        <v>0</v>
      </c>
      <c r="W1030" s="30">
        <f t="shared" si="235"/>
        <v>75</v>
      </c>
      <c r="X1030" s="31" t="b">
        <f t="shared" si="236"/>
        <v>0</v>
      </c>
      <c r="Y1030" s="32" t="b">
        <f t="shared" si="237"/>
        <v>0</v>
      </c>
      <c r="Z1030" s="41">
        <v>0</v>
      </c>
      <c r="AA1030" s="36"/>
      <c r="AB1030" s="36" t="s">
        <v>24</v>
      </c>
      <c r="AC1030" s="41" t="s">
        <v>2027</v>
      </c>
      <c r="AD1030" s="34"/>
      <c r="AE1030" s="35">
        <f>IFERROR(INDEX([1]Last6M_AvgSales_Ref!$B$2:$B$12659,MATCH(D1030,[1]Last6M_AvgSales_Ref!$A$2:$A$12659,0)),"")</f>
        <v>56.6666666666667</v>
      </c>
    </row>
    <row r="1031" spans="1:31" ht="14.25" customHeight="1" x14ac:dyDescent="0.3">
      <c r="A1031" s="41" t="s">
        <v>2027</v>
      </c>
      <c r="B1031" s="38" t="s">
        <v>2095</v>
      </c>
      <c r="C1031" s="38" t="s">
        <v>2114</v>
      </c>
      <c r="D1031" s="38">
        <v>1000002868</v>
      </c>
      <c r="E1031" s="39" t="s">
        <v>2115</v>
      </c>
      <c r="F1031" s="40">
        <v>44764</v>
      </c>
      <c r="G1031" s="22" t="str">
        <f t="shared" si="224"/>
        <v>Targeted Dealer</v>
      </c>
      <c r="H1031" s="22"/>
      <c r="I1031" s="23">
        <v>50</v>
      </c>
      <c r="J1031" s="23">
        <f t="shared" si="225"/>
        <v>50</v>
      </c>
      <c r="K1031" s="24">
        <v>10</v>
      </c>
      <c r="L1031" s="24">
        <f t="shared" si="226"/>
        <v>40</v>
      </c>
      <c r="M1031" s="24">
        <f t="shared" si="227"/>
        <v>20</v>
      </c>
      <c r="N1031" s="25">
        <v>0</v>
      </c>
      <c r="O1031" s="26" t="str">
        <f t="shared" si="228"/>
        <v>June</v>
      </c>
      <c r="P1031" s="25">
        <f t="shared" si="229"/>
        <v>0</v>
      </c>
      <c r="Q1031" s="27">
        <f t="shared" si="230"/>
        <v>10</v>
      </c>
      <c r="R1031" s="26" t="b">
        <f t="shared" si="231"/>
        <v>0</v>
      </c>
      <c r="S1031" s="28" t="b">
        <f t="shared" si="232"/>
        <v>0</v>
      </c>
      <c r="T1031" s="24">
        <v>40</v>
      </c>
      <c r="U1031" s="29" t="str">
        <f t="shared" si="233"/>
        <v>May</v>
      </c>
      <c r="V1031" s="24">
        <f t="shared" si="234"/>
        <v>40</v>
      </c>
      <c r="W1031" s="30">
        <f t="shared" si="235"/>
        <v>-30</v>
      </c>
      <c r="X1031" s="31" t="b">
        <f t="shared" si="236"/>
        <v>0</v>
      </c>
      <c r="Y1031" s="32" t="str">
        <f t="shared" si="237"/>
        <v>GROWTH</v>
      </c>
      <c r="Z1031" s="41">
        <v>0</v>
      </c>
      <c r="AA1031" s="36"/>
      <c r="AB1031" s="36" t="s">
        <v>24</v>
      </c>
      <c r="AC1031" s="41" t="s">
        <v>2027</v>
      </c>
      <c r="AD1031" s="34"/>
      <c r="AE1031" s="35">
        <f>IFERROR(INDEX([1]Last6M_AvgSales_Ref!$B$2:$B$12659,MATCH(D1031,[1]Last6M_AvgSales_Ref!$A$2:$A$12659,0)),"")</f>
        <v>21.8333333333333</v>
      </c>
    </row>
    <row r="1032" spans="1:31" ht="14.25" customHeight="1" x14ac:dyDescent="0.3">
      <c r="A1032" s="41" t="s">
        <v>2027</v>
      </c>
      <c r="B1032" s="38" t="s">
        <v>2095</v>
      </c>
      <c r="C1032" s="38" t="s">
        <v>2116</v>
      </c>
      <c r="D1032" s="38">
        <v>1000003632</v>
      </c>
      <c r="E1032" s="38" t="s">
        <v>2117</v>
      </c>
      <c r="F1032" s="40">
        <v>45118</v>
      </c>
      <c r="G1032" s="22" t="str">
        <f t="shared" si="224"/>
        <v>Targeted Dealer</v>
      </c>
      <c r="H1032" s="22"/>
      <c r="I1032" s="23">
        <v>80</v>
      </c>
      <c r="J1032" s="23">
        <f t="shared" si="225"/>
        <v>80</v>
      </c>
      <c r="K1032" s="24">
        <v>65</v>
      </c>
      <c r="L1032" s="24">
        <f t="shared" si="226"/>
        <v>15</v>
      </c>
      <c r="M1032" s="24">
        <f t="shared" si="227"/>
        <v>81.25</v>
      </c>
      <c r="N1032" s="25">
        <v>42.5</v>
      </c>
      <c r="O1032" s="26" t="str">
        <f t="shared" si="228"/>
        <v>June</v>
      </c>
      <c r="P1032" s="25">
        <f t="shared" si="229"/>
        <v>42.5</v>
      </c>
      <c r="Q1032" s="27">
        <f t="shared" si="230"/>
        <v>22.5</v>
      </c>
      <c r="R1032" s="26" t="b">
        <f t="shared" si="231"/>
        <v>0</v>
      </c>
      <c r="S1032" s="28" t="str">
        <f t="shared" si="232"/>
        <v>GROWTH</v>
      </c>
      <c r="T1032" s="24">
        <v>45</v>
      </c>
      <c r="U1032" s="29" t="str">
        <f t="shared" si="233"/>
        <v>May</v>
      </c>
      <c r="V1032" s="24">
        <f t="shared" si="234"/>
        <v>45</v>
      </c>
      <c r="W1032" s="30">
        <f t="shared" si="235"/>
        <v>20</v>
      </c>
      <c r="X1032" s="31" t="b">
        <f t="shared" si="236"/>
        <v>0</v>
      </c>
      <c r="Y1032" s="32" t="str">
        <f t="shared" si="237"/>
        <v>GROWTH</v>
      </c>
      <c r="Z1032" s="41">
        <v>0</v>
      </c>
      <c r="AA1032" s="36"/>
      <c r="AB1032" s="36" t="s">
        <v>24</v>
      </c>
      <c r="AC1032" s="41" t="s">
        <v>2027</v>
      </c>
      <c r="AD1032" s="34"/>
      <c r="AE1032" s="35">
        <f>IFERROR(INDEX([1]Last6M_AvgSales_Ref!$B$2:$B$12659,MATCH(D1032,[1]Last6M_AvgSales_Ref!$A$2:$A$12659,0)),"")</f>
        <v>52.1666666666667</v>
      </c>
    </row>
    <row r="1033" spans="1:31" ht="14.25" customHeight="1" x14ac:dyDescent="0.3">
      <c r="A1033" s="41" t="s">
        <v>2027</v>
      </c>
      <c r="B1033" s="38" t="s">
        <v>2118</v>
      </c>
      <c r="C1033" s="38" t="s">
        <v>2119</v>
      </c>
      <c r="D1033" s="38">
        <v>1000002679</v>
      </c>
      <c r="E1033" s="38" t="s">
        <v>2120</v>
      </c>
      <c r="F1033" s="40">
        <v>44739</v>
      </c>
      <c r="G1033" s="22" t="str">
        <f t="shared" si="224"/>
        <v>-</v>
      </c>
      <c r="H1033" s="22"/>
      <c r="I1033" s="23">
        <v>0</v>
      </c>
      <c r="J1033" s="23">
        <f t="shared" si="225"/>
        <v>0</v>
      </c>
      <c r="K1033" s="24">
        <v>0</v>
      </c>
      <c r="L1033" s="24">
        <f t="shared" si="226"/>
        <v>0</v>
      </c>
      <c r="M1033" s="24" t="str">
        <f t="shared" si="227"/>
        <v>-</v>
      </c>
      <c r="N1033" s="25">
        <v>0</v>
      </c>
      <c r="O1033" s="26" t="str">
        <f t="shared" si="228"/>
        <v>June</v>
      </c>
      <c r="P1033" s="25">
        <f t="shared" si="229"/>
        <v>0</v>
      </c>
      <c r="Q1033" s="27">
        <f t="shared" si="230"/>
        <v>0</v>
      </c>
      <c r="R1033" s="26" t="b">
        <f t="shared" si="231"/>
        <v>0</v>
      </c>
      <c r="S1033" s="28" t="b">
        <f t="shared" si="232"/>
        <v>0</v>
      </c>
      <c r="T1033" s="24">
        <v>83</v>
      </c>
      <c r="U1033" s="29" t="str">
        <f t="shared" si="233"/>
        <v>May</v>
      </c>
      <c r="V1033" s="24">
        <f t="shared" si="234"/>
        <v>83</v>
      </c>
      <c r="W1033" s="30">
        <f t="shared" si="235"/>
        <v>-83</v>
      </c>
      <c r="X1033" s="31" t="b">
        <f t="shared" si="236"/>
        <v>0</v>
      </c>
      <c r="Y1033" s="32" t="str">
        <f t="shared" si="237"/>
        <v>GROWTH</v>
      </c>
      <c r="Z1033" s="41">
        <v>0</v>
      </c>
      <c r="AA1033" s="36"/>
      <c r="AB1033" s="36" t="s">
        <v>24</v>
      </c>
      <c r="AC1033" s="41" t="s">
        <v>2027</v>
      </c>
      <c r="AD1033" s="34"/>
      <c r="AE1033" s="35">
        <f>IFERROR(INDEX([1]Last6M_AvgSales_Ref!$B$2:$B$12659,MATCH(D1033,[1]Last6M_AvgSales_Ref!$A$2:$A$12659,0)),"")</f>
        <v>11.8333333333333</v>
      </c>
    </row>
    <row r="1034" spans="1:31" ht="14.25" customHeight="1" x14ac:dyDescent="0.3">
      <c r="A1034" s="41" t="s">
        <v>2027</v>
      </c>
      <c r="B1034" s="38" t="s">
        <v>2118</v>
      </c>
      <c r="C1034" s="38" t="s">
        <v>2121</v>
      </c>
      <c r="D1034" s="38">
        <v>1000001583</v>
      </c>
      <c r="E1034" s="39" t="s">
        <v>2122</v>
      </c>
      <c r="F1034" s="40">
        <v>41340</v>
      </c>
      <c r="G1034" s="22" t="str">
        <f t="shared" si="224"/>
        <v>Targeted Dealer</v>
      </c>
      <c r="H1034" s="22"/>
      <c r="I1034" s="23">
        <v>50</v>
      </c>
      <c r="J1034" s="23">
        <f t="shared" si="225"/>
        <v>50</v>
      </c>
      <c r="K1034" s="24">
        <v>50</v>
      </c>
      <c r="L1034" s="24">
        <f t="shared" si="226"/>
        <v>0</v>
      </c>
      <c r="M1034" s="24">
        <f t="shared" si="227"/>
        <v>100</v>
      </c>
      <c r="N1034" s="25">
        <v>25</v>
      </c>
      <c r="O1034" s="26" t="str">
        <f t="shared" si="228"/>
        <v>June</v>
      </c>
      <c r="P1034" s="25">
        <f t="shared" si="229"/>
        <v>25</v>
      </c>
      <c r="Q1034" s="27">
        <f t="shared" si="230"/>
        <v>25</v>
      </c>
      <c r="R1034" s="26" t="b">
        <f t="shared" si="231"/>
        <v>0</v>
      </c>
      <c r="S1034" s="28" t="str">
        <f t="shared" si="232"/>
        <v>GROWTH</v>
      </c>
      <c r="T1034" s="24">
        <v>25</v>
      </c>
      <c r="U1034" s="29" t="str">
        <f t="shared" si="233"/>
        <v>May</v>
      </c>
      <c r="V1034" s="24">
        <f t="shared" si="234"/>
        <v>25</v>
      </c>
      <c r="W1034" s="30">
        <f t="shared" si="235"/>
        <v>25</v>
      </c>
      <c r="X1034" s="31" t="b">
        <f t="shared" si="236"/>
        <v>0</v>
      </c>
      <c r="Y1034" s="32" t="str">
        <f t="shared" si="237"/>
        <v>GROWTH</v>
      </c>
      <c r="Z1034" s="41">
        <v>0</v>
      </c>
      <c r="AA1034" s="36"/>
      <c r="AB1034" s="36" t="s">
        <v>24</v>
      </c>
      <c r="AC1034" s="41" t="s">
        <v>2027</v>
      </c>
      <c r="AD1034" s="34"/>
      <c r="AE1034" s="35">
        <f>IFERROR(INDEX([1]Last6M_AvgSales_Ref!$B$2:$B$12659,MATCH(D1034,[1]Last6M_AvgSales_Ref!$A$2:$A$12659,0)),"")</f>
        <v>32.5</v>
      </c>
    </row>
    <row r="1035" spans="1:31" ht="14.25" customHeight="1" x14ac:dyDescent="0.3">
      <c r="A1035" s="41" t="s">
        <v>2027</v>
      </c>
      <c r="B1035" s="38" t="s">
        <v>2118</v>
      </c>
      <c r="C1035" s="38" t="s">
        <v>2123</v>
      </c>
      <c r="D1035" s="38">
        <v>1000001615</v>
      </c>
      <c r="E1035" s="39" t="s">
        <v>2124</v>
      </c>
      <c r="F1035" s="40">
        <v>41818</v>
      </c>
      <c r="G1035" s="22" t="str">
        <f t="shared" si="224"/>
        <v>Targeted Dealer</v>
      </c>
      <c r="H1035" s="22"/>
      <c r="I1035" s="23">
        <v>100</v>
      </c>
      <c r="J1035" s="23">
        <f t="shared" si="225"/>
        <v>100</v>
      </c>
      <c r="K1035" s="24">
        <v>146.5</v>
      </c>
      <c r="L1035" s="24">
        <f t="shared" si="226"/>
        <v>-46.5</v>
      </c>
      <c r="M1035" s="24">
        <f t="shared" si="227"/>
        <v>146.5</v>
      </c>
      <c r="N1035" s="25">
        <v>109</v>
      </c>
      <c r="O1035" s="26" t="str">
        <f t="shared" si="228"/>
        <v>June</v>
      </c>
      <c r="P1035" s="25">
        <f t="shared" si="229"/>
        <v>109</v>
      </c>
      <c r="Q1035" s="27">
        <f t="shared" si="230"/>
        <v>37.5</v>
      </c>
      <c r="R1035" s="26" t="b">
        <f t="shared" si="231"/>
        <v>0</v>
      </c>
      <c r="S1035" s="28" t="str">
        <f t="shared" si="232"/>
        <v>GROWTH</v>
      </c>
      <c r="T1035" s="24">
        <v>76</v>
      </c>
      <c r="U1035" s="29" t="str">
        <f t="shared" si="233"/>
        <v>May</v>
      </c>
      <c r="V1035" s="24">
        <f t="shared" si="234"/>
        <v>76</v>
      </c>
      <c r="W1035" s="30">
        <f t="shared" si="235"/>
        <v>70.5</v>
      </c>
      <c r="X1035" s="31" t="b">
        <f t="shared" si="236"/>
        <v>0</v>
      </c>
      <c r="Y1035" s="32" t="str">
        <f t="shared" si="237"/>
        <v>GROWTH</v>
      </c>
      <c r="Z1035" s="41">
        <v>0</v>
      </c>
      <c r="AA1035" s="36"/>
      <c r="AB1035" s="36" t="s">
        <v>24</v>
      </c>
      <c r="AC1035" s="41" t="s">
        <v>2027</v>
      </c>
      <c r="AD1035" s="34"/>
      <c r="AE1035" s="35">
        <f>IFERROR(INDEX([1]Last6M_AvgSales_Ref!$B$2:$B$12659,MATCH(D1035,[1]Last6M_AvgSales_Ref!$A$2:$A$12659,0)),"")</f>
        <v>103.75</v>
      </c>
    </row>
    <row r="1036" spans="1:31" ht="14.25" customHeight="1" x14ac:dyDescent="0.3">
      <c r="A1036" s="41" t="s">
        <v>2027</v>
      </c>
      <c r="B1036" s="38" t="s">
        <v>2118</v>
      </c>
      <c r="C1036" s="38" t="s">
        <v>2125</v>
      </c>
      <c r="D1036" s="38">
        <v>1000001587</v>
      </c>
      <c r="E1036" s="39" t="s">
        <v>2126</v>
      </c>
      <c r="F1036" s="40">
        <v>42110</v>
      </c>
      <c r="G1036" s="22" t="str">
        <f t="shared" si="224"/>
        <v>Targeted Dealer</v>
      </c>
      <c r="H1036" s="22"/>
      <c r="I1036" s="23">
        <v>260</v>
      </c>
      <c r="J1036" s="23">
        <f t="shared" si="225"/>
        <v>260</v>
      </c>
      <c r="K1036" s="24">
        <v>307.7</v>
      </c>
      <c r="L1036" s="24">
        <f t="shared" si="226"/>
        <v>-47.699999999999989</v>
      </c>
      <c r="M1036" s="24">
        <f t="shared" si="227"/>
        <v>118.34615384615384</v>
      </c>
      <c r="N1036" s="25">
        <v>260</v>
      </c>
      <c r="O1036" s="26" t="str">
        <f t="shared" si="228"/>
        <v>June</v>
      </c>
      <c r="P1036" s="25">
        <f t="shared" si="229"/>
        <v>260</v>
      </c>
      <c r="Q1036" s="27">
        <f t="shared" si="230"/>
        <v>47.699999999999989</v>
      </c>
      <c r="R1036" s="26" t="b">
        <f t="shared" si="231"/>
        <v>0</v>
      </c>
      <c r="S1036" s="28" t="str">
        <f t="shared" si="232"/>
        <v>GROWTH</v>
      </c>
      <c r="T1036" s="24">
        <v>235</v>
      </c>
      <c r="U1036" s="29" t="str">
        <f t="shared" si="233"/>
        <v>May</v>
      </c>
      <c r="V1036" s="24">
        <f t="shared" si="234"/>
        <v>235</v>
      </c>
      <c r="W1036" s="30">
        <f t="shared" si="235"/>
        <v>72.699999999999989</v>
      </c>
      <c r="X1036" s="31" t="b">
        <f t="shared" si="236"/>
        <v>0</v>
      </c>
      <c r="Y1036" s="32" t="str">
        <f t="shared" si="237"/>
        <v>GROWTH</v>
      </c>
      <c r="Z1036" s="41">
        <v>0</v>
      </c>
      <c r="AA1036" s="36"/>
      <c r="AB1036" s="36" t="s">
        <v>24</v>
      </c>
      <c r="AC1036" s="41" t="s">
        <v>2027</v>
      </c>
      <c r="AD1036" s="34"/>
      <c r="AE1036" s="35">
        <f>IFERROR(INDEX([1]Last6M_AvgSales_Ref!$B$2:$B$12659,MATCH(D1036,[1]Last6M_AvgSales_Ref!$A$2:$A$12659,0)),"")</f>
        <v>284.75</v>
      </c>
    </row>
    <row r="1037" spans="1:31" ht="14.25" customHeight="1" x14ac:dyDescent="0.3">
      <c r="A1037" s="41" t="s">
        <v>2027</v>
      </c>
      <c r="B1037" s="38" t="s">
        <v>2118</v>
      </c>
      <c r="C1037" s="38" t="s">
        <v>2127</v>
      </c>
      <c r="D1037" s="38">
        <v>1000001633</v>
      </c>
      <c r="E1037" s="39" t="s">
        <v>2128</v>
      </c>
      <c r="F1037" s="40">
        <v>43242</v>
      </c>
      <c r="G1037" s="22" t="str">
        <f t="shared" si="224"/>
        <v>Targeted Dealer</v>
      </c>
      <c r="H1037" s="22"/>
      <c r="I1037" s="23">
        <v>75</v>
      </c>
      <c r="J1037" s="23">
        <f t="shared" si="225"/>
        <v>75</v>
      </c>
      <c r="K1037" s="24">
        <v>75</v>
      </c>
      <c r="L1037" s="24">
        <f t="shared" si="226"/>
        <v>0</v>
      </c>
      <c r="M1037" s="24">
        <f t="shared" si="227"/>
        <v>100</v>
      </c>
      <c r="N1037" s="25">
        <v>75</v>
      </c>
      <c r="O1037" s="26" t="str">
        <f t="shared" si="228"/>
        <v>June</v>
      </c>
      <c r="P1037" s="25">
        <f t="shared" si="229"/>
        <v>75</v>
      </c>
      <c r="Q1037" s="27">
        <f t="shared" si="230"/>
        <v>0</v>
      </c>
      <c r="R1037" s="26" t="b">
        <f t="shared" si="231"/>
        <v>0</v>
      </c>
      <c r="S1037" s="28" t="str">
        <f t="shared" si="232"/>
        <v>GROWTH</v>
      </c>
      <c r="T1037" s="24">
        <v>45</v>
      </c>
      <c r="U1037" s="29" t="str">
        <f t="shared" si="233"/>
        <v>May</v>
      </c>
      <c r="V1037" s="24">
        <f t="shared" si="234"/>
        <v>45</v>
      </c>
      <c r="W1037" s="30">
        <f t="shared" si="235"/>
        <v>30</v>
      </c>
      <c r="X1037" s="31" t="b">
        <f t="shared" si="236"/>
        <v>0</v>
      </c>
      <c r="Y1037" s="32" t="str">
        <f t="shared" si="237"/>
        <v>GROWTH</v>
      </c>
      <c r="Z1037" s="41">
        <v>0</v>
      </c>
      <c r="AA1037" s="36"/>
      <c r="AB1037" s="36" t="s">
        <v>24</v>
      </c>
      <c r="AC1037" s="41" t="s">
        <v>2027</v>
      </c>
      <c r="AD1037" s="34"/>
      <c r="AE1037" s="35">
        <f>IFERROR(INDEX([1]Last6M_AvgSales_Ref!$B$2:$B$12659,MATCH(D1037,[1]Last6M_AvgSales_Ref!$A$2:$A$12659,0)),"")</f>
        <v>80.875</v>
      </c>
    </row>
    <row r="1038" spans="1:31" ht="14.25" customHeight="1" x14ac:dyDescent="0.3">
      <c r="A1038" s="41" t="s">
        <v>2027</v>
      </c>
      <c r="B1038" s="38" t="s">
        <v>2118</v>
      </c>
      <c r="C1038" s="38" t="s">
        <v>2129</v>
      </c>
      <c r="D1038" s="38">
        <v>1000001609</v>
      </c>
      <c r="E1038" s="39" t="s">
        <v>2130</v>
      </c>
      <c r="F1038" s="40">
        <v>43337</v>
      </c>
      <c r="G1038" s="22" t="str">
        <f t="shared" si="224"/>
        <v>Targeted Dealer</v>
      </c>
      <c r="H1038" s="22"/>
      <c r="I1038" s="23">
        <v>300</v>
      </c>
      <c r="J1038" s="23">
        <f t="shared" si="225"/>
        <v>300</v>
      </c>
      <c r="K1038" s="24">
        <v>304.25</v>
      </c>
      <c r="L1038" s="24">
        <f t="shared" si="226"/>
        <v>-4.25</v>
      </c>
      <c r="M1038" s="24">
        <f t="shared" si="227"/>
        <v>101.41666666666667</v>
      </c>
      <c r="N1038" s="25">
        <v>303.5</v>
      </c>
      <c r="O1038" s="26" t="str">
        <f t="shared" si="228"/>
        <v>June</v>
      </c>
      <c r="P1038" s="25">
        <f t="shared" si="229"/>
        <v>303.5</v>
      </c>
      <c r="Q1038" s="27">
        <f t="shared" si="230"/>
        <v>0.75</v>
      </c>
      <c r="R1038" s="26" t="b">
        <f t="shared" si="231"/>
        <v>0</v>
      </c>
      <c r="S1038" s="28" t="str">
        <f t="shared" si="232"/>
        <v>GROWTH</v>
      </c>
      <c r="T1038" s="24">
        <v>75</v>
      </c>
      <c r="U1038" s="29" t="str">
        <f t="shared" si="233"/>
        <v>May</v>
      </c>
      <c r="V1038" s="24">
        <f t="shared" si="234"/>
        <v>75</v>
      </c>
      <c r="W1038" s="30">
        <f t="shared" si="235"/>
        <v>229.25</v>
      </c>
      <c r="X1038" s="31" t="b">
        <f t="shared" si="236"/>
        <v>0</v>
      </c>
      <c r="Y1038" s="32" t="str">
        <f t="shared" si="237"/>
        <v>GROWTH</v>
      </c>
      <c r="Z1038" s="41">
        <v>0</v>
      </c>
      <c r="AA1038" s="36"/>
      <c r="AB1038" s="36" t="s">
        <v>24</v>
      </c>
      <c r="AC1038" s="41" t="s">
        <v>2027</v>
      </c>
      <c r="AD1038" s="34"/>
      <c r="AE1038" s="35">
        <f>IFERROR(INDEX([1]Last6M_AvgSales_Ref!$B$2:$B$12659,MATCH(D1038,[1]Last6M_AvgSales_Ref!$A$2:$A$12659,0)),"")</f>
        <v>139.75</v>
      </c>
    </row>
    <row r="1039" spans="1:31" ht="14.25" customHeight="1" x14ac:dyDescent="0.3">
      <c r="A1039" s="41" t="s">
        <v>2027</v>
      </c>
      <c r="B1039" s="38" t="s">
        <v>2118</v>
      </c>
      <c r="C1039" s="38" t="s">
        <v>2131</v>
      </c>
      <c r="D1039" s="38">
        <v>1000001611</v>
      </c>
      <c r="E1039" s="39" t="s">
        <v>2132</v>
      </c>
      <c r="F1039" s="40">
        <v>43601</v>
      </c>
      <c r="G1039" s="22" t="str">
        <f t="shared" si="224"/>
        <v>Targeted Dealer</v>
      </c>
      <c r="H1039" s="22"/>
      <c r="I1039" s="23">
        <v>75</v>
      </c>
      <c r="J1039" s="23">
        <f t="shared" si="225"/>
        <v>75</v>
      </c>
      <c r="K1039" s="24">
        <v>25</v>
      </c>
      <c r="L1039" s="24">
        <f t="shared" si="226"/>
        <v>50</v>
      </c>
      <c r="M1039" s="24">
        <f t="shared" si="227"/>
        <v>33.333333333333336</v>
      </c>
      <c r="N1039" s="25">
        <v>0</v>
      </c>
      <c r="O1039" s="26" t="str">
        <f t="shared" si="228"/>
        <v>June</v>
      </c>
      <c r="P1039" s="25">
        <f t="shared" si="229"/>
        <v>0</v>
      </c>
      <c r="Q1039" s="27">
        <f t="shared" si="230"/>
        <v>25</v>
      </c>
      <c r="R1039" s="26" t="b">
        <f t="shared" si="231"/>
        <v>0</v>
      </c>
      <c r="S1039" s="28" t="b">
        <f t="shared" si="232"/>
        <v>0</v>
      </c>
      <c r="T1039" s="24">
        <v>50</v>
      </c>
      <c r="U1039" s="29" t="str">
        <f t="shared" si="233"/>
        <v>May</v>
      </c>
      <c r="V1039" s="24">
        <f t="shared" si="234"/>
        <v>50</v>
      </c>
      <c r="W1039" s="30">
        <f t="shared" si="235"/>
        <v>-25</v>
      </c>
      <c r="X1039" s="31" t="b">
        <f t="shared" si="236"/>
        <v>0</v>
      </c>
      <c r="Y1039" s="32" t="str">
        <f t="shared" si="237"/>
        <v>GROWTH</v>
      </c>
      <c r="Z1039" s="41">
        <v>0</v>
      </c>
      <c r="AA1039" s="36"/>
      <c r="AB1039" s="36" t="s">
        <v>24</v>
      </c>
      <c r="AC1039" s="41" t="s">
        <v>2027</v>
      </c>
      <c r="AD1039" s="34"/>
      <c r="AE1039" s="35">
        <f>IFERROR(INDEX([1]Last6M_AvgSales_Ref!$B$2:$B$12659,MATCH(D1039,[1]Last6M_AvgSales_Ref!$A$2:$A$12659,0)),"")</f>
        <v>86.6666666666667</v>
      </c>
    </row>
    <row r="1040" spans="1:31" ht="14.25" customHeight="1" x14ac:dyDescent="0.3">
      <c r="A1040" s="41" t="s">
        <v>2027</v>
      </c>
      <c r="B1040" s="38" t="s">
        <v>2118</v>
      </c>
      <c r="C1040" s="38" t="s">
        <v>2133</v>
      </c>
      <c r="D1040" s="38">
        <v>1000001590</v>
      </c>
      <c r="E1040" s="39" t="s">
        <v>2134</v>
      </c>
      <c r="F1040" s="40">
        <v>43718</v>
      </c>
      <c r="G1040" s="22" t="str">
        <f t="shared" si="224"/>
        <v>Targeted Dealer</v>
      </c>
      <c r="H1040" s="22"/>
      <c r="I1040" s="23">
        <v>100</v>
      </c>
      <c r="J1040" s="23">
        <f t="shared" si="225"/>
        <v>100</v>
      </c>
      <c r="K1040" s="24">
        <v>55</v>
      </c>
      <c r="L1040" s="24">
        <f t="shared" si="226"/>
        <v>45</v>
      </c>
      <c r="M1040" s="24">
        <f t="shared" si="227"/>
        <v>55</v>
      </c>
      <c r="N1040" s="25">
        <v>41.5</v>
      </c>
      <c r="O1040" s="26" t="str">
        <f t="shared" si="228"/>
        <v>June</v>
      </c>
      <c r="P1040" s="25">
        <f t="shared" si="229"/>
        <v>41.5</v>
      </c>
      <c r="Q1040" s="27">
        <f t="shared" si="230"/>
        <v>13.5</v>
      </c>
      <c r="R1040" s="26" t="b">
        <f t="shared" si="231"/>
        <v>0</v>
      </c>
      <c r="S1040" s="28" t="str">
        <f t="shared" si="232"/>
        <v>GROWTH</v>
      </c>
      <c r="T1040" s="24">
        <v>88.7</v>
      </c>
      <c r="U1040" s="29" t="str">
        <f t="shared" si="233"/>
        <v>May</v>
      </c>
      <c r="V1040" s="24">
        <f t="shared" si="234"/>
        <v>88.7</v>
      </c>
      <c r="W1040" s="30">
        <f t="shared" si="235"/>
        <v>-33.700000000000003</v>
      </c>
      <c r="X1040" s="31" t="b">
        <f t="shared" si="236"/>
        <v>0</v>
      </c>
      <c r="Y1040" s="32" t="str">
        <f t="shared" si="237"/>
        <v>GROWTH</v>
      </c>
      <c r="Z1040" s="41">
        <v>0</v>
      </c>
      <c r="AA1040" s="36"/>
      <c r="AB1040" s="36" t="s">
        <v>24</v>
      </c>
      <c r="AC1040" s="41" t="s">
        <v>2027</v>
      </c>
      <c r="AD1040" s="34"/>
      <c r="AE1040" s="35">
        <f>IFERROR(INDEX([1]Last6M_AvgSales_Ref!$B$2:$B$12659,MATCH(D1040,[1]Last6M_AvgSales_Ref!$A$2:$A$12659,0)),"")</f>
        <v>104.45</v>
      </c>
    </row>
    <row r="1041" spans="1:31" ht="14.25" customHeight="1" x14ac:dyDescent="0.3">
      <c r="A1041" s="41" t="s">
        <v>2027</v>
      </c>
      <c r="B1041" s="38" t="s">
        <v>2118</v>
      </c>
      <c r="C1041" s="38" t="s">
        <v>2135</v>
      </c>
      <c r="D1041" s="38">
        <v>1000001600</v>
      </c>
      <c r="E1041" s="39" t="s">
        <v>2136</v>
      </c>
      <c r="F1041" s="40">
        <v>44302</v>
      </c>
      <c r="G1041" s="22" t="str">
        <f t="shared" si="224"/>
        <v>Targeted Dealer</v>
      </c>
      <c r="H1041" s="22"/>
      <c r="I1041" s="23">
        <v>450</v>
      </c>
      <c r="J1041" s="23">
        <f t="shared" si="225"/>
        <v>450</v>
      </c>
      <c r="K1041" s="24">
        <v>455.5</v>
      </c>
      <c r="L1041" s="24">
        <f t="shared" si="226"/>
        <v>-5.5</v>
      </c>
      <c r="M1041" s="24">
        <f t="shared" si="227"/>
        <v>101.22222222222223</v>
      </c>
      <c r="N1041" s="25">
        <v>450</v>
      </c>
      <c r="O1041" s="26" t="str">
        <f t="shared" si="228"/>
        <v>June</v>
      </c>
      <c r="P1041" s="25">
        <f t="shared" si="229"/>
        <v>450</v>
      </c>
      <c r="Q1041" s="27">
        <f t="shared" si="230"/>
        <v>5.5</v>
      </c>
      <c r="R1041" s="26" t="b">
        <f t="shared" si="231"/>
        <v>0</v>
      </c>
      <c r="S1041" s="28" t="str">
        <f t="shared" si="232"/>
        <v>GROWTH</v>
      </c>
      <c r="T1041" s="24">
        <v>300</v>
      </c>
      <c r="U1041" s="29" t="str">
        <f t="shared" si="233"/>
        <v>May</v>
      </c>
      <c r="V1041" s="24">
        <f t="shared" si="234"/>
        <v>300</v>
      </c>
      <c r="W1041" s="30">
        <f t="shared" si="235"/>
        <v>155.5</v>
      </c>
      <c r="X1041" s="31" t="b">
        <f t="shared" si="236"/>
        <v>0</v>
      </c>
      <c r="Y1041" s="32" t="str">
        <f t="shared" si="237"/>
        <v>GROWTH</v>
      </c>
      <c r="Z1041" s="41">
        <v>0</v>
      </c>
      <c r="AA1041" s="36"/>
      <c r="AB1041" s="36" t="s">
        <v>24</v>
      </c>
      <c r="AC1041" s="41" t="s">
        <v>2027</v>
      </c>
      <c r="AD1041" s="34"/>
      <c r="AE1041" s="35">
        <f>IFERROR(INDEX([1]Last6M_AvgSales_Ref!$B$2:$B$12659,MATCH(D1041,[1]Last6M_AvgSales_Ref!$A$2:$A$12659,0)),"")</f>
        <v>470.5</v>
      </c>
    </row>
    <row r="1042" spans="1:31" ht="14.25" customHeight="1" x14ac:dyDescent="0.3">
      <c r="A1042" s="41" t="s">
        <v>2027</v>
      </c>
      <c r="B1042" s="38" t="s">
        <v>2118</v>
      </c>
      <c r="C1042" s="38" t="s">
        <v>2137</v>
      </c>
      <c r="D1042" s="38">
        <v>1000002043</v>
      </c>
      <c r="E1042" s="39" t="s">
        <v>2138</v>
      </c>
      <c r="F1042" s="40">
        <v>44501</v>
      </c>
      <c r="G1042" s="22" t="str">
        <f t="shared" si="224"/>
        <v>Targeted Dealer</v>
      </c>
      <c r="H1042" s="22"/>
      <c r="I1042" s="23">
        <v>400</v>
      </c>
      <c r="J1042" s="23">
        <f t="shared" si="225"/>
        <v>400</v>
      </c>
      <c r="K1042" s="24">
        <v>404.4</v>
      </c>
      <c r="L1042" s="24">
        <f t="shared" si="226"/>
        <v>-4.3999999999999773</v>
      </c>
      <c r="M1042" s="24">
        <f t="shared" si="227"/>
        <v>101.1</v>
      </c>
      <c r="N1042" s="25">
        <v>378.65</v>
      </c>
      <c r="O1042" s="26" t="str">
        <f t="shared" si="228"/>
        <v>June</v>
      </c>
      <c r="P1042" s="25">
        <f t="shared" si="229"/>
        <v>378.65</v>
      </c>
      <c r="Q1042" s="27">
        <f t="shared" si="230"/>
        <v>25.75</v>
      </c>
      <c r="R1042" s="26" t="b">
        <f t="shared" si="231"/>
        <v>0</v>
      </c>
      <c r="S1042" s="28" t="str">
        <f t="shared" si="232"/>
        <v>GROWTH</v>
      </c>
      <c r="T1042" s="24">
        <v>246</v>
      </c>
      <c r="U1042" s="29" t="str">
        <f t="shared" si="233"/>
        <v>May</v>
      </c>
      <c r="V1042" s="24">
        <f t="shared" si="234"/>
        <v>246</v>
      </c>
      <c r="W1042" s="30">
        <f t="shared" si="235"/>
        <v>158.39999999999998</v>
      </c>
      <c r="X1042" s="31" t="b">
        <f t="shared" si="236"/>
        <v>0</v>
      </c>
      <c r="Y1042" s="32" t="str">
        <f t="shared" si="237"/>
        <v>GROWTH</v>
      </c>
      <c r="Z1042" s="41">
        <v>0</v>
      </c>
      <c r="AA1042" s="36"/>
      <c r="AB1042" s="36" t="s">
        <v>24</v>
      </c>
      <c r="AC1042" s="41" t="s">
        <v>2027</v>
      </c>
      <c r="AD1042" s="34"/>
      <c r="AE1042" s="35">
        <f>IFERROR(INDEX([1]Last6M_AvgSales_Ref!$B$2:$B$12659,MATCH(D1042,[1]Last6M_AvgSales_Ref!$A$2:$A$12659,0)),"")</f>
        <v>359.50833333333298</v>
      </c>
    </row>
    <row r="1043" spans="1:31" ht="14.25" customHeight="1" x14ac:dyDescent="0.3">
      <c r="A1043" s="41" t="s">
        <v>2027</v>
      </c>
      <c r="B1043" s="38" t="s">
        <v>2118</v>
      </c>
      <c r="C1043" s="38" t="s">
        <v>2139</v>
      </c>
      <c r="D1043" s="38">
        <v>1000002073</v>
      </c>
      <c r="E1043" s="39" t="s">
        <v>2140</v>
      </c>
      <c r="F1043" s="40">
        <v>44531</v>
      </c>
      <c r="G1043" s="22" t="str">
        <f t="shared" si="224"/>
        <v>Targeted Dealer</v>
      </c>
      <c r="H1043" s="22"/>
      <c r="I1043" s="23">
        <v>75</v>
      </c>
      <c r="J1043" s="23">
        <f t="shared" si="225"/>
        <v>75</v>
      </c>
      <c r="K1043" s="24">
        <v>84</v>
      </c>
      <c r="L1043" s="24">
        <f t="shared" si="226"/>
        <v>-9</v>
      </c>
      <c r="M1043" s="24">
        <f t="shared" si="227"/>
        <v>112</v>
      </c>
      <c r="N1043" s="25">
        <v>64</v>
      </c>
      <c r="O1043" s="26" t="str">
        <f t="shared" si="228"/>
        <v>June</v>
      </c>
      <c r="P1043" s="25">
        <f t="shared" si="229"/>
        <v>64</v>
      </c>
      <c r="Q1043" s="27">
        <f t="shared" si="230"/>
        <v>20</v>
      </c>
      <c r="R1043" s="26" t="b">
        <f t="shared" si="231"/>
        <v>0</v>
      </c>
      <c r="S1043" s="28" t="str">
        <f t="shared" si="232"/>
        <v>GROWTH</v>
      </c>
      <c r="T1043" s="24">
        <v>38</v>
      </c>
      <c r="U1043" s="29" t="str">
        <f t="shared" si="233"/>
        <v>May</v>
      </c>
      <c r="V1043" s="24">
        <f t="shared" si="234"/>
        <v>38</v>
      </c>
      <c r="W1043" s="30">
        <f t="shared" si="235"/>
        <v>46</v>
      </c>
      <c r="X1043" s="31" t="b">
        <f t="shared" si="236"/>
        <v>0</v>
      </c>
      <c r="Y1043" s="32" t="str">
        <f t="shared" si="237"/>
        <v>GROWTH</v>
      </c>
      <c r="Z1043" s="41">
        <v>0</v>
      </c>
      <c r="AA1043" s="36"/>
      <c r="AB1043" s="36" t="s">
        <v>24</v>
      </c>
      <c r="AC1043" s="41" t="s">
        <v>2027</v>
      </c>
      <c r="AD1043" s="34"/>
      <c r="AE1043" s="35">
        <f>IFERROR(INDEX([1]Last6M_AvgSales_Ref!$B$2:$B$12659,MATCH(D1043,[1]Last6M_AvgSales_Ref!$A$2:$A$12659,0)),"")</f>
        <v>66.5833333333333</v>
      </c>
    </row>
    <row r="1044" spans="1:31" ht="14.25" customHeight="1" x14ac:dyDescent="0.3">
      <c r="A1044" s="41" t="s">
        <v>2027</v>
      </c>
      <c r="B1044" s="38" t="s">
        <v>2118</v>
      </c>
      <c r="C1044" s="38" t="s">
        <v>2141</v>
      </c>
      <c r="D1044" s="38">
        <v>1000002072</v>
      </c>
      <c r="E1044" s="39" t="s">
        <v>2142</v>
      </c>
      <c r="F1044" s="40">
        <v>44557</v>
      </c>
      <c r="G1044" s="22" t="str">
        <f t="shared" si="224"/>
        <v>Targeted Dealer</v>
      </c>
      <c r="H1044" s="22"/>
      <c r="I1044" s="23">
        <v>20</v>
      </c>
      <c r="J1044" s="23">
        <f t="shared" si="225"/>
        <v>20</v>
      </c>
      <c r="K1044" s="24">
        <v>20</v>
      </c>
      <c r="L1044" s="24">
        <f t="shared" si="226"/>
        <v>0</v>
      </c>
      <c r="M1044" s="24">
        <f t="shared" si="227"/>
        <v>100</v>
      </c>
      <c r="N1044" s="25">
        <v>10</v>
      </c>
      <c r="O1044" s="26" t="str">
        <f t="shared" si="228"/>
        <v>June</v>
      </c>
      <c r="P1044" s="25">
        <f t="shared" si="229"/>
        <v>10</v>
      </c>
      <c r="Q1044" s="27">
        <f t="shared" si="230"/>
        <v>10</v>
      </c>
      <c r="R1044" s="26" t="b">
        <f t="shared" si="231"/>
        <v>0</v>
      </c>
      <c r="S1044" s="28" t="str">
        <f t="shared" si="232"/>
        <v>GROWTH</v>
      </c>
      <c r="T1044" s="24">
        <v>20</v>
      </c>
      <c r="U1044" s="29" t="str">
        <f t="shared" si="233"/>
        <v>May</v>
      </c>
      <c r="V1044" s="24">
        <f t="shared" si="234"/>
        <v>20</v>
      </c>
      <c r="W1044" s="30">
        <f t="shared" si="235"/>
        <v>0</v>
      </c>
      <c r="X1044" s="31" t="b">
        <f t="shared" si="236"/>
        <v>0</v>
      </c>
      <c r="Y1044" s="32" t="str">
        <f t="shared" si="237"/>
        <v>GROWTH</v>
      </c>
      <c r="Z1044" s="41">
        <v>0</v>
      </c>
      <c r="AA1044" s="36"/>
      <c r="AB1044" s="36" t="s">
        <v>24</v>
      </c>
      <c r="AC1044" s="41" t="s">
        <v>2027</v>
      </c>
      <c r="AD1044" s="34"/>
      <c r="AE1044" s="35">
        <f>IFERROR(INDEX([1]Last6M_AvgSales_Ref!$B$2:$B$12659,MATCH(D1044,[1]Last6M_AvgSales_Ref!$A$2:$A$12659,0)),"")</f>
        <v>14.1666666666667</v>
      </c>
    </row>
    <row r="1045" spans="1:31" ht="14.25" customHeight="1" x14ac:dyDescent="0.3">
      <c r="A1045" s="41" t="s">
        <v>2027</v>
      </c>
      <c r="B1045" s="38" t="s">
        <v>2118</v>
      </c>
      <c r="C1045" s="38" t="s">
        <v>2143</v>
      </c>
      <c r="D1045" s="38">
        <v>1000002803</v>
      </c>
      <c r="E1045" s="38" t="s">
        <v>2144</v>
      </c>
      <c r="F1045" s="40">
        <v>44736</v>
      </c>
      <c r="G1045" s="22" t="str">
        <f t="shared" si="224"/>
        <v>Targeted Dealer</v>
      </c>
      <c r="H1045" s="22"/>
      <c r="I1045" s="23">
        <v>50</v>
      </c>
      <c r="J1045" s="23">
        <f t="shared" si="225"/>
        <v>50</v>
      </c>
      <c r="K1045" s="24">
        <v>60</v>
      </c>
      <c r="L1045" s="24">
        <f t="shared" si="226"/>
        <v>-10</v>
      </c>
      <c r="M1045" s="24">
        <f t="shared" si="227"/>
        <v>120</v>
      </c>
      <c r="N1045" s="25">
        <v>25</v>
      </c>
      <c r="O1045" s="26" t="str">
        <f t="shared" si="228"/>
        <v>June</v>
      </c>
      <c r="P1045" s="25">
        <f t="shared" si="229"/>
        <v>25</v>
      </c>
      <c r="Q1045" s="27">
        <f t="shared" si="230"/>
        <v>35</v>
      </c>
      <c r="R1045" s="26" t="b">
        <f t="shared" si="231"/>
        <v>0</v>
      </c>
      <c r="S1045" s="28" t="str">
        <f t="shared" si="232"/>
        <v>GROWTH</v>
      </c>
      <c r="T1045" s="24">
        <v>0</v>
      </c>
      <c r="U1045" s="29" t="str">
        <f t="shared" si="233"/>
        <v>May</v>
      </c>
      <c r="V1045" s="24">
        <f t="shared" si="234"/>
        <v>0</v>
      </c>
      <c r="W1045" s="30">
        <f t="shared" si="235"/>
        <v>60</v>
      </c>
      <c r="X1045" s="31" t="b">
        <f t="shared" si="236"/>
        <v>0</v>
      </c>
      <c r="Y1045" s="32" t="b">
        <f t="shared" si="237"/>
        <v>0</v>
      </c>
      <c r="Z1045" s="41">
        <v>0</v>
      </c>
      <c r="AA1045" s="36"/>
      <c r="AB1045" s="36" t="s">
        <v>24</v>
      </c>
      <c r="AC1045" s="41" t="s">
        <v>2027</v>
      </c>
      <c r="AD1045" s="34"/>
      <c r="AE1045" s="35">
        <f>IFERROR(INDEX([1]Last6M_AvgSales_Ref!$B$2:$B$12659,MATCH(D1045,[1]Last6M_AvgSales_Ref!$A$2:$A$12659,0)),"")</f>
        <v>46.1666666666667</v>
      </c>
    </row>
    <row r="1046" spans="1:31" ht="14.25" customHeight="1" x14ac:dyDescent="0.3">
      <c r="A1046" s="36" t="s">
        <v>1836</v>
      </c>
      <c r="B1046" s="38" t="s">
        <v>2145</v>
      </c>
      <c r="C1046" s="38" t="s">
        <v>2146</v>
      </c>
      <c r="D1046" s="38">
        <v>1000001354</v>
      </c>
      <c r="E1046" s="39" t="s">
        <v>2147</v>
      </c>
      <c r="F1046" s="40">
        <v>40802</v>
      </c>
      <c r="G1046" s="22" t="str">
        <f t="shared" si="224"/>
        <v>Targeted Dealer</v>
      </c>
      <c r="H1046" s="22"/>
      <c r="I1046" s="23">
        <v>110</v>
      </c>
      <c r="J1046" s="23">
        <f t="shared" si="225"/>
        <v>110</v>
      </c>
      <c r="K1046" s="24">
        <v>0</v>
      </c>
      <c r="L1046" s="24">
        <f t="shared" si="226"/>
        <v>110</v>
      </c>
      <c r="M1046" s="24">
        <f t="shared" si="227"/>
        <v>0</v>
      </c>
      <c r="N1046" s="25">
        <v>0</v>
      </c>
      <c r="O1046" s="26" t="str">
        <f t="shared" si="228"/>
        <v>June</v>
      </c>
      <c r="P1046" s="25">
        <f t="shared" si="229"/>
        <v>0</v>
      </c>
      <c r="Q1046" s="27">
        <f t="shared" si="230"/>
        <v>0</v>
      </c>
      <c r="R1046" s="26" t="b">
        <f t="shared" si="231"/>
        <v>0</v>
      </c>
      <c r="S1046" s="28" t="b">
        <f t="shared" si="232"/>
        <v>0</v>
      </c>
      <c r="T1046" s="24">
        <v>147.5</v>
      </c>
      <c r="U1046" s="29" t="str">
        <f t="shared" si="233"/>
        <v>May</v>
      </c>
      <c r="V1046" s="24">
        <f t="shared" si="234"/>
        <v>147.5</v>
      </c>
      <c r="W1046" s="30">
        <f t="shared" si="235"/>
        <v>-147.5</v>
      </c>
      <c r="X1046" s="31" t="b">
        <f t="shared" si="236"/>
        <v>0</v>
      </c>
      <c r="Y1046" s="32" t="str">
        <f t="shared" si="237"/>
        <v>GROWTH</v>
      </c>
      <c r="Z1046" s="41">
        <v>0</v>
      </c>
      <c r="AA1046" s="36"/>
      <c r="AB1046" s="36" t="s">
        <v>24</v>
      </c>
      <c r="AC1046" s="36" t="s">
        <v>1836</v>
      </c>
      <c r="AD1046" s="34"/>
      <c r="AE1046" s="35">
        <f>IFERROR(INDEX([1]Last6M_AvgSales_Ref!$B$2:$B$12659,MATCH(D1046,[1]Last6M_AvgSales_Ref!$A$2:$A$12659,0)),"")</f>
        <v>79.625</v>
      </c>
    </row>
    <row r="1047" spans="1:31" ht="14.25" customHeight="1" x14ac:dyDescent="0.3">
      <c r="A1047" s="36" t="s">
        <v>1836</v>
      </c>
      <c r="B1047" s="38" t="s">
        <v>2145</v>
      </c>
      <c r="C1047" s="38" t="s">
        <v>2148</v>
      </c>
      <c r="D1047" s="38">
        <v>1000001351</v>
      </c>
      <c r="E1047" s="39" t="s">
        <v>2149</v>
      </c>
      <c r="F1047" s="40">
        <v>41234</v>
      </c>
      <c r="G1047" s="22" t="str">
        <f t="shared" si="224"/>
        <v>Targeted Dealer</v>
      </c>
      <c r="H1047" s="22"/>
      <c r="I1047" s="23">
        <v>385</v>
      </c>
      <c r="J1047" s="23">
        <f t="shared" si="225"/>
        <v>385</v>
      </c>
      <c r="K1047" s="24">
        <v>383.5</v>
      </c>
      <c r="L1047" s="24">
        <f t="shared" si="226"/>
        <v>1.5</v>
      </c>
      <c r="M1047" s="24">
        <f t="shared" si="227"/>
        <v>99.610389610389603</v>
      </c>
      <c r="N1047" s="25">
        <v>344</v>
      </c>
      <c r="O1047" s="26" t="str">
        <f t="shared" si="228"/>
        <v>June</v>
      </c>
      <c r="P1047" s="25">
        <f t="shared" si="229"/>
        <v>344</v>
      </c>
      <c r="Q1047" s="27">
        <f t="shared" si="230"/>
        <v>39.5</v>
      </c>
      <c r="R1047" s="26" t="b">
        <f t="shared" si="231"/>
        <v>0</v>
      </c>
      <c r="S1047" s="28" t="str">
        <f t="shared" si="232"/>
        <v>GROWTH</v>
      </c>
      <c r="T1047" s="24">
        <v>383.55</v>
      </c>
      <c r="U1047" s="29" t="str">
        <f t="shared" si="233"/>
        <v>May</v>
      </c>
      <c r="V1047" s="24">
        <f t="shared" si="234"/>
        <v>383.55</v>
      </c>
      <c r="W1047" s="30">
        <f t="shared" si="235"/>
        <v>-5.0000000000011369E-2</v>
      </c>
      <c r="X1047" s="31" t="b">
        <f t="shared" si="236"/>
        <v>0</v>
      </c>
      <c r="Y1047" s="32" t="str">
        <f t="shared" si="237"/>
        <v>GROWTH</v>
      </c>
      <c r="Z1047" s="41">
        <v>0</v>
      </c>
      <c r="AA1047" s="36"/>
      <c r="AB1047" s="36" t="s">
        <v>24</v>
      </c>
      <c r="AC1047" s="36" t="s">
        <v>1836</v>
      </c>
      <c r="AD1047" s="34"/>
      <c r="AE1047" s="35">
        <f>IFERROR(INDEX([1]Last6M_AvgSales_Ref!$B$2:$B$12659,MATCH(D1047,[1]Last6M_AvgSales_Ref!$A$2:$A$12659,0)),"")</f>
        <v>492.85</v>
      </c>
    </row>
    <row r="1048" spans="1:31" ht="14.25" customHeight="1" x14ac:dyDescent="0.3">
      <c r="A1048" s="36" t="s">
        <v>1836</v>
      </c>
      <c r="B1048" s="38" t="s">
        <v>2145</v>
      </c>
      <c r="C1048" s="38" t="s">
        <v>2150</v>
      </c>
      <c r="D1048" s="38">
        <v>1000001417</v>
      </c>
      <c r="E1048" s="39" t="s">
        <v>2151</v>
      </c>
      <c r="F1048" s="40">
        <v>41720</v>
      </c>
      <c r="G1048" s="22" t="str">
        <f t="shared" si="224"/>
        <v>Targeted Dealer</v>
      </c>
      <c r="H1048" s="22"/>
      <c r="I1048" s="23">
        <v>350</v>
      </c>
      <c r="J1048" s="23">
        <f t="shared" si="225"/>
        <v>350</v>
      </c>
      <c r="K1048" s="24">
        <v>432.05</v>
      </c>
      <c r="L1048" s="24">
        <f t="shared" si="226"/>
        <v>-82.050000000000011</v>
      </c>
      <c r="M1048" s="24">
        <f t="shared" si="227"/>
        <v>123.44285714285715</v>
      </c>
      <c r="N1048" s="25">
        <v>328.25</v>
      </c>
      <c r="O1048" s="26" t="str">
        <f t="shared" si="228"/>
        <v>June</v>
      </c>
      <c r="P1048" s="25">
        <f t="shared" si="229"/>
        <v>328.25</v>
      </c>
      <c r="Q1048" s="27">
        <f t="shared" si="230"/>
        <v>103.80000000000001</v>
      </c>
      <c r="R1048" s="26" t="b">
        <f t="shared" si="231"/>
        <v>0</v>
      </c>
      <c r="S1048" s="28" t="str">
        <f t="shared" si="232"/>
        <v>GROWTH</v>
      </c>
      <c r="T1048" s="24">
        <v>480.2</v>
      </c>
      <c r="U1048" s="29" t="str">
        <f t="shared" si="233"/>
        <v>May</v>
      </c>
      <c r="V1048" s="24">
        <f t="shared" si="234"/>
        <v>480.2</v>
      </c>
      <c r="W1048" s="30">
        <f t="shared" si="235"/>
        <v>-48.149999999999977</v>
      </c>
      <c r="X1048" s="31" t="b">
        <f t="shared" si="236"/>
        <v>0</v>
      </c>
      <c r="Y1048" s="32" t="str">
        <f t="shared" si="237"/>
        <v>GROWTH</v>
      </c>
      <c r="Z1048" s="41">
        <v>0</v>
      </c>
      <c r="AA1048" s="36"/>
      <c r="AB1048" s="36" t="s">
        <v>24</v>
      </c>
      <c r="AC1048" s="36" t="s">
        <v>1836</v>
      </c>
      <c r="AD1048" s="34"/>
      <c r="AE1048" s="35">
        <f>IFERROR(INDEX([1]Last6M_AvgSales_Ref!$B$2:$B$12659,MATCH(D1048,[1]Last6M_AvgSales_Ref!$A$2:$A$12659,0)),"")</f>
        <v>463.25833333333298</v>
      </c>
    </row>
    <row r="1049" spans="1:31" ht="14.25" customHeight="1" x14ac:dyDescent="0.3">
      <c r="A1049" s="36" t="s">
        <v>1836</v>
      </c>
      <c r="B1049" s="38" t="s">
        <v>2145</v>
      </c>
      <c r="C1049" s="38" t="s">
        <v>2152</v>
      </c>
      <c r="D1049" s="38">
        <v>1000001384</v>
      </c>
      <c r="E1049" s="39" t="s">
        <v>2153</v>
      </c>
      <c r="F1049" s="40">
        <v>42339</v>
      </c>
      <c r="G1049" s="22" t="str">
        <f t="shared" si="224"/>
        <v>Targeted Dealer</v>
      </c>
      <c r="H1049" s="22"/>
      <c r="I1049" s="23">
        <v>300</v>
      </c>
      <c r="J1049" s="23">
        <f t="shared" si="225"/>
        <v>300</v>
      </c>
      <c r="K1049" s="24">
        <v>366</v>
      </c>
      <c r="L1049" s="24">
        <f t="shared" si="226"/>
        <v>-66</v>
      </c>
      <c r="M1049" s="24">
        <f t="shared" si="227"/>
        <v>122</v>
      </c>
      <c r="N1049" s="25">
        <v>170.15</v>
      </c>
      <c r="O1049" s="26" t="str">
        <f t="shared" si="228"/>
        <v>June</v>
      </c>
      <c r="P1049" s="25">
        <f t="shared" si="229"/>
        <v>170.15</v>
      </c>
      <c r="Q1049" s="27">
        <f t="shared" si="230"/>
        <v>195.85</v>
      </c>
      <c r="R1049" s="26" t="b">
        <f t="shared" si="231"/>
        <v>0</v>
      </c>
      <c r="S1049" s="28" t="str">
        <f t="shared" si="232"/>
        <v>GROWTH</v>
      </c>
      <c r="T1049" s="24">
        <v>412.8</v>
      </c>
      <c r="U1049" s="29" t="str">
        <f t="shared" si="233"/>
        <v>May</v>
      </c>
      <c r="V1049" s="24">
        <f t="shared" si="234"/>
        <v>412.8</v>
      </c>
      <c r="W1049" s="30">
        <f t="shared" si="235"/>
        <v>-46.800000000000011</v>
      </c>
      <c r="X1049" s="31" t="b">
        <f t="shared" si="236"/>
        <v>0</v>
      </c>
      <c r="Y1049" s="32" t="str">
        <f t="shared" si="237"/>
        <v>GROWTH</v>
      </c>
      <c r="Z1049" s="41">
        <v>0</v>
      </c>
      <c r="AA1049" s="36"/>
      <c r="AB1049" s="36" t="s">
        <v>24</v>
      </c>
      <c r="AC1049" s="36" t="s">
        <v>1836</v>
      </c>
      <c r="AD1049" s="34"/>
      <c r="AE1049" s="35">
        <f>IFERROR(INDEX([1]Last6M_AvgSales_Ref!$B$2:$B$12659,MATCH(D1049,[1]Last6M_AvgSales_Ref!$A$2:$A$12659,0)),"")</f>
        <v>476.683333333333</v>
      </c>
    </row>
    <row r="1050" spans="1:31" ht="14.25" customHeight="1" x14ac:dyDescent="0.3">
      <c r="A1050" s="36" t="s">
        <v>1836</v>
      </c>
      <c r="B1050" s="38" t="s">
        <v>2145</v>
      </c>
      <c r="C1050" s="38" t="s">
        <v>2154</v>
      </c>
      <c r="D1050" s="38">
        <v>1000001420</v>
      </c>
      <c r="E1050" s="39" t="s">
        <v>2155</v>
      </c>
      <c r="F1050" s="40">
        <v>43378</v>
      </c>
      <c r="G1050" s="22" t="str">
        <f t="shared" si="224"/>
        <v>Targeted Dealer</v>
      </c>
      <c r="H1050" s="22"/>
      <c r="I1050" s="23">
        <v>1100</v>
      </c>
      <c r="J1050" s="23">
        <f t="shared" si="225"/>
        <v>1100</v>
      </c>
      <c r="K1050" s="24">
        <v>1242.0999999999999</v>
      </c>
      <c r="L1050" s="24">
        <f t="shared" si="226"/>
        <v>-142.09999999999991</v>
      </c>
      <c r="M1050" s="24">
        <f t="shared" si="227"/>
        <v>112.91818181818181</v>
      </c>
      <c r="N1050" s="25">
        <v>1188.7</v>
      </c>
      <c r="O1050" s="26" t="str">
        <f t="shared" si="228"/>
        <v>June</v>
      </c>
      <c r="P1050" s="25">
        <f t="shared" si="229"/>
        <v>1188.7</v>
      </c>
      <c r="Q1050" s="27">
        <f t="shared" si="230"/>
        <v>53.399999999999864</v>
      </c>
      <c r="R1050" s="26" t="b">
        <f t="shared" si="231"/>
        <v>0</v>
      </c>
      <c r="S1050" s="28" t="str">
        <f t="shared" si="232"/>
        <v>GROWTH</v>
      </c>
      <c r="T1050" s="24">
        <v>1039.0999999999999</v>
      </c>
      <c r="U1050" s="29" t="str">
        <f t="shared" si="233"/>
        <v>May</v>
      </c>
      <c r="V1050" s="24">
        <f t="shared" si="234"/>
        <v>1039.0999999999999</v>
      </c>
      <c r="W1050" s="30">
        <f t="shared" si="235"/>
        <v>203</v>
      </c>
      <c r="X1050" s="31" t="b">
        <f t="shared" si="236"/>
        <v>0</v>
      </c>
      <c r="Y1050" s="32" t="str">
        <f t="shared" si="237"/>
        <v>GROWTH</v>
      </c>
      <c r="Z1050" s="41">
        <v>0</v>
      </c>
      <c r="AA1050" s="36"/>
      <c r="AB1050" s="36" t="s">
        <v>24</v>
      </c>
      <c r="AC1050" s="36" t="s">
        <v>1836</v>
      </c>
      <c r="AD1050" s="34"/>
      <c r="AE1050" s="35">
        <f>IFERROR(INDEX([1]Last6M_AvgSales_Ref!$B$2:$B$12659,MATCH(D1050,[1]Last6M_AvgSales_Ref!$A$2:$A$12659,0)),"")</f>
        <v>1296.6083333333299</v>
      </c>
    </row>
    <row r="1051" spans="1:31" ht="14.25" customHeight="1" x14ac:dyDescent="0.3">
      <c r="A1051" s="36" t="s">
        <v>1836</v>
      </c>
      <c r="B1051" s="38" t="s">
        <v>2145</v>
      </c>
      <c r="C1051" s="38" t="s">
        <v>2156</v>
      </c>
      <c r="D1051" s="38">
        <v>1000001374</v>
      </c>
      <c r="E1051" s="39" t="s">
        <v>2157</v>
      </c>
      <c r="F1051" s="40">
        <v>43493</v>
      </c>
      <c r="G1051" s="22" t="str">
        <f t="shared" si="224"/>
        <v>Targeted Dealer</v>
      </c>
      <c r="H1051" s="22"/>
      <c r="I1051" s="23">
        <v>110</v>
      </c>
      <c r="J1051" s="23">
        <f t="shared" si="225"/>
        <v>110</v>
      </c>
      <c r="K1051" s="24">
        <v>122</v>
      </c>
      <c r="L1051" s="24">
        <f t="shared" si="226"/>
        <v>-12</v>
      </c>
      <c r="M1051" s="24">
        <f t="shared" si="227"/>
        <v>110.90909090909091</v>
      </c>
      <c r="N1051" s="25">
        <v>116</v>
      </c>
      <c r="O1051" s="26" t="str">
        <f t="shared" si="228"/>
        <v>June</v>
      </c>
      <c r="P1051" s="25">
        <f t="shared" si="229"/>
        <v>116</v>
      </c>
      <c r="Q1051" s="27">
        <f t="shared" si="230"/>
        <v>6</v>
      </c>
      <c r="R1051" s="26" t="b">
        <f t="shared" si="231"/>
        <v>0</v>
      </c>
      <c r="S1051" s="28" t="str">
        <f t="shared" si="232"/>
        <v>GROWTH</v>
      </c>
      <c r="T1051" s="24">
        <v>98.75</v>
      </c>
      <c r="U1051" s="29" t="str">
        <f t="shared" si="233"/>
        <v>May</v>
      </c>
      <c r="V1051" s="24">
        <f t="shared" si="234"/>
        <v>98.75</v>
      </c>
      <c r="W1051" s="30">
        <f t="shared" si="235"/>
        <v>23.25</v>
      </c>
      <c r="X1051" s="31" t="b">
        <f t="shared" si="236"/>
        <v>0</v>
      </c>
      <c r="Y1051" s="32" t="str">
        <f t="shared" si="237"/>
        <v>GROWTH</v>
      </c>
      <c r="Z1051" s="41">
        <v>0</v>
      </c>
      <c r="AA1051" s="36"/>
      <c r="AB1051" s="36" t="s">
        <v>24</v>
      </c>
      <c r="AC1051" s="36" t="s">
        <v>1836</v>
      </c>
      <c r="AD1051" s="34"/>
      <c r="AE1051" s="35">
        <f>IFERROR(INDEX([1]Last6M_AvgSales_Ref!$B$2:$B$12659,MATCH(D1051,[1]Last6M_AvgSales_Ref!$A$2:$A$12659,0)),"")</f>
        <v>143.458333333333</v>
      </c>
    </row>
    <row r="1052" spans="1:31" ht="14.25" customHeight="1" x14ac:dyDescent="0.3">
      <c r="A1052" s="36" t="s">
        <v>1836</v>
      </c>
      <c r="B1052" s="38" t="s">
        <v>2145</v>
      </c>
      <c r="C1052" s="38" t="s">
        <v>2158</v>
      </c>
      <c r="D1052" s="38">
        <v>1000001361</v>
      </c>
      <c r="E1052" s="39" t="s">
        <v>2159</v>
      </c>
      <c r="F1052" s="40">
        <v>43787</v>
      </c>
      <c r="G1052" s="22" t="str">
        <f t="shared" si="224"/>
        <v>Targeted Dealer</v>
      </c>
      <c r="H1052" s="22"/>
      <c r="I1052" s="23">
        <v>1100</v>
      </c>
      <c r="J1052" s="23">
        <f t="shared" si="225"/>
        <v>1100</v>
      </c>
      <c r="K1052" s="24">
        <v>1956.4</v>
      </c>
      <c r="L1052" s="24">
        <f t="shared" si="226"/>
        <v>-856.40000000000009</v>
      </c>
      <c r="M1052" s="24">
        <f t="shared" si="227"/>
        <v>177.85454545454547</v>
      </c>
      <c r="N1052" s="25">
        <v>1403.55</v>
      </c>
      <c r="O1052" s="26" t="str">
        <f t="shared" si="228"/>
        <v>June</v>
      </c>
      <c r="P1052" s="25">
        <f t="shared" si="229"/>
        <v>1403.55</v>
      </c>
      <c r="Q1052" s="27">
        <f t="shared" si="230"/>
        <v>552.85000000000014</v>
      </c>
      <c r="R1052" s="26" t="b">
        <f t="shared" si="231"/>
        <v>0</v>
      </c>
      <c r="S1052" s="28" t="str">
        <f t="shared" si="232"/>
        <v>GROWTH</v>
      </c>
      <c r="T1052" s="24">
        <v>748.1</v>
      </c>
      <c r="U1052" s="29" t="str">
        <f t="shared" si="233"/>
        <v>May</v>
      </c>
      <c r="V1052" s="24">
        <f t="shared" si="234"/>
        <v>748.1</v>
      </c>
      <c r="W1052" s="30">
        <f t="shared" si="235"/>
        <v>1208.3000000000002</v>
      </c>
      <c r="X1052" s="31" t="b">
        <f t="shared" si="236"/>
        <v>0</v>
      </c>
      <c r="Y1052" s="32" t="str">
        <f t="shared" si="237"/>
        <v>GROWTH</v>
      </c>
      <c r="Z1052" s="41">
        <v>0</v>
      </c>
      <c r="AA1052" s="36"/>
      <c r="AB1052" s="36" t="s">
        <v>24</v>
      </c>
      <c r="AC1052" s="36" t="s">
        <v>1836</v>
      </c>
      <c r="AD1052" s="34"/>
      <c r="AE1052" s="35">
        <f>IFERROR(INDEX([1]Last6M_AvgSales_Ref!$B$2:$B$12659,MATCH(D1052,[1]Last6M_AvgSales_Ref!$A$2:$A$12659,0)),"")</f>
        <v>1293.1583333333299</v>
      </c>
    </row>
    <row r="1053" spans="1:31" ht="14.25" customHeight="1" x14ac:dyDescent="0.3">
      <c r="A1053" s="36" t="s">
        <v>1836</v>
      </c>
      <c r="B1053" s="38" t="s">
        <v>2145</v>
      </c>
      <c r="C1053" s="38" t="s">
        <v>2160</v>
      </c>
      <c r="D1053" s="38">
        <v>1000001381</v>
      </c>
      <c r="E1053" s="39" t="s">
        <v>2161</v>
      </c>
      <c r="F1053" s="40">
        <v>43795</v>
      </c>
      <c r="G1053" s="22" t="str">
        <f t="shared" si="224"/>
        <v>Targeted Dealer</v>
      </c>
      <c r="H1053" s="22"/>
      <c r="I1053" s="23">
        <v>305</v>
      </c>
      <c r="J1053" s="23">
        <f t="shared" si="225"/>
        <v>305</v>
      </c>
      <c r="K1053" s="24">
        <v>592.29999999999995</v>
      </c>
      <c r="L1053" s="24">
        <f t="shared" si="226"/>
        <v>-287.29999999999995</v>
      </c>
      <c r="M1053" s="24">
        <f t="shared" si="227"/>
        <v>194.19672131147541</v>
      </c>
      <c r="N1053" s="25">
        <v>561.45000000000005</v>
      </c>
      <c r="O1053" s="26" t="str">
        <f t="shared" si="228"/>
        <v>June</v>
      </c>
      <c r="P1053" s="25">
        <f t="shared" si="229"/>
        <v>561.45000000000005</v>
      </c>
      <c r="Q1053" s="27">
        <f t="shared" si="230"/>
        <v>30.849999999999909</v>
      </c>
      <c r="R1053" s="26" t="b">
        <f t="shared" si="231"/>
        <v>0</v>
      </c>
      <c r="S1053" s="28" t="str">
        <f t="shared" si="232"/>
        <v>GROWTH</v>
      </c>
      <c r="T1053" s="24">
        <v>274.35000000000002</v>
      </c>
      <c r="U1053" s="29" t="str">
        <f t="shared" si="233"/>
        <v>May</v>
      </c>
      <c r="V1053" s="24">
        <f t="shared" si="234"/>
        <v>274.35000000000002</v>
      </c>
      <c r="W1053" s="30">
        <f t="shared" si="235"/>
        <v>317.94999999999993</v>
      </c>
      <c r="X1053" s="31" t="b">
        <f t="shared" si="236"/>
        <v>0</v>
      </c>
      <c r="Y1053" s="32" t="str">
        <f t="shared" si="237"/>
        <v>GROWTH</v>
      </c>
      <c r="Z1053" s="41">
        <v>0</v>
      </c>
      <c r="AA1053" s="36"/>
      <c r="AB1053" s="36" t="s">
        <v>24</v>
      </c>
      <c r="AC1053" s="36" t="s">
        <v>1836</v>
      </c>
      <c r="AD1053" s="34"/>
      <c r="AE1053" s="35">
        <f>IFERROR(INDEX([1]Last6M_AvgSales_Ref!$B$2:$B$12659,MATCH(D1053,[1]Last6M_AvgSales_Ref!$A$2:$A$12659,0)),"")</f>
        <v>547.24166666666702</v>
      </c>
    </row>
    <row r="1054" spans="1:31" ht="14.25" customHeight="1" x14ac:dyDescent="0.3">
      <c r="A1054" s="36" t="s">
        <v>1836</v>
      </c>
      <c r="B1054" s="38" t="s">
        <v>2145</v>
      </c>
      <c r="C1054" s="38" t="s">
        <v>2162</v>
      </c>
      <c r="D1054" s="38">
        <v>1000002057</v>
      </c>
      <c r="E1054" s="39" t="s">
        <v>2163</v>
      </c>
      <c r="F1054" s="40">
        <v>44530</v>
      </c>
      <c r="G1054" s="22" t="str">
        <f t="shared" si="224"/>
        <v>Targeted Dealer</v>
      </c>
      <c r="H1054" s="22"/>
      <c r="I1054" s="23">
        <v>150</v>
      </c>
      <c r="J1054" s="23">
        <f t="shared" si="225"/>
        <v>150</v>
      </c>
      <c r="K1054" s="24">
        <v>296</v>
      </c>
      <c r="L1054" s="24">
        <f t="shared" si="226"/>
        <v>-146</v>
      </c>
      <c r="M1054" s="24">
        <f t="shared" si="227"/>
        <v>197.33333333333334</v>
      </c>
      <c r="N1054" s="25">
        <v>220.25</v>
      </c>
      <c r="O1054" s="26" t="str">
        <f t="shared" si="228"/>
        <v>June</v>
      </c>
      <c r="P1054" s="25">
        <f t="shared" si="229"/>
        <v>220.25</v>
      </c>
      <c r="Q1054" s="27">
        <f t="shared" si="230"/>
        <v>75.75</v>
      </c>
      <c r="R1054" s="26" t="b">
        <f t="shared" si="231"/>
        <v>0</v>
      </c>
      <c r="S1054" s="28" t="str">
        <f t="shared" si="232"/>
        <v>GROWTH</v>
      </c>
      <c r="T1054" s="24">
        <v>231.25</v>
      </c>
      <c r="U1054" s="29" t="str">
        <f t="shared" si="233"/>
        <v>May</v>
      </c>
      <c r="V1054" s="24">
        <f t="shared" si="234"/>
        <v>231.25</v>
      </c>
      <c r="W1054" s="30">
        <f t="shared" si="235"/>
        <v>64.75</v>
      </c>
      <c r="X1054" s="31" t="b">
        <f t="shared" si="236"/>
        <v>0</v>
      </c>
      <c r="Y1054" s="32" t="str">
        <f t="shared" si="237"/>
        <v>GROWTH</v>
      </c>
      <c r="Z1054" s="41">
        <v>0</v>
      </c>
      <c r="AA1054" s="36"/>
      <c r="AB1054" s="36" t="s">
        <v>24</v>
      </c>
      <c r="AC1054" s="36" t="s">
        <v>1836</v>
      </c>
      <c r="AD1054" s="34"/>
      <c r="AE1054" s="35">
        <f>IFERROR(INDEX([1]Last6M_AvgSales_Ref!$B$2:$B$12659,MATCH(D1054,[1]Last6M_AvgSales_Ref!$A$2:$A$12659,0)),"")</f>
        <v>89.2083333333333</v>
      </c>
    </row>
    <row r="1055" spans="1:31" ht="14.25" customHeight="1" x14ac:dyDescent="0.3">
      <c r="A1055" s="36" t="s">
        <v>1836</v>
      </c>
      <c r="B1055" s="38" t="s">
        <v>2145</v>
      </c>
      <c r="C1055" s="38" t="s">
        <v>2164</v>
      </c>
      <c r="D1055" s="38">
        <v>1000003425</v>
      </c>
      <c r="E1055" s="38" t="s">
        <v>2165</v>
      </c>
      <c r="F1055" s="40">
        <v>44999</v>
      </c>
      <c r="G1055" s="22" t="str">
        <f t="shared" si="224"/>
        <v>Targeted Dealer</v>
      </c>
      <c r="H1055" s="22"/>
      <c r="I1055" s="23">
        <v>1475</v>
      </c>
      <c r="J1055" s="23">
        <f t="shared" si="225"/>
        <v>1475</v>
      </c>
      <c r="K1055" s="24">
        <v>900</v>
      </c>
      <c r="L1055" s="24">
        <f t="shared" si="226"/>
        <v>575</v>
      </c>
      <c r="M1055" s="24">
        <f t="shared" si="227"/>
        <v>61.016949152542374</v>
      </c>
      <c r="N1055" s="25">
        <v>1510</v>
      </c>
      <c r="O1055" s="26" t="str">
        <f t="shared" si="228"/>
        <v>June</v>
      </c>
      <c r="P1055" s="25">
        <f t="shared" si="229"/>
        <v>1510</v>
      </c>
      <c r="Q1055" s="27">
        <f t="shared" si="230"/>
        <v>-610</v>
      </c>
      <c r="R1055" s="26" t="b">
        <f t="shared" si="231"/>
        <v>0</v>
      </c>
      <c r="S1055" s="28" t="str">
        <f t="shared" si="232"/>
        <v>GROWTH</v>
      </c>
      <c r="T1055" s="24">
        <v>1950</v>
      </c>
      <c r="U1055" s="29" t="str">
        <f t="shared" si="233"/>
        <v>May</v>
      </c>
      <c r="V1055" s="24">
        <f t="shared" si="234"/>
        <v>1950</v>
      </c>
      <c r="W1055" s="30">
        <f t="shared" si="235"/>
        <v>-1050</v>
      </c>
      <c r="X1055" s="31" t="b">
        <f t="shared" si="236"/>
        <v>0</v>
      </c>
      <c r="Y1055" s="32" t="str">
        <f t="shared" si="237"/>
        <v>GROWTH</v>
      </c>
      <c r="Z1055" s="41">
        <v>0</v>
      </c>
      <c r="AA1055" s="36"/>
      <c r="AB1055" s="36" t="s">
        <v>24</v>
      </c>
      <c r="AC1055" s="36" t="s">
        <v>1836</v>
      </c>
      <c r="AD1055" s="34"/>
      <c r="AE1055" s="35">
        <f>IFERROR(INDEX([1]Last6M_AvgSales_Ref!$B$2:$B$12659,MATCH(D1055,[1]Last6M_AvgSales_Ref!$A$2:$A$12659,0)),"")</f>
        <v>1775.6666666666699</v>
      </c>
    </row>
    <row r="1056" spans="1:31" ht="14.25" customHeight="1" x14ac:dyDescent="0.3">
      <c r="A1056" s="36" t="s">
        <v>1836</v>
      </c>
      <c r="B1056" s="38" t="s">
        <v>2166</v>
      </c>
      <c r="C1056" s="38" t="s">
        <v>2167</v>
      </c>
      <c r="D1056" s="38">
        <v>1000001355</v>
      </c>
      <c r="E1056" s="39" t="s">
        <v>2168</v>
      </c>
      <c r="F1056" s="40">
        <v>41208</v>
      </c>
      <c r="G1056" s="22" t="str">
        <f t="shared" si="224"/>
        <v>Targeted Dealer</v>
      </c>
      <c r="H1056" s="22"/>
      <c r="I1056" s="23">
        <v>50</v>
      </c>
      <c r="J1056" s="23">
        <f t="shared" si="225"/>
        <v>50</v>
      </c>
      <c r="K1056" s="24">
        <v>9</v>
      </c>
      <c r="L1056" s="24">
        <f t="shared" si="226"/>
        <v>41</v>
      </c>
      <c r="M1056" s="24">
        <f t="shared" si="227"/>
        <v>18</v>
      </c>
      <c r="N1056" s="25">
        <v>12</v>
      </c>
      <c r="O1056" s="26" t="str">
        <f t="shared" si="228"/>
        <v>June</v>
      </c>
      <c r="P1056" s="25">
        <f t="shared" si="229"/>
        <v>12</v>
      </c>
      <c r="Q1056" s="27">
        <f t="shared" si="230"/>
        <v>-3</v>
      </c>
      <c r="R1056" s="26" t="b">
        <f t="shared" si="231"/>
        <v>0</v>
      </c>
      <c r="S1056" s="28" t="str">
        <f t="shared" si="232"/>
        <v>GROWTH</v>
      </c>
      <c r="T1056" s="24">
        <v>24.25</v>
      </c>
      <c r="U1056" s="29" t="str">
        <f t="shared" si="233"/>
        <v>May</v>
      </c>
      <c r="V1056" s="24">
        <f t="shared" si="234"/>
        <v>24.25</v>
      </c>
      <c r="W1056" s="30">
        <f t="shared" si="235"/>
        <v>-15.25</v>
      </c>
      <c r="X1056" s="31" t="b">
        <f t="shared" si="236"/>
        <v>0</v>
      </c>
      <c r="Y1056" s="32" t="str">
        <f t="shared" si="237"/>
        <v>GROWTH</v>
      </c>
      <c r="Z1056" s="41">
        <v>0</v>
      </c>
      <c r="AA1056" s="36"/>
      <c r="AB1056" s="36" t="s">
        <v>24</v>
      </c>
      <c r="AC1056" s="36" t="s">
        <v>1836</v>
      </c>
      <c r="AD1056" s="34"/>
      <c r="AE1056" s="35">
        <f>IFERROR(INDEX([1]Last6M_AvgSales_Ref!$B$2:$B$12659,MATCH(D1056,[1]Last6M_AvgSales_Ref!$A$2:$A$12659,0)),"")</f>
        <v>14.7083333333333</v>
      </c>
    </row>
    <row r="1057" spans="1:31" ht="14.25" customHeight="1" x14ac:dyDescent="0.3">
      <c r="A1057" s="36" t="s">
        <v>1836</v>
      </c>
      <c r="B1057" s="38" t="s">
        <v>2166</v>
      </c>
      <c r="C1057" s="38" t="s">
        <v>2169</v>
      </c>
      <c r="D1057" s="38">
        <v>1000001352</v>
      </c>
      <c r="E1057" s="39" t="s">
        <v>2170</v>
      </c>
      <c r="F1057" s="40">
        <v>41475</v>
      </c>
      <c r="G1057" s="22" t="str">
        <f t="shared" si="224"/>
        <v>Targeted Dealer</v>
      </c>
      <c r="H1057" s="22"/>
      <c r="I1057" s="23">
        <v>1600</v>
      </c>
      <c r="J1057" s="23">
        <f t="shared" si="225"/>
        <v>1600</v>
      </c>
      <c r="K1057" s="24">
        <v>1588.75</v>
      </c>
      <c r="L1057" s="24">
        <f t="shared" si="226"/>
        <v>11.25</v>
      </c>
      <c r="M1057" s="24">
        <f t="shared" si="227"/>
        <v>99.296875</v>
      </c>
      <c r="N1057" s="25">
        <v>1281.25</v>
      </c>
      <c r="O1057" s="26" t="str">
        <f t="shared" si="228"/>
        <v>June</v>
      </c>
      <c r="P1057" s="25">
        <f t="shared" si="229"/>
        <v>1281.25</v>
      </c>
      <c r="Q1057" s="27">
        <f t="shared" si="230"/>
        <v>307.5</v>
      </c>
      <c r="R1057" s="26" t="b">
        <f t="shared" si="231"/>
        <v>0</v>
      </c>
      <c r="S1057" s="28" t="str">
        <f t="shared" si="232"/>
        <v>GROWTH</v>
      </c>
      <c r="T1057" s="24">
        <v>1485.25</v>
      </c>
      <c r="U1057" s="29" t="str">
        <f t="shared" si="233"/>
        <v>May</v>
      </c>
      <c r="V1057" s="24">
        <f t="shared" si="234"/>
        <v>1485.25</v>
      </c>
      <c r="W1057" s="30">
        <f t="shared" si="235"/>
        <v>103.5</v>
      </c>
      <c r="X1057" s="31" t="b">
        <f t="shared" si="236"/>
        <v>0</v>
      </c>
      <c r="Y1057" s="32" t="str">
        <f t="shared" si="237"/>
        <v>GROWTH</v>
      </c>
      <c r="Z1057" s="41">
        <v>0</v>
      </c>
      <c r="AA1057" s="36"/>
      <c r="AB1057" s="36" t="s">
        <v>24</v>
      </c>
      <c r="AC1057" s="36" t="s">
        <v>1836</v>
      </c>
      <c r="AD1057" s="34"/>
      <c r="AE1057" s="35">
        <f>IFERROR(INDEX([1]Last6M_AvgSales_Ref!$B$2:$B$12659,MATCH(D1057,[1]Last6M_AvgSales_Ref!$A$2:$A$12659,0)),"")</f>
        <v>2238.0250000000001</v>
      </c>
    </row>
    <row r="1058" spans="1:31" ht="14.25" customHeight="1" x14ac:dyDescent="0.3">
      <c r="A1058" s="36" t="s">
        <v>1836</v>
      </c>
      <c r="B1058" s="38" t="s">
        <v>2166</v>
      </c>
      <c r="C1058" s="38" t="s">
        <v>2171</v>
      </c>
      <c r="D1058" s="38">
        <v>1000001357</v>
      </c>
      <c r="E1058" s="39" t="s">
        <v>2172</v>
      </c>
      <c r="F1058" s="40">
        <v>41554</v>
      </c>
      <c r="G1058" s="22" t="str">
        <f t="shared" si="224"/>
        <v>Targeted Dealer</v>
      </c>
      <c r="H1058" s="22"/>
      <c r="I1058" s="23">
        <v>120</v>
      </c>
      <c r="J1058" s="23">
        <f t="shared" si="225"/>
        <v>120</v>
      </c>
      <c r="K1058" s="24">
        <v>151</v>
      </c>
      <c r="L1058" s="24">
        <f t="shared" si="226"/>
        <v>-31</v>
      </c>
      <c r="M1058" s="24">
        <f t="shared" si="227"/>
        <v>125.83333333333334</v>
      </c>
      <c r="N1058" s="25">
        <v>124</v>
      </c>
      <c r="O1058" s="26" t="str">
        <f t="shared" si="228"/>
        <v>June</v>
      </c>
      <c r="P1058" s="25">
        <f t="shared" si="229"/>
        <v>124</v>
      </c>
      <c r="Q1058" s="27">
        <f t="shared" si="230"/>
        <v>27</v>
      </c>
      <c r="R1058" s="26" t="b">
        <f t="shared" si="231"/>
        <v>0</v>
      </c>
      <c r="S1058" s="28" t="str">
        <f t="shared" si="232"/>
        <v>GROWTH</v>
      </c>
      <c r="T1058" s="24">
        <v>162</v>
      </c>
      <c r="U1058" s="29" t="str">
        <f t="shared" si="233"/>
        <v>May</v>
      </c>
      <c r="V1058" s="24">
        <f t="shared" si="234"/>
        <v>162</v>
      </c>
      <c r="W1058" s="30">
        <f t="shared" si="235"/>
        <v>-11</v>
      </c>
      <c r="X1058" s="31" t="b">
        <f t="shared" si="236"/>
        <v>0</v>
      </c>
      <c r="Y1058" s="32" t="str">
        <f t="shared" si="237"/>
        <v>GROWTH</v>
      </c>
      <c r="Z1058" s="41">
        <v>0</v>
      </c>
      <c r="AA1058" s="36"/>
      <c r="AB1058" s="36" t="s">
        <v>24</v>
      </c>
      <c r="AC1058" s="36" t="s">
        <v>1836</v>
      </c>
      <c r="AD1058" s="34"/>
      <c r="AE1058" s="35">
        <f>IFERROR(INDEX([1]Last6M_AvgSales_Ref!$B$2:$B$12659,MATCH(D1058,[1]Last6M_AvgSales_Ref!$A$2:$A$12659,0)),"")</f>
        <v>151.666666666667</v>
      </c>
    </row>
    <row r="1059" spans="1:31" ht="14.25" customHeight="1" x14ac:dyDescent="0.3">
      <c r="A1059" s="36" t="s">
        <v>1836</v>
      </c>
      <c r="B1059" s="38" t="s">
        <v>2166</v>
      </c>
      <c r="C1059" s="38" t="s">
        <v>2173</v>
      </c>
      <c r="D1059" s="38">
        <v>1000001369</v>
      </c>
      <c r="E1059" s="39" t="s">
        <v>2174</v>
      </c>
      <c r="F1059" s="40">
        <v>42332</v>
      </c>
      <c r="G1059" s="22" t="str">
        <f t="shared" si="224"/>
        <v>Targeted Dealer</v>
      </c>
      <c r="H1059" s="22"/>
      <c r="I1059" s="23">
        <v>100</v>
      </c>
      <c r="J1059" s="23">
        <f t="shared" si="225"/>
        <v>100</v>
      </c>
      <c r="K1059" s="24">
        <v>101</v>
      </c>
      <c r="L1059" s="24">
        <f t="shared" si="226"/>
        <v>-1</v>
      </c>
      <c r="M1059" s="24">
        <f t="shared" si="227"/>
        <v>101</v>
      </c>
      <c r="N1059" s="25">
        <v>68</v>
      </c>
      <c r="O1059" s="26" t="str">
        <f t="shared" si="228"/>
        <v>June</v>
      </c>
      <c r="P1059" s="25">
        <f t="shared" si="229"/>
        <v>68</v>
      </c>
      <c r="Q1059" s="27">
        <f t="shared" si="230"/>
        <v>33</v>
      </c>
      <c r="R1059" s="26" t="b">
        <f t="shared" si="231"/>
        <v>0</v>
      </c>
      <c r="S1059" s="28" t="str">
        <f t="shared" si="232"/>
        <v>GROWTH</v>
      </c>
      <c r="T1059" s="24">
        <v>104</v>
      </c>
      <c r="U1059" s="29" t="str">
        <f t="shared" si="233"/>
        <v>May</v>
      </c>
      <c r="V1059" s="24">
        <f t="shared" si="234"/>
        <v>104</v>
      </c>
      <c r="W1059" s="30">
        <f t="shared" si="235"/>
        <v>-3</v>
      </c>
      <c r="X1059" s="31" t="b">
        <f t="shared" si="236"/>
        <v>0</v>
      </c>
      <c r="Y1059" s="32" t="str">
        <f t="shared" si="237"/>
        <v>GROWTH</v>
      </c>
      <c r="Z1059" s="41">
        <v>0</v>
      </c>
      <c r="AA1059" s="36"/>
      <c r="AB1059" s="36" t="s">
        <v>24</v>
      </c>
      <c r="AC1059" s="36" t="s">
        <v>1836</v>
      </c>
      <c r="AD1059" s="34"/>
      <c r="AE1059" s="35">
        <f>IFERROR(INDEX([1]Last6M_AvgSales_Ref!$B$2:$B$12659,MATCH(D1059,[1]Last6M_AvgSales_Ref!$A$2:$A$12659,0)),"")</f>
        <v>97</v>
      </c>
    </row>
    <row r="1060" spans="1:31" ht="14.25" customHeight="1" x14ac:dyDescent="0.3">
      <c r="A1060" s="36" t="s">
        <v>1836</v>
      </c>
      <c r="B1060" s="38" t="s">
        <v>2166</v>
      </c>
      <c r="C1060" s="38" t="s">
        <v>2175</v>
      </c>
      <c r="D1060" s="38">
        <v>1000001365</v>
      </c>
      <c r="E1060" s="39" t="s">
        <v>2176</v>
      </c>
      <c r="F1060" s="40">
        <v>42739</v>
      </c>
      <c r="G1060" s="22" t="str">
        <f t="shared" si="224"/>
        <v>Targeted Dealer</v>
      </c>
      <c r="H1060" s="22"/>
      <c r="I1060" s="23">
        <v>550</v>
      </c>
      <c r="J1060" s="23">
        <f t="shared" si="225"/>
        <v>550</v>
      </c>
      <c r="K1060" s="24">
        <v>615.5</v>
      </c>
      <c r="L1060" s="24">
        <f t="shared" si="226"/>
        <v>-65.5</v>
      </c>
      <c r="M1060" s="24">
        <f t="shared" si="227"/>
        <v>111.90909090909091</v>
      </c>
      <c r="N1060" s="25">
        <v>442</v>
      </c>
      <c r="O1060" s="26" t="str">
        <f t="shared" si="228"/>
        <v>June</v>
      </c>
      <c r="P1060" s="25">
        <f t="shared" si="229"/>
        <v>442</v>
      </c>
      <c r="Q1060" s="27">
        <f t="shared" si="230"/>
        <v>173.5</v>
      </c>
      <c r="R1060" s="26" t="b">
        <f t="shared" si="231"/>
        <v>0</v>
      </c>
      <c r="S1060" s="28" t="str">
        <f t="shared" si="232"/>
        <v>GROWTH</v>
      </c>
      <c r="T1060" s="24">
        <v>658.5</v>
      </c>
      <c r="U1060" s="29" t="str">
        <f t="shared" si="233"/>
        <v>May</v>
      </c>
      <c r="V1060" s="24">
        <f t="shared" si="234"/>
        <v>658.5</v>
      </c>
      <c r="W1060" s="30">
        <f t="shared" si="235"/>
        <v>-43</v>
      </c>
      <c r="X1060" s="31" t="b">
        <f t="shared" si="236"/>
        <v>0</v>
      </c>
      <c r="Y1060" s="32" t="str">
        <f t="shared" si="237"/>
        <v>GROWTH</v>
      </c>
      <c r="Z1060" s="41">
        <v>0</v>
      </c>
      <c r="AA1060" s="36"/>
      <c r="AB1060" s="36" t="s">
        <v>24</v>
      </c>
      <c r="AC1060" s="36" t="s">
        <v>1836</v>
      </c>
      <c r="AD1060" s="34"/>
      <c r="AE1060" s="35">
        <f>IFERROR(INDEX([1]Last6M_AvgSales_Ref!$B$2:$B$12659,MATCH(D1060,[1]Last6M_AvgSales_Ref!$A$2:$A$12659,0)),"")</f>
        <v>694.20833333333303</v>
      </c>
    </row>
    <row r="1061" spans="1:31" ht="14.25" customHeight="1" x14ac:dyDescent="0.3">
      <c r="A1061" s="36" t="s">
        <v>1836</v>
      </c>
      <c r="B1061" s="38" t="s">
        <v>2166</v>
      </c>
      <c r="C1061" s="38" t="s">
        <v>2177</v>
      </c>
      <c r="D1061" s="38">
        <v>1000001371</v>
      </c>
      <c r="E1061" s="39" t="s">
        <v>2178</v>
      </c>
      <c r="F1061" s="40">
        <v>43235</v>
      </c>
      <c r="G1061" s="22" t="str">
        <f t="shared" si="224"/>
        <v>Targeted Dealer</v>
      </c>
      <c r="H1061" s="22"/>
      <c r="I1061" s="23">
        <v>100</v>
      </c>
      <c r="J1061" s="23">
        <f t="shared" si="225"/>
        <v>100</v>
      </c>
      <c r="K1061" s="24">
        <v>102</v>
      </c>
      <c r="L1061" s="24">
        <f t="shared" si="226"/>
        <v>-2</v>
      </c>
      <c r="M1061" s="24">
        <f t="shared" si="227"/>
        <v>102</v>
      </c>
      <c r="N1061" s="25">
        <v>60</v>
      </c>
      <c r="O1061" s="26" t="str">
        <f t="shared" si="228"/>
        <v>June</v>
      </c>
      <c r="P1061" s="25">
        <f t="shared" si="229"/>
        <v>60</v>
      </c>
      <c r="Q1061" s="27">
        <f t="shared" si="230"/>
        <v>42</v>
      </c>
      <c r="R1061" s="26" t="b">
        <f t="shared" si="231"/>
        <v>0</v>
      </c>
      <c r="S1061" s="28" t="str">
        <f t="shared" si="232"/>
        <v>GROWTH</v>
      </c>
      <c r="T1061" s="24">
        <v>32</v>
      </c>
      <c r="U1061" s="29" t="str">
        <f t="shared" si="233"/>
        <v>May</v>
      </c>
      <c r="V1061" s="24">
        <f t="shared" si="234"/>
        <v>32</v>
      </c>
      <c r="W1061" s="30">
        <f t="shared" si="235"/>
        <v>70</v>
      </c>
      <c r="X1061" s="31" t="b">
        <f t="shared" si="236"/>
        <v>0</v>
      </c>
      <c r="Y1061" s="32" t="str">
        <f t="shared" si="237"/>
        <v>GROWTH</v>
      </c>
      <c r="Z1061" s="41">
        <v>0</v>
      </c>
      <c r="AA1061" s="36"/>
      <c r="AB1061" s="36" t="s">
        <v>24</v>
      </c>
      <c r="AC1061" s="36" t="s">
        <v>1836</v>
      </c>
      <c r="AD1061" s="34"/>
      <c r="AE1061" s="35">
        <f>IFERROR(INDEX([1]Last6M_AvgSales_Ref!$B$2:$B$12659,MATCH(D1061,[1]Last6M_AvgSales_Ref!$A$2:$A$12659,0)),"")</f>
        <v>63.8333333333333</v>
      </c>
    </row>
    <row r="1062" spans="1:31" ht="14.25" customHeight="1" x14ac:dyDescent="0.3">
      <c r="A1062" s="36" t="s">
        <v>1836</v>
      </c>
      <c r="B1062" s="38" t="s">
        <v>2166</v>
      </c>
      <c r="C1062" s="38" t="s">
        <v>2179</v>
      </c>
      <c r="D1062" s="38">
        <v>1000002008</v>
      </c>
      <c r="E1062" s="39" t="s">
        <v>2180</v>
      </c>
      <c r="F1062" s="40">
        <v>44478</v>
      </c>
      <c r="G1062" s="22" t="str">
        <f t="shared" si="224"/>
        <v>Targeted Dealer</v>
      </c>
      <c r="H1062" s="22"/>
      <c r="I1062" s="23">
        <v>1300</v>
      </c>
      <c r="J1062" s="23">
        <f t="shared" si="225"/>
        <v>1300</v>
      </c>
      <c r="K1062" s="24">
        <v>1242.5</v>
      </c>
      <c r="L1062" s="24">
        <f t="shared" si="226"/>
        <v>57.5</v>
      </c>
      <c r="M1062" s="24">
        <f t="shared" si="227"/>
        <v>95.57692307692308</v>
      </c>
      <c r="N1062" s="25">
        <v>1040.75</v>
      </c>
      <c r="O1062" s="26" t="str">
        <f t="shared" si="228"/>
        <v>June</v>
      </c>
      <c r="P1062" s="25">
        <f t="shared" si="229"/>
        <v>1040.75</v>
      </c>
      <c r="Q1062" s="27">
        <f t="shared" si="230"/>
        <v>201.75</v>
      </c>
      <c r="R1062" s="26" t="b">
        <f t="shared" si="231"/>
        <v>0</v>
      </c>
      <c r="S1062" s="28" t="str">
        <f t="shared" si="232"/>
        <v>GROWTH</v>
      </c>
      <c r="T1062" s="24">
        <v>1194.5</v>
      </c>
      <c r="U1062" s="29" t="str">
        <f t="shared" si="233"/>
        <v>May</v>
      </c>
      <c r="V1062" s="24">
        <f t="shared" si="234"/>
        <v>1194.5</v>
      </c>
      <c r="W1062" s="30">
        <f t="shared" si="235"/>
        <v>48</v>
      </c>
      <c r="X1062" s="31" t="b">
        <f t="shared" si="236"/>
        <v>0</v>
      </c>
      <c r="Y1062" s="32" t="str">
        <f t="shared" si="237"/>
        <v>GROWTH</v>
      </c>
      <c r="Z1062" s="41">
        <v>0</v>
      </c>
      <c r="AA1062" s="36"/>
      <c r="AB1062" s="36" t="s">
        <v>24</v>
      </c>
      <c r="AC1062" s="36" t="s">
        <v>1836</v>
      </c>
      <c r="AD1062" s="34"/>
      <c r="AE1062" s="35">
        <f>IFERROR(INDEX([1]Last6M_AvgSales_Ref!$B$2:$B$12659,MATCH(D1062,[1]Last6M_AvgSales_Ref!$A$2:$A$12659,0)),"")</f>
        <v>1483.0416666666699</v>
      </c>
    </row>
    <row r="1063" spans="1:31" ht="14.25" customHeight="1" x14ac:dyDescent="0.3">
      <c r="A1063" s="36" t="s">
        <v>1836</v>
      </c>
      <c r="B1063" s="38" t="s">
        <v>2166</v>
      </c>
      <c r="C1063" s="38" t="s">
        <v>2181</v>
      </c>
      <c r="D1063" s="38">
        <v>1000002054</v>
      </c>
      <c r="E1063" s="39" t="s">
        <v>2182</v>
      </c>
      <c r="F1063" s="40">
        <v>44527</v>
      </c>
      <c r="G1063" s="22" t="str">
        <f t="shared" si="224"/>
        <v>Targeted Dealer</v>
      </c>
      <c r="H1063" s="22"/>
      <c r="I1063" s="23">
        <v>1600</v>
      </c>
      <c r="J1063" s="23">
        <f t="shared" si="225"/>
        <v>1600</v>
      </c>
      <c r="K1063" s="24">
        <v>2341.6999999999998</v>
      </c>
      <c r="L1063" s="24">
        <f t="shared" si="226"/>
        <v>-741.69999999999982</v>
      </c>
      <c r="M1063" s="24">
        <f t="shared" si="227"/>
        <v>146.35624999999999</v>
      </c>
      <c r="N1063" s="25">
        <v>1450.05</v>
      </c>
      <c r="O1063" s="26" t="str">
        <f t="shared" si="228"/>
        <v>June</v>
      </c>
      <c r="P1063" s="25">
        <f t="shared" si="229"/>
        <v>1450.05</v>
      </c>
      <c r="Q1063" s="27">
        <f t="shared" si="230"/>
        <v>891.64999999999986</v>
      </c>
      <c r="R1063" s="26" t="b">
        <f t="shared" si="231"/>
        <v>0</v>
      </c>
      <c r="S1063" s="28" t="str">
        <f t="shared" si="232"/>
        <v>GROWTH</v>
      </c>
      <c r="T1063" s="24">
        <v>1267.95</v>
      </c>
      <c r="U1063" s="29" t="str">
        <f t="shared" si="233"/>
        <v>May</v>
      </c>
      <c r="V1063" s="24">
        <f t="shared" si="234"/>
        <v>1267.95</v>
      </c>
      <c r="W1063" s="30">
        <f t="shared" si="235"/>
        <v>1073.7499999999998</v>
      </c>
      <c r="X1063" s="31" t="b">
        <f t="shared" si="236"/>
        <v>0</v>
      </c>
      <c r="Y1063" s="32" t="str">
        <f t="shared" si="237"/>
        <v>GROWTH</v>
      </c>
      <c r="Z1063" s="41">
        <v>0</v>
      </c>
      <c r="AA1063" s="36"/>
      <c r="AB1063" s="36" t="s">
        <v>24</v>
      </c>
      <c r="AC1063" s="36" t="s">
        <v>1836</v>
      </c>
      <c r="AD1063" s="34"/>
      <c r="AE1063" s="35">
        <f>IFERROR(INDEX([1]Last6M_AvgSales_Ref!$B$2:$B$12659,MATCH(D1063,[1]Last6M_AvgSales_Ref!$A$2:$A$12659,0)),"")</f>
        <v>1854.825</v>
      </c>
    </row>
    <row r="1064" spans="1:31" ht="14.25" customHeight="1" x14ac:dyDescent="0.3">
      <c r="A1064" s="36" t="s">
        <v>1836</v>
      </c>
      <c r="B1064" s="44" t="s">
        <v>2166</v>
      </c>
      <c r="C1064" s="44" t="s">
        <v>2183</v>
      </c>
      <c r="D1064" s="44">
        <v>1000004001</v>
      </c>
      <c r="E1064" s="44" t="s">
        <v>2184</v>
      </c>
      <c r="F1064" s="40">
        <v>45449</v>
      </c>
      <c r="G1064" s="22" t="str">
        <f t="shared" si="224"/>
        <v>Targeted Dealer</v>
      </c>
      <c r="H1064" s="22"/>
      <c r="I1064" s="23">
        <v>20</v>
      </c>
      <c r="J1064" s="23">
        <f t="shared" si="225"/>
        <v>20</v>
      </c>
      <c r="K1064" s="24">
        <v>0</v>
      </c>
      <c r="L1064" s="24">
        <f t="shared" si="226"/>
        <v>20</v>
      </c>
      <c r="M1064" s="24">
        <f t="shared" si="227"/>
        <v>0</v>
      </c>
      <c r="N1064" s="25">
        <v>0</v>
      </c>
      <c r="O1064" s="26" t="str">
        <f t="shared" si="228"/>
        <v>June</v>
      </c>
      <c r="P1064" s="25">
        <f t="shared" si="229"/>
        <v>0</v>
      </c>
      <c r="Q1064" s="27">
        <f t="shared" si="230"/>
        <v>0</v>
      </c>
      <c r="R1064" s="26" t="b">
        <f t="shared" si="231"/>
        <v>0</v>
      </c>
      <c r="S1064" s="28" t="b">
        <f t="shared" si="232"/>
        <v>0</v>
      </c>
      <c r="T1064" s="24">
        <v>3</v>
      </c>
      <c r="U1064" s="29" t="str">
        <f t="shared" si="233"/>
        <v>May</v>
      </c>
      <c r="V1064" s="24">
        <f t="shared" si="234"/>
        <v>3</v>
      </c>
      <c r="W1064" s="30">
        <f t="shared" si="235"/>
        <v>-3</v>
      </c>
      <c r="X1064" s="31" t="b">
        <f t="shared" si="236"/>
        <v>0</v>
      </c>
      <c r="Y1064" s="32" t="str">
        <f t="shared" si="237"/>
        <v>GROWTH</v>
      </c>
      <c r="Z1064" s="41">
        <v>0</v>
      </c>
      <c r="AA1064" s="36"/>
      <c r="AB1064" s="36" t="s">
        <v>24</v>
      </c>
      <c r="AC1064" s="36" t="s">
        <v>1836</v>
      </c>
      <c r="AD1064" s="34"/>
      <c r="AE1064" s="35">
        <f>IFERROR(INDEX([1]Last6M_AvgSales_Ref!$B$2:$B$12659,MATCH(D1064,[1]Last6M_AvgSales_Ref!$A$2:$A$12659,0)),"")</f>
        <v>6.3333333333333304</v>
      </c>
    </row>
    <row r="1065" spans="1:31" ht="14.25" customHeight="1" x14ac:dyDescent="0.3">
      <c r="A1065" s="36" t="s">
        <v>2185</v>
      </c>
      <c r="B1065" s="38" t="s">
        <v>2186</v>
      </c>
      <c r="C1065" s="38" t="s">
        <v>2187</v>
      </c>
      <c r="D1065" s="38">
        <v>1000001479</v>
      </c>
      <c r="E1065" s="39" t="s">
        <v>2188</v>
      </c>
      <c r="F1065" s="40">
        <v>41457</v>
      </c>
      <c r="G1065" s="22" t="str">
        <f t="shared" si="224"/>
        <v>Targeted Dealer</v>
      </c>
      <c r="H1065" s="22"/>
      <c r="I1065" s="23">
        <v>500</v>
      </c>
      <c r="J1065" s="23">
        <f t="shared" si="225"/>
        <v>500.00000000000006</v>
      </c>
      <c r="K1065" s="24">
        <v>357</v>
      </c>
      <c r="L1065" s="24">
        <f t="shared" si="226"/>
        <v>143</v>
      </c>
      <c r="M1065" s="24">
        <f t="shared" si="227"/>
        <v>71.399999999999991</v>
      </c>
      <c r="N1065" s="25">
        <v>505</v>
      </c>
      <c r="O1065" s="26" t="str">
        <f t="shared" si="228"/>
        <v>June</v>
      </c>
      <c r="P1065" s="25">
        <f t="shared" si="229"/>
        <v>505</v>
      </c>
      <c r="Q1065" s="27">
        <f t="shared" si="230"/>
        <v>-148</v>
      </c>
      <c r="R1065" s="26" t="b">
        <f t="shared" si="231"/>
        <v>0</v>
      </c>
      <c r="S1065" s="28" t="str">
        <f t="shared" si="232"/>
        <v>GROWTH</v>
      </c>
      <c r="T1065" s="24">
        <v>417.5</v>
      </c>
      <c r="U1065" s="29" t="str">
        <f t="shared" si="233"/>
        <v>May</v>
      </c>
      <c r="V1065" s="24">
        <f t="shared" si="234"/>
        <v>417.5</v>
      </c>
      <c r="W1065" s="30">
        <f t="shared" si="235"/>
        <v>-60.5</v>
      </c>
      <c r="X1065" s="31" t="b">
        <f t="shared" si="236"/>
        <v>0</v>
      </c>
      <c r="Y1065" s="32" t="str">
        <f t="shared" si="237"/>
        <v>GROWTH</v>
      </c>
      <c r="Z1065" s="41">
        <v>0</v>
      </c>
      <c r="AA1065" s="36"/>
      <c r="AB1065" s="36" t="s">
        <v>24</v>
      </c>
      <c r="AC1065" s="36" t="s">
        <v>2185</v>
      </c>
      <c r="AD1065" s="34"/>
      <c r="AE1065" s="35">
        <f>IFERROR(INDEX([1]Last6M_AvgSales_Ref!$B$2:$B$12659,MATCH(D1065,[1]Last6M_AvgSales_Ref!$A$2:$A$12659,0)),"")</f>
        <v>333.26666666666699</v>
      </c>
    </row>
    <row r="1066" spans="1:31" ht="14.25" customHeight="1" x14ac:dyDescent="0.3">
      <c r="A1066" s="36" t="s">
        <v>2185</v>
      </c>
      <c r="B1066" s="38" t="s">
        <v>2186</v>
      </c>
      <c r="C1066" s="38" t="s">
        <v>2189</v>
      </c>
      <c r="D1066" s="38">
        <v>1000001480</v>
      </c>
      <c r="E1066" s="39" t="s">
        <v>2190</v>
      </c>
      <c r="F1066" s="40">
        <v>41498</v>
      </c>
      <c r="G1066" s="22" t="str">
        <f t="shared" si="224"/>
        <v>Targeted Dealer</v>
      </c>
      <c r="H1066" s="22"/>
      <c r="I1066" s="23">
        <v>30</v>
      </c>
      <c r="J1066" s="23">
        <f t="shared" si="225"/>
        <v>30</v>
      </c>
      <c r="K1066" s="24">
        <v>0</v>
      </c>
      <c r="L1066" s="24">
        <f t="shared" si="226"/>
        <v>30</v>
      </c>
      <c r="M1066" s="24">
        <f t="shared" si="227"/>
        <v>0</v>
      </c>
      <c r="N1066" s="25">
        <v>16</v>
      </c>
      <c r="O1066" s="26" t="str">
        <f t="shared" si="228"/>
        <v>June</v>
      </c>
      <c r="P1066" s="25">
        <f t="shared" si="229"/>
        <v>16</v>
      </c>
      <c r="Q1066" s="27">
        <f t="shared" si="230"/>
        <v>-16</v>
      </c>
      <c r="R1066" s="26" t="b">
        <f t="shared" si="231"/>
        <v>0</v>
      </c>
      <c r="S1066" s="28" t="str">
        <f t="shared" si="232"/>
        <v>GROWTH</v>
      </c>
      <c r="T1066" s="24">
        <v>0</v>
      </c>
      <c r="U1066" s="29" t="str">
        <f t="shared" si="233"/>
        <v>May</v>
      </c>
      <c r="V1066" s="24">
        <f t="shared" si="234"/>
        <v>0</v>
      </c>
      <c r="W1066" s="30">
        <f t="shared" si="235"/>
        <v>0</v>
      </c>
      <c r="X1066" s="31" t="b">
        <f t="shared" si="236"/>
        <v>0</v>
      </c>
      <c r="Y1066" s="32" t="b">
        <f t="shared" si="237"/>
        <v>0</v>
      </c>
      <c r="Z1066" s="41">
        <v>0</v>
      </c>
      <c r="AA1066" s="36"/>
      <c r="AB1066" s="36" t="s">
        <v>24</v>
      </c>
      <c r="AC1066" s="36" t="s">
        <v>2185</v>
      </c>
      <c r="AD1066" s="34"/>
      <c r="AE1066" s="35">
        <f>IFERROR(INDEX([1]Last6M_AvgSales_Ref!$B$2:$B$12659,MATCH(D1066,[1]Last6M_AvgSales_Ref!$A$2:$A$12659,0)),"")</f>
        <v>12</v>
      </c>
    </row>
    <row r="1067" spans="1:31" ht="14.25" customHeight="1" x14ac:dyDescent="0.3">
      <c r="A1067" s="36" t="s">
        <v>2185</v>
      </c>
      <c r="B1067" s="38" t="s">
        <v>2186</v>
      </c>
      <c r="C1067" s="38" t="s">
        <v>2191</v>
      </c>
      <c r="D1067" s="38">
        <v>1000001516</v>
      </c>
      <c r="E1067" s="39" t="s">
        <v>2192</v>
      </c>
      <c r="F1067" s="40">
        <v>41547</v>
      </c>
      <c r="G1067" s="22" t="str">
        <f t="shared" si="224"/>
        <v>Targeted Dealer</v>
      </c>
      <c r="H1067" s="22"/>
      <c r="I1067" s="23">
        <v>900</v>
      </c>
      <c r="J1067" s="23">
        <f t="shared" si="225"/>
        <v>900</v>
      </c>
      <c r="K1067" s="24">
        <v>399.75</v>
      </c>
      <c r="L1067" s="24">
        <f t="shared" si="226"/>
        <v>500.25</v>
      </c>
      <c r="M1067" s="24">
        <f t="shared" si="227"/>
        <v>44.416666666666664</v>
      </c>
      <c r="N1067" s="25">
        <v>738.5</v>
      </c>
      <c r="O1067" s="26" t="str">
        <f t="shared" si="228"/>
        <v>June</v>
      </c>
      <c r="P1067" s="25">
        <f t="shared" si="229"/>
        <v>738.5</v>
      </c>
      <c r="Q1067" s="27">
        <f t="shared" si="230"/>
        <v>-338.75</v>
      </c>
      <c r="R1067" s="26" t="b">
        <f t="shared" si="231"/>
        <v>0</v>
      </c>
      <c r="S1067" s="28" t="str">
        <f t="shared" si="232"/>
        <v>GROWTH</v>
      </c>
      <c r="T1067" s="24">
        <v>323</v>
      </c>
      <c r="U1067" s="29" t="str">
        <f t="shared" si="233"/>
        <v>May</v>
      </c>
      <c r="V1067" s="24">
        <f t="shared" si="234"/>
        <v>323</v>
      </c>
      <c r="W1067" s="30">
        <f t="shared" si="235"/>
        <v>76.75</v>
      </c>
      <c r="X1067" s="31" t="b">
        <f t="shared" si="236"/>
        <v>0</v>
      </c>
      <c r="Y1067" s="32" t="str">
        <f t="shared" si="237"/>
        <v>GROWTH</v>
      </c>
      <c r="Z1067" s="41">
        <v>0</v>
      </c>
      <c r="AA1067" s="36"/>
      <c r="AB1067" s="36" t="s">
        <v>24</v>
      </c>
      <c r="AC1067" s="36" t="s">
        <v>2185</v>
      </c>
      <c r="AD1067" s="34"/>
      <c r="AE1067" s="35">
        <f>IFERROR(INDEX([1]Last6M_AvgSales_Ref!$B$2:$B$12659,MATCH(D1067,[1]Last6M_AvgSales_Ref!$A$2:$A$12659,0)),"")</f>
        <v>344.13333333333298</v>
      </c>
    </row>
    <row r="1068" spans="1:31" ht="14.25" customHeight="1" x14ac:dyDescent="0.3">
      <c r="A1068" s="36" t="s">
        <v>2185</v>
      </c>
      <c r="B1068" s="38" t="s">
        <v>2186</v>
      </c>
      <c r="C1068" s="38" t="s">
        <v>2193</v>
      </c>
      <c r="D1068" s="38">
        <v>1000001519</v>
      </c>
      <c r="E1068" s="39" t="s">
        <v>2194</v>
      </c>
      <c r="F1068" s="40">
        <v>41688</v>
      </c>
      <c r="G1068" s="22" t="str">
        <f t="shared" si="224"/>
        <v>Targeted Dealer</v>
      </c>
      <c r="H1068" s="22"/>
      <c r="I1068" s="23">
        <v>425</v>
      </c>
      <c r="J1068" s="23">
        <f t="shared" si="225"/>
        <v>425</v>
      </c>
      <c r="K1068" s="24">
        <v>295.5</v>
      </c>
      <c r="L1068" s="24">
        <f t="shared" si="226"/>
        <v>129.5</v>
      </c>
      <c r="M1068" s="24">
        <f t="shared" si="227"/>
        <v>69.529411764705884</v>
      </c>
      <c r="N1068" s="25">
        <v>272</v>
      </c>
      <c r="O1068" s="26" t="str">
        <f t="shared" si="228"/>
        <v>June</v>
      </c>
      <c r="P1068" s="25">
        <f t="shared" si="229"/>
        <v>272</v>
      </c>
      <c r="Q1068" s="27">
        <f t="shared" si="230"/>
        <v>23.5</v>
      </c>
      <c r="R1068" s="26" t="b">
        <f t="shared" si="231"/>
        <v>0</v>
      </c>
      <c r="S1068" s="28" t="str">
        <f t="shared" si="232"/>
        <v>GROWTH</v>
      </c>
      <c r="T1068" s="24">
        <v>357</v>
      </c>
      <c r="U1068" s="29" t="str">
        <f t="shared" si="233"/>
        <v>May</v>
      </c>
      <c r="V1068" s="24">
        <f t="shared" si="234"/>
        <v>357</v>
      </c>
      <c r="W1068" s="30">
        <f t="shared" si="235"/>
        <v>-61.5</v>
      </c>
      <c r="X1068" s="31" t="b">
        <f t="shared" si="236"/>
        <v>0</v>
      </c>
      <c r="Y1068" s="32" t="str">
        <f t="shared" si="237"/>
        <v>GROWTH</v>
      </c>
      <c r="Z1068" s="41">
        <v>0</v>
      </c>
      <c r="AA1068" s="36"/>
      <c r="AB1068" s="36" t="s">
        <v>24</v>
      </c>
      <c r="AC1068" s="36" t="s">
        <v>2185</v>
      </c>
      <c r="AD1068" s="34"/>
      <c r="AE1068" s="35">
        <f>IFERROR(INDEX([1]Last6M_AvgSales_Ref!$B$2:$B$12659,MATCH(D1068,[1]Last6M_AvgSales_Ref!$A$2:$A$12659,0)),"")</f>
        <v>289.79166666666703</v>
      </c>
    </row>
    <row r="1069" spans="1:31" ht="14.25" customHeight="1" x14ac:dyDescent="0.3">
      <c r="A1069" s="36" t="s">
        <v>2185</v>
      </c>
      <c r="B1069" s="38" t="s">
        <v>2186</v>
      </c>
      <c r="C1069" s="38" t="s">
        <v>2195</v>
      </c>
      <c r="D1069" s="38">
        <v>1000001515</v>
      </c>
      <c r="E1069" s="39" t="s">
        <v>2196</v>
      </c>
      <c r="F1069" s="40">
        <v>41717</v>
      </c>
      <c r="G1069" s="22" t="str">
        <f t="shared" si="224"/>
        <v>Targeted Dealer</v>
      </c>
      <c r="H1069" s="22"/>
      <c r="I1069" s="23">
        <v>300</v>
      </c>
      <c r="J1069" s="23">
        <f t="shared" si="225"/>
        <v>300</v>
      </c>
      <c r="K1069" s="24">
        <v>176</v>
      </c>
      <c r="L1069" s="24">
        <f t="shared" si="226"/>
        <v>124</v>
      </c>
      <c r="M1069" s="24">
        <f t="shared" si="227"/>
        <v>58.666666666666664</v>
      </c>
      <c r="N1069" s="25">
        <v>240.5</v>
      </c>
      <c r="O1069" s="26" t="str">
        <f t="shared" si="228"/>
        <v>June</v>
      </c>
      <c r="P1069" s="25">
        <f t="shared" si="229"/>
        <v>240.5</v>
      </c>
      <c r="Q1069" s="27">
        <f t="shared" si="230"/>
        <v>-64.5</v>
      </c>
      <c r="R1069" s="26" t="b">
        <f t="shared" si="231"/>
        <v>0</v>
      </c>
      <c r="S1069" s="28" t="str">
        <f t="shared" si="232"/>
        <v>GROWTH</v>
      </c>
      <c r="T1069" s="24">
        <v>268.5</v>
      </c>
      <c r="U1069" s="29" t="str">
        <f t="shared" si="233"/>
        <v>May</v>
      </c>
      <c r="V1069" s="24">
        <f t="shared" si="234"/>
        <v>268.5</v>
      </c>
      <c r="W1069" s="30">
        <f t="shared" si="235"/>
        <v>-92.5</v>
      </c>
      <c r="X1069" s="31" t="b">
        <f t="shared" si="236"/>
        <v>0</v>
      </c>
      <c r="Y1069" s="32" t="str">
        <f t="shared" si="237"/>
        <v>GROWTH</v>
      </c>
      <c r="Z1069" s="41">
        <v>0</v>
      </c>
      <c r="AA1069" s="36"/>
      <c r="AB1069" s="36" t="s">
        <v>24</v>
      </c>
      <c r="AC1069" s="36" t="s">
        <v>2185</v>
      </c>
      <c r="AD1069" s="34"/>
      <c r="AE1069" s="35">
        <f>IFERROR(INDEX([1]Last6M_AvgSales_Ref!$B$2:$B$12659,MATCH(D1069,[1]Last6M_AvgSales_Ref!$A$2:$A$12659,0)),"")</f>
        <v>226.416666666667</v>
      </c>
    </row>
    <row r="1070" spans="1:31" ht="14.25" customHeight="1" x14ac:dyDescent="0.3">
      <c r="A1070" s="36" t="s">
        <v>2185</v>
      </c>
      <c r="B1070" s="38" t="s">
        <v>2186</v>
      </c>
      <c r="C1070" s="38" t="s">
        <v>2197</v>
      </c>
      <c r="D1070" s="38">
        <v>1000001496</v>
      </c>
      <c r="E1070" s="39" t="s">
        <v>2198</v>
      </c>
      <c r="F1070" s="40">
        <v>41768</v>
      </c>
      <c r="G1070" s="22" t="str">
        <f t="shared" si="224"/>
        <v>Targeted Dealer</v>
      </c>
      <c r="H1070" s="22"/>
      <c r="I1070" s="23">
        <v>50</v>
      </c>
      <c r="J1070" s="23">
        <f t="shared" si="225"/>
        <v>50</v>
      </c>
      <c r="K1070" s="24">
        <v>11.5</v>
      </c>
      <c r="L1070" s="24">
        <f t="shared" si="226"/>
        <v>38.5</v>
      </c>
      <c r="M1070" s="24">
        <f t="shared" si="227"/>
        <v>23</v>
      </c>
      <c r="N1070" s="25">
        <v>40</v>
      </c>
      <c r="O1070" s="26" t="str">
        <f t="shared" si="228"/>
        <v>June</v>
      </c>
      <c r="P1070" s="25">
        <f t="shared" si="229"/>
        <v>40</v>
      </c>
      <c r="Q1070" s="27">
        <f t="shared" si="230"/>
        <v>-28.5</v>
      </c>
      <c r="R1070" s="26" t="b">
        <f t="shared" si="231"/>
        <v>0</v>
      </c>
      <c r="S1070" s="28" t="str">
        <f t="shared" si="232"/>
        <v>GROWTH</v>
      </c>
      <c r="T1070" s="24">
        <v>46</v>
      </c>
      <c r="U1070" s="29" t="str">
        <f t="shared" si="233"/>
        <v>May</v>
      </c>
      <c r="V1070" s="24">
        <f t="shared" si="234"/>
        <v>46</v>
      </c>
      <c r="W1070" s="30">
        <f t="shared" si="235"/>
        <v>-34.5</v>
      </c>
      <c r="X1070" s="31" t="b">
        <f t="shared" si="236"/>
        <v>0</v>
      </c>
      <c r="Y1070" s="32" t="str">
        <f t="shared" si="237"/>
        <v>GROWTH</v>
      </c>
      <c r="Z1070" s="41">
        <v>0</v>
      </c>
      <c r="AA1070" s="36"/>
      <c r="AB1070" s="36" t="s">
        <v>24</v>
      </c>
      <c r="AC1070" s="36" t="s">
        <v>2185</v>
      </c>
      <c r="AD1070" s="34"/>
      <c r="AE1070" s="35">
        <f>IFERROR(INDEX([1]Last6M_AvgSales_Ref!$B$2:$B$12659,MATCH(D1070,[1]Last6M_AvgSales_Ref!$A$2:$A$12659,0)),"")</f>
        <v>27</v>
      </c>
    </row>
    <row r="1071" spans="1:31" ht="14.25" customHeight="1" x14ac:dyDescent="0.3">
      <c r="A1071" s="36" t="s">
        <v>2185</v>
      </c>
      <c r="B1071" s="38" t="s">
        <v>2186</v>
      </c>
      <c r="C1071" s="38" t="s">
        <v>2199</v>
      </c>
      <c r="D1071" s="38">
        <v>1000001482</v>
      </c>
      <c r="E1071" s="39" t="s">
        <v>2200</v>
      </c>
      <c r="F1071" s="40">
        <v>41817</v>
      </c>
      <c r="G1071" s="22" t="str">
        <f t="shared" si="224"/>
        <v>-</v>
      </c>
      <c r="H1071" s="22"/>
      <c r="I1071" s="23">
        <v>0</v>
      </c>
      <c r="J1071" s="23">
        <f t="shared" si="225"/>
        <v>0</v>
      </c>
      <c r="K1071" s="24">
        <v>0</v>
      </c>
      <c r="L1071" s="24">
        <f t="shared" si="226"/>
        <v>0</v>
      </c>
      <c r="M1071" s="24" t="str">
        <f t="shared" si="227"/>
        <v>-</v>
      </c>
      <c r="N1071" s="25">
        <v>0</v>
      </c>
      <c r="O1071" s="26" t="str">
        <f t="shared" si="228"/>
        <v>June</v>
      </c>
      <c r="P1071" s="25">
        <f t="shared" si="229"/>
        <v>0</v>
      </c>
      <c r="Q1071" s="27">
        <f t="shared" si="230"/>
        <v>0</v>
      </c>
      <c r="R1071" s="26" t="b">
        <f t="shared" si="231"/>
        <v>0</v>
      </c>
      <c r="S1071" s="28" t="b">
        <f t="shared" si="232"/>
        <v>0</v>
      </c>
      <c r="T1071" s="24">
        <v>129</v>
      </c>
      <c r="U1071" s="29" t="str">
        <f t="shared" si="233"/>
        <v>May</v>
      </c>
      <c r="V1071" s="24">
        <f t="shared" si="234"/>
        <v>129</v>
      </c>
      <c r="W1071" s="30">
        <f t="shared" si="235"/>
        <v>-129</v>
      </c>
      <c r="X1071" s="31" t="b">
        <f t="shared" si="236"/>
        <v>0</v>
      </c>
      <c r="Y1071" s="32" t="str">
        <f t="shared" si="237"/>
        <v>GROWTH</v>
      </c>
      <c r="Z1071" s="41">
        <v>0</v>
      </c>
      <c r="AA1071" s="36"/>
      <c r="AB1071" s="36" t="s">
        <v>24</v>
      </c>
      <c r="AC1071" s="36" t="s">
        <v>2185</v>
      </c>
      <c r="AD1071" s="34"/>
      <c r="AE1071" s="35">
        <f>IFERROR(INDEX([1]Last6M_AvgSales_Ref!$B$2:$B$12659,MATCH(D1071,[1]Last6M_AvgSales_Ref!$A$2:$A$12659,0)),"")</f>
        <v>57.4166666666667</v>
      </c>
    </row>
    <row r="1072" spans="1:31" ht="14.25" customHeight="1" x14ac:dyDescent="0.3">
      <c r="A1072" s="36" t="s">
        <v>2185</v>
      </c>
      <c r="B1072" s="38" t="s">
        <v>2186</v>
      </c>
      <c r="C1072" s="38" t="s">
        <v>2201</v>
      </c>
      <c r="D1072" s="38">
        <v>1000001505</v>
      </c>
      <c r="E1072" s="39" t="s">
        <v>2202</v>
      </c>
      <c r="F1072" s="40">
        <v>41962</v>
      </c>
      <c r="G1072" s="22" t="str">
        <f t="shared" si="224"/>
        <v>Targeted Dealer</v>
      </c>
      <c r="H1072" s="22"/>
      <c r="I1072" s="23">
        <v>900</v>
      </c>
      <c r="J1072" s="23">
        <f t="shared" si="225"/>
        <v>900</v>
      </c>
      <c r="K1072" s="24">
        <v>458</v>
      </c>
      <c r="L1072" s="24">
        <f t="shared" si="226"/>
        <v>442</v>
      </c>
      <c r="M1072" s="24">
        <f t="shared" si="227"/>
        <v>50.888888888888886</v>
      </c>
      <c r="N1072" s="25">
        <v>496.5</v>
      </c>
      <c r="O1072" s="26" t="str">
        <f t="shared" si="228"/>
        <v>June</v>
      </c>
      <c r="P1072" s="25">
        <f t="shared" si="229"/>
        <v>496.5</v>
      </c>
      <c r="Q1072" s="27">
        <f t="shared" si="230"/>
        <v>-38.5</v>
      </c>
      <c r="R1072" s="26" t="b">
        <f t="shared" si="231"/>
        <v>0</v>
      </c>
      <c r="S1072" s="28" t="str">
        <f t="shared" si="232"/>
        <v>GROWTH</v>
      </c>
      <c r="T1072" s="24">
        <v>795</v>
      </c>
      <c r="U1072" s="29" t="str">
        <f t="shared" si="233"/>
        <v>May</v>
      </c>
      <c r="V1072" s="24">
        <f t="shared" si="234"/>
        <v>795</v>
      </c>
      <c r="W1072" s="30">
        <f t="shared" si="235"/>
        <v>-337</v>
      </c>
      <c r="X1072" s="31" t="b">
        <f t="shared" si="236"/>
        <v>0</v>
      </c>
      <c r="Y1072" s="32" t="str">
        <f t="shared" si="237"/>
        <v>GROWTH</v>
      </c>
      <c r="Z1072" s="41">
        <v>0</v>
      </c>
      <c r="AA1072" s="36"/>
      <c r="AB1072" s="36" t="s">
        <v>24</v>
      </c>
      <c r="AC1072" s="36" t="s">
        <v>2185</v>
      </c>
      <c r="AD1072" s="34"/>
      <c r="AE1072" s="35">
        <f>IFERROR(INDEX([1]Last6M_AvgSales_Ref!$B$2:$B$12659,MATCH(D1072,[1]Last6M_AvgSales_Ref!$A$2:$A$12659,0)),"")</f>
        <v>753.45833333333303</v>
      </c>
    </row>
    <row r="1073" spans="1:31" ht="14.25" customHeight="1" x14ac:dyDescent="0.3">
      <c r="A1073" s="36" t="s">
        <v>2185</v>
      </c>
      <c r="B1073" s="38" t="s">
        <v>2186</v>
      </c>
      <c r="C1073" s="38" t="s">
        <v>2203</v>
      </c>
      <c r="D1073" s="38">
        <v>1000001497</v>
      </c>
      <c r="E1073" s="39" t="s">
        <v>2204</v>
      </c>
      <c r="F1073" s="40">
        <v>42188</v>
      </c>
      <c r="G1073" s="22" t="str">
        <f t="shared" si="224"/>
        <v>Targeted Dealer</v>
      </c>
      <c r="H1073" s="22"/>
      <c r="I1073" s="23">
        <v>3000</v>
      </c>
      <c r="J1073" s="23">
        <f t="shared" si="225"/>
        <v>3000</v>
      </c>
      <c r="K1073" s="24">
        <v>3125.45</v>
      </c>
      <c r="L1073" s="24">
        <f t="shared" si="226"/>
        <v>-125.44999999999982</v>
      </c>
      <c r="M1073" s="24">
        <f t="shared" si="227"/>
        <v>104.18166666666666</v>
      </c>
      <c r="N1073" s="25">
        <v>3394.5</v>
      </c>
      <c r="O1073" s="26" t="str">
        <f t="shared" si="228"/>
        <v>June</v>
      </c>
      <c r="P1073" s="25">
        <f t="shared" si="229"/>
        <v>3394.5</v>
      </c>
      <c r="Q1073" s="27">
        <f t="shared" si="230"/>
        <v>-269.05000000000018</v>
      </c>
      <c r="R1073" s="26" t="b">
        <f t="shared" si="231"/>
        <v>0</v>
      </c>
      <c r="S1073" s="28" t="str">
        <f t="shared" si="232"/>
        <v>GROWTH</v>
      </c>
      <c r="T1073" s="24">
        <v>2752.25</v>
      </c>
      <c r="U1073" s="29" t="str">
        <f t="shared" si="233"/>
        <v>May</v>
      </c>
      <c r="V1073" s="24">
        <f t="shared" si="234"/>
        <v>2752.25</v>
      </c>
      <c r="W1073" s="30">
        <f t="shared" si="235"/>
        <v>373.19999999999982</v>
      </c>
      <c r="X1073" s="31" t="b">
        <f t="shared" si="236"/>
        <v>0</v>
      </c>
      <c r="Y1073" s="32" t="str">
        <f t="shared" si="237"/>
        <v>GROWTH</v>
      </c>
      <c r="Z1073" s="41">
        <v>0</v>
      </c>
      <c r="AA1073" s="36"/>
      <c r="AB1073" s="36" t="s">
        <v>24</v>
      </c>
      <c r="AC1073" s="36" t="s">
        <v>2185</v>
      </c>
      <c r="AD1073" s="34"/>
      <c r="AE1073" s="35">
        <f>IFERROR(INDEX([1]Last6M_AvgSales_Ref!$B$2:$B$12659,MATCH(D1073,[1]Last6M_AvgSales_Ref!$A$2:$A$12659,0)),"")</f>
        <v>3477.5333333333301</v>
      </c>
    </row>
    <row r="1074" spans="1:31" ht="14.25" customHeight="1" x14ac:dyDescent="0.3">
      <c r="A1074" s="36" t="s">
        <v>2185</v>
      </c>
      <c r="B1074" s="38" t="s">
        <v>2186</v>
      </c>
      <c r="C1074" s="38" t="s">
        <v>2205</v>
      </c>
      <c r="D1074" s="38">
        <v>1000001507</v>
      </c>
      <c r="E1074" s="39" t="s">
        <v>2206</v>
      </c>
      <c r="F1074" s="40">
        <v>42626</v>
      </c>
      <c r="G1074" s="22" t="str">
        <f t="shared" si="224"/>
        <v>Targeted Dealer</v>
      </c>
      <c r="H1074" s="22"/>
      <c r="I1074" s="23">
        <v>160</v>
      </c>
      <c r="J1074" s="23">
        <f t="shared" si="225"/>
        <v>160</v>
      </c>
      <c r="K1074" s="24">
        <v>142.5</v>
      </c>
      <c r="L1074" s="24">
        <f t="shared" si="226"/>
        <v>17.5</v>
      </c>
      <c r="M1074" s="24">
        <f t="shared" si="227"/>
        <v>89.0625</v>
      </c>
      <c r="N1074" s="25">
        <v>243.5</v>
      </c>
      <c r="O1074" s="26" t="str">
        <f t="shared" si="228"/>
        <v>June</v>
      </c>
      <c r="P1074" s="25">
        <f t="shared" si="229"/>
        <v>243.5</v>
      </c>
      <c r="Q1074" s="27">
        <f t="shared" si="230"/>
        <v>-101</v>
      </c>
      <c r="R1074" s="26" t="b">
        <f t="shared" si="231"/>
        <v>0</v>
      </c>
      <c r="S1074" s="28" t="str">
        <f t="shared" si="232"/>
        <v>GROWTH</v>
      </c>
      <c r="T1074" s="24">
        <v>160</v>
      </c>
      <c r="U1074" s="29" t="str">
        <f t="shared" si="233"/>
        <v>May</v>
      </c>
      <c r="V1074" s="24">
        <f t="shared" si="234"/>
        <v>160</v>
      </c>
      <c r="W1074" s="30">
        <f t="shared" si="235"/>
        <v>-17.5</v>
      </c>
      <c r="X1074" s="31" t="b">
        <f t="shared" si="236"/>
        <v>0</v>
      </c>
      <c r="Y1074" s="32" t="str">
        <f t="shared" si="237"/>
        <v>GROWTH</v>
      </c>
      <c r="Z1074" s="41">
        <v>0</v>
      </c>
      <c r="AA1074" s="36"/>
      <c r="AB1074" s="36" t="s">
        <v>24</v>
      </c>
      <c r="AC1074" s="36" t="s">
        <v>2185</v>
      </c>
      <c r="AD1074" s="34"/>
      <c r="AE1074" s="35">
        <f>IFERROR(INDEX([1]Last6M_AvgSales_Ref!$B$2:$B$12659,MATCH(D1074,[1]Last6M_AvgSales_Ref!$A$2:$A$12659,0)),"")</f>
        <v>186.416666666667</v>
      </c>
    </row>
    <row r="1075" spans="1:31" ht="14.25" customHeight="1" x14ac:dyDescent="0.3">
      <c r="A1075" s="36" t="s">
        <v>2185</v>
      </c>
      <c r="B1075" s="38" t="s">
        <v>2186</v>
      </c>
      <c r="C1075" s="38" t="s">
        <v>2207</v>
      </c>
      <c r="D1075" s="38">
        <v>1000001492</v>
      </c>
      <c r="E1075" s="39" t="s">
        <v>2208</v>
      </c>
      <c r="F1075" s="40">
        <v>42688</v>
      </c>
      <c r="G1075" s="22" t="str">
        <f t="shared" si="224"/>
        <v>Targeted Dealer</v>
      </c>
      <c r="H1075" s="22"/>
      <c r="I1075" s="23">
        <v>520</v>
      </c>
      <c r="J1075" s="23">
        <f t="shared" si="225"/>
        <v>520</v>
      </c>
      <c r="K1075" s="24">
        <v>722.5</v>
      </c>
      <c r="L1075" s="24">
        <f t="shared" si="226"/>
        <v>-202.5</v>
      </c>
      <c r="M1075" s="24">
        <f t="shared" si="227"/>
        <v>138.94230769230768</v>
      </c>
      <c r="N1075" s="25">
        <v>521</v>
      </c>
      <c r="O1075" s="26" t="str">
        <f t="shared" si="228"/>
        <v>June</v>
      </c>
      <c r="P1075" s="25">
        <f t="shared" si="229"/>
        <v>521</v>
      </c>
      <c r="Q1075" s="27">
        <f t="shared" si="230"/>
        <v>201.5</v>
      </c>
      <c r="R1075" s="26" t="b">
        <f t="shared" si="231"/>
        <v>0</v>
      </c>
      <c r="S1075" s="28" t="str">
        <f t="shared" si="232"/>
        <v>GROWTH</v>
      </c>
      <c r="T1075" s="24">
        <v>213</v>
      </c>
      <c r="U1075" s="29" t="str">
        <f t="shared" si="233"/>
        <v>May</v>
      </c>
      <c r="V1075" s="24">
        <f t="shared" si="234"/>
        <v>213</v>
      </c>
      <c r="W1075" s="30">
        <f t="shared" si="235"/>
        <v>509.5</v>
      </c>
      <c r="X1075" s="31" t="b">
        <f t="shared" si="236"/>
        <v>0</v>
      </c>
      <c r="Y1075" s="32" t="str">
        <f t="shared" si="237"/>
        <v>GROWTH</v>
      </c>
      <c r="Z1075" s="41">
        <v>0</v>
      </c>
      <c r="AA1075" s="36"/>
      <c r="AB1075" s="36" t="s">
        <v>24</v>
      </c>
      <c r="AC1075" s="36" t="s">
        <v>2185</v>
      </c>
      <c r="AD1075" s="34"/>
      <c r="AE1075" s="35">
        <f>IFERROR(INDEX([1]Last6M_AvgSales_Ref!$B$2:$B$12659,MATCH(D1075,[1]Last6M_AvgSales_Ref!$A$2:$A$12659,0)),"")</f>
        <v>682.41666666666697</v>
      </c>
    </row>
    <row r="1076" spans="1:31" ht="14.25" customHeight="1" x14ac:dyDescent="0.3">
      <c r="A1076" s="36" t="s">
        <v>2185</v>
      </c>
      <c r="B1076" s="38" t="s">
        <v>2186</v>
      </c>
      <c r="C1076" s="38" t="s">
        <v>2209</v>
      </c>
      <c r="D1076" s="38">
        <v>1000001499</v>
      </c>
      <c r="E1076" s="39" t="s">
        <v>2210</v>
      </c>
      <c r="F1076" s="40">
        <v>43033</v>
      </c>
      <c r="G1076" s="22" t="str">
        <f t="shared" si="224"/>
        <v>Targeted Dealer</v>
      </c>
      <c r="H1076" s="22"/>
      <c r="I1076" s="23">
        <v>150</v>
      </c>
      <c r="J1076" s="23">
        <f t="shared" si="225"/>
        <v>150</v>
      </c>
      <c r="K1076" s="24">
        <v>90</v>
      </c>
      <c r="L1076" s="24">
        <f t="shared" si="226"/>
        <v>60</v>
      </c>
      <c r="M1076" s="24">
        <f t="shared" si="227"/>
        <v>60</v>
      </c>
      <c r="N1076" s="25">
        <v>65</v>
      </c>
      <c r="O1076" s="26" t="str">
        <f t="shared" si="228"/>
        <v>June</v>
      </c>
      <c r="P1076" s="25">
        <f t="shared" si="229"/>
        <v>65</v>
      </c>
      <c r="Q1076" s="27">
        <f t="shared" si="230"/>
        <v>25</v>
      </c>
      <c r="R1076" s="26" t="b">
        <f t="shared" si="231"/>
        <v>0</v>
      </c>
      <c r="S1076" s="28" t="str">
        <f t="shared" si="232"/>
        <v>GROWTH</v>
      </c>
      <c r="T1076" s="24">
        <v>72</v>
      </c>
      <c r="U1076" s="29" t="str">
        <f t="shared" si="233"/>
        <v>May</v>
      </c>
      <c r="V1076" s="24">
        <f t="shared" si="234"/>
        <v>72</v>
      </c>
      <c r="W1076" s="30">
        <f t="shared" si="235"/>
        <v>18</v>
      </c>
      <c r="X1076" s="31" t="b">
        <f t="shared" si="236"/>
        <v>0</v>
      </c>
      <c r="Y1076" s="32" t="str">
        <f t="shared" si="237"/>
        <v>GROWTH</v>
      </c>
      <c r="Z1076" s="41">
        <v>0</v>
      </c>
      <c r="AA1076" s="36"/>
      <c r="AB1076" s="36" t="s">
        <v>24</v>
      </c>
      <c r="AC1076" s="36" t="s">
        <v>2185</v>
      </c>
      <c r="AD1076" s="34"/>
      <c r="AE1076" s="35">
        <f>IFERROR(INDEX([1]Last6M_AvgSales_Ref!$B$2:$B$12659,MATCH(D1076,[1]Last6M_AvgSales_Ref!$A$2:$A$12659,0)),"")</f>
        <v>52.75</v>
      </c>
    </row>
    <row r="1077" spans="1:31" ht="14.25" customHeight="1" x14ac:dyDescent="0.3">
      <c r="A1077" s="36" t="s">
        <v>2185</v>
      </c>
      <c r="B1077" s="38" t="s">
        <v>2186</v>
      </c>
      <c r="C1077" s="38" t="s">
        <v>2211</v>
      </c>
      <c r="D1077" s="38">
        <v>1000001508</v>
      </c>
      <c r="E1077" s="39" t="s">
        <v>2212</v>
      </c>
      <c r="F1077" s="40">
        <v>43050</v>
      </c>
      <c r="G1077" s="22" t="str">
        <f t="shared" si="224"/>
        <v>Targeted Dealer</v>
      </c>
      <c r="H1077" s="22"/>
      <c r="I1077" s="23">
        <v>2250</v>
      </c>
      <c r="J1077" s="23">
        <f t="shared" si="225"/>
        <v>2250</v>
      </c>
      <c r="K1077" s="24">
        <v>2876.5</v>
      </c>
      <c r="L1077" s="24">
        <f t="shared" si="226"/>
        <v>-626.5</v>
      </c>
      <c r="M1077" s="24">
        <f t="shared" si="227"/>
        <v>127.84444444444445</v>
      </c>
      <c r="N1077" s="25">
        <v>2706.5</v>
      </c>
      <c r="O1077" s="26" t="str">
        <f t="shared" si="228"/>
        <v>June</v>
      </c>
      <c r="P1077" s="25">
        <f t="shared" si="229"/>
        <v>2706.5</v>
      </c>
      <c r="Q1077" s="27">
        <f t="shared" si="230"/>
        <v>170</v>
      </c>
      <c r="R1077" s="26" t="b">
        <f t="shared" si="231"/>
        <v>0</v>
      </c>
      <c r="S1077" s="28" t="str">
        <f t="shared" si="232"/>
        <v>GROWTH</v>
      </c>
      <c r="T1077" s="24">
        <v>1300.75</v>
      </c>
      <c r="U1077" s="29" t="str">
        <f t="shared" si="233"/>
        <v>May</v>
      </c>
      <c r="V1077" s="24">
        <f t="shared" si="234"/>
        <v>1300.75</v>
      </c>
      <c r="W1077" s="30">
        <f t="shared" si="235"/>
        <v>1575.75</v>
      </c>
      <c r="X1077" s="31" t="b">
        <f t="shared" si="236"/>
        <v>0</v>
      </c>
      <c r="Y1077" s="32" t="str">
        <f t="shared" si="237"/>
        <v>GROWTH</v>
      </c>
      <c r="Z1077" s="41">
        <v>0</v>
      </c>
      <c r="AA1077" s="36"/>
      <c r="AB1077" s="36" t="s">
        <v>24</v>
      </c>
      <c r="AC1077" s="36" t="s">
        <v>2185</v>
      </c>
      <c r="AD1077" s="34"/>
      <c r="AE1077" s="35">
        <f>IFERROR(INDEX([1]Last6M_AvgSales_Ref!$B$2:$B$12659,MATCH(D1077,[1]Last6M_AvgSales_Ref!$A$2:$A$12659,0)),"")</f>
        <v>2503.9166666666702</v>
      </c>
    </row>
    <row r="1078" spans="1:31" ht="14.25" customHeight="1" x14ac:dyDescent="0.3">
      <c r="A1078" s="36" t="s">
        <v>2185</v>
      </c>
      <c r="B1078" s="38" t="s">
        <v>2186</v>
      </c>
      <c r="C1078" s="38" t="s">
        <v>2213</v>
      </c>
      <c r="D1078" s="38">
        <v>1000001500</v>
      </c>
      <c r="E1078" s="39" t="s">
        <v>2214</v>
      </c>
      <c r="F1078" s="40">
        <v>43208</v>
      </c>
      <c r="G1078" s="22" t="str">
        <f t="shared" si="224"/>
        <v>Targeted Dealer</v>
      </c>
      <c r="H1078" s="22"/>
      <c r="I1078" s="23">
        <v>100</v>
      </c>
      <c r="J1078" s="23">
        <f t="shared" si="225"/>
        <v>100</v>
      </c>
      <c r="K1078" s="24">
        <v>75</v>
      </c>
      <c r="L1078" s="24">
        <f t="shared" si="226"/>
        <v>25</v>
      </c>
      <c r="M1078" s="24">
        <f t="shared" si="227"/>
        <v>75</v>
      </c>
      <c r="N1078" s="25">
        <v>35</v>
      </c>
      <c r="O1078" s="26" t="str">
        <f t="shared" si="228"/>
        <v>June</v>
      </c>
      <c r="P1078" s="25">
        <f t="shared" si="229"/>
        <v>35</v>
      </c>
      <c r="Q1078" s="27">
        <f t="shared" si="230"/>
        <v>40</v>
      </c>
      <c r="R1078" s="26" t="b">
        <f t="shared" si="231"/>
        <v>0</v>
      </c>
      <c r="S1078" s="28" t="str">
        <f t="shared" si="232"/>
        <v>GROWTH</v>
      </c>
      <c r="T1078" s="24">
        <v>30</v>
      </c>
      <c r="U1078" s="29" t="str">
        <f t="shared" si="233"/>
        <v>May</v>
      </c>
      <c r="V1078" s="24">
        <f t="shared" si="234"/>
        <v>30</v>
      </c>
      <c r="W1078" s="30">
        <f t="shared" si="235"/>
        <v>45</v>
      </c>
      <c r="X1078" s="31" t="b">
        <f t="shared" si="236"/>
        <v>0</v>
      </c>
      <c r="Y1078" s="32" t="str">
        <f t="shared" si="237"/>
        <v>GROWTH</v>
      </c>
      <c r="Z1078" s="41">
        <v>0</v>
      </c>
      <c r="AA1078" s="36"/>
      <c r="AB1078" s="36" t="s">
        <v>24</v>
      </c>
      <c r="AC1078" s="36" t="s">
        <v>2185</v>
      </c>
      <c r="AD1078" s="34"/>
      <c r="AE1078" s="35">
        <f>IFERROR(INDEX([1]Last6M_AvgSales_Ref!$B$2:$B$12659,MATCH(D1078,[1]Last6M_AvgSales_Ref!$A$2:$A$12659,0)),"")</f>
        <v>84.8333333333333</v>
      </c>
    </row>
    <row r="1079" spans="1:31" ht="14.25" customHeight="1" x14ac:dyDescent="0.3">
      <c r="A1079" s="36" t="s">
        <v>2185</v>
      </c>
      <c r="B1079" s="38" t="s">
        <v>2186</v>
      </c>
      <c r="C1079" s="38" t="s">
        <v>2215</v>
      </c>
      <c r="D1079" s="38">
        <v>1000001509</v>
      </c>
      <c r="E1079" s="39" t="s">
        <v>2216</v>
      </c>
      <c r="F1079" s="40">
        <v>43276</v>
      </c>
      <c r="G1079" s="22" t="str">
        <f t="shared" si="224"/>
        <v>Targeted Dealer</v>
      </c>
      <c r="H1079" s="22"/>
      <c r="I1079" s="23">
        <v>100</v>
      </c>
      <c r="J1079" s="23">
        <f t="shared" si="225"/>
        <v>100</v>
      </c>
      <c r="K1079" s="24">
        <v>0</v>
      </c>
      <c r="L1079" s="24">
        <f t="shared" si="226"/>
        <v>100</v>
      </c>
      <c r="M1079" s="24">
        <f t="shared" si="227"/>
        <v>0</v>
      </c>
      <c r="N1079" s="25">
        <v>0</v>
      </c>
      <c r="O1079" s="26" t="str">
        <f t="shared" si="228"/>
        <v>June</v>
      </c>
      <c r="P1079" s="25">
        <f t="shared" si="229"/>
        <v>0</v>
      </c>
      <c r="Q1079" s="27">
        <f t="shared" si="230"/>
        <v>0</v>
      </c>
      <c r="R1079" s="26" t="b">
        <f t="shared" si="231"/>
        <v>0</v>
      </c>
      <c r="S1079" s="28" t="b">
        <f t="shared" si="232"/>
        <v>0</v>
      </c>
      <c r="T1079" s="24">
        <v>110</v>
      </c>
      <c r="U1079" s="29" t="str">
        <f t="shared" si="233"/>
        <v>May</v>
      </c>
      <c r="V1079" s="24">
        <f t="shared" si="234"/>
        <v>110</v>
      </c>
      <c r="W1079" s="30">
        <f t="shared" si="235"/>
        <v>-110</v>
      </c>
      <c r="X1079" s="31" t="b">
        <f t="shared" si="236"/>
        <v>0</v>
      </c>
      <c r="Y1079" s="32" t="str">
        <f t="shared" si="237"/>
        <v>GROWTH</v>
      </c>
      <c r="Z1079" s="41">
        <v>0</v>
      </c>
      <c r="AA1079" s="36"/>
      <c r="AB1079" s="36" t="s">
        <v>24</v>
      </c>
      <c r="AC1079" s="36" t="s">
        <v>2185</v>
      </c>
      <c r="AD1079" s="34"/>
      <c r="AE1079" s="35">
        <f>IFERROR(INDEX([1]Last6M_AvgSales_Ref!$B$2:$B$12659,MATCH(D1079,[1]Last6M_AvgSales_Ref!$A$2:$A$12659,0)),"")</f>
        <v>81.8333333333333</v>
      </c>
    </row>
    <row r="1080" spans="1:31" ht="14.25" customHeight="1" x14ac:dyDescent="0.3">
      <c r="A1080" s="36" t="s">
        <v>2185</v>
      </c>
      <c r="B1080" s="38" t="s">
        <v>2186</v>
      </c>
      <c r="C1080" s="38" t="s">
        <v>2217</v>
      </c>
      <c r="D1080" s="38">
        <v>1000001483</v>
      </c>
      <c r="E1080" s="39" t="s">
        <v>2218</v>
      </c>
      <c r="F1080" s="40">
        <v>43382</v>
      </c>
      <c r="G1080" s="22" t="str">
        <f t="shared" si="224"/>
        <v>Targeted Dealer</v>
      </c>
      <c r="H1080" s="22"/>
      <c r="I1080" s="23">
        <v>325</v>
      </c>
      <c r="J1080" s="23">
        <f t="shared" si="225"/>
        <v>325</v>
      </c>
      <c r="K1080" s="24">
        <v>270</v>
      </c>
      <c r="L1080" s="24">
        <f t="shared" si="226"/>
        <v>55</v>
      </c>
      <c r="M1080" s="24">
        <f t="shared" si="227"/>
        <v>83.07692307692308</v>
      </c>
      <c r="N1080" s="25">
        <v>324.5</v>
      </c>
      <c r="O1080" s="26" t="str">
        <f t="shared" si="228"/>
        <v>June</v>
      </c>
      <c r="P1080" s="25">
        <f t="shared" si="229"/>
        <v>324.5</v>
      </c>
      <c r="Q1080" s="27">
        <f t="shared" si="230"/>
        <v>-54.5</v>
      </c>
      <c r="R1080" s="26" t="b">
        <f t="shared" si="231"/>
        <v>0</v>
      </c>
      <c r="S1080" s="28" t="str">
        <f t="shared" si="232"/>
        <v>GROWTH</v>
      </c>
      <c r="T1080" s="24">
        <v>263</v>
      </c>
      <c r="U1080" s="29" t="str">
        <f t="shared" si="233"/>
        <v>May</v>
      </c>
      <c r="V1080" s="24">
        <f t="shared" si="234"/>
        <v>263</v>
      </c>
      <c r="W1080" s="30">
        <f t="shared" si="235"/>
        <v>7</v>
      </c>
      <c r="X1080" s="31" t="b">
        <f t="shared" si="236"/>
        <v>0</v>
      </c>
      <c r="Y1080" s="32" t="str">
        <f t="shared" si="237"/>
        <v>GROWTH</v>
      </c>
      <c r="Z1080" s="41">
        <v>0</v>
      </c>
      <c r="AA1080" s="36"/>
      <c r="AB1080" s="36" t="s">
        <v>24</v>
      </c>
      <c r="AC1080" s="36" t="s">
        <v>2185</v>
      </c>
      <c r="AD1080" s="34"/>
      <c r="AE1080" s="35">
        <f>IFERROR(INDEX([1]Last6M_AvgSales_Ref!$B$2:$B$12659,MATCH(D1080,[1]Last6M_AvgSales_Ref!$A$2:$A$12659,0)),"")</f>
        <v>296.33333333333297</v>
      </c>
    </row>
    <row r="1081" spans="1:31" ht="14.25" customHeight="1" x14ac:dyDescent="0.3">
      <c r="A1081" s="36" t="s">
        <v>2185</v>
      </c>
      <c r="B1081" s="38" t="s">
        <v>2186</v>
      </c>
      <c r="C1081" s="38" t="s">
        <v>2219</v>
      </c>
      <c r="D1081" s="38">
        <v>1000001490</v>
      </c>
      <c r="E1081" s="39" t="s">
        <v>2220</v>
      </c>
      <c r="F1081" s="40">
        <v>43530</v>
      </c>
      <c r="G1081" s="22" t="str">
        <f t="shared" si="224"/>
        <v>Targeted Dealer</v>
      </c>
      <c r="H1081" s="22"/>
      <c r="I1081" s="23">
        <v>300</v>
      </c>
      <c r="J1081" s="23">
        <f t="shared" si="225"/>
        <v>300</v>
      </c>
      <c r="K1081" s="24">
        <v>220</v>
      </c>
      <c r="L1081" s="24">
        <f t="shared" si="226"/>
        <v>80</v>
      </c>
      <c r="M1081" s="24">
        <f t="shared" si="227"/>
        <v>73.333333333333329</v>
      </c>
      <c r="N1081" s="25">
        <v>310</v>
      </c>
      <c r="O1081" s="26" t="str">
        <f t="shared" si="228"/>
        <v>June</v>
      </c>
      <c r="P1081" s="25">
        <f t="shared" si="229"/>
        <v>310</v>
      </c>
      <c r="Q1081" s="27">
        <f t="shared" si="230"/>
        <v>-90</v>
      </c>
      <c r="R1081" s="26" t="b">
        <f t="shared" si="231"/>
        <v>0</v>
      </c>
      <c r="S1081" s="28" t="str">
        <f t="shared" si="232"/>
        <v>GROWTH</v>
      </c>
      <c r="T1081" s="24">
        <v>240</v>
      </c>
      <c r="U1081" s="29" t="str">
        <f t="shared" si="233"/>
        <v>May</v>
      </c>
      <c r="V1081" s="24">
        <f t="shared" si="234"/>
        <v>240</v>
      </c>
      <c r="W1081" s="30">
        <f t="shared" si="235"/>
        <v>-20</v>
      </c>
      <c r="X1081" s="31" t="b">
        <f t="shared" si="236"/>
        <v>0</v>
      </c>
      <c r="Y1081" s="32" t="str">
        <f t="shared" si="237"/>
        <v>GROWTH</v>
      </c>
      <c r="Z1081" s="41">
        <v>0</v>
      </c>
      <c r="AA1081" s="36"/>
      <c r="AB1081" s="36" t="s">
        <v>24</v>
      </c>
      <c r="AC1081" s="36" t="s">
        <v>2185</v>
      </c>
      <c r="AD1081" s="34"/>
      <c r="AE1081" s="35">
        <f>IFERROR(INDEX([1]Last6M_AvgSales_Ref!$B$2:$B$12659,MATCH(D1081,[1]Last6M_AvgSales_Ref!$A$2:$A$12659,0)),"")</f>
        <v>259</v>
      </c>
    </row>
    <row r="1082" spans="1:31" ht="14.25" customHeight="1" x14ac:dyDescent="0.3">
      <c r="A1082" s="36" t="s">
        <v>2185</v>
      </c>
      <c r="B1082" s="38" t="s">
        <v>2186</v>
      </c>
      <c r="C1082" s="38" t="s">
        <v>2221</v>
      </c>
      <c r="D1082" s="38">
        <v>1000001494</v>
      </c>
      <c r="E1082" s="39" t="s">
        <v>2222</v>
      </c>
      <c r="F1082" s="40">
        <v>43875</v>
      </c>
      <c r="G1082" s="22" t="str">
        <f t="shared" si="224"/>
        <v>Targeted Dealer</v>
      </c>
      <c r="H1082" s="22"/>
      <c r="I1082" s="23">
        <v>200</v>
      </c>
      <c r="J1082" s="23">
        <f t="shared" si="225"/>
        <v>200</v>
      </c>
      <c r="K1082" s="24">
        <v>150</v>
      </c>
      <c r="L1082" s="24">
        <f t="shared" si="226"/>
        <v>50</v>
      </c>
      <c r="M1082" s="24">
        <f t="shared" si="227"/>
        <v>75</v>
      </c>
      <c r="N1082" s="25">
        <v>174</v>
      </c>
      <c r="O1082" s="26" t="str">
        <f t="shared" si="228"/>
        <v>June</v>
      </c>
      <c r="P1082" s="25">
        <f t="shared" si="229"/>
        <v>174</v>
      </c>
      <c r="Q1082" s="27">
        <f t="shared" si="230"/>
        <v>-24</v>
      </c>
      <c r="R1082" s="26" t="b">
        <f t="shared" si="231"/>
        <v>0</v>
      </c>
      <c r="S1082" s="28" t="str">
        <f t="shared" si="232"/>
        <v>GROWTH</v>
      </c>
      <c r="T1082" s="24">
        <v>115</v>
      </c>
      <c r="U1082" s="29" t="str">
        <f t="shared" si="233"/>
        <v>May</v>
      </c>
      <c r="V1082" s="24">
        <f t="shared" si="234"/>
        <v>115</v>
      </c>
      <c r="W1082" s="30">
        <f t="shared" si="235"/>
        <v>35</v>
      </c>
      <c r="X1082" s="31" t="b">
        <f t="shared" si="236"/>
        <v>0</v>
      </c>
      <c r="Y1082" s="32" t="str">
        <f t="shared" si="237"/>
        <v>GROWTH</v>
      </c>
      <c r="Z1082" s="41">
        <v>0</v>
      </c>
      <c r="AA1082" s="36"/>
      <c r="AB1082" s="36" t="s">
        <v>24</v>
      </c>
      <c r="AC1082" s="36" t="s">
        <v>2185</v>
      </c>
      <c r="AD1082" s="34"/>
      <c r="AE1082" s="35">
        <f>IFERROR(INDEX([1]Last6M_AvgSales_Ref!$B$2:$B$12659,MATCH(D1082,[1]Last6M_AvgSales_Ref!$A$2:$A$12659,0)),"")</f>
        <v>122.666666666667</v>
      </c>
    </row>
    <row r="1083" spans="1:31" ht="14.25" customHeight="1" x14ac:dyDescent="0.3">
      <c r="A1083" s="36" t="s">
        <v>2185</v>
      </c>
      <c r="B1083" s="38" t="s">
        <v>2186</v>
      </c>
      <c r="C1083" s="38" t="s">
        <v>2223</v>
      </c>
      <c r="D1083" s="38">
        <v>1000001484</v>
      </c>
      <c r="E1083" s="39" t="s">
        <v>2224</v>
      </c>
      <c r="F1083" s="40">
        <v>43880</v>
      </c>
      <c r="G1083" s="22" t="str">
        <f t="shared" si="224"/>
        <v>Targeted Dealer</v>
      </c>
      <c r="H1083" s="22"/>
      <c r="I1083" s="23">
        <v>1150</v>
      </c>
      <c r="J1083" s="23">
        <f t="shared" si="225"/>
        <v>1150</v>
      </c>
      <c r="K1083" s="24">
        <v>910.5</v>
      </c>
      <c r="L1083" s="24">
        <f t="shared" si="226"/>
        <v>239.5</v>
      </c>
      <c r="M1083" s="24">
        <f t="shared" si="227"/>
        <v>79.173913043478265</v>
      </c>
      <c r="N1083" s="25">
        <v>1170</v>
      </c>
      <c r="O1083" s="26" t="str">
        <f t="shared" si="228"/>
        <v>June</v>
      </c>
      <c r="P1083" s="25">
        <f t="shared" si="229"/>
        <v>1170</v>
      </c>
      <c r="Q1083" s="27">
        <f t="shared" si="230"/>
        <v>-259.5</v>
      </c>
      <c r="R1083" s="26" t="b">
        <f t="shared" si="231"/>
        <v>0</v>
      </c>
      <c r="S1083" s="28" t="str">
        <f t="shared" si="232"/>
        <v>GROWTH</v>
      </c>
      <c r="T1083" s="24">
        <v>1067</v>
      </c>
      <c r="U1083" s="29" t="str">
        <f t="shared" si="233"/>
        <v>May</v>
      </c>
      <c r="V1083" s="24">
        <f t="shared" si="234"/>
        <v>1067</v>
      </c>
      <c r="W1083" s="30">
        <f t="shared" si="235"/>
        <v>-156.5</v>
      </c>
      <c r="X1083" s="31" t="b">
        <f t="shared" si="236"/>
        <v>0</v>
      </c>
      <c r="Y1083" s="32" t="str">
        <f t="shared" si="237"/>
        <v>GROWTH</v>
      </c>
      <c r="Z1083" s="41">
        <v>0</v>
      </c>
      <c r="AA1083" s="36"/>
      <c r="AB1083" s="36" t="s">
        <v>24</v>
      </c>
      <c r="AC1083" s="36" t="s">
        <v>2185</v>
      </c>
      <c r="AD1083" s="34"/>
      <c r="AE1083" s="35">
        <f>IFERROR(INDEX([1]Last6M_AvgSales_Ref!$B$2:$B$12659,MATCH(D1083,[1]Last6M_AvgSales_Ref!$A$2:$A$12659,0)),"")</f>
        <v>769.83333333333303</v>
      </c>
    </row>
    <row r="1084" spans="1:31" ht="14.25" customHeight="1" x14ac:dyDescent="0.3">
      <c r="A1084" s="36" t="s">
        <v>2185</v>
      </c>
      <c r="B1084" s="38" t="s">
        <v>2186</v>
      </c>
      <c r="C1084" s="38" t="s">
        <v>2225</v>
      </c>
      <c r="D1084" s="38">
        <v>1000001511</v>
      </c>
      <c r="E1084" s="39" t="s">
        <v>2226</v>
      </c>
      <c r="F1084" s="40">
        <v>43882</v>
      </c>
      <c r="G1084" s="22" t="str">
        <f t="shared" si="224"/>
        <v>Targeted Dealer</v>
      </c>
      <c r="H1084" s="22"/>
      <c r="I1084" s="23">
        <v>500</v>
      </c>
      <c r="J1084" s="23">
        <f t="shared" si="225"/>
        <v>500.00000000000006</v>
      </c>
      <c r="K1084" s="24">
        <v>597.5</v>
      </c>
      <c r="L1084" s="24">
        <f t="shared" si="226"/>
        <v>-97.5</v>
      </c>
      <c r="M1084" s="24">
        <f t="shared" si="227"/>
        <v>119.49999999999999</v>
      </c>
      <c r="N1084" s="25">
        <v>442</v>
      </c>
      <c r="O1084" s="26" t="str">
        <f t="shared" si="228"/>
        <v>June</v>
      </c>
      <c r="P1084" s="25">
        <f t="shared" si="229"/>
        <v>442</v>
      </c>
      <c r="Q1084" s="27">
        <f t="shared" si="230"/>
        <v>155.5</v>
      </c>
      <c r="R1084" s="26" t="b">
        <f t="shared" si="231"/>
        <v>0</v>
      </c>
      <c r="S1084" s="28" t="str">
        <f t="shared" si="232"/>
        <v>GROWTH</v>
      </c>
      <c r="T1084" s="24">
        <v>434</v>
      </c>
      <c r="U1084" s="29" t="str">
        <f t="shared" si="233"/>
        <v>May</v>
      </c>
      <c r="V1084" s="24">
        <f t="shared" si="234"/>
        <v>434</v>
      </c>
      <c r="W1084" s="30">
        <f t="shared" si="235"/>
        <v>163.5</v>
      </c>
      <c r="X1084" s="31" t="b">
        <f t="shared" si="236"/>
        <v>0</v>
      </c>
      <c r="Y1084" s="32" t="str">
        <f t="shared" si="237"/>
        <v>GROWTH</v>
      </c>
      <c r="Z1084" s="41">
        <v>0</v>
      </c>
      <c r="AA1084" s="36"/>
      <c r="AB1084" s="36" t="s">
        <v>24</v>
      </c>
      <c r="AC1084" s="36" t="s">
        <v>2185</v>
      </c>
      <c r="AD1084" s="34"/>
      <c r="AE1084" s="35">
        <f>IFERROR(INDEX([1]Last6M_AvgSales_Ref!$B$2:$B$12659,MATCH(D1084,[1]Last6M_AvgSales_Ref!$A$2:$A$12659,0)),"")</f>
        <v>746.91666666666697</v>
      </c>
    </row>
    <row r="1085" spans="1:31" ht="14.25" customHeight="1" x14ac:dyDescent="0.3">
      <c r="A1085" s="36" t="s">
        <v>2185</v>
      </c>
      <c r="B1085" s="38" t="s">
        <v>2186</v>
      </c>
      <c r="C1085" s="38" t="s">
        <v>2227</v>
      </c>
      <c r="D1085" s="38">
        <v>1000001485</v>
      </c>
      <c r="E1085" s="39" t="s">
        <v>2228</v>
      </c>
      <c r="F1085" s="40">
        <v>43977</v>
      </c>
      <c r="G1085" s="22" t="str">
        <f t="shared" si="224"/>
        <v>Targeted Dealer</v>
      </c>
      <c r="H1085" s="22"/>
      <c r="I1085" s="23">
        <v>250</v>
      </c>
      <c r="J1085" s="23">
        <f t="shared" si="225"/>
        <v>250.00000000000003</v>
      </c>
      <c r="K1085" s="24">
        <v>210</v>
      </c>
      <c r="L1085" s="24">
        <f t="shared" si="226"/>
        <v>40</v>
      </c>
      <c r="M1085" s="24">
        <f t="shared" si="227"/>
        <v>83.999999999999986</v>
      </c>
      <c r="N1085" s="25">
        <v>200</v>
      </c>
      <c r="O1085" s="26" t="str">
        <f t="shared" si="228"/>
        <v>June</v>
      </c>
      <c r="P1085" s="25">
        <f t="shared" si="229"/>
        <v>200</v>
      </c>
      <c r="Q1085" s="27">
        <f t="shared" si="230"/>
        <v>10</v>
      </c>
      <c r="R1085" s="26" t="b">
        <f t="shared" si="231"/>
        <v>0</v>
      </c>
      <c r="S1085" s="28" t="str">
        <f t="shared" si="232"/>
        <v>GROWTH</v>
      </c>
      <c r="T1085" s="24">
        <v>230</v>
      </c>
      <c r="U1085" s="29" t="str">
        <f t="shared" si="233"/>
        <v>May</v>
      </c>
      <c r="V1085" s="24">
        <f t="shared" si="234"/>
        <v>230</v>
      </c>
      <c r="W1085" s="30">
        <f t="shared" si="235"/>
        <v>-20</v>
      </c>
      <c r="X1085" s="31" t="b">
        <f t="shared" si="236"/>
        <v>0</v>
      </c>
      <c r="Y1085" s="32" t="str">
        <f t="shared" si="237"/>
        <v>GROWTH</v>
      </c>
      <c r="Z1085" s="41">
        <v>0</v>
      </c>
      <c r="AA1085" s="36"/>
      <c r="AB1085" s="36" t="s">
        <v>24</v>
      </c>
      <c r="AC1085" s="36" t="s">
        <v>2185</v>
      </c>
      <c r="AD1085" s="34"/>
      <c r="AE1085" s="35">
        <f>IFERROR(INDEX([1]Last6M_AvgSales_Ref!$B$2:$B$12659,MATCH(D1085,[1]Last6M_AvgSales_Ref!$A$2:$A$12659,0)),"")</f>
        <v>120.833333333333</v>
      </c>
    </row>
    <row r="1086" spans="1:31" ht="14.25" customHeight="1" x14ac:dyDescent="0.3">
      <c r="A1086" s="36" t="s">
        <v>2185</v>
      </c>
      <c r="B1086" s="38" t="s">
        <v>2186</v>
      </c>
      <c r="C1086" s="38" t="s">
        <v>2229</v>
      </c>
      <c r="D1086" s="38">
        <v>1000001486</v>
      </c>
      <c r="E1086" s="39" t="s">
        <v>2230</v>
      </c>
      <c r="F1086" s="40">
        <v>44030</v>
      </c>
      <c r="G1086" s="22" t="str">
        <f t="shared" si="224"/>
        <v>Targeted Dealer</v>
      </c>
      <c r="H1086" s="22"/>
      <c r="I1086" s="23">
        <v>325</v>
      </c>
      <c r="J1086" s="23">
        <f t="shared" si="225"/>
        <v>325</v>
      </c>
      <c r="K1086" s="24">
        <v>333.65</v>
      </c>
      <c r="L1086" s="24">
        <f t="shared" si="226"/>
        <v>-8.6499999999999773</v>
      </c>
      <c r="M1086" s="24">
        <f t="shared" si="227"/>
        <v>102.66153846153846</v>
      </c>
      <c r="N1086" s="25">
        <v>420</v>
      </c>
      <c r="O1086" s="26" t="str">
        <f t="shared" si="228"/>
        <v>June</v>
      </c>
      <c r="P1086" s="25">
        <f t="shared" si="229"/>
        <v>420</v>
      </c>
      <c r="Q1086" s="27">
        <f t="shared" si="230"/>
        <v>-86.350000000000023</v>
      </c>
      <c r="R1086" s="26" t="b">
        <f t="shared" si="231"/>
        <v>0</v>
      </c>
      <c r="S1086" s="28" t="str">
        <f t="shared" si="232"/>
        <v>GROWTH</v>
      </c>
      <c r="T1086" s="24">
        <v>365</v>
      </c>
      <c r="U1086" s="29" t="str">
        <f t="shared" si="233"/>
        <v>May</v>
      </c>
      <c r="V1086" s="24">
        <f t="shared" si="234"/>
        <v>365</v>
      </c>
      <c r="W1086" s="30">
        <f t="shared" si="235"/>
        <v>-31.350000000000023</v>
      </c>
      <c r="X1086" s="31" t="b">
        <f t="shared" si="236"/>
        <v>0</v>
      </c>
      <c r="Y1086" s="32" t="str">
        <f t="shared" si="237"/>
        <v>GROWTH</v>
      </c>
      <c r="Z1086" s="41">
        <v>0</v>
      </c>
      <c r="AA1086" s="36"/>
      <c r="AB1086" s="36" t="s">
        <v>24</v>
      </c>
      <c r="AC1086" s="36" t="s">
        <v>2185</v>
      </c>
      <c r="AD1086" s="34"/>
      <c r="AE1086" s="35">
        <f>IFERROR(INDEX([1]Last6M_AvgSales_Ref!$B$2:$B$12659,MATCH(D1086,[1]Last6M_AvgSales_Ref!$A$2:$A$12659,0)),"")</f>
        <v>319.98333333333301</v>
      </c>
    </row>
    <row r="1087" spans="1:31" ht="14.25" customHeight="1" x14ac:dyDescent="0.3">
      <c r="A1087" s="36" t="s">
        <v>2185</v>
      </c>
      <c r="B1087" s="38" t="s">
        <v>2186</v>
      </c>
      <c r="C1087" s="38" t="s">
        <v>2231</v>
      </c>
      <c r="D1087" s="38">
        <v>1000002006</v>
      </c>
      <c r="E1087" s="39" t="s">
        <v>2232</v>
      </c>
      <c r="F1087" s="40">
        <v>44478</v>
      </c>
      <c r="G1087" s="22" t="str">
        <f t="shared" si="224"/>
        <v>Targeted Dealer</v>
      </c>
      <c r="H1087" s="22"/>
      <c r="I1087" s="23">
        <v>200</v>
      </c>
      <c r="J1087" s="23">
        <f t="shared" si="225"/>
        <v>200</v>
      </c>
      <c r="K1087" s="24">
        <v>65.5</v>
      </c>
      <c r="L1087" s="24">
        <f t="shared" si="226"/>
        <v>134.5</v>
      </c>
      <c r="M1087" s="24">
        <f t="shared" si="227"/>
        <v>32.75</v>
      </c>
      <c r="N1087" s="25">
        <v>25</v>
      </c>
      <c r="O1087" s="26" t="str">
        <f t="shared" si="228"/>
        <v>June</v>
      </c>
      <c r="P1087" s="25">
        <f t="shared" si="229"/>
        <v>25</v>
      </c>
      <c r="Q1087" s="27">
        <f t="shared" si="230"/>
        <v>40.5</v>
      </c>
      <c r="R1087" s="26" t="b">
        <f t="shared" si="231"/>
        <v>0</v>
      </c>
      <c r="S1087" s="28" t="str">
        <f t="shared" si="232"/>
        <v>GROWTH</v>
      </c>
      <c r="T1087" s="24">
        <v>120</v>
      </c>
      <c r="U1087" s="29" t="str">
        <f t="shared" si="233"/>
        <v>May</v>
      </c>
      <c r="V1087" s="24">
        <f t="shared" si="234"/>
        <v>120</v>
      </c>
      <c r="W1087" s="30">
        <f t="shared" si="235"/>
        <v>-54.5</v>
      </c>
      <c r="X1087" s="31" t="b">
        <f t="shared" si="236"/>
        <v>0</v>
      </c>
      <c r="Y1087" s="32" t="str">
        <f t="shared" si="237"/>
        <v>GROWTH</v>
      </c>
      <c r="Z1087" s="41">
        <v>0</v>
      </c>
      <c r="AA1087" s="36"/>
      <c r="AB1087" s="36" t="s">
        <v>24</v>
      </c>
      <c r="AC1087" s="36" t="s">
        <v>2185</v>
      </c>
      <c r="AD1087" s="34"/>
      <c r="AE1087" s="35">
        <f>IFERROR(INDEX([1]Last6M_AvgSales_Ref!$B$2:$B$12659,MATCH(D1087,[1]Last6M_AvgSales_Ref!$A$2:$A$12659,0)),"")</f>
        <v>48.75</v>
      </c>
    </row>
    <row r="1088" spans="1:31" ht="14.25" customHeight="1" x14ac:dyDescent="0.3">
      <c r="A1088" s="36" t="s">
        <v>2185</v>
      </c>
      <c r="B1088" s="38" t="s">
        <v>2186</v>
      </c>
      <c r="C1088" s="38" t="s">
        <v>2233</v>
      </c>
      <c r="D1088" s="38">
        <v>1000002041</v>
      </c>
      <c r="E1088" s="39" t="s">
        <v>2234</v>
      </c>
      <c r="F1088" s="40">
        <v>44501</v>
      </c>
      <c r="G1088" s="22" t="str">
        <f t="shared" si="224"/>
        <v>Targeted Dealer</v>
      </c>
      <c r="H1088" s="22"/>
      <c r="I1088" s="23">
        <v>300</v>
      </c>
      <c r="J1088" s="23">
        <f t="shared" si="225"/>
        <v>300</v>
      </c>
      <c r="K1088" s="24">
        <v>265</v>
      </c>
      <c r="L1088" s="24">
        <f t="shared" si="226"/>
        <v>35</v>
      </c>
      <c r="M1088" s="24">
        <f t="shared" si="227"/>
        <v>88.333333333333329</v>
      </c>
      <c r="N1088" s="25">
        <v>300</v>
      </c>
      <c r="O1088" s="26" t="str">
        <f t="shared" si="228"/>
        <v>June</v>
      </c>
      <c r="P1088" s="25">
        <f t="shared" si="229"/>
        <v>300</v>
      </c>
      <c r="Q1088" s="27">
        <f t="shared" si="230"/>
        <v>-35</v>
      </c>
      <c r="R1088" s="26" t="b">
        <f t="shared" si="231"/>
        <v>0</v>
      </c>
      <c r="S1088" s="28" t="str">
        <f t="shared" si="232"/>
        <v>GROWTH</v>
      </c>
      <c r="T1088" s="24">
        <v>265</v>
      </c>
      <c r="U1088" s="29" t="str">
        <f t="shared" si="233"/>
        <v>May</v>
      </c>
      <c r="V1088" s="24">
        <f t="shared" si="234"/>
        <v>265</v>
      </c>
      <c r="W1088" s="30">
        <f t="shared" si="235"/>
        <v>0</v>
      </c>
      <c r="X1088" s="31" t="b">
        <f t="shared" si="236"/>
        <v>0</v>
      </c>
      <c r="Y1088" s="32" t="str">
        <f t="shared" si="237"/>
        <v>GROWTH</v>
      </c>
      <c r="Z1088" s="41">
        <v>0</v>
      </c>
      <c r="AA1088" s="36"/>
      <c r="AB1088" s="36" t="s">
        <v>24</v>
      </c>
      <c r="AC1088" s="36" t="s">
        <v>2185</v>
      </c>
      <c r="AD1088" s="34"/>
      <c r="AE1088" s="35">
        <f>IFERROR(INDEX([1]Last6M_AvgSales_Ref!$B$2:$B$12659,MATCH(D1088,[1]Last6M_AvgSales_Ref!$A$2:$A$12659,0)),"")</f>
        <v>223.5</v>
      </c>
    </row>
    <row r="1089" spans="1:31" ht="14.25" customHeight="1" x14ac:dyDescent="0.3">
      <c r="A1089" s="36" t="s">
        <v>2185</v>
      </c>
      <c r="B1089" s="38" t="s">
        <v>2186</v>
      </c>
      <c r="C1089" s="38" t="s">
        <v>2235</v>
      </c>
      <c r="D1089" s="38">
        <v>1000002044</v>
      </c>
      <c r="E1089" s="39" t="s">
        <v>2236</v>
      </c>
      <c r="F1089" s="40">
        <v>44501</v>
      </c>
      <c r="G1089" s="22" t="str">
        <f t="shared" si="224"/>
        <v>Targeted Dealer</v>
      </c>
      <c r="H1089" s="22"/>
      <c r="I1089" s="23">
        <v>700</v>
      </c>
      <c r="J1089" s="23">
        <f t="shared" si="225"/>
        <v>700</v>
      </c>
      <c r="K1089" s="24">
        <v>400</v>
      </c>
      <c r="L1089" s="24">
        <f t="shared" si="226"/>
        <v>300</v>
      </c>
      <c r="M1089" s="24">
        <f t="shared" si="227"/>
        <v>57.142857142857146</v>
      </c>
      <c r="N1089" s="25">
        <v>733.5</v>
      </c>
      <c r="O1089" s="26" t="str">
        <f t="shared" si="228"/>
        <v>June</v>
      </c>
      <c r="P1089" s="25">
        <f t="shared" si="229"/>
        <v>733.5</v>
      </c>
      <c r="Q1089" s="27">
        <f t="shared" si="230"/>
        <v>-333.5</v>
      </c>
      <c r="R1089" s="26" t="b">
        <f t="shared" si="231"/>
        <v>0</v>
      </c>
      <c r="S1089" s="28" t="str">
        <f t="shared" si="232"/>
        <v>GROWTH</v>
      </c>
      <c r="T1089" s="24">
        <v>1101.5</v>
      </c>
      <c r="U1089" s="29" t="str">
        <f t="shared" si="233"/>
        <v>May</v>
      </c>
      <c r="V1089" s="24">
        <f t="shared" si="234"/>
        <v>1101.5</v>
      </c>
      <c r="W1089" s="30">
        <f t="shared" si="235"/>
        <v>-701.5</v>
      </c>
      <c r="X1089" s="31" t="b">
        <f t="shared" si="236"/>
        <v>0</v>
      </c>
      <c r="Y1089" s="32" t="str">
        <f t="shared" si="237"/>
        <v>GROWTH</v>
      </c>
      <c r="Z1089" s="41">
        <v>0</v>
      </c>
      <c r="AA1089" s="36"/>
      <c r="AB1089" s="36" t="s">
        <v>24</v>
      </c>
      <c r="AC1089" s="36" t="s">
        <v>2185</v>
      </c>
      <c r="AD1089" s="34"/>
      <c r="AE1089" s="35">
        <f>IFERROR(INDEX([1]Last6M_AvgSales_Ref!$B$2:$B$12659,MATCH(D1089,[1]Last6M_AvgSales_Ref!$A$2:$A$12659,0)),"")</f>
        <v>723.20833333333303</v>
      </c>
    </row>
    <row r="1090" spans="1:31" ht="14.25" customHeight="1" x14ac:dyDescent="0.3">
      <c r="A1090" s="36" t="s">
        <v>2185</v>
      </c>
      <c r="B1090" s="38" t="s">
        <v>2186</v>
      </c>
      <c r="C1090" s="38" t="s">
        <v>2237</v>
      </c>
      <c r="D1090" s="38">
        <v>1000002851</v>
      </c>
      <c r="E1090" s="39" t="s">
        <v>2238</v>
      </c>
      <c r="F1090" s="40">
        <v>44744</v>
      </c>
      <c r="G1090" s="22" t="str">
        <f t="shared" si="224"/>
        <v>Targeted Dealer</v>
      </c>
      <c r="H1090" s="22"/>
      <c r="I1090" s="23">
        <v>200</v>
      </c>
      <c r="J1090" s="23">
        <f t="shared" si="225"/>
        <v>200</v>
      </c>
      <c r="K1090" s="24">
        <v>285</v>
      </c>
      <c r="L1090" s="24">
        <f t="shared" si="226"/>
        <v>-85</v>
      </c>
      <c r="M1090" s="24">
        <f t="shared" si="227"/>
        <v>142.5</v>
      </c>
      <c r="N1090" s="25">
        <v>220</v>
      </c>
      <c r="O1090" s="26" t="str">
        <f t="shared" si="228"/>
        <v>June</v>
      </c>
      <c r="P1090" s="25">
        <f t="shared" si="229"/>
        <v>220</v>
      </c>
      <c r="Q1090" s="27">
        <f t="shared" si="230"/>
        <v>65</v>
      </c>
      <c r="R1090" s="26" t="b">
        <f t="shared" si="231"/>
        <v>0</v>
      </c>
      <c r="S1090" s="28" t="str">
        <f t="shared" si="232"/>
        <v>GROWTH</v>
      </c>
      <c r="T1090" s="24">
        <v>100</v>
      </c>
      <c r="U1090" s="29" t="str">
        <f t="shared" si="233"/>
        <v>May</v>
      </c>
      <c r="V1090" s="24">
        <f t="shared" si="234"/>
        <v>100</v>
      </c>
      <c r="W1090" s="30">
        <f t="shared" si="235"/>
        <v>185</v>
      </c>
      <c r="X1090" s="31" t="b">
        <f t="shared" si="236"/>
        <v>0</v>
      </c>
      <c r="Y1090" s="32" t="str">
        <f t="shared" si="237"/>
        <v>GROWTH</v>
      </c>
      <c r="Z1090" s="41">
        <v>0</v>
      </c>
      <c r="AA1090" s="36"/>
      <c r="AB1090" s="36" t="s">
        <v>24</v>
      </c>
      <c r="AC1090" s="36" t="s">
        <v>2185</v>
      </c>
      <c r="AD1090" s="34"/>
      <c r="AE1090" s="35">
        <f>IFERROR(INDEX([1]Last6M_AvgSales_Ref!$B$2:$B$12659,MATCH(D1090,[1]Last6M_AvgSales_Ref!$A$2:$A$12659,0)),"")</f>
        <v>198.333333333333</v>
      </c>
    </row>
    <row r="1091" spans="1:31" ht="14.25" customHeight="1" x14ac:dyDescent="0.3">
      <c r="A1091" s="36" t="s">
        <v>2185</v>
      </c>
      <c r="B1091" s="38" t="s">
        <v>2186</v>
      </c>
      <c r="C1091" s="38" t="s">
        <v>2239</v>
      </c>
      <c r="D1091" s="38">
        <v>1000002867</v>
      </c>
      <c r="E1091" s="39" t="s">
        <v>2240</v>
      </c>
      <c r="F1091" s="40">
        <v>44768</v>
      </c>
      <c r="G1091" s="22" t="str">
        <f t="shared" ref="G1091:G1154" si="238">IF(I1091&gt;0,"Targeted Dealer","-")</f>
        <v>Targeted Dealer</v>
      </c>
      <c r="H1091" s="22"/>
      <c r="I1091" s="23">
        <v>100</v>
      </c>
      <c r="J1091" s="23">
        <f t="shared" ref="J1091:J1154" si="239">I1091/$J$1*($J$1-$E$1)</f>
        <v>100</v>
      </c>
      <c r="K1091" s="24">
        <v>0</v>
      </c>
      <c r="L1091" s="24">
        <f t="shared" ref="L1091:L1154" si="240">I1091-K1091</f>
        <v>100</v>
      </c>
      <c r="M1091" s="24">
        <f t="shared" ref="M1091:M1154" si="241">IFERROR((K1091/J1091%),"-")</f>
        <v>0</v>
      </c>
      <c r="N1091" s="25">
        <v>0</v>
      </c>
      <c r="O1091" s="26" t="str">
        <f t="shared" ref="O1091:O1154" si="242">IF(F1091&lt;=$P$2,"June","")</f>
        <v>June</v>
      </c>
      <c r="P1091" s="25">
        <f t="shared" ref="P1091:P1154" si="243">N1091</f>
        <v>0</v>
      </c>
      <c r="Q1091" s="27">
        <f t="shared" ref="Q1091:Q1154" si="244">K1091-P1091</f>
        <v>0</v>
      </c>
      <c r="R1091" s="26" t="b">
        <f t="shared" ref="R1091:R1154" si="245">IFERROR(IF(O1091="May",(K1091/P1091-1))," ")</f>
        <v>0</v>
      </c>
      <c r="S1091" s="28" t="b">
        <f t="shared" ref="S1091:S1154" si="246">IF(N1091&gt;0,IF(O1091="","-",IF(R1091&lt;0%,"DEGROWTH","GROWTH")))</f>
        <v>0</v>
      </c>
      <c r="T1091" s="24">
        <v>16</v>
      </c>
      <c r="U1091" s="29" t="str">
        <f t="shared" ref="U1091:U1154" si="247">IF(F1091&lt;=$V$2,"May","")</f>
        <v>May</v>
      </c>
      <c r="V1091" s="24">
        <f t="shared" ref="V1091:V1154" si="248">T1091</f>
        <v>16</v>
      </c>
      <c r="W1091" s="30">
        <f t="shared" ref="W1091:W1154" si="249">K1091-V1091</f>
        <v>-16</v>
      </c>
      <c r="X1091" s="31" t="b">
        <f t="shared" ref="X1091:X1154" si="250">IFERROR(IF(U1091="June",(K1091/V1091-1)),0)</f>
        <v>0</v>
      </c>
      <c r="Y1091" s="32" t="str">
        <f t="shared" ref="Y1091:Y1154" si="251">IF(T1091&gt;0,IF(U1091="","-",IF(X1091&lt;0%,"DEGROWTH","GROWTH")))</f>
        <v>GROWTH</v>
      </c>
      <c r="Z1091" s="41">
        <v>0</v>
      </c>
      <c r="AA1091" s="36"/>
      <c r="AB1091" s="36" t="s">
        <v>24</v>
      </c>
      <c r="AC1091" s="36" t="s">
        <v>2185</v>
      </c>
      <c r="AD1091" s="34"/>
      <c r="AE1091" s="35">
        <f>IFERROR(INDEX([1]Last6M_AvgSales_Ref!$B$2:$B$12659,MATCH(D1091,[1]Last6M_AvgSales_Ref!$A$2:$A$12659,0)),"")</f>
        <v>22.3333333333333</v>
      </c>
    </row>
    <row r="1092" spans="1:31" ht="14.25" customHeight="1" x14ac:dyDescent="0.3">
      <c r="A1092" s="36" t="s">
        <v>2185</v>
      </c>
      <c r="B1092" s="38" t="s">
        <v>2186</v>
      </c>
      <c r="C1092" s="38" t="s">
        <v>2241</v>
      </c>
      <c r="D1092" s="38">
        <v>1000002981</v>
      </c>
      <c r="E1092" s="38" t="s">
        <v>2242</v>
      </c>
      <c r="F1092" s="40">
        <v>44830</v>
      </c>
      <c r="G1092" s="22" t="str">
        <f t="shared" si="238"/>
        <v>Targeted Dealer</v>
      </c>
      <c r="H1092" s="22"/>
      <c r="I1092" s="23">
        <v>1200</v>
      </c>
      <c r="J1092" s="23">
        <f t="shared" si="239"/>
        <v>1200</v>
      </c>
      <c r="K1092" s="24">
        <v>1525</v>
      </c>
      <c r="L1092" s="24">
        <f t="shared" si="240"/>
        <v>-325</v>
      </c>
      <c r="M1092" s="24">
        <f t="shared" si="241"/>
        <v>127.08333333333333</v>
      </c>
      <c r="N1092" s="25">
        <v>1225</v>
      </c>
      <c r="O1092" s="26" t="str">
        <f t="shared" si="242"/>
        <v>June</v>
      </c>
      <c r="P1092" s="25">
        <f t="shared" si="243"/>
        <v>1225</v>
      </c>
      <c r="Q1092" s="27">
        <f t="shared" si="244"/>
        <v>300</v>
      </c>
      <c r="R1092" s="26" t="b">
        <f t="shared" si="245"/>
        <v>0</v>
      </c>
      <c r="S1092" s="28" t="str">
        <f t="shared" si="246"/>
        <v>GROWTH</v>
      </c>
      <c r="T1092" s="24">
        <v>1085.5</v>
      </c>
      <c r="U1092" s="29" t="str">
        <f t="shared" si="247"/>
        <v>May</v>
      </c>
      <c r="V1092" s="24">
        <f t="shared" si="248"/>
        <v>1085.5</v>
      </c>
      <c r="W1092" s="30">
        <f t="shared" si="249"/>
        <v>439.5</v>
      </c>
      <c r="X1092" s="31" t="b">
        <f t="shared" si="250"/>
        <v>0</v>
      </c>
      <c r="Y1092" s="32" t="str">
        <f t="shared" si="251"/>
        <v>GROWTH</v>
      </c>
      <c r="Z1092" s="41">
        <v>0</v>
      </c>
      <c r="AA1092" s="36"/>
      <c r="AB1092" s="36" t="s">
        <v>24</v>
      </c>
      <c r="AC1092" s="36" t="s">
        <v>2185</v>
      </c>
      <c r="AD1092" s="34"/>
      <c r="AE1092" s="35">
        <f>IFERROR(INDEX([1]Last6M_AvgSales_Ref!$B$2:$B$12659,MATCH(D1092,[1]Last6M_AvgSales_Ref!$A$2:$A$12659,0)),"")</f>
        <v>1034.75</v>
      </c>
    </row>
    <row r="1093" spans="1:31" ht="14.25" customHeight="1" x14ac:dyDescent="0.3">
      <c r="A1093" s="36" t="s">
        <v>2185</v>
      </c>
      <c r="B1093" s="38" t="s">
        <v>2186</v>
      </c>
      <c r="C1093" s="38" t="s">
        <v>2243</v>
      </c>
      <c r="D1093" s="38">
        <v>1000003242</v>
      </c>
      <c r="E1093" s="38" t="s">
        <v>2244</v>
      </c>
      <c r="F1093" s="40">
        <v>44936</v>
      </c>
      <c r="G1093" s="22" t="str">
        <f t="shared" si="238"/>
        <v>Targeted Dealer</v>
      </c>
      <c r="H1093" s="22"/>
      <c r="I1093" s="23">
        <v>220</v>
      </c>
      <c r="J1093" s="23">
        <f t="shared" si="239"/>
        <v>220</v>
      </c>
      <c r="K1093" s="24">
        <v>51</v>
      </c>
      <c r="L1093" s="24">
        <f t="shared" si="240"/>
        <v>169</v>
      </c>
      <c r="M1093" s="24">
        <f t="shared" si="241"/>
        <v>23.18181818181818</v>
      </c>
      <c r="N1093" s="25">
        <v>118</v>
      </c>
      <c r="O1093" s="26" t="str">
        <f t="shared" si="242"/>
        <v>June</v>
      </c>
      <c r="P1093" s="25">
        <f t="shared" si="243"/>
        <v>118</v>
      </c>
      <c r="Q1093" s="27">
        <f t="shared" si="244"/>
        <v>-67</v>
      </c>
      <c r="R1093" s="26" t="b">
        <f t="shared" si="245"/>
        <v>0</v>
      </c>
      <c r="S1093" s="28" t="str">
        <f t="shared" si="246"/>
        <v>GROWTH</v>
      </c>
      <c r="T1093" s="24">
        <v>218</v>
      </c>
      <c r="U1093" s="29" t="str">
        <f t="shared" si="247"/>
        <v>May</v>
      </c>
      <c r="V1093" s="24">
        <f t="shared" si="248"/>
        <v>218</v>
      </c>
      <c r="W1093" s="30">
        <f t="shared" si="249"/>
        <v>-167</v>
      </c>
      <c r="X1093" s="31" t="b">
        <f t="shared" si="250"/>
        <v>0</v>
      </c>
      <c r="Y1093" s="32" t="str">
        <f t="shared" si="251"/>
        <v>GROWTH</v>
      </c>
      <c r="Z1093" s="41">
        <v>0</v>
      </c>
      <c r="AA1093" s="36"/>
      <c r="AB1093" s="36" t="s">
        <v>24</v>
      </c>
      <c r="AC1093" s="36" t="s">
        <v>2185</v>
      </c>
      <c r="AD1093" s="34"/>
      <c r="AE1093" s="35">
        <f>IFERROR(INDEX([1]Last6M_AvgSales_Ref!$B$2:$B$12659,MATCH(D1093,[1]Last6M_AvgSales_Ref!$A$2:$A$12659,0)),"")</f>
        <v>178.583333333333</v>
      </c>
    </row>
    <row r="1094" spans="1:31" ht="14.25" customHeight="1" x14ac:dyDescent="0.3">
      <c r="A1094" s="36" t="s">
        <v>2185</v>
      </c>
      <c r="B1094" s="38" t="s">
        <v>2186</v>
      </c>
      <c r="C1094" s="38" t="s">
        <v>2245</v>
      </c>
      <c r="D1094" s="38">
        <v>1000003505</v>
      </c>
      <c r="E1094" s="38" t="s">
        <v>2246</v>
      </c>
      <c r="F1094" s="40">
        <v>45045</v>
      </c>
      <c r="G1094" s="22" t="str">
        <f t="shared" si="238"/>
        <v>Targeted Dealer</v>
      </c>
      <c r="H1094" s="22"/>
      <c r="I1094" s="23">
        <v>645</v>
      </c>
      <c r="J1094" s="23">
        <f t="shared" si="239"/>
        <v>645</v>
      </c>
      <c r="K1094" s="24">
        <v>682.5</v>
      </c>
      <c r="L1094" s="24">
        <f t="shared" si="240"/>
        <v>-37.5</v>
      </c>
      <c r="M1094" s="24">
        <f t="shared" si="241"/>
        <v>105.81395348837209</v>
      </c>
      <c r="N1094" s="25">
        <v>530</v>
      </c>
      <c r="O1094" s="26" t="str">
        <f t="shared" si="242"/>
        <v>June</v>
      </c>
      <c r="P1094" s="25">
        <f t="shared" si="243"/>
        <v>530</v>
      </c>
      <c r="Q1094" s="27">
        <f t="shared" si="244"/>
        <v>152.5</v>
      </c>
      <c r="R1094" s="26" t="b">
        <f t="shared" si="245"/>
        <v>0</v>
      </c>
      <c r="S1094" s="28" t="str">
        <f t="shared" si="246"/>
        <v>GROWTH</v>
      </c>
      <c r="T1094" s="24">
        <v>585</v>
      </c>
      <c r="U1094" s="29" t="str">
        <f t="shared" si="247"/>
        <v>May</v>
      </c>
      <c r="V1094" s="24">
        <f t="shared" si="248"/>
        <v>585</v>
      </c>
      <c r="W1094" s="30">
        <f t="shared" si="249"/>
        <v>97.5</v>
      </c>
      <c r="X1094" s="31" t="b">
        <f t="shared" si="250"/>
        <v>0</v>
      </c>
      <c r="Y1094" s="32" t="str">
        <f t="shared" si="251"/>
        <v>GROWTH</v>
      </c>
      <c r="Z1094" s="41">
        <v>0</v>
      </c>
      <c r="AA1094" s="36"/>
      <c r="AB1094" s="36" t="s">
        <v>24</v>
      </c>
      <c r="AC1094" s="36" t="s">
        <v>2185</v>
      </c>
      <c r="AD1094" s="34"/>
      <c r="AE1094" s="35">
        <f>IFERROR(INDEX([1]Last6M_AvgSales_Ref!$B$2:$B$12659,MATCH(D1094,[1]Last6M_AvgSales_Ref!$A$2:$A$12659,0)),"")</f>
        <v>661.58333333333303</v>
      </c>
    </row>
    <row r="1095" spans="1:31" ht="14.25" customHeight="1" x14ac:dyDescent="0.3">
      <c r="A1095" s="41" t="s">
        <v>2185</v>
      </c>
      <c r="B1095" s="44" t="s">
        <v>2186</v>
      </c>
      <c r="C1095" s="44" t="s">
        <v>2247</v>
      </c>
      <c r="D1095" s="44">
        <v>1000003877</v>
      </c>
      <c r="E1095" s="44" t="s">
        <v>2248</v>
      </c>
      <c r="F1095" s="40">
        <v>45351</v>
      </c>
      <c r="G1095" s="22" t="str">
        <f t="shared" si="238"/>
        <v>Targeted Dealer</v>
      </c>
      <c r="H1095" s="22"/>
      <c r="I1095" s="23">
        <v>425</v>
      </c>
      <c r="J1095" s="23">
        <f t="shared" si="239"/>
        <v>425</v>
      </c>
      <c r="K1095" s="24">
        <v>405</v>
      </c>
      <c r="L1095" s="24">
        <f t="shared" si="240"/>
        <v>20</v>
      </c>
      <c r="M1095" s="24">
        <f t="shared" si="241"/>
        <v>95.294117647058826</v>
      </c>
      <c r="N1095" s="25">
        <v>427</v>
      </c>
      <c r="O1095" s="26" t="str">
        <f t="shared" si="242"/>
        <v>June</v>
      </c>
      <c r="P1095" s="25">
        <f t="shared" si="243"/>
        <v>427</v>
      </c>
      <c r="Q1095" s="27">
        <f t="shared" si="244"/>
        <v>-22</v>
      </c>
      <c r="R1095" s="26" t="b">
        <f t="shared" si="245"/>
        <v>0</v>
      </c>
      <c r="S1095" s="28" t="str">
        <f t="shared" si="246"/>
        <v>GROWTH</v>
      </c>
      <c r="T1095" s="24">
        <v>404</v>
      </c>
      <c r="U1095" s="29" t="str">
        <f t="shared" si="247"/>
        <v>May</v>
      </c>
      <c r="V1095" s="24">
        <f t="shared" si="248"/>
        <v>404</v>
      </c>
      <c r="W1095" s="30">
        <f t="shared" si="249"/>
        <v>1</v>
      </c>
      <c r="X1095" s="31" t="b">
        <f t="shared" si="250"/>
        <v>0</v>
      </c>
      <c r="Y1095" s="32" t="str">
        <f t="shared" si="251"/>
        <v>GROWTH</v>
      </c>
      <c r="Z1095" s="41">
        <v>0</v>
      </c>
      <c r="AA1095" s="36"/>
      <c r="AB1095" s="36" t="s">
        <v>24</v>
      </c>
      <c r="AC1095" s="41" t="s">
        <v>2185</v>
      </c>
      <c r="AD1095" s="34"/>
      <c r="AE1095" s="35">
        <f>IFERROR(INDEX([1]Last6M_AvgSales_Ref!$B$2:$B$12659,MATCH(D1095,[1]Last6M_AvgSales_Ref!$A$2:$A$12659,0)),"")</f>
        <v>285.66666666666703</v>
      </c>
    </row>
    <row r="1096" spans="1:31" ht="14.25" customHeight="1" x14ac:dyDescent="0.3">
      <c r="A1096" s="41" t="s">
        <v>2185</v>
      </c>
      <c r="B1096" s="44" t="s">
        <v>2186</v>
      </c>
      <c r="C1096" s="44" t="s">
        <v>2249</v>
      </c>
      <c r="D1096" s="44">
        <v>1000003918</v>
      </c>
      <c r="E1096" s="44" t="s">
        <v>2250</v>
      </c>
      <c r="F1096" s="40">
        <v>45409</v>
      </c>
      <c r="G1096" s="22" t="str">
        <f t="shared" si="238"/>
        <v>Targeted Dealer</v>
      </c>
      <c r="H1096" s="22"/>
      <c r="I1096" s="23">
        <v>100</v>
      </c>
      <c r="J1096" s="23">
        <f t="shared" si="239"/>
        <v>100</v>
      </c>
      <c r="K1096" s="24">
        <v>90</v>
      </c>
      <c r="L1096" s="24">
        <f t="shared" si="240"/>
        <v>10</v>
      </c>
      <c r="M1096" s="24">
        <f t="shared" si="241"/>
        <v>90</v>
      </c>
      <c r="N1096" s="25">
        <v>100</v>
      </c>
      <c r="O1096" s="26" t="str">
        <f t="shared" si="242"/>
        <v>June</v>
      </c>
      <c r="P1096" s="25">
        <f t="shared" si="243"/>
        <v>100</v>
      </c>
      <c r="Q1096" s="27">
        <f t="shared" si="244"/>
        <v>-10</v>
      </c>
      <c r="R1096" s="26" t="b">
        <f t="shared" si="245"/>
        <v>0</v>
      </c>
      <c r="S1096" s="28" t="str">
        <f t="shared" si="246"/>
        <v>GROWTH</v>
      </c>
      <c r="T1096" s="24">
        <v>90</v>
      </c>
      <c r="U1096" s="29" t="str">
        <f t="shared" si="247"/>
        <v>May</v>
      </c>
      <c r="V1096" s="24">
        <f t="shared" si="248"/>
        <v>90</v>
      </c>
      <c r="W1096" s="30">
        <f t="shared" si="249"/>
        <v>0</v>
      </c>
      <c r="X1096" s="31" t="b">
        <f t="shared" si="250"/>
        <v>0</v>
      </c>
      <c r="Y1096" s="32" t="str">
        <f t="shared" si="251"/>
        <v>GROWTH</v>
      </c>
      <c r="Z1096" s="41">
        <v>0</v>
      </c>
      <c r="AA1096" s="36"/>
      <c r="AB1096" s="36" t="s">
        <v>24</v>
      </c>
      <c r="AC1096" s="41" t="s">
        <v>2185</v>
      </c>
      <c r="AD1096" s="34"/>
      <c r="AE1096" s="35">
        <f>IFERROR(INDEX([1]Last6M_AvgSales_Ref!$B$2:$B$12659,MATCH(D1096,[1]Last6M_AvgSales_Ref!$A$2:$A$12659,0)),"")</f>
        <v>81.6666666666667</v>
      </c>
    </row>
    <row r="1097" spans="1:31" ht="14.25" customHeight="1" x14ac:dyDescent="0.3">
      <c r="A1097" s="41" t="s">
        <v>2185</v>
      </c>
      <c r="B1097" s="44" t="s">
        <v>2186</v>
      </c>
      <c r="C1097" s="44" t="s">
        <v>2251</v>
      </c>
      <c r="D1097" s="44">
        <v>1000003922</v>
      </c>
      <c r="E1097" s="44" t="s">
        <v>2252</v>
      </c>
      <c r="F1097" s="40">
        <v>45411</v>
      </c>
      <c r="G1097" s="22" t="str">
        <f t="shared" si="238"/>
        <v>Targeted Dealer</v>
      </c>
      <c r="H1097" s="22"/>
      <c r="I1097" s="23">
        <v>500</v>
      </c>
      <c r="J1097" s="23">
        <f t="shared" si="239"/>
        <v>500.00000000000006</v>
      </c>
      <c r="K1097" s="24">
        <v>480.25</v>
      </c>
      <c r="L1097" s="24">
        <f t="shared" si="240"/>
        <v>19.75</v>
      </c>
      <c r="M1097" s="24">
        <f t="shared" si="241"/>
        <v>96.049999999999983</v>
      </c>
      <c r="N1097" s="25">
        <v>404.05</v>
      </c>
      <c r="O1097" s="26" t="str">
        <f t="shared" si="242"/>
        <v>June</v>
      </c>
      <c r="P1097" s="25">
        <f t="shared" si="243"/>
        <v>404.05</v>
      </c>
      <c r="Q1097" s="27">
        <f t="shared" si="244"/>
        <v>76.199999999999989</v>
      </c>
      <c r="R1097" s="26" t="b">
        <f t="shared" si="245"/>
        <v>0</v>
      </c>
      <c r="S1097" s="28" t="str">
        <f t="shared" si="246"/>
        <v>GROWTH</v>
      </c>
      <c r="T1097" s="24">
        <v>110</v>
      </c>
      <c r="U1097" s="29" t="str">
        <f t="shared" si="247"/>
        <v>May</v>
      </c>
      <c r="V1097" s="24">
        <f t="shared" si="248"/>
        <v>110</v>
      </c>
      <c r="W1097" s="30">
        <f t="shared" si="249"/>
        <v>370.25</v>
      </c>
      <c r="X1097" s="31" t="b">
        <f t="shared" si="250"/>
        <v>0</v>
      </c>
      <c r="Y1097" s="32" t="str">
        <f t="shared" si="251"/>
        <v>GROWTH</v>
      </c>
      <c r="Z1097" s="41">
        <v>0</v>
      </c>
      <c r="AA1097" s="36"/>
      <c r="AB1097" s="36" t="s">
        <v>24</v>
      </c>
      <c r="AC1097" s="41" t="s">
        <v>2185</v>
      </c>
      <c r="AD1097" s="34"/>
      <c r="AE1097" s="35">
        <f>IFERROR(INDEX([1]Last6M_AvgSales_Ref!$B$2:$B$12659,MATCH(D1097,[1]Last6M_AvgSales_Ref!$A$2:$A$12659,0)),"")</f>
        <v>427.54166666666703</v>
      </c>
    </row>
    <row r="1098" spans="1:31" ht="14.25" customHeight="1" x14ac:dyDescent="0.3">
      <c r="A1098" s="41" t="s">
        <v>2185</v>
      </c>
      <c r="B1098" s="44" t="s">
        <v>2186</v>
      </c>
      <c r="C1098" s="44" t="s">
        <v>2253</v>
      </c>
      <c r="D1098" s="44">
        <v>1000003972</v>
      </c>
      <c r="E1098" s="44" t="s">
        <v>2254</v>
      </c>
      <c r="F1098" s="40">
        <v>45430</v>
      </c>
      <c r="G1098" s="22" t="str">
        <f t="shared" si="238"/>
        <v>Targeted Dealer</v>
      </c>
      <c r="H1098" s="22"/>
      <c r="I1098" s="23">
        <v>100</v>
      </c>
      <c r="J1098" s="23">
        <f t="shared" si="239"/>
        <v>100</v>
      </c>
      <c r="K1098" s="24">
        <v>50</v>
      </c>
      <c r="L1098" s="24">
        <f t="shared" si="240"/>
        <v>50</v>
      </c>
      <c r="M1098" s="24">
        <f t="shared" si="241"/>
        <v>50</v>
      </c>
      <c r="N1098" s="25">
        <v>25</v>
      </c>
      <c r="O1098" s="26" t="str">
        <f t="shared" si="242"/>
        <v>June</v>
      </c>
      <c r="P1098" s="25">
        <f t="shared" si="243"/>
        <v>25</v>
      </c>
      <c r="Q1098" s="27">
        <f t="shared" si="244"/>
        <v>25</v>
      </c>
      <c r="R1098" s="26" t="b">
        <f t="shared" si="245"/>
        <v>0</v>
      </c>
      <c r="S1098" s="28" t="str">
        <f t="shared" si="246"/>
        <v>GROWTH</v>
      </c>
      <c r="T1098" s="24">
        <v>55</v>
      </c>
      <c r="U1098" s="29" t="str">
        <f t="shared" si="247"/>
        <v>May</v>
      </c>
      <c r="V1098" s="24">
        <f t="shared" si="248"/>
        <v>55</v>
      </c>
      <c r="W1098" s="30">
        <f t="shared" si="249"/>
        <v>-5</v>
      </c>
      <c r="X1098" s="31" t="b">
        <f t="shared" si="250"/>
        <v>0</v>
      </c>
      <c r="Y1098" s="32" t="str">
        <f t="shared" si="251"/>
        <v>GROWTH</v>
      </c>
      <c r="Z1098" s="41">
        <v>0</v>
      </c>
      <c r="AA1098" s="36"/>
      <c r="AB1098" s="36" t="s">
        <v>24</v>
      </c>
      <c r="AC1098" s="41" t="s">
        <v>2185</v>
      </c>
      <c r="AD1098" s="34"/>
      <c r="AE1098" s="35">
        <f>IFERROR(INDEX([1]Last6M_AvgSales_Ref!$B$2:$B$12659,MATCH(D1098,[1]Last6M_AvgSales_Ref!$A$2:$A$12659,0)),"")</f>
        <v>35</v>
      </c>
    </row>
    <row r="1099" spans="1:31" ht="14.25" customHeight="1" x14ac:dyDescent="0.3">
      <c r="A1099" s="36" t="s">
        <v>2185</v>
      </c>
      <c r="B1099" s="38" t="s">
        <v>2255</v>
      </c>
      <c r="C1099" s="38" t="s">
        <v>2256</v>
      </c>
      <c r="D1099" s="38">
        <v>1000001978</v>
      </c>
      <c r="E1099" s="39" t="s">
        <v>2257</v>
      </c>
      <c r="F1099" s="40">
        <v>44413</v>
      </c>
      <c r="G1099" s="22" t="str">
        <f t="shared" si="238"/>
        <v>Targeted Dealer</v>
      </c>
      <c r="H1099" s="22"/>
      <c r="I1099" s="23">
        <v>50</v>
      </c>
      <c r="J1099" s="23">
        <f t="shared" si="239"/>
        <v>50</v>
      </c>
      <c r="K1099" s="24">
        <v>87</v>
      </c>
      <c r="L1099" s="24">
        <f t="shared" si="240"/>
        <v>-37</v>
      </c>
      <c r="M1099" s="24">
        <f t="shared" si="241"/>
        <v>174</v>
      </c>
      <c r="N1099" s="25">
        <v>60</v>
      </c>
      <c r="O1099" s="26" t="str">
        <f t="shared" si="242"/>
        <v>June</v>
      </c>
      <c r="P1099" s="25">
        <f t="shared" si="243"/>
        <v>60</v>
      </c>
      <c r="Q1099" s="27">
        <f t="shared" si="244"/>
        <v>27</v>
      </c>
      <c r="R1099" s="26" t="b">
        <f t="shared" si="245"/>
        <v>0</v>
      </c>
      <c r="S1099" s="28" t="str">
        <f t="shared" si="246"/>
        <v>GROWTH</v>
      </c>
      <c r="T1099" s="24">
        <v>30</v>
      </c>
      <c r="U1099" s="29" t="str">
        <f t="shared" si="247"/>
        <v>May</v>
      </c>
      <c r="V1099" s="24">
        <f t="shared" si="248"/>
        <v>30</v>
      </c>
      <c r="W1099" s="30">
        <f t="shared" si="249"/>
        <v>57</v>
      </c>
      <c r="X1099" s="31" t="b">
        <f t="shared" si="250"/>
        <v>0</v>
      </c>
      <c r="Y1099" s="32" t="str">
        <f t="shared" si="251"/>
        <v>GROWTH</v>
      </c>
      <c r="Z1099" s="41">
        <v>0</v>
      </c>
      <c r="AA1099" s="36"/>
      <c r="AB1099" s="36" t="s">
        <v>24</v>
      </c>
      <c r="AC1099" s="36" t="s">
        <v>2185</v>
      </c>
      <c r="AD1099" s="34"/>
      <c r="AE1099" s="35">
        <f>IFERROR(INDEX([1]Last6M_AvgSales_Ref!$B$2:$B$12659,MATCH(D1099,[1]Last6M_AvgSales_Ref!$A$2:$A$12659,0)),"")</f>
        <v>58.3333333333333</v>
      </c>
    </row>
    <row r="1100" spans="1:31" ht="14.25" customHeight="1" x14ac:dyDescent="0.3">
      <c r="A1100" s="36" t="s">
        <v>2185</v>
      </c>
      <c r="B1100" s="38" t="s">
        <v>2255</v>
      </c>
      <c r="C1100" s="38" t="s">
        <v>2258</v>
      </c>
      <c r="D1100" s="38">
        <v>1000002508</v>
      </c>
      <c r="E1100" s="39" t="s">
        <v>2259</v>
      </c>
      <c r="F1100" s="40">
        <v>44582</v>
      </c>
      <c r="G1100" s="22" t="str">
        <f t="shared" si="238"/>
        <v>Targeted Dealer</v>
      </c>
      <c r="H1100" s="22"/>
      <c r="I1100" s="23">
        <v>50</v>
      </c>
      <c r="J1100" s="23">
        <f t="shared" si="239"/>
        <v>50</v>
      </c>
      <c r="K1100" s="24">
        <v>25</v>
      </c>
      <c r="L1100" s="24">
        <f t="shared" si="240"/>
        <v>25</v>
      </c>
      <c r="M1100" s="24">
        <f t="shared" si="241"/>
        <v>50</v>
      </c>
      <c r="N1100" s="25">
        <v>0</v>
      </c>
      <c r="O1100" s="26" t="str">
        <f t="shared" si="242"/>
        <v>June</v>
      </c>
      <c r="P1100" s="25">
        <f t="shared" si="243"/>
        <v>0</v>
      </c>
      <c r="Q1100" s="27">
        <f t="shared" si="244"/>
        <v>25</v>
      </c>
      <c r="R1100" s="26" t="b">
        <f t="shared" si="245"/>
        <v>0</v>
      </c>
      <c r="S1100" s="28" t="b">
        <f t="shared" si="246"/>
        <v>0</v>
      </c>
      <c r="T1100" s="24">
        <v>115</v>
      </c>
      <c r="U1100" s="29" t="str">
        <f t="shared" si="247"/>
        <v>May</v>
      </c>
      <c r="V1100" s="24">
        <f t="shared" si="248"/>
        <v>115</v>
      </c>
      <c r="W1100" s="30">
        <f t="shared" si="249"/>
        <v>-90</v>
      </c>
      <c r="X1100" s="31" t="b">
        <f t="shared" si="250"/>
        <v>0</v>
      </c>
      <c r="Y1100" s="32" t="str">
        <f t="shared" si="251"/>
        <v>GROWTH</v>
      </c>
      <c r="Z1100" s="41">
        <v>0</v>
      </c>
      <c r="AA1100" s="36"/>
      <c r="AB1100" s="36" t="s">
        <v>24</v>
      </c>
      <c r="AC1100" s="36" t="s">
        <v>2185</v>
      </c>
      <c r="AD1100" s="34"/>
      <c r="AE1100" s="35">
        <f>IFERROR(INDEX([1]Last6M_AvgSales_Ref!$B$2:$B$12659,MATCH(D1100,[1]Last6M_AvgSales_Ref!$A$2:$A$12659,0)),"")</f>
        <v>55</v>
      </c>
    </row>
    <row r="1101" spans="1:31" ht="14.25" customHeight="1" x14ac:dyDescent="0.3">
      <c r="A1101" s="36" t="s">
        <v>2185</v>
      </c>
      <c r="B1101" s="38" t="s">
        <v>2255</v>
      </c>
      <c r="C1101" s="38" t="s">
        <v>2260</v>
      </c>
      <c r="D1101" s="38">
        <v>1000002856</v>
      </c>
      <c r="E1101" s="39" t="s">
        <v>2261</v>
      </c>
      <c r="F1101" s="40">
        <v>44755</v>
      </c>
      <c r="G1101" s="22" t="str">
        <f t="shared" si="238"/>
        <v>Targeted Dealer</v>
      </c>
      <c r="H1101" s="22"/>
      <c r="I1101" s="23">
        <v>50</v>
      </c>
      <c r="J1101" s="23">
        <f t="shared" si="239"/>
        <v>50</v>
      </c>
      <c r="K1101" s="24">
        <v>72</v>
      </c>
      <c r="L1101" s="24">
        <f t="shared" si="240"/>
        <v>-22</v>
      </c>
      <c r="M1101" s="24">
        <f t="shared" si="241"/>
        <v>144</v>
      </c>
      <c r="N1101" s="25">
        <v>75</v>
      </c>
      <c r="O1101" s="26" t="str">
        <f t="shared" si="242"/>
        <v>June</v>
      </c>
      <c r="P1101" s="25">
        <f t="shared" si="243"/>
        <v>75</v>
      </c>
      <c r="Q1101" s="27">
        <f t="shared" si="244"/>
        <v>-3</v>
      </c>
      <c r="R1101" s="26" t="b">
        <f t="shared" si="245"/>
        <v>0</v>
      </c>
      <c r="S1101" s="28" t="str">
        <f t="shared" si="246"/>
        <v>GROWTH</v>
      </c>
      <c r="T1101" s="24">
        <v>55</v>
      </c>
      <c r="U1101" s="29" t="str">
        <f t="shared" si="247"/>
        <v>May</v>
      </c>
      <c r="V1101" s="24">
        <f t="shared" si="248"/>
        <v>55</v>
      </c>
      <c r="W1101" s="30">
        <f t="shared" si="249"/>
        <v>17</v>
      </c>
      <c r="X1101" s="31" t="b">
        <f t="shared" si="250"/>
        <v>0</v>
      </c>
      <c r="Y1101" s="32" t="str">
        <f t="shared" si="251"/>
        <v>GROWTH</v>
      </c>
      <c r="Z1101" s="41">
        <v>0</v>
      </c>
      <c r="AA1101" s="36"/>
      <c r="AB1101" s="36" t="s">
        <v>24</v>
      </c>
      <c r="AC1101" s="36" t="s">
        <v>2185</v>
      </c>
      <c r="AD1101" s="34"/>
      <c r="AE1101" s="35">
        <f>IFERROR(INDEX([1]Last6M_AvgSales_Ref!$B$2:$B$12659,MATCH(D1101,[1]Last6M_AvgSales_Ref!$A$2:$A$12659,0)),"")</f>
        <v>49.1666666666667</v>
      </c>
    </row>
    <row r="1102" spans="1:31" ht="14.25" customHeight="1" x14ac:dyDescent="0.3">
      <c r="A1102" s="36" t="s">
        <v>2185</v>
      </c>
      <c r="B1102" s="38" t="s">
        <v>2255</v>
      </c>
      <c r="C1102" s="38" t="s">
        <v>2262</v>
      </c>
      <c r="D1102" s="38">
        <v>1000003731</v>
      </c>
      <c r="E1102" s="39" t="s">
        <v>2263</v>
      </c>
      <c r="F1102" s="40">
        <v>45217</v>
      </c>
      <c r="G1102" s="22" t="str">
        <f t="shared" si="238"/>
        <v>Targeted Dealer</v>
      </c>
      <c r="H1102" s="22"/>
      <c r="I1102" s="23">
        <v>125</v>
      </c>
      <c r="J1102" s="23">
        <f t="shared" si="239"/>
        <v>125.00000000000001</v>
      </c>
      <c r="K1102" s="24">
        <v>150</v>
      </c>
      <c r="L1102" s="24">
        <f t="shared" si="240"/>
        <v>-25</v>
      </c>
      <c r="M1102" s="24">
        <f t="shared" si="241"/>
        <v>119.99999999999997</v>
      </c>
      <c r="N1102" s="25">
        <v>130</v>
      </c>
      <c r="O1102" s="26" t="str">
        <f t="shared" si="242"/>
        <v>June</v>
      </c>
      <c r="P1102" s="25">
        <f t="shared" si="243"/>
        <v>130</v>
      </c>
      <c r="Q1102" s="27">
        <f t="shared" si="244"/>
        <v>20</v>
      </c>
      <c r="R1102" s="26" t="b">
        <f t="shared" si="245"/>
        <v>0</v>
      </c>
      <c r="S1102" s="28" t="str">
        <f t="shared" si="246"/>
        <v>GROWTH</v>
      </c>
      <c r="T1102" s="24">
        <v>172</v>
      </c>
      <c r="U1102" s="29" t="str">
        <f t="shared" si="247"/>
        <v>May</v>
      </c>
      <c r="V1102" s="24">
        <f t="shared" si="248"/>
        <v>172</v>
      </c>
      <c r="W1102" s="30">
        <f t="shared" si="249"/>
        <v>-22</v>
      </c>
      <c r="X1102" s="31" t="b">
        <f t="shared" si="250"/>
        <v>0</v>
      </c>
      <c r="Y1102" s="32" t="str">
        <f t="shared" si="251"/>
        <v>GROWTH</v>
      </c>
      <c r="Z1102" s="41">
        <v>0</v>
      </c>
      <c r="AA1102" s="36"/>
      <c r="AB1102" s="36" t="s">
        <v>24</v>
      </c>
      <c r="AC1102" s="36" t="s">
        <v>2185</v>
      </c>
      <c r="AD1102" s="34"/>
      <c r="AE1102" s="35">
        <f>IFERROR(INDEX([1]Last6M_AvgSales_Ref!$B$2:$B$12659,MATCH(D1102,[1]Last6M_AvgSales_Ref!$A$2:$A$12659,0)),"")</f>
        <v>198.166666666667</v>
      </c>
    </row>
    <row r="1103" spans="1:31" ht="14.25" customHeight="1" x14ac:dyDescent="0.3">
      <c r="A1103" s="36" t="s">
        <v>2185</v>
      </c>
      <c r="B1103" s="38" t="s">
        <v>2255</v>
      </c>
      <c r="C1103" s="38" t="s">
        <v>2264</v>
      </c>
      <c r="D1103" s="38">
        <v>1000003787</v>
      </c>
      <c r="E1103" s="38" t="s">
        <v>2265</v>
      </c>
      <c r="F1103" s="40">
        <v>45275</v>
      </c>
      <c r="G1103" s="22" t="str">
        <f t="shared" si="238"/>
        <v>Targeted Dealer</v>
      </c>
      <c r="H1103" s="22"/>
      <c r="I1103" s="23">
        <v>50</v>
      </c>
      <c r="J1103" s="23">
        <f t="shared" si="239"/>
        <v>50</v>
      </c>
      <c r="K1103" s="24">
        <v>50</v>
      </c>
      <c r="L1103" s="24">
        <f t="shared" si="240"/>
        <v>0</v>
      </c>
      <c r="M1103" s="24">
        <f t="shared" si="241"/>
        <v>100</v>
      </c>
      <c r="N1103" s="25">
        <v>55</v>
      </c>
      <c r="O1103" s="26" t="str">
        <f t="shared" si="242"/>
        <v>June</v>
      </c>
      <c r="P1103" s="25">
        <f t="shared" si="243"/>
        <v>55</v>
      </c>
      <c r="Q1103" s="27">
        <f t="shared" si="244"/>
        <v>-5</v>
      </c>
      <c r="R1103" s="26" t="b">
        <f t="shared" si="245"/>
        <v>0</v>
      </c>
      <c r="S1103" s="28" t="str">
        <f t="shared" si="246"/>
        <v>GROWTH</v>
      </c>
      <c r="T1103" s="24">
        <v>76</v>
      </c>
      <c r="U1103" s="29" t="str">
        <f t="shared" si="247"/>
        <v>May</v>
      </c>
      <c r="V1103" s="24">
        <f t="shared" si="248"/>
        <v>76</v>
      </c>
      <c r="W1103" s="30">
        <f t="shared" si="249"/>
        <v>-26</v>
      </c>
      <c r="X1103" s="31" t="b">
        <f t="shared" si="250"/>
        <v>0</v>
      </c>
      <c r="Y1103" s="32" t="str">
        <f t="shared" si="251"/>
        <v>GROWTH</v>
      </c>
      <c r="Z1103" s="41">
        <v>0</v>
      </c>
      <c r="AA1103" s="36"/>
      <c r="AB1103" s="36" t="s">
        <v>24</v>
      </c>
      <c r="AC1103" s="36" t="s">
        <v>2185</v>
      </c>
      <c r="AD1103" s="34"/>
      <c r="AE1103" s="35">
        <f>IFERROR(INDEX([1]Last6M_AvgSales_Ref!$B$2:$B$12659,MATCH(D1103,[1]Last6M_AvgSales_Ref!$A$2:$A$12659,0)),"")</f>
        <v>57</v>
      </c>
    </row>
    <row r="1104" spans="1:31" ht="14.25" customHeight="1" x14ac:dyDescent="0.3">
      <c r="A1104" s="41" t="s">
        <v>2185</v>
      </c>
      <c r="B1104" s="44" t="s">
        <v>2255</v>
      </c>
      <c r="C1104" s="44" t="s">
        <v>2266</v>
      </c>
      <c r="D1104" s="44">
        <v>1000003902</v>
      </c>
      <c r="E1104" s="44" t="s">
        <v>2267</v>
      </c>
      <c r="F1104" s="40">
        <v>45385</v>
      </c>
      <c r="G1104" s="22" t="str">
        <f t="shared" si="238"/>
        <v>Targeted Dealer</v>
      </c>
      <c r="H1104" s="22"/>
      <c r="I1104" s="23">
        <v>50</v>
      </c>
      <c r="J1104" s="23">
        <f t="shared" si="239"/>
        <v>50</v>
      </c>
      <c r="K1104" s="24">
        <v>85</v>
      </c>
      <c r="L1104" s="24">
        <f t="shared" si="240"/>
        <v>-35</v>
      </c>
      <c r="M1104" s="24">
        <f t="shared" si="241"/>
        <v>170</v>
      </c>
      <c r="N1104" s="25">
        <v>50</v>
      </c>
      <c r="O1104" s="26" t="str">
        <f t="shared" si="242"/>
        <v>June</v>
      </c>
      <c r="P1104" s="25">
        <f t="shared" si="243"/>
        <v>50</v>
      </c>
      <c r="Q1104" s="27">
        <f t="shared" si="244"/>
        <v>35</v>
      </c>
      <c r="R1104" s="26" t="b">
        <f t="shared" si="245"/>
        <v>0</v>
      </c>
      <c r="S1104" s="28" t="str">
        <f t="shared" si="246"/>
        <v>GROWTH</v>
      </c>
      <c r="T1104" s="24">
        <v>60</v>
      </c>
      <c r="U1104" s="29" t="str">
        <f t="shared" si="247"/>
        <v>May</v>
      </c>
      <c r="V1104" s="24">
        <f t="shared" si="248"/>
        <v>60</v>
      </c>
      <c r="W1104" s="30">
        <f t="shared" si="249"/>
        <v>25</v>
      </c>
      <c r="X1104" s="31" t="b">
        <f t="shared" si="250"/>
        <v>0</v>
      </c>
      <c r="Y1104" s="32" t="str">
        <f t="shared" si="251"/>
        <v>GROWTH</v>
      </c>
      <c r="Z1104" s="41">
        <v>0</v>
      </c>
      <c r="AA1104" s="36"/>
      <c r="AB1104" s="36" t="s">
        <v>24</v>
      </c>
      <c r="AC1104" s="41" t="s">
        <v>2185</v>
      </c>
      <c r="AD1104" s="34"/>
      <c r="AE1104" s="35">
        <f>IFERROR(INDEX([1]Last6M_AvgSales_Ref!$B$2:$B$12659,MATCH(D1104,[1]Last6M_AvgSales_Ref!$A$2:$A$12659,0)),"")</f>
        <v>59.1666666666667</v>
      </c>
    </row>
    <row r="1105" spans="1:31" ht="14.25" customHeight="1" x14ac:dyDescent="0.3">
      <c r="A1105" s="36" t="s">
        <v>2185</v>
      </c>
      <c r="B1105" s="38" t="s">
        <v>2268</v>
      </c>
      <c r="C1105" s="38" t="s">
        <v>2269</v>
      </c>
      <c r="D1105" s="38">
        <v>1000001821</v>
      </c>
      <c r="E1105" s="39" t="s">
        <v>2270</v>
      </c>
      <c r="F1105" s="40">
        <v>42307</v>
      </c>
      <c r="G1105" s="22" t="str">
        <f t="shared" si="238"/>
        <v>Targeted Dealer</v>
      </c>
      <c r="H1105" s="22"/>
      <c r="I1105" s="23">
        <v>50</v>
      </c>
      <c r="J1105" s="23">
        <f t="shared" si="239"/>
        <v>50</v>
      </c>
      <c r="K1105" s="24">
        <v>60</v>
      </c>
      <c r="L1105" s="24">
        <f t="shared" si="240"/>
        <v>-10</v>
      </c>
      <c r="M1105" s="24">
        <f t="shared" si="241"/>
        <v>120</v>
      </c>
      <c r="N1105" s="25">
        <v>87</v>
      </c>
      <c r="O1105" s="26" t="str">
        <f t="shared" si="242"/>
        <v>June</v>
      </c>
      <c r="P1105" s="25">
        <f t="shared" si="243"/>
        <v>87</v>
      </c>
      <c r="Q1105" s="27">
        <f t="shared" si="244"/>
        <v>-27</v>
      </c>
      <c r="R1105" s="26" t="b">
        <f t="shared" si="245"/>
        <v>0</v>
      </c>
      <c r="S1105" s="28" t="str">
        <f t="shared" si="246"/>
        <v>GROWTH</v>
      </c>
      <c r="T1105" s="24">
        <v>30</v>
      </c>
      <c r="U1105" s="29" t="str">
        <f t="shared" si="247"/>
        <v>May</v>
      </c>
      <c r="V1105" s="24">
        <f t="shared" si="248"/>
        <v>30</v>
      </c>
      <c r="W1105" s="30">
        <f t="shared" si="249"/>
        <v>30</v>
      </c>
      <c r="X1105" s="31" t="b">
        <f t="shared" si="250"/>
        <v>0</v>
      </c>
      <c r="Y1105" s="32" t="str">
        <f t="shared" si="251"/>
        <v>GROWTH</v>
      </c>
      <c r="Z1105" s="41">
        <v>0</v>
      </c>
      <c r="AA1105" s="36"/>
      <c r="AB1105" s="36" t="s">
        <v>24</v>
      </c>
      <c r="AC1105" s="36" t="s">
        <v>2185</v>
      </c>
      <c r="AD1105" s="34"/>
      <c r="AE1105" s="35">
        <f>IFERROR(INDEX([1]Last6M_AvgSales_Ref!$B$2:$B$12659,MATCH(D1105,[1]Last6M_AvgSales_Ref!$A$2:$A$12659,0)),"")</f>
        <v>47.5</v>
      </c>
    </row>
    <row r="1106" spans="1:31" ht="14.25" customHeight="1" x14ac:dyDescent="0.3">
      <c r="A1106" s="36" t="s">
        <v>2185</v>
      </c>
      <c r="B1106" s="38" t="s">
        <v>2268</v>
      </c>
      <c r="C1106" s="38" t="s">
        <v>2271</v>
      </c>
      <c r="D1106" s="38">
        <v>1000001815</v>
      </c>
      <c r="E1106" s="39" t="s">
        <v>2272</v>
      </c>
      <c r="F1106" s="40">
        <v>43503</v>
      </c>
      <c r="G1106" s="22" t="str">
        <f t="shared" si="238"/>
        <v>Targeted Dealer</v>
      </c>
      <c r="H1106" s="22"/>
      <c r="I1106" s="23">
        <v>50</v>
      </c>
      <c r="J1106" s="23">
        <f t="shared" si="239"/>
        <v>50</v>
      </c>
      <c r="K1106" s="24">
        <v>75</v>
      </c>
      <c r="L1106" s="24">
        <f t="shared" si="240"/>
        <v>-25</v>
      </c>
      <c r="M1106" s="24">
        <f t="shared" si="241"/>
        <v>150</v>
      </c>
      <c r="N1106" s="25">
        <v>60</v>
      </c>
      <c r="O1106" s="26" t="str">
        <f t="shared" si="242"/>
        <v>June</v>
      </c>
      <c r="P1106" s="25">
        <f t="shared" si="243"/>
        <v>60</v>
      </c>
      <c r="Q1106" s="27">
        <f t="shared" si="244"/>
        <v>15</v>
      </c>
      <c r="R1106" s="26" t="b">
        <f t="shared" si="245"/>
        <v>0</v>
      </c>
      <c r="S1106" s="28" t="str">
        <f t="shared" si="246"/>
        <v>GROWTH</v>
      </c>
      <c r="T1106" s="24">
        <v>50</v>
      </c>
      <c r="U1106" s="29" t="str">
        <f t="shared" si="247"/>
        <v>May</v>
      </c>
      <c r="V1106" s="24">
        <f t="shared" si="248"/>
        <v>50</v>
      </c>
      <c r="W1106" s="30">
        <f t="shared" si="249"/>
        <v>25</v>
      </c>
      <c r="X1106" s="31" t="b">
        <f t="shared" si="250"/>
        <v>0</v>
      </c>
      <c r="Y1106" s="32" t="str">
        <f t="shared" si="251"/>
        <v>GROWTH</v>
      </c>
      <c r="Z1106" s="41">
        <v>0</v>
      </c>
      <c r="AA1106" s="36"/>
      <c r="AB1106" s="36" t="s">
        <v>24</v>
      </c>
      <c r="AC1106" s="36" t="s">
        <v>2185</v>
      </c>
      <c r="AD1106" s="34"/>
      <c r="AE1106" s="35">
        <f>IFERROR(INDEX([1]Last6M_AvgSales_Ref!$B$2:$B$12659,MATCH(D1106,[1]Last6M_AvgSales_Ref!$A$2:$A$12659,0)),"")</f>
        <v>45.8333333333333</v>
      </c>
    </row>
    <row r="1107" spans="1:31" ht="14.25" customHeight="1" x14ac:dyDescent="0.3">
      <c r="A1107" s="36" t="s">
        <v>2185</v>
      </c>
      <c r="B1107" s="38" t="s">
        <v>2268</v>
      </c>
      <c r="C1107" s="38" t="s">
        <v>2273</v>
      </c>
      <c r="D1107" s="38">
        <v>1000001804</v>
      </c>
      <c r="E1107" s="39" t="s">
        <v>2274</v>
      </c>
      <c r="F1107" s="40">
        <v>43706</v>
      </c>
      <c r="G1107" s="22" t="str">
        <f t="shared" si="238"/>
        <v>Targeted Dealer</v>
      </c>
      <c r="H1107" s="22"/>
      <c r="I1107" s="23">
        <v>25</v>
      </c>
      <c r="J1107" s="23">
        <f t="shared" si="239"/>
        <v>25</v>
      </c>
      <c r="K1107" s="24">
        <v>25</v>
      </c>
      <c r="L1107" s="24">
        <f t="shared" si="240"/>
        <v>0</v>
      </c>
      <c r="M1107" s="24">
        <f t="shared" si="241"/>
        <v>100</v>
      </c>
      <c r="N1107" s="25">
        <v>50</v>
      </c>
      <c r="O1107" s="26" t="str">
        <f t="shared" si="242"/>
        <v>June</v>
      </c>
      <c r="P1107" s="25">
        <f t="shared" si="243"/>
        <v>50</v>
      </c>
      <c r="Q1107" s="27">
        <f t="shared" si="244"/>
        <v>-25</v>
      </c>
      <c r="R1107" s="26" t="b">
        <f t="shared" si="245"/>
        <v>0</v>
      </c>
      <c r="S1107" s="28" t="str">
        <f t="shared" si="246"/>
        <v>GROWTH</v>
      </c>
      <c r="T1107" s="24">
        <v>55</v>
      </c>
      <c r="U1107" s="29" t="str">
        <f t="shared" si="247"/>
        <v>May</v>
      </c>
      <c r="V1107" s="24">
        <f t="shared" si="248"/>
        <v>55</v>
      </c>
      <c r="W1107" s="30">
        <f t="shared" si="249"/>
        <v>-30</v>
      </c>
      <c r="X1107" s="31" t="b">
        <f t="shared" si="250"/>
        <v>0</v>
      </c>
      <c r="Y1107" s="32" t="str">
        <f t="shared" si="251"/>
        <v>GROWTH</v>
      </c>
      <c r="Z1107" s="41">
        <v>0</v>
      </c>
      <c r="AA1107" s="36"/>
      <c r="AB1107" s="36" t="s">
        <v>24</v>
      </c>
      <c r="AC1107" s="36" t="s">
        <v>2185</v>
      </c>
      <c r="AD1107" s="34"/>
      <c r="AE1107" s="35">
        <f>IFERROR(INDEX([1]Last6M_AvgSales_Ref!$B$2:$B$12659,MATCH(D1107,[1]Last6M_AvgSales_Ref!$A$2:$A$12659,0)),"")</f>
        <v>29.1666666666667</v>
      </c>
    </row>
    <row r="1108" spans="1:31" ht="14.25" customHeight="1" x14ac:dyDescent="0.3">
      <c r="A1108" s="36" t="s">
        <v>2185</v>
      </c>
      <c r="B1108" s="38" t="s">
        <v>2268</v>
      </c>
      <c r="C1108" s="38" t="s">
        <v>2275</v>
      </c>
      <c r="D1108" s="38">
        <v>1000001818</v>
      </c>
      <c r="E1108" s="39" t="s">
        <v>2276</v>
      </c>
      <c r="F1108" s="40">
        <v>44323</v>
      </c>
      <c r="G1108" s="22" t="str">
        <f t="shared" si="238"/>
        <v>Targeted Dealer</v>
      </c>
      <c r="H1108" s="22"/>
      <c r="I1108" s="23">
        <v>100</v>
      </c>
      <c r="J1108" s="23">
        <f t="shared" si="239"/>
        <v>100</v>
      </c>
      <c r="K1108" s="24">
        <v>218</v>
      </c>
      <c r="L1108" s="24">
        <f t="shared" si="240"/>
        <v>-118</v>
      </c>
      <c r="M1108" s="24">
        <f t="shared" si="241"/>
        <v>218</v>
      </c>
      <c r="N1108" s="25">
        <v>150</v>
      </c>
      <c r="O1108" s="26" t="str">
        <f t="shared" si="242"/>
        <v>June</v>
      </c>
      <c r="P1108" s="25">
        <f t="shared" si="243"/>
        <v>150</v>
      </c>
      <c r="Q1108" s="27">
        <f t="shared" si="244"/>
        <v>68</v>
      </c>
      <c r="R1108" s="26" t="b">
        <f t="shared" si="245"/>
        <v>0</v>
      </c>
      <c r="S1108" s="28" t="str">
        <f t="shared" si="246"/>
        <v>GROWTH</v>
      </c>
      <c r="T1108" s="24">
        <v>210</v>
      </c>
      <c r="U1108" s="29" t="str">
        <f t="shared" si="247"/>
        <v>May</v>
      </c>
      <c r="V1108" s="24">
        <f t="shared" si="248"/>
        <v>210</v>
      </c>
      <c r="W1108" s="30">
        <f t="shared" si="249"/>
        <v>8</v>
      </c>
      <c r="X1108" s="31" t="b">
        <f t="shared" si="250"/>
        <v>0</v>
      </c>
      <c r="Y1108" s="32" t="str">
        <f t="shared" si="251"/>
        <v>GROWTH</v>
      </c>
      <c r="Z1108" s="41">
        <v>0</v>
      </c>
      <c r="AA1108" s="36"/>
      <c r="AB1108" s="36" t="s">
        <v>24</v>
      </c>
      <c r="AC1108" s="36" t="s">
        <v>2185</v>
      </c>
      <c r="AD1108" s="34"/>
      <c r="AE1108" s="35">
        <f>IFERROR(INDEX([1]Last6M_AvgSales_Ref!$B$2:$B$12659,MATCH(D1108,[1]Last6M_AvgSales_Ref!$A$2:$A$12659,0)),"")</f>
        <v>191</v>
      </c>
    </row>
    <row r="1109" spans="1:31" ht="14.25" customHeight="1" x14ac:dyDescent="0.3">
      <c r="A1109" s="36" t="s">
        <v>2185</v>
      </c>
      <c r="B1109" s="38" t="s">
        <v>2268</v>
      </c>
      <c r="C1109" s="38" t="s">
        <v>2277</v>
      </c>
      <c r="D1109" s="38">
        <v>1000002638</v>
      </c>
      <c r="E1109" s="39" t="s">
        <v>2278</v>
      </c>
      <c r="F1109" s="40">
        <v>44634</v>
      </c>
      <c r="G1109" s="22" t="str">
        <f t="shared" si="238"/>
        <v>Targeted Dealer</v>
      </c>
      <c r="H1109" s="22"/>
      <c r="I1109" s="23">
        <v>50</v>
      </c>
      <c r="J1109" s="23">
        <f t="shared" si="239"/>
        <v>50</v>
      </c>
      <c r="K1109" s="24">
        <v>25</v>
      </c>
      <c r="L1109" s="24">
        <f t="shared" si="240"/>
        <v>25</v>
      </c>
      <c r="M1109" s="24">
        <f t="shared" si="241"/>
        <v>50</v>
      </c>
      <c r="N1109" s="25">
        <v>0</v>
      </c>
      <c r="O1109" s="26" t="str">
        <f t="shared" si="242"/>
        <v>June</v>
      </c>
      <c r="P1109" s="25">
        <f t="shared" si="243"/>
        <v>0</v>
      </c>
      <c r="Q1109" s="27">
        <f t="shared" si="244"/>
        <v>25</v>
      </c>
      <c r="R1109" s="26" t="b">
        <f t="shared" si="245"/>
        <v>0</v>
      </c>
      <c r="S1109" s="28" t="b">
        <f t="shared" si="246"/>
        <v>0</v>
      </c>
      <c r="T1109" s="24">
        <v>0</v>
      </c>
      <c r="U1109" s="29" t="str">
        <f t="shared" si="247"/>
        <v>May</v>
      </c>
      <c r="V1109" s="24">
        <f t="shared" si="248"/>
        <v>0</v>
      </c>
      <c r="W1109" s="30">
        <f t="shared" si="249"/>
        <v>25</v>
      </c>
      <c r="X1109" s="31" t="b">
        <f t="shared" si="250"/>
        <v>0</v>
      </c>
      <c r="Y1109" s="32" t="b">
        <f t="shared" si="251"/>
        <v>0</v>
      </c>
      <c r="Z1109" s="41">
        <v>0</v>
      </c>
      <c r="AA1109" s="36"/>
      <c r="AB1109" s="36" t="s">
        <v>24</v>
      </c>
      <c r="AC1109" s="36" t="s">
        <v>2185</v>
      </c>
      <c r="AD1109" s="34"/>
      <c r="AE1109" s="35">
        <f>IFERROR(INDEX([1]Last6M_AvgSales_Ref!$B$2:$B$12659,MATCH(D1109,[1]Last6M_AvgSales_Ref!$A$2:$A$12659,0)),"")</f>
        <v>8.3333333333333304</v>
      </c>
    </row>
    <row r="1110" spans="1:31" ht="14.25" customHeight="1" x14ac:dyDescent="0.3">
      <c r="A1110" s="36" t="s">
        <v>2185</v>
      </c>
      <c r="B1110" s="38" t="s">
        <v>2268</v>
      </c>
      <c r="C1110" s="38" t="s">
        <v>2279</v>
      </c>
      <c r="D1110" s="38">
        <v>1000002639</v>
      </c>
      <c r="E1110" s="39" t="s">
        <v>2280</v>
      </c>
      <c r="F1110" s="40">
        <v>44635</v>
      </c>
      <c r="G1110" s="22" t="str">
        <f t="shared" si="238"/>
        <v>Targeted Dealer</v>
      </c>
      <c r="H1110" s="22"/>
      <c r="I1110" s="23">
        <v>50</v>
      </c>
      <c r="J1110" s="23">
        <f t="shared" si="239"/>
        <v>50</v>
      </c>
      <c r="K1110" s="24">
        <v>30</v>
      </c>
      <c r="L1110" s="24">
        <f t="shared" si="240"/>
        <v>20</v>
      </c>
      <c r="M1110" s="24">
        <f t="shared" si="241"/>
        <v>60</v>
      </c>
      <c r="N1110" s="25">
        <v>0</v>
      </c>
      <c r="O1110" s="26" t="str">
        <f t="shared" si="242"/>
        <v>June</v>
      </c>
      <c r="P1110" s="25">
        <f t="shared" si="243"/>
        <v>0</v>
      </c>
      <c r="Q1110" s="27">
        <f t="shared" si="244"/>
        <v>30</v>
      </c>
      <c r="R1110" s="26" t="b">
        <f t="shared" si="245"/>
        <v>0</v>
      </c>
      <c r="S1110" s="28" t="b">
        <f t="shared" si="246"/>
        <v>0</v>
      </c>
      <c r="T1110" s="24">
        <v>115</v>
      </c>
      <c r="U1110" s="29" t="str">
        <f t="shared" si="247"/>
        <v>May</v>
      </c>
      <c r="V1110" s="24">
        <f t="shared" si="248"/>
        <v>115</v>
      </c>
      <c r="W1110" s="30">
        <f t="shared" si="249"/>
        <v>-85</v>
      </c>
      <c r="X1110" s="31" t="b">
        <f t="shared" si="250"/>
        <v>0</v>
      </c>
      <c r="Y1110" s="32" t="str">
        <f t="shared" si="251"/>
        <v>GROWTH</v>
      </c>
      <c r="Z1110" s="41">
        <v>0</v>
      </c>
      <c r="AA1110" s="36"/>
      <c r="AB1110" s="36" t="s">
        <v>24</v>
      </c>
      <c r="AC1110" s="36" t="s">
        <v>2185</v>
      </c>
      <c r="AD1110" s="34"/>
      <c r="AE1110" s="35">
        <f>IFERROR(INDEX([1]Last6M_AvgSales_Ref!$B$2:$B$12659,MATCH(D1110,[1]Last6M_AvgSales_Ref!$A$2:$A$12659,0)),"")</f>
        <v>28.3333333333333</v>
      </c>
    </row>
    <row r="1111" spans="1:31" ht="14.25" customHeight="1" x14ac:dyDescent="0.3">
      <c r="A1111" s="36" t="s">
        <v>2185</v>
      </c>
      <c r="B1111" s="38" t="s">
        <v>2268</v>
      </c>
      <c r="C1111" s="38" t="s">
        <v>2281</v>
      </c>
      <c r="D1111" s="38">
        <v>1000003645</v>
      </c>
      <c r="E1111" s="39" t="s">
        <v>2282</v>
      </c>
      <c r="F1111" s="40">
        <v>45126</v>
      </c>
      <c r="G1111" s="22" t="str">
        <f t="shared" si="238"/>
        <v>Targeted Dealer</v>
      </c>
      <c r="H1111" s="22"/>
      <c r="I1111" s="23">
        <v>25</v>
      </c>
      <c r="J1111" s="23">
        <f t="shared" si="239"/>
        <v>25</v>
      </c>
      <c r="K1111" s="24">
        <v>25</v>
      </c>
      <c r="L1111" s="24">
        <f t="shared" si="240"/>
        <v>0</v>
      </c>
      <c r="M1111" s="24">
        <f t="shared" si="241"/>
        <v>100</v>
      </c>
      <c r="N1111" s="25">
        <v>30</v>
      </c>
      <c r="O1111" s="26" t="str">
        <f t="shared" si="242"/>
        <v>June</v>
      </c>
      <c r="P1111" s="25">
        <f t="shared" si="243"/>
        <v>30</v>
      </c>
      <c r="Q1111" s="27">
        <f t="shared" si="244"/>
        <v>-5</v>
      </c>
      <c r="R1111" s="26" t="b">
        <f t="shared" si="245"/>
        <v>0</v>
      </c>
      <c r="S1111" s="28" t="str">
        <f t="shared" si="246"/>
        <v>GROWTH</v>
      </c>
      <c r="T1111" s="24">
        <v>25</v>
      </c>
      <c r="U1111" s="29" t="str">
        <f t="shared" si="247"/>
        <v>May</v>
      </c>
      <c r="V1111" s="24">
        <f t="shared" si="248"/>
        <v>25</v>
      </c>
      <c r="W1111" s="30">
        <f t="shared" si="249"/>
        <v>0</v>
      </c>
      <c r="X1111" s="31" t="b">
        <f t="shared" si="250"/>
        <v>0</v>
      </c>
      <c r="Y1111" s="32" t="str">
        <f t="shared" si="251"/>
        <v>GROWTH</v>
      </c>
      <c r="Z1111" s="41">
        <v>0</v>
      </c>
      <c r="AA1111" s="36"/>
      <c r="AB1111" s="36" t="s">
        <v>24</v>
      </c>
      <c r="AC1111" s="36" t="s">
        <v>2185</v>
      </c>
      <c r="AD1111" s="34"/>
      <c r="AE1111" s="35">
        <f>IFERROR(INDEX([1]Last6M_AvgSales_Ref!$B$2:$B$12659,MATCH(D1111,[1]Last6M_AvgSales_Ref!$A$2:$A$12659,0)),"")</f>
        <v>20.8333333333333</v>
      </c>
    </row>
    <row r="1112" spans="1:31" ht="14.25" customHeight="1" x14ac:dyDescent="0.3">
      <c r="A1112" s="36" t="s">
        <v>2185</v>
      </c>
      <c r="B1112" s="38" t="s">
        <v>2268</v>
      </c>
      <c r="C1112" s="44" t="s">
        <v>2283</v>
      </c>
      <c r="D1112" s="44">
        <v>1000004012</v>
      </c>
      <c r="E1112" s="44" t="s">
        <v>2284</v>
      </c>
      <c r="F1112" s="40">
        <v>45461</v>
      </c>
      <c r="G1112" s="22" t="str">
        <f t="shared" si="238"/>
        <v>Targeted Dealer</v>
      </c>
      <c r="H1112" s="22"/>
      <c r="I1112" s="23">
        <v>25</v>
      </c>
      <c r="J1112" s="23">
        <f t="shared" si="239"/>
        <v>25</v>
      </c>
      <c r="K1112" s="24">
        <v>25</v>
      </c>
      <c r="L1112" s="24">
        <f t="shared" si="240"/>
        <v>0</v>
      </c>
      <c r="M1112" s="24">
        <f t="shared" si="241"/>
        <v>100</v>
      </c>
      <c r="N1112" s="25">
        <v>0</v>
      </c>
      <c r="O1112" s="26" t="str">
        <f t="shared" si="242"/>
        <v>June</v>
      </c>
      <c r="P1112" s="25">
        <f t="shared" si="243"/>
        <v>0</v>
      </c>
      <c r="Q1112" s="27">
        <f t="shared" si="244"/>
        <v>25</v>
      </c>
      <c r="R1112" s="26" t="b">
        <f t="shared" si="245"/>
        <v>0</v>
      </c>
      <c r="S1112" s="28" t="b">
        <f t="shared" si="246"/>
        <v>0</v>
      </c>
      <c r="T1112" s="24">
        <v>0</v>
      </c>
      <c r="U1112" s="29" t="str">
        <f t="shared" si="247"/>
        <v>May</v>
      </c>
      <c r="V1112" s="24">
        <f t="shared" si="248"/>
        <v>0</v>
      </c>
      <c r="W1112" s="30">
        <f t="shared" si="249"/>
        <v>25</v>
      </c>
      <c r="X1112" s="31" t="b">
        <f t="shared" si="250"/>
        <v>0</v>
      </c>
      <c r="Y1112" s="32" t="b">
        <f t="shared" si="251"/>
        <v>0</v>
      </c>
      <c r="Z1112" s="41">
        <v>0</v>
      </c>
      <c r="AA1112" s="36"/>
      <c r="AB1112" s="36" t="s">
        <v>24</v>
      </c>
      <c r="AC1112" s="36" t="s">
        <v>2185</v>
      </c>
      <c r="AD1112" s="34"/>
      <c r="AE1112" s="35">
        <f>IFERROR(INDEX([1]Last6M_AvgSales_Ref!$B$2:$B$12659,MATCH(D1112,[1]Last6M_AvgSales_Ref!$A$2:$A$12659,0)),"")</f>
        <v>16.6666666666667</v>
      </c>
    </row>
    <row r="1113" spans="1:31" ht="14.25" customHeight="1" x14ac:dyDescent="0.3">
      <c r="A1113" s="36" t="s">
        <v>2185</v>
      </c>
      <c r="B1113" s="44" t="s">
        <v>2268</v>
      </c>
      <c r="C1113" s="44" t="s">
        <v>2285</v>
      </c>
      <c r="D1113" s="44">
        <v>1000004088</v>
      </c>
      <c r="E1113" s="44" t="s">
        <v>2286</v>
      </c>
      <c r="F1113" s="40">
        <v>45520</v>
      </c>
      <c r="G1113" s="22" t="str">
        <f t="shared" si="238"/>
        <v>Targeted Dealer</v>
      </c>
      <c r="H1113" s="22"/>
      <c r="I1113" s="23">
        <v>25</v>
      </c>
      <c r="J1113" s="23">
        <f t="shared" si="239"/>
        <v>25</v>
      </c>
      <c r="K1113" s="24">
        <v>35</v>
      </c>
      <c r="L1113" s="24">
        <f t="shared" si="240"/>
        <v>-10</v>
      </c>
      <c r="M1113" s="24">
        <f t="shared" si="241"/>
        <v>140</v>
      </c>
      <c r="N1113" s="25">
        <v>30</v>
      </c>
      <c r="O1113" s="26" t="str">
        <f t="shared" si="242"/>
        <v>June</v>
      </c>
      <c r="P1113" s="25">
        <f t="shared" si="243"/>
        <v>30</v>
      </c>
      <c r="Q1113" s="27">
        <f t="shared" si="244"/>
        <v>5</v>
      </c>
      <c r="R1113" s="26" t="b">
        <f t="shared" si="245"/>
        <v>0</v>
      </c>
      <c r="S1113" s="28" t="str">
        <f t="shared" si="246"/>
        <v>GROWTH</v>
      </c>
      <c r="T1113" s="24">
        <v>30</v>
      </c>
      <c r="U1113" s="29" t="str">
        <f t="shared" si="247"/>
        <v>May</v>
      </c>
      <c r="V1113" s="24">
        <f t="shared" si="248"/>
        <v>30</v>
      </c>
      <c r="W1113" s="30">
        <f t="shared" si="249"/>
        <v>5</v>
      </c>
      <c r="X1113" s="31" t="b">
        <f t="shared" si="250"/>
        <v>0</v>
      </c>
      <c r="Y1113" s="32" t="str">
        <f t="shared" si="251"/>
        <v>GROWTH</v>
      </c>
      <c r="Z1113" s="41">
        <v>0</v>
      </c>
      <c r="AA1113" s="36"/>
      <c r="AB1113" s="36" t="s">
        <v>24</v>
      </c>
      <c r="AC1113" s="36" t="s">
        <v>2185</v>
      </c>
      <c r="AD1113" s="34"/>
      <c r="AE1113" s="35">
        <f>IFERROR(INDEX([1]Last6M_AvgSales_Ref!$B$2:$B$12659,MATCH(D1113,[1]Last6M_AvgSales_Ref!$A$2:$A$12659,0)),"")</f>
        <v>38.3333333333333</v>
      </c>
    </row>
    <row r="1114" spans="1:31" ht="14.25" customHeight="1" x14ac:dyDescent="0.3">
      <c r="A1114" s="36" t="s">
        <v>2185</v>
      </c>
      <c r="B1114" s="38" t="s">
        <v>2287</v>
      </c>
      <c r="C1114" s="38" t="s">
        <v>2288</v>
      </c>
      <c r="D1114" s="38">
        <v>1000002665</v>
      </c>
      <c r="E1114" s="38" t="s">
        <v>2289</v>
      </c>
      <c r="F1114" s="40">
        <v>44739</v>
      </c>
      <c r="G1114" s="22" t="str">
        <f t="shared" si="238"/>
        <v>Targeted Dealer</v>
      </c>
      <c r="H1114" s="22"/>
      <c r="I1114" s="23">
        <v>50</v>
      </c>
      <c r="J1114" s="23">
        <f t="shared" si="239"/>
        <v>50</v>
      </c>
      <c r="K1114" s="24">
        <v>110</v>
      </c>
      <c r="L1114" s="24">
        <f t="shared" si="240"/>
        <v>-60</v>
      </c>
      <c r="M1114" s="24">
        <f t="shared" si="241"/>
        <v>220</v>
      </c>
      <c r="N1114" s="25">
        <v>75</v>
      </c>
      <c r="O1114" s="26" t="str">
        <f t="shared" si="242"/>
        <v>June</v>
      </c>
      <c r="P1114" s="25">
        <f t="shared" si="243"/>
        <v>75</v>
      </c>
      <c r="Q1114" s="27">
        <f t="shared" si="244"/>
        <v>35</v>
      </c>
      <c r="R1114" s="26" t="b">
        <f t="shared" si="245"/>
        <v>0</v>
      </c>
      <c r="S1114" s="28" t="str">
        <f t="shared" si="246"/>
        <v>GROWTH</v>
      </c>
      <c r="T1114" s="24">
        <v>100</v>
      </c>
      <c r="U1114" s="29" t="str">
        <f t="shared" si="247"/>
        <v>May</v>
      </c>
      <c r="V1114" s="24">
        <f t="shared" si="248"/>
        <v>100</v>
      </c>
      <c r="W1114" s="30">
        <f t="shared" si="249"/>
        <v>10</v>
      </c>
      <c r="X1114" s="31" t="b">
        <f t="shared" si="250"/>
        <v>0</v>
      </c>
      <c r="Y1114" s="32" t="str">
        <f t="shared" si="251"/>
        <v>GROWTH</v>
      </c>
      <c r="Z1114" s="41">
        <v>0</v>
      </c>
      <c r="AA1114" s="36"/>
      <c r="AB1114" s="36" t="s">
        <v>24</v>
      </c>
      <c r="AC1114" s="36" t="s">
        <v>2185</v>
      </c>
      <c r="AD1114" s="34"/>
      <c r="AE1114" s="35">
        <f>IFERROR(INDEX([1]Last6M_AvgSales_Ref!$B$2:$B$12659,MATCH(D1114,[1]Last6M_AvgSales_Ref!$A$2:$A$12659,0)),"")</f>
        <v>102</v>
      </c>
    </row>
    <row r="1115" spans="1:31" ht="14.25" customHeight="1" x14ac:dyDescent="0.3">
      <c r="A1115" s="36" t="s">
        <v>2185</v>
      </c>
      <c r="B1115" s="38" t="s">
        <v>2287</v>
      </c>
      <c r="C1115" s="38" t="s">
        <v>2290</v>
      </c>
      <c r="D1115" s="38">
        <v>1000002695</v>
      </c>
      <c r="E1115" s="38" t="s">
        <v>2291</v>
      </c>
      <c r="F1115" s="40">
        <v>44739</v>
      </c>
      <c r="G1115" s="22" t="str">
        <f t="shared" si="238"/>
        <v>Targeted Dealer</v>
      </c>
      <c r="H1115" s="22"/>
      <c r="I1115" s="23">
        <v>300</v>
      </c>
      <c r="J1115" s="23">
        <f t="shared" si="239"/>
        <v>300</v>
      </c>
      <c r="K1115" s="24">
        <v>300</v>
      </c>
      <c r="L1115" s="24">
        <f t="shared" si="240"/>
        <v>0</v>
      </c>
      <c r="M1115" s="24">
        <f t="shared" si="241"/>
        <v>100</v>
      </c>
      <c r="N1115" s="25">
        <v>300</v>
      </c>
      <c r="O1115" s="26" t="str">
        <f t="shared" si="242"/>
        <v>June</v>
      </c>
      <c r="P1115" s="25">
        <f t="shared" si="243"/>
        <v>300</v>
      </c>
      <c r="Q1115" s="27">
        <f t="shared" si="244"/>
        <v>0</v>
      </c>
      <c r="R1115" s="26" t="b">
        <f t="shared" si="245"/>
        <v>0</v>
      </c>
      <c r="S1115" s="28" t="str">
        <f t="shared" si="246"/>
        <v>GROWTH</v>
      </c>
      <c r="T1115" s="24">
        <v>225</v>
      </c>
      <c r="U1115" s="29" t="str">
        <f t="shared" si="247"/>
        <v>May</v>
      </c>
      <c r="V1115" s="24">
        <f t="shared" si="248"/>
        <v>225</v>
      </c>
      <c r="W1115" s="30">
        <f t="shared" si="249"/>
        <v>75</v>
      </c>
      <c r="X1115" s="31" t="b">
        <f t="shared" si="250"/>
        <v>0</v>
      </c>
      <c r="Y1115" s="32" t="str">
        <f t="shared" si="251"/>
        <v>GROWTH</v>
      </c>
      <c r="Z1115" s="41">
        <v>0</v>
      </c>
      <c r="AA1115" s="36"/>
      <c r="AB1115" s="36" t="s">
        <v>24</v>
      </c>
      <c r="AC1115" s="36" t="s">
        <v>2185</v>
      </c>
      <c r="AD1115" s="34"/>
      <c r="AE1115" s="35">
        <f>IFERROR(INDEX([1]Last6M_AvgSales_Ref!$B$2:$B$12659,MATCH(D1115,[1]Last6M_AvgSales_Ref!$A$2:$A$12659,0)),"")</f>
        <v>328.33333333333297</v>
      </c>
    </row>
    <row r="1116" spans="1:31" ht="14.25" customHeight="1" x14ac:dyDescent="0.3">
      <c r="A1116" s="36" t="s">
        <v>2185</v>
      </c>
      <c r="B1116" s="38" t="s">
        <v>2287</v>
      </c>
      <c r="C1116" s="38" t="s">
        <v>2292</v>
      </c>
      <c r="D1116" s="38">
        <v>1000001197</v>
      </c>
      <c r="E1116" s="39" t="s">
        <v>2293</v>
      </c>
      <c r="F1116" s="40">
        <v>41834</v>
      </c>
      <c r="G1116" s="22" t="str">
        <f t="shared" si="238"/>
        <v>Targeted Dealer</v>
      </c>
      <c r="H1116" s="22"/>
      <c r="I1116" s="23">
        <v>150</v>
      </c>
      <c r="J1116" s="23">
        <f t="shared" si="239"/>
        <v>150</v>
      </c>
      <c r="K1116" s="24">
        <v>175</v>
      </c>
      <c r="L1116" s="24">
        <f t="shared" si="240"/>
        <v>-25</v>
      </c>
      <c r="M1116" s="24">
        <f t="shared" si="241"/>
        <v>116.66666666666667</v>
      </c>
      <c r="N1116" s="25">
        <v>150</v>
      </c>
      <c r="O1116" s="26" t="str">
        <f t="shared" si="242"/>
        <v>June</v>
      </c>
      <c r="P1116" s="25">
        <f t="shared" si="243"/>
        <v>150</v>
      </c>
      <c r="Q1116" s="27">
        <f t="shared" si="244"/>
        <v>25</v>
      </c>
      <c r="R1116" s="26" t="b">
        <f t="shared" si="245"/>
        <v>0</v>
      </c>
      <c r="S1116" s="28" t="str">
        <f t="shared" si="246"/>
        <v>GROWTH</v>
      </c>
      <c r="T1116" s="24">
        <v>180</v>
      </c>
      <c r="U1116" s="29" t="str">
        <f t="shared" si="247"/>
        <v>May</v>
      </c>
      <c r="V1116" s="24">
        <f t="shared" si="248"/>
        <v>180</v>
      </c>
      <c r="W1116" s="30">
        <f t="shared" si="249"/>
        <v>-5</v>
      </c>
      <c r="X1116" s="31" t="b">
        <f t="shared" si="250"/>
        <v>0</v>
      </c>
      <c r="Y1116" s="32" t="str">
        <f t="shared" si="251"/>
        <v>GROWTH</v>
      </c>
      <c r="Z1116" s="41">
        <v>0</v>
      </c>
      <c r="AA1116" s="36"/>
      <c r="AB1116" s="36" t="s">
        <v>24</v>
      </c>
      <c r="AC1116" s="36" t="s">
        <v>2185</v>
      </c>
      <c r="AD1116" s="34"/>
      <c r="AE1116" s="35">
        <f>IFERROR(INDEX([1]Last6M_AvgSales_Ref!$B$2:$B$12659,MATCH(D1116,[1]Last6M_AvgSales_Ref!$A$2:$A$12659,0)),"")</f>
        <v>157.666666666667</v>
      </c>
    </row>
    <row r="1117" spans="1:31" ht="14.25" customHeight="1" x14ac:dyDescent="0.3">
      <c r="A1117" s="36" t="s">
        <v>2185</v>
      </c>
      <c r="B1117" s="38" t="s">
        <v>2287</v>
      </c>
      <c r="C1117" s="38" t="s">
        <v>2294</v>
      </c>
      <c r="D1117" s="38">
        <v>1000001189</v>
      </c>
      <c r="E1117" s="39" t="s">
        <v>2295</v>
      </c>
      <c r="F1117" s="40">
        <v>41925</v>
      </c>
      <c r="G1117" s="22" t="str">
        <f t="shared" si="238"/>
        <v>Targeted Dealer</v>
      </c>
      <c r="H1117" s="22"/>
      <c r="I1117" s="23">
        <v>200</v>
      </c>
      <c r="J1117" s="23">
        <f t="shared" si="239"/>
        <v>200</v>
      </c>
      <c r="K1117" s="24">
        <v>200</v>
      </c>
      <c r="L1117" s="24">
        <f t="shared" si="240"/>
        <v>0</v>
      </c>
      <c r="M1117" s="24">
        <f t="shared" si="241"/>
        <v>100</v>
      </c>
      <c r="N1117" s="25">
        <v>205</v>
      </c>
      <c r="O1117" s="26" t="str">
        <f t="shared" si="242"/>
        <v>June</v>
      </c>
      <c r="P1117" s="25">
        <f t="shared" si="243"/>
        <v>205</v>
      </c>
      <c r="Q1117" s="27">
        <f t="shared" si="244"/>
        <v>-5</v>
      </c>
      <c r="R1117" s="26" t="b">
        <f t="shared" si="245"/>
        <v>0</v>
      </c>
      <c r="S1117" s="28" t="str">
        <f t="shared" si="246"/>
        <v>GROWTH</v>
      </c>
      <c r="T1117" s="24">
        <v>225</v>
      </c>
      <c r="U1117" s="29" t="str">
        <f t="shared" si="247"/>
        <v>May</v>
      </c>
      <c r="V1117" s="24">
        <f t="shared" si="248"/>
        <v>225</v>
      </c>
      <c r="W1117" s="30">
        <f t="shared" si="249"/>
        <v>-25</v>
      </c>
      <c r="X1117" s="31" t="b">
        <f t="shared" si="250"/>
        <v>0</v>
      </c>
      <c r="Y1117" s="32" t="str">
        <f t="shared" si="251"/>
        <v>GROWTH</v>
      </c>
      <c r="Z1117" s="41">
        <v>0</v>
      </c>
      <c r="AA1117" s="36"/>
      <c r="AB1117" s="36" t="s">
        <v>24</v>
      </c>
      <c r="AC1117" s="36" t="s">
        <v>2185</v>
      </c>
      <c r="AD1117" s="34"/>
      <c r="AE1117" s="35">
        <f>IFERROR(INDEX([1]Last6M_AvgSales_Ref!$B$2:$B$12659,MATCH(D1117,[1]Last6M_AvgSales_Ref!$A$2:$A$12659,0)),"")</f>
        <v>177.5</v>
      </c>
    </row>
    <row r="1118" spans="1:31" ht="14.25" customHeight="1" x14ac:dyDescent="0.3">
      <c r="A1118" s="36" t="s">
        <v>2185</v>
      </c>
      <c r="B1118" s="38" t="s">
        <v>2287</v>
      </c>
      <c r="C1118" s="38" t="s">
        <v>2296</v>
      </c>
      <c r="D1118" s="38">
        <v>1000001190</v>
      </c>
      <c r="E1118" s="39" t="s">
        <v>2297</v>
      </c>
      <c r="F1118" s="40">
        <v>41995</v>
      </c>
      <c r="G1118" s="22" t="str">
        <f t="shared" si="238"/>
        <v>Targeted Dealer</v>
      </c>
      <c r="H1118" s="22"/>
      <c r="I1118" s="23">
        <v>25</v>
      </c>
      <c r="J1118" s="23">
        <f t="shared" si="239"/>
        <v>25</v>
      </c>
      <c r="K1118" s="24">
        <v>0</v>
      </c>
      <c r="L1118" s="24">
        <f t="shared" si="240"/>
        <v>25</v>
      </c>
      <c r="M1118" s="24">
        <f t="shared" si="241"/>
        <v>0</v>
      </c>
      <c r="N1118" s="25">
        <v>30</v>
      </c>
      <c r="O1118" s="26" t="str">
        <f t="shared" si="242"/>
        <v>June</v>
      </c>
      <c r="P1118" s="25">
        <f t="shared" si="243"/>
        <v>30</v>
      </c>
      <c r="Q1118" s="27">
        <f t="shared" si="244"/>
        <v>-30</v>
      </c>
      <c r="R1118" s="26" t="b">
        <f t="shared" si="245"/>
        <v>0</v>
      </c>
      <c r="S1118" s="28" t="str">
        <f t="shared" si="246"/>
        <v>GROWTH</v>
      </c>
      <c r="T1118" s="24">
        <v>25</v>
      </c>
      <c r="U1118" s="29" t="str">
        <f t="shared" si="247"/>
        <v>May</v>
      </c>
      <c r="V1118" s="24">
        <f t="shared" si="248"/>
        <v>25</v>
      </c>
      <c r="W1118" s="30">
        <f t="shared" si="249"/>
        <v>-25</v>
      </c>
      <c r="X1118" s="31" t="b">
        <f t="shared" si="250"/>
        <v>0</v>
      </c>
      <c r="Y1118" s="32" t="str">
        <f t="shared" si="251"/>
        <v>GROWTH</v>
      </c>
      <c r="Z1118" s="41">
        <v>0</v>
      </c>
      <c r="AA1118" s="36"/>
      <c r="AB1118" s="36" t="s">
        <v>24</v>
      </c>
      <c r="AC1118" s="36" t="s">
        <v>2185</v>
      </c>
      <c r="AD1118" s="34"/>
      <c r="AE1118" s="35">
        <f>IFERROR(INDEX([1]Last6M_AvgSales_Ref!$B$2:$B$12659,MATCH(D1118,[1]Last6M_AvgSales_Ref!$A$2:$A$12659,0)),"")</f>
        <v>29.1666666666667</v>
      </c>
    </row>
    <row r="1119" spans="1:31" ht="14.25" customHeight="1" x14ac:dyDescent="0.3">
      <c r="A1119" s="36" t="s">
        <v>2185</v>
      </c>
      <c r="B1119" s="38" t="s">
        <v>2287</v>
      </c>
      <c r="C1119" s="38" t="s">
        <v>2298</v>
      </c>
      <c r="D1119" s="38">
        <v>1000001211</v>
      </c>
      <c r="E1119" s="39" t="s">
        <v>2299</v>
      </c>
      <c r="F1119" s="40">
        <v>42020</v>
      </c>
      <c r="G1119" s="22" t="str">
        <f t="shared" si="238"/>
        <v>Targeted Dealer</v>
      </c>
      <c r="H1119" s="22"/>
      <c r="I1119" s="23">
        <v>30</v>
      </c>
      <c r="J1119" s="23">
        <f t="shared" si="239"/>
        <v>30</v>
      </c>
      <c r="K1119" s="24">
        <v>0</v>
      </c>
      <c r="L1119" s="24">
        <f t="shared" si="240"/>
        <v>30</v>
      </c>
      <c r="M1119" s="24">
        <f t="shared" si="241"/>
        <v>0</v>
      </c>
      <c r="N1119" s="25">
        <v>65</v>
      </c>
      <c r="O1119" s="26" t="str">
        <f t="shared" si="242"/>
        <v>June</v>
      </c>
      <c r="P1119" s="25">
        <f t="shared" si="243"/>
        <v>65</v>
      </c>
      <c r="Q1119" s="27">
        <f t="shared" si="244"/>
        <v>-65</v>
      </c>
      <c r="R1119" s="26" t="b">
        <f t="shared" si="245"/>
        <v>0</v>
      </c>
      <c r="S1119" s="28" t="str">
        <f t="shared" si="246"/>
        <v>GROWTH</v>
      </c>
      <c r="T1119" s="24">
        <v>30</v>
      </c>
      <c r="U1119" s="29" t="str">
        <f t="shared" si="247"/>
        <v>May</v>
      </c>
      <c r="V1119" s="24">
        <f t="shared" si="248"/>
        <v>30</v>
      </c>
      <c r="W1119" s="30">
        <f t="shared" si="249"/>
        <v>-30</v>
      </c>
      <c r="X1119" s="31" t="b">
        <f t="shared" si="250"/>
        <v>0</v>
      </c>
      <c r="Y1119" s="32" t="str">
        <f t="shared" si="251"/>
        <v>GROWTH</v>
      </c>
      <c r="Z1119" s="41">
        <v>0</v>
      </c>
      <c r="AA1119" s="36"/>
      <c r="AB1119" s="36" t="s">
        <v>24</v>
      </c>
      <c r="AC1119" s="36" t="s">
        <v>2185</v>
      </c>
      <c r="AD1119" s="34"/>
      <c r="AE1119" s="35">
        <f>IFERROR(INDEX([1]Last6M_AvgSales_Ref!$B$2:$B$12659,MATCH(D1119,[1]Last6M_AvgSales_Ref!$A$2:$A$12659,0)),"")</f>
        <v>25</v>
      </c>
    </row>
    <row r="1120" spans="1:31" ht="14.25" customHeight="1" x14ac:dyDescent="0.3">
      <c r="A1120" s="36" t="s">
        <v>2185</v>
      </c>
      <c r="B1120" s="38" t="s">
        <v>2287</v>
      </c>
      <c r="C1120" s="38" t="s">
        <v>2300</v>
      </c>
      <c r="D1120" s="38">
        <v>1000001198</v>
      </c>
      <c r="E1120" s="39" t="s">
        <v>2301</v>
      </c>
      <c r="F1120" s="40">
        <v>42074</v>
      </c>
      <c r="G1120" s="22" t="str">
        <f t="shared" si="238"/>
        <v>Targeted Dealer</v>
      </c>
      <c r="H1120" s="22"/>
      <c r="I1120" s="23">
        <v>140</v>
      </c>
      <c r="J1120" s="23">
        <f t="shared" si="239"/>
        <v>140</v>
      </c>
      <c r="K1120" s="24">
        <v>120</v>
      </c>
      <c r="L1120" s="24">
        <f t="shared" si="240"/>
        <v>20</v>
      </c>
      <c r="M1120" s="24">
        <f t="shared" si="241"/>
        <v>85.714285714285722</v>
      </c>
      <c r="N1120" s="25">
        <v>180</v>
      </c>
      <c r="O1120" s="26" t="str">
        <f t="shared" si="242"/>
        <v>June</v>
      </c>
      <c r="P1120" s="25">
        <f t="shared" si="243"/>
        <v>180</v>
      </c>
      <c r="Q1120" s="27">
        <f t="shared" si="244"/>
        <v>-60</v>
      </c>
      <c r="R1120" s="26" t="b">
        <f t="shared" si="245"/>
        <v>0</v>
      </c>
      <c r="S1120" s="28" t="str">
        <f t="shared" si="246"/>
        <v>GROWTH</v>
      </c>
      <c r="T1120" s="24">
        <v>115</v>
      </c>
      <c r="U1120" s="29" t="str">
        <f t="shared" si="247"/>
        <v>May</v>
      </c>
      <c r="V1120" s="24">
        <f t="shared" si="248"/>
        <v>115</v>
      </c>
      <c r="W1120" s="30">
        <f t="shared" si="249"/>
        <v>5</v>
      </c>
      <c r="X1120" s="31" t="b">
        <f t="shared" si="250"/>
        <v>0</v>
      </c>
      <c r="Y1120" s="32" t="str">
        <f t="shared" si="251"/>
        <v>GROWTH</v>
      </c>
      <c r="Z1120" s="41">
        <v>0</v>
      </c>
      <c r="AA1120" s="36"/>
      <c r="AB1120" s="36" t="s">
        <v>24</v>
      </c>
      <c r="AC1120" s="36" t="s">
        <v>2185</v>
      </c>
      <c r="AD1120" s="34"/>
      <c r="AE1120" s="35">
        <f>IFERROR(INDEX([1]Last6M_AvgSales_Ref!$B$2:$B$12659,MATCH(D1120,[1]Last6M_AvgSales_Ref!$A$2:$A$12659,0)),"")</f>
        <v>122.416666666667</v>
      </c>
    </row>
    <row r="1121" spans="1:31" ht="14.25" customHeight="1" x14ac:dyDescent="0.3">
      <c r="A1121" s="36" t="s">
        <v>2185</v>
      </c>
      <c r="B1121" s="38" t="s">
        <v>2287</v>
      </c>
      <c r="C1121" s="38" t="s">
        <v>2302</v>
      </c>
      <c r="D1121" s="38">
        <v>1000001199</v>
      </c>
      <c r="E1121" s="39" t="s">
        <v>2303</v>
      </c>
      <c r="F1121" s="40">
        <v>42140</v>
      </c>
      <c r="G1121" s="22" t="str">
        <f t="shared" si="238"/>
        <v>Targeted Dealer</v>
      </c>
      <c r="H1121" s="22"/>
      <c r="I1121" s="23">
        <v>160</v>
      </c>
      <c r="J1121" s="23">
        <f t="shared" si="239"/>
        <v>160</v>
      </c>
      <c r="K1121" s="24">
        <v>155</v>
      </c>
      <c r="L1121" s="24">
        <f t="shared" si="240"/>
        <v>5</v>
      </c>
      <c r="M1121" s="24">
        <f t="shared" si="241"/>
        <v>96.875</v>
      </c>
      <c r="N1121" s="25">
        <v>160</v>
      </c>
      <c r="O1121" s="26" t="str">
        <f t="shared" si="242"/>
        <v>June</v>
      </c>
      <c r="P1121" s="25">
        <f t="shared" si="243"/>
        <v>160</v>
      </c>
      <c r="Q1121" s="27">
        <f t="shared" si="244"/>
        <v>-5</v>
      </c>
      <c r="R1121" s="26" t="b">
        <f t="shared" si="245"/>
        <v>0</v>
      </c>
      <c r="S1121" s="28" t="str">
        <f t="shared" si="246"/>
        <v>GROWTH</v>
      </c>
      <c r="T1121" s="24">
        <v>160</v>
      </c>
      <c r="U1121" s="29" t="str">
        <f t="shared" si="247"/>
        <v>May</v>
      </c>
      <c r="V1121" s="24">
        <f t="shared" si="248"/>
        <v>160</v>
      </c>
      <c r="W1121" s="30">
        <f t="shared" si="249"/>
        <v>-5</v>
      </c>
      <c r="X1121" s="31" t="b">
        <f t="shared" si="250"/>
        <v>0</v>
      </c>
      <c r="Y1121" s="32" t="str">
        <f t="shared" si="251"/>
        <v>GROWTH</v>
      </c>
      <c r="Z1121" s="41">
        <v>0</v>
      </c>
      <c r="AA1121" s="36"/>
      <c r="AB1121" s="36" t="s">
        <v>24</v>
      </c>
      <c r="AC1121" s="36" t="s">
        <v>2185</v>
      </c>
      <c r="AD1121" s="34"/>
      <c r="AE1121" s="35">
        <f>IFERROR(INDEX([1]Last6M_AvgSales_Ref!$B$2:$B$12659,MATCH(D1121,[1]Last6M_AvgSales_Ref!$A$2:$A$12659,0)),"")</f>
        <v>147.5</v>
      </c>
    </row>
    <row r="1122" spans="1:31" ht="14.25" customHeight="1" x14ac:dyDescent="0.3">
      <c r="A1122" s="36" t="s">
        <v>2185</v>
      </c>
      <c r="B1122" s="38" t="s">
        <v>2287</v>
      </c>
      <c r="C1122" s="38" t="s">
        <v>2304</v>
      </c>
      <c r="D1122" s="38">
        <v>1000001212</v>
      </c>
      <c r="E1122" s="39" t="s">
        <v>2305</v>
      </c>
      <c r="F1122" s="40">
        <v>42364</v>
      </c>
      <c r="G1122" s="22" t="str">
        <f t="shared" si="238"/>
        <v>Targeted Dealer</v>
      </c>
      <c r="H1122" s="22"/>
      <c r="I1122" s="23">
        <v>200</v>
      </c>
      <c r="J1122" s="23">
        <f t="shared" si="239"/>
        <v>200</v>
      </c>
      <c r="K1122" s="24">
        <v>255</v>
      </c>
      <c r="L1122" s="24">
        <f t="shared" si="240"/>
        <v>-55</v>
      </c>
      <c r="M1122" s="24">
        <f t="shared" si="241"/>
        <v>127.5</v>
      </c>
      <c r="N1122" s="25">
        <v>200</v>
      </c>
      <c r="O1122" s="26" t="str">
        <f t="shared" si="242"/>
        <v>June</v>
      </c>
      <c r="P1122" s="25">
        <f t="shared" si="243"/>
        <v>200</v>
      </c>
      <c r="Q1122" s="27">
        <f t="shared" si="244"/>
        <v>55</v>
      </c>
      <c r="R1122" s="26" t="b">
        <f t="shared" si="245"/>
        <v>0</v>
      </c>
      <c r="S1122" s="28" t="str">
        <f t="shared" si="246"/>
        <v>GROWTH</v>
      </c>
      <c r="T1122" s="24">
        <v>185</v>
      </c>
      <c r="U1122" s="29" t="str">
        <f t="shared" si="247"/>
        <v>May</v>
      </c>
      <c r="V1122" s="24">
        <f t="shared" si="248"/>
        <v>185</v>
      </c>
      <c r="W1122" s="30">
        <f t="shared" si="249"/>
        <v>70</v>
      </c>
      <c r="X1122" s="31" t="b">
        <f t="shared" si="250"/>
        <v>0</v>
      </c>
      <c r="Y1122" s="32" t="str">
        <f t="shared" si="251"/>
        <v>GROWTH</v>
      </c>
      <c r="Z1122" s="41">
        <v>0</v>
      </c>
      <c r="AA1122" s="36"/>
      <c r="AB1122" s="36" t="s">
        <v>24</v>
      </c>
      <c r="AC1122" s="36" t="s">
        <v>2185</v>
      </c>
      <c r="AD1122" s="34"/>
      <c r="AE1122" s="35">
        <f>IFERROR(INDEX([1]Last6M_AvgSales_Ref!$B$2:$B$12659,MATCH(D1122,[1]Last6M_AvgSales_Ref!$A$2:$A$12659,0)),"")</f>
        <v>224.166666666667</v>
      </c>
    </row>
    <row r="1123" spans="1:31" ht="14.25" customHeight="1" x14ac:dyDescent="0.3">
      <c r="A1123" s="36" t="s">
        <v>2185</v>
      </c>
      <c r="B1123" s="38" t="s">
        <v>2287</v>
      </c>
      <c r="C1123" s="38" t="s">
        <v>2306</v>
      </c>
      <c r="D1123" s="38">
        <v>1000001200</v>
      </c>
      <c r="E1123" s="39" t="s">
        <v>2307</v>
      </c>
      <c r="F1123" s="40">
        <v>42539</v>
      </c>
      <c r="G1123" s="22" t="str">
        <f t="shared" si="238"/>
        <v>Targeted Dealer</v>
      </c>
      <c r="H1123" s="22"/>
      <c r="I1123" s="23">
        <v>50</v>
      </c>
      <c r="J1123" s="23">
        <f t="shared" si="239"/>
        <v>50</v>
      </c>
      <c r="K1123" s="24">
        <v>25</v>
      </c>
      <c r="L1123" s="24">
        <f t="shared" si="240"/>
        <v>25</v>
      </c>
      <c r="M1123" s="24">
        <f t="shared" si="241"/>
        <v>50</v>
      </c>
      <c r="N1123" s="25">
        <v>50</v>
      </c>
      <c r="O1123" s="26" t="str">
        <f t="shared" si="242"/>
        <v>June</v>
      </c>
      <c r="P1123" s="25">
        <f t="shared" si="243"/>
        <v>50</v>
      </c>
      <c r="Q1123" s="27">
        <f t="shared" si="244"/>
        <v>-25</v>
      </c>
      <c r="R1123" s="26" t="b">
        <f t="shared" si="245"/>
        <v>0</v>
      </c>
      <c r="S1123" s="28" t="str">
        <f t="shared" si="246"/>
        <v>GROWTH</v>
      </c>
      <c r="T1123" s="24">
        <v>60</v>
      </c>
      <c r="U1123" s="29" t="str">
        <f t="shared" si="247"/>
        <v>May</v>
      </c>
      <c r="V1123" s="24">
        <f t="shared" si="248"/>
        <v>60</v>
      </c>
      <c r="W1123" s="30">
        <f t="shared" si="249"/>
        <v>-35</v>
      </c>
      <c r="X1123" s="31" t="b">
        <f t="shared" si="250"/>
        <v>0</v>
      </c>
      <c r="Y1123" s="32" t="str">
        <f t="shared" si="251"/>
        <v>GROWTH</v>
      </c>
      <c r="Z1123" s="41">
        <v>0</v>
      </c>
      <c r="AA1123" s="36"/>
      <c r="AB1123" s="36" t="s">
        <v>24</v>
      </c>
      <c r="AC1123" s="36" t="s">
        <v>2185</v>
      </c>
      <c r="AD1123" s="34"/>
      <c r="AE1123" s="35">
        <f>IFERROR(INDEX([1]Last6M_AvgSales_Ref!$B$2:$B$12659,MATCH(D1123,[1]Last6M_AvgSales_Ref!$A$2:$A$12659,0)),"")</f>
        <v>32.5</v>
      </c>
    </row>
    <row r="1124" spans="1:31" ht="14.25" customHeight="1" x14ac:dyDescent="0.3">
      <c r="A1124" s="36" t="s">
        <v>2185</v>
      </c>
      <c r="B1124" s="38" t="s">
        <v>2287</v>
      </c>
      <c r="C1124" s="38" t="s">
        <v>2308</v>
      </c>
      <c r="D1124" s="38">
        <v>1000002633</v>
      </c>
      <c r="E1124" s="39" t="s">
        <v>2309</v>
      </c>
      <c r="F1124" s="40">
        <v>44621</v>
      </c>
      <c r="G1124" s="22" t="str">
        <f t="shared" si="238"/>
        <v>Targeted Dealer</v>
      </c>
      <c r="H1124" s="22"/>
      <c r="I1124" s="23">
        <v>130</v>
      </c>
      <c r="J1124" s="23">
        <f t="shared" si="239"/>
        <v>130</v>
      </c>
      <c r="K1124" s="24">
        <v>115</v>
      </c>
      <c r="L1124" s="24">
        <f t="shared" si="240"/>
        <v>15</v>
      </c>
      <c r="M1124" s="24">
        <f t="shared" si="241"/>
        <v>88.461538461538453</v>
      </c>
      <c r="N1124" s="25">
        <v>150</v>
      </c>
      <c r="O1124" s="26" t="str">
        <f t="shared" si="242"/>
        <v>June</v>
      </c>
      <c r="P1124" s="25">
        <f t="shared" si="243"/>
        <v>150</v>
      </c>
      <c r="Q1124" s="27">
        <f t="shared" si="244"/>
        <v>-35</v>
      </c>
      <c r="R1124" s="26" t="b">
        <f t="shared" si="245"/>
        <v>0</v>
      </c>
      <c r="S1124" s="28" t="str">
        <f t="shared" si="246"/>
        <v>GROWTH</v>
      </c>
      <c r="T1124" s="24">
        <v>175</v>
      </c>
      <c r="U1124" s="29" t="str">
        <f t="shared" si="247"/>
        <v>May</v>
      </c>
      <c r="V1124" s="24">
        <f t="shared" si="248"/>
        <v>175</v>
      </c>
      <c r="W1124" s="30">
        <f t="shared" si="249"/>
        <v>-60</v>
      </c>
      <c r="X1124" s="31" t="b">
        <f t="shared" si="250"/>
        <v>0</v>
      </c>
      <c r="Y1124" s="32" t="str">
        <f t="shared" si="251"/>
        <v>GROWTH</v>
      </c>
      <c r="Z1124" s="41">
        <v>0</v>
      </c>
      <c r="AA1124" s="36"/>
      <c r="AB1124" s="36" t="s">
        <v>24</v>
      </c>
      <c r="AC1124" s="36" t="s">
        <v>2185</v>
      </c>
      <c r="AD1124" s="34"/>
      <c r="AE1124" s="35">
        <f>IFERROR(INDEX([1]Last6M_AvgSales_Ref!$B$2:$B$12659,MATCH(D1124,[1]Last6M_AvgSales_Ref!$A$2:$A$12659,0)),"")</f>
        <v>140.833333333333</v>
      </c>
    </row>
    <row r="1125" spans="1:31" ht="14.25" customHeight="1" x14ac:dyDescent="0.3">
      <c r="A1125" s="36" t="s">
        <v>2185</v>
      </c>
      <c r="B1125" s="44" t="s">
        <v>2287</v>
      </c>
      <c r="C1125" s="44" t="s">
        <v>2310</v>
      </c>
      <c r="D1125" s="44">
        <v>1000003919</v>
      </c>
      <c r="E1125" s="44" t="s">
        <v>2311</v>
      </c>
      <c r="F1125" s="40">
        <v>45409</v>
      </c>
      <c r="G1125" s="22" t="str">
        <f t="shared" si="238"/>
        <v>Targeted Dealer</v>
      </c>
      <c r="H1125" s="22"/>
      <c r="I1125" s="23">
        <v>30</v>
      </c>
      <c r="J1125" s="23">
        <f t="shared" si="239"/>
        <v>30</v>
      </c>
      <c r="K1125" s="24">
        <v>25</v>
      </c>
      <c r="L1125" s="24">
        <f t="shared" si="240"/>
        <v>5</v>
      </c>
      <c r="M1125" s="24">
        <f t="shared" si="241"/>
        <v>83.333333333333343</v>
      </c>
      <c r="N1125" s="25">
        <v>30</v>
      </c>
      <c r="O1125" s="26" t="str">
        <f t="shared" si="242"/>
        <v>June</v>
      </c>
      <c r="P1125" s="25">
        <f t="shared" si="243"/>
        <v>30</v>
      </c>
      <c r="Q1125" s="27">
        <f t="shared" si="244"/>
        <v>-5</v>
      </c>
      <c r="R1125" s="26" t="b">
        <f t="shared" si="245"/>
        <v>0</v>
      </c>
      <c r="S1125" s="28" t="str">
        <f t="shared" si="246"/>
        <v>GROWTH</v>
      </c>
      <c r="T1125" s="24">
        <v>40</v>
      </c>
      <c r="U1125" s="29" t="str">
        <f t="shared" si="247"/>
        <v>May</v>
      </c>
      <c r="V1125" s="24">
        <f t="shared" si="248"/>
        <v>40</v>
      </c>
      <c r="W1125" s="30">
        <f t="shared" si="249"/>
        <v>-15</v>
      </c>
      <c r="X1125" s="31" t="b">
        <f t="shared" si="250"/>
        <v>0</v>
      </c>
      <c r="Y1125" s="32" t="str">
        <f t="shared" si="251"/>
        <v>GROWTH</v>
      </c>
      <c r="Z1125" s="41">
        <v>0</v>
      </c>
      <c r="AA1125" s="36"/>
      <c r="AB1125" s="36" t="s">
        <v>24</v>
      </c>
      <c r="AC1125" s="36" t="s">
        <v>2185</v>
      </c>
      <c r="AD1125" s="34"/>
      <c r="AE1125" s="35">
        <f>IFERROR(INDEX([1]Last6M_AvgSales_Ref!$B$2:$B$12659,MATCH(D1125,[1]Last6M_AvgSales_Ref!$A$2:$A$12659,0)),"")</f>
        <v>27.5</v>
      </c>
    </row>
    <row r="1126" spans="1:31" ht="14.25" customHeight="1" x14ac:dyDescent="0.3">
      <c r="A1126" s="36" t="s">
        <v>2185</v>
      </c>
      <c r="B1126" s="44" t="s">
        <v>2287</v>
      </c>
      <c r="C1126" s="44" t="s">
        <v>2312</v>
      </c>
      <c r="D1126" s="44">
        <v>1000003945</v>
      </c>
      <c r="E1126" s="44" t="s">
        <v>2313</v>
      </c>
      <c r="F1126" s="40">
        <v>45422</v>
      </c>
      <c r="G1126" s="22" t="str">
        <f t="shared" si="238"/>
        <v>Targeted Dealer</v>
      </c>
      <c r="H1126" s="22"/>
      <c r="I1126" s="23">
        <v>30</v>
      </c>
      <c r="J1126" s="23">
        <f t="shared" si="239"/>
        <v>30</v>
      </c>
      <c r="K1126" s="24">
        <v>60</v>
      </c>
      <c r="L1126" s="24">
        <f t="shared" si="240"/>
        <v>-30</v>
      </c>
      <c r="M1126" s="24">
        <f t="shared" si="241"/>
        <v>200</v>
      </c>
      <c r="N1126" s="25">
        <v>50</v>
      </c>
      <c r="O1126" s="26" t="str">
        <f t="shared" si="242"/>
        <v>June</v>
      </c>
      <c r="P1126" s="25">
        <f t="shared" si="243"/>
        <v>50</v>
      </c>
      <c r="Q1126" s="27">
        <f t="shared" si="244"/>
        <v>10</v>
      </c>
      <c r="R1126" s="26" t="b">
        <f t="shared" si="245"/>
        <v>0</v>
      </c>
      <c r="S1126" s="28" t="str">
        <f t="shared" si="246"/>
        <v>GROWTH</v>
      </c>
      <c r="T1126" s="24">
        <v>75</v>
      </c>
      <c r="U1126" s="29" t="str">
        <f t="shared" si="247"/>
        <v>May</v>
      </c>
      <c r="V1126" s="24">
        <f t="shared" si="248"/>
        <v>75</v>
      </c>
      <c r="W1126" s="30">
        <f t="shared" si="249"/>
        <v>-15</v>
      </c>
      <c r="X1126" s="31" t="b">
        <f t="shared" si="250"/>
        <v>0</v>
      </c>
      <c r="Y1126" s="32" t="str">
        <f t="shared" si="251"/>
        <v>GROWTH</v>
      </c>
      <c r="Z1126" s="41">
        <v>0</v>
      </c>
      <c r="AA1126" s="36"/>
      <c r="AB1126" s="36" t="s">
        <v>24</v>
      </c>
      <c r="AC1126" s="36" t="s">
        <v>2185</v>
      </c>
      <c r="AD1126" s="34"/>
      <c r="AE1126" s="35">
        <f>IFERROR(INDEX([1]Last6M_AvgSales_Ref!$B$2:$B$12659,MATCH(D1126,[1]Last6M_AvgSales_Ref!$A$2:$A$12659,0)),"")</f>
        <v>45.8333333333333</v>
      </c>
    </row>
    <row r="1127" spans="1:31" ht="14.25" customHeight="1" x14ac:dyDescent="0.3">
      <c r="A1127" s="41" t="s">
        <v>2185</v>
      </c>
      <c r="B1127" s="44" t="s">
        <v>2287</v>
      </c>
      <c r="C1127" s="44" t="s">
        <v>2314</v>
      </c>
      <c r="D1127" s="44">
        <v>1000003991</v>
      </c>
      <c r="E1127" s="44" t="s">
        <v>2315</v>
      </c>
      <c r="F1127" s="40">
        <v>45443</v>
      </c>
      <c r="G1127" s="22" t="str">
        <f t="shared" si="238"/>
        <v>Targeted Dealer</v>
      </c>
      <c r="H1127" s="22"/>
      <c r="I1127" s="23">
        <v>25</v>
      </c>
      <c r="J1127" s="23">
        <f t="shared" si="239"/>
        <v>25</v>
      </c>
      <c r="K1127" s="24">
        <v>25</v>
      </c>
      <c r="L1127" s="24">
        <f t="shared" si="240"/>
        <v>0</v>
      </c>
      <c r="M1127" s="24">
        <f t="shared" si="241"/>
        <v>100</v>
      </c>
      <c r="N1127" s="25">
        <v>50</v>
      </c>
      <c r="O1127" s="26" t="str">
        <f t="shared" si="242"/>
        <v>June</v>
      </c>
      <c r="P1127" s="25">
        <f t="shared" si="243"/>
        <v>50</v>
      </c>
      <c r="Q1127" s="27">
        <f t="shared" si="244"/>
        <v>-25</v>
      </c>
      <c r="R1127" s="26" t="b">
        <f t="shared" si="245"/>
        <v>0</v>
      </c>
      <c r="S1127" s="28" t="str">
        <f t="shared" si="246"/>
        <v>GROWTH</v>
      </c>
      <c r="T1127" s="24">
        <v>25</v>
      </c>
      <c r="U1127" s="29" t="str">
        <f t="shared" si="247"/>
        <v>May</v>
      </c>
      <c r="V1127" s="24">
        <f t="shared" si="248"/>
        <v>25</v>
      </c>
      <c r="W1127" s="30">
        <f t="shared" si="249"/>
        <v>0</v>
      </c>
      <c r="X1127" s="31" t="b">
        <f t="shared" si="250"/>
        <v>0</v>
      </c>
      <c r="Y1127" s="32" t="str">
        <f t="shared" si="251"/>
        <v>GROWTH</v>
      </c>
      <c r="Z1127" s="41">
        <v>0</v>
      </c>
      <c r="AA1127" s="36"/>
      <c r="AB1127" s="36" t="s">
        <v>24</v>
      </c>
      <c r="AC1127" s="41" t="s">
        <v>2185</v>
      </c>
      <c r="AD1127" s="34"/>
      <c r="AE1127" s="35">
        <f>IFERROR(INDEX([1]Last6M_AvgSales_Ref!$B$2:$B$12659,MATCH(D1127,[1]Last6M_AvgSales_Ref!$A$2:$A$12659,0)),"")</f>
        <v>29.1666666666667</v>
      </c>
    </row>
    <row r="1128" spans="1:31" ht="14.25" customHeight="1" x14ac:dyDescent="0.3">
      <c r="A1128" s="36" t="s">
        <v>2185</v>
      </c>
      <c r="B1128" s="38" t="s">
        <v>2316</v>
      </c>
      <c r="C1128" s="38" t="s">
        <v>2317</v>
      </c>
      <c r="D1128" s="38">
        <v>1000002559</v>
      </c>
      <c r="E1128" s="39" t="s">
        <v>2318</v>
      </c>
      <c r="F1128" s="40">
        <v>44739</v>
      </c>
      <c r="G1128" s="22" t="str">
        <f t="shared" si="238"/>
        <v>Targeted Dealer</v>
      </c>
      <c r="H1128" s="22"/>
      <c r="I1128" s="23">
        <v>50</v>
      </c>
      <c r="J1128" s="23">
        <f t="shared" si="239"/>
        <v>50</v>
      </c>
      <c r="K1128" s="24">
        <v>55</v>
      </c>
      <c r="L1128" s="24">
        <f t="shared" si="240"/>
        <v>-5</v>
      </c>
      <c r="M1128" s="24">
        <f t="shared" si="241"/>
        <v>110</v>
      </c>
      <c r="N1128" s="25">
        <v>60</v>
      </c>
      <c r="O1128" s="26" t="str">
        <f t="shared" si="242"/>
        <v>June</v>
      </c>
      <c r="P1128" s="25">
        <f t="shared" si="243"/>
        <v>60</v>
      </c>
      <c r="Q1128" s="27">
        <f t="shared" si="244"/>
        <v>-5</v>
      </c>
      <c r="R1128" s="26" t="b">
        <f t="shared" si="245"/>
        <v>0</v>
      </c>
      <c r="S1128" s="28" t="str">
        <f t="shared" si="246"/>
        <v>GROWTH</v>
      </c>
      <c r="T1128" s="24">
        <v>0</v>
      </c>
      <c r="U1128" s="29" t="str">
        <f t="shared" si="247"/>
        <v>May</v>
      </c>
      <c r="V1128" s="24">
        <f t="shared" si="248"/>
        <v>0</v>
      </c>
      <c r="W1128" s="30">
        <f t="shared" si="249"/>
        <v>55</v>
      </c>
      <c r="X1128" s="31" t="b">
        <f t="shared" si="250"/>
        <v>0</v>
      </c>
      <c r="Y1128" s="32" t="b">
        <f t="shared" si="251"/>
        <v>0</v>
      </c>
      <c r="Z1128" s="41">
        <v>0</v>
      </c>
      <c r="AA1128" s="36"/>
      <c r="AB1128" s="36" t="s">
        <v>24</v>
      </c>
      <c r="AC1128" s="36" t="s">
        <v>2185</v>
      </c>
      <c r="AD1128" s="34"/>
      <c r="AE1128" s="35">
        <f>IFERROR(INDEX([1]Last6M_AvgSales_Ref!$B$2:$B$12659,MATCH(D1128,[1]Last6M_AvgSales_Ref!$A$2:$A$12659,0)),"")</f>
        <v>41.6666666666667</v>
      </c>
    </row>
    <row r="1129" spans="1:31" ht="14.25" customHeight="1" x14ac:dyDescent="0.3">
      <c r="A1129" s="36" t="s">
        <v>2185</v>
      </c>
      <c r="B1129" s="38" t="s">
        <v>2316</v>
      </c>
      <c r="C1129" s="38" t="s">
        <v>2319</v>
      </c>
      <c r="D1129" s="38">
        <v>1000001177</v>
      </c>
      <c r="E1129" s="39" t="s">
        <v>2320</v>
      </c>
      <c r="F1129" s="40">
        <v>41573</v>
      </c>
      <c r="G1129" s="22" t="str">
        <f t="shared" si="238"/>
        <v>Targeted Dealer</v>
      </c>
      <c r="H1129" s="22"/>
      <c r="I1129" s="23">
        <v>60</v>
      </c>
      <c r="J1129" s="23">
        <f t="shared" si="239"/>
        <v>60</v>
      </c>
      <c r="K1129" s="24">
        <v>60</v>
      </c>
      <c r="L1129" s="24">
        <f t="shared" si="240"/>
        <v>0</v>
      </c>
      <c r="M1129" s="24">
        <f t="shared" si="241"/>
        <v>100</v>
      </c>
      <c r="N1129" s="25">
        <v>0</v>
      </c>
      <c r="O1129" s="26" t="str">
        <f t="shared" si="242"/>
        <v>June</v>
      </c>
      <c r="P1129" s="25">
        <f t="shared" si="243"/>
        <v>0</v>
      </c>
      <c r="Q1129" s="27">
        <f t="shared" si="244"/>
        <v>60</v>
      </c>
      <c r="R1129" s="26" t="b">
        <f t="shared" si="245"/>
        <v>0</v>
      </c>
      <c r="S1129" s="28" t="b">
        <f t="shared" si="246"/>
        <v>0</v>
      </c>
      <c r="T1129" s="24">
        <v>65</v>
      </c>
      <c r="U1129" s="29" t="str">
        <f t="shared" si="247"/>
        <v>May</v>
      </c>
      <c r="V1129" s="24">
        <f t="shared" si="248"/>
        <v>65</v>
      </c>
      <c r="W1129" s="30">
        <f t="shared" si="249"/>
        <v>-5</v>
      </c>
      <c r="X1129" s="31" t="b">
        <f t="shared" si="250"/>
        <v>0</v>
      </c>
      <c r="Y1129" s="32" t="str">
        <f t="shared" si="251"/>
        <v>GROWTH</v>
      </c>
      <c r="Z1129" s="41">
        <v>0</v>
      </c>
      <c r="AA1129" s="36"/>
      <c r="AB1129" s="36" t="s">
        <v>24</v>
      </c>
      <c r="AC1129" s="36" t="s">
        <v>2185</v>
      </c>
      <c r="AD1129" s="34"/>
      <c r="AE1129" s="35">
        <f>IFERROR(INDEX([1]Last6M_AvgSales_Ref!$B$2:$B$12659,MATCH(D1129,[1]Last6M_AvgSales_Ref!$A$2:$A$12659,0)),"")</f>
        <v>29.9166666666667</v>
      </c>
    </row>
    <row r="1130" spans="1:31" ht="14.25" customHeight="1" x14ac:dyDescent="0.3">
      <c r="A1130" s="36" t="s">
        <v>2185</v>
      </c>
      <c r="B1130" s="38" t="s">
        <v>2316</v>
      </c>
      <c r="C1130" s="38" t="s">
        <v>2321</v>
      </c>
      <c r="D1130" s="38">
        <v>1000001170</v>
      </c>
      <c r="E1130" s="39" t="s">
        <v>2322</v>
      </c>
      <c r="F1130" s="40">
        <v>41660</v>
      </c>
      <c r="G1130" s="22" t="str">
        <f t="shared" si="238"/>
        <v>Targeted Dealer</v>
      </c>
      <c r="H1130" s="22"/>
      <c r="I1130" s="23">
        <v>125</v>
      </c>
      <c r="J1130" s="23">
        <f t="shared" si="239"/>
        <v>125.00000000000001</v>
      </c>
      <c r="K1130" s="24">
        <v>155</v>
      </c>
      <c r="L1130" s="24">
        <f t="shared" si="240"/>
        <v>-30</v>
      </c>
      <c r="M1130" s="24">
        <f t="shared" si="241"/>
        <v>123.99999999999997</v>
      </c>
      <c r="N1130" s="25">
        <v>225</v>
      </c>
      <c r="O1130" s="26" t="str">
        <f t="shared" si="242"/>
        <v>June</v>
      </c>
      <c r="P1130" s="25">
        <f t="shared" si="243"/>
        <v>225</v>
      </c>
      <c r="Q1130" s="27">
        <f t="shared" si="244"/>
        <v>-70</v>
      </c>
      <c r="R1130" s="26" t="b">
        <f t="shared" si="245"/>
        <v>0</v>
      </c>
      <c r="S1130" s="28" t="str">
        <f t="shared" si="246"/>
        <v>GROWTH</v>
      </c>
      <c r="T1130" s="24">
        <v>115</v>
      </c>
      <c r="U1130" s="29" t="str">
        <f t="shared" si="247"/>
        <v>May</v>
      </c>
      <c r="V1130" s="24">
        <f t="shared" si="248"/>
        <v>115</v>
      </c>
      <c r="W1130" s="30">
        <f t="shared" si="249"/>
        <v>40</v>
      </c>
      <c r="X1130" s="31" t="b">
        <f t="shared" si="250"/>
        <v>0</v>
      </c>
      <c r="Y1130" s="32" t="str">
        <f t="shared" si="251"/>
        <v>GROWTH</v>
      </c>
      <c r="Z1130" s="41">
        <v>0</v>
      </c>
      <c r="AA1130" s="36"/>
      <c r="AB1130" s="36" t="s">
        <v>24</v>
      </c>
      <c r="AC1130" s="36" t="s">
        <v>2185</v>
      </c>
      <c r="AD1130" s="34"/>
      <c r="AE1130" s="35">
        <f>IFERROR(INDEX([1]Last6M_AvgSales_Ref!$B$2:$B$12659,MATCH(D1130,[1]Last6M_AvgSales_Ref!$A$2:$A$12659,0)),"")</f>
        <v>127.5</v>
      </c>
    </row>
    <row r="1131" spans="1:31" ht="14.25" customHeight="1" x14ac:dyDescent="0.3">
      <c r="A1131" s="36" t="s">
        <v>2185</v>
      </c>
      <c r="B1131" s="38" t="s">
        <v>2316</v>
      </c>
      <c r="C1131" s="38" t="s">
        <v>2323</v>
      </c>
      <c r="D1131" s="38">
        <v>1000001178</v>
      </c>
      <c r="E1131" s="39" t="s">
        <v>2324</v>
      </c>
      <c r="F1131" s="40">
        <v>41732</v>
      </c>
      <c r="G1131" s="22" t="str">
        <f t="shared" si="238"/>
        <v>Targeted Dealer</v>
      </c>
      <c r="H1131" s="22"/>
      <c r="I1131" s="23">
        <v>90</v>
      </c>
      <c r="J1131" s="23">
        <f t="shared" si="239"/>
        <v>90</v>
      </c>
      <c r="K1131" s="24">
        <v>120</v>
      </c>
      <c r="L1131" s="24">
        <f t="shared" si="240"/>
        <v>-30</v>
      </c>
      <c r="M1131" s="24">
        <f t="shared" si="241"/>
        <v>133.33333333333334</v>
      </c>
      <c r="N1131" s="25">
        <v>90</v>
      </c>
      <c r="O1131" s="26" t="str">
        <f t="shared" si="242"/>
        <v>June</v>
      </c>
      <c r="P1131" s="25">
        <f t="shared" si="243"/>
        <v>90</v>
      </c>
      <c r="Q1131" s="27">
        <f t="shared" si="244"/>
        <v>30</v>
      </c>
      <c r="R1131" s="26" t="b">
        <f t="shared" si="245"/>
        <v>0</v>
      </c>
      <c r="S1131" s="28" t="str">
        <f t="shared" si="246"/>
        <v>GROWTH</v>
      </c>
      <c r="T1131" s="24">
        <v>90</v>
      </c>
      <c r="U1131" s="29" t="str">
        <f t="shared" si="247"/>
        <v>May</v>
      </c>
      <c r="V1131" s="24">
        <f t="shared" si="248"/>
        <v>90</v>
      </c>
      <c r="W1131" s="30">
        <f t="shared" si="249"/>
        <v>30</v>
      </c>
      <c r="X1131" s="31" t="b">
        <f t="shared" si="250"/>
        <v>0</v>
      </c>
      <c r="Y1131" s="32" t="str">
        <f t="shared" si="251"/>
        <v>GROWTH</v>
      </c>
      <c r="Z1131" s="41">
        <v>0</v>
      </c>
      <c r="AA1131" s="36"/>
      <c r="AB1131" s="36" t="s">
        <v>24</v>
      </c>
      <c r="AC1131" s="36" t="s">
        <v>2185</v>
      </c>
      <c r="AD1131" s="34"/>
      <c r="AE1131" s="35">
        <f>IFERROR(INDEX([1]Last6M_AvgSales_Ref!$B$2:$B$12659,MATCH(D1131,[1]Last6M_AvgSales_Ref!$A$2:$A$12659,0)),"")</f>
        <v>94.1666666666667</v>
      </c>
    </row>
    <row r="1132" spans="1:31" ht="14.25" customHeight="1" x14ac:dyDescent="0.3">
      <c r="A1132" s="36" t="s">
        <v>2185</v>
      </c>
      <c r="B1132" s="38" t="s">
        <v>2316</v>
      </c>
      <c r="C1132" s="38" t="s">
        <v>2325</v>
      </c>
      <c r="D1132" s="38">
        <v>1000001174</v>
      </c>
      <c r="E1132" s="39" t="s">
        <v>2326</v>
      </c>
      <c r="F1132" s="40">
        <v>41746</v>
      </c>
      <c r="G1132" s="22" t="str">
        <f t="shared" si="238"/>
        <v>Targeted Dealer</v>
      </c>
      <c r="H1132" s="22"/>
      <c r="I1132" s="23">
        <v>75</v>
      </c>
      <c r="J1132" s="23">
        <f t="shared" si="239"/>
        <v>75</v>
      </c>
      <c r="K1132" s="24">
        <v>55</v>
      </c>
      <c r="L1132" s="24">
        <f t="shared" si="240"/>
        <v>20</v>
      </c>
      <c r="M1132" s="24">
        <f t="shared" si="241"/>
        <v>73.333333333333329</v>
      </c>
      <c r="N1132" s="25">
        <v>80</v>
      </c>
      <c r="O1132" s="26" t="str">
        <f t="shared" si="242"/>
        <v>June</v>
      </c>
      <c r="P1132" s="25">
        <f t="shared" si="243"/>
        <v>80</v>
      </c>
      <c r="Q1132" s="27">
        <f t="shared" si="244"/>
        <v>-25</v>
      </c>
      <c r="R1132" s="26" t="b">
        <f t="shared" si="245"/>
        <v>0</v>
      </c>
      <c r="S1132" s="28" t="str">
        <f t="shared" si="246"/>
        <v>GROWTH</v>
      </c>
      <c r="T1132" s="24">
        <v>80</v>
      </c>
      <c r="U1132" s="29" t="str">
        <f t="shared" si="247"/>
        <v>May</v>
      </c>
      <c r="V1132" s="24">
        <f t="shared" si="248"/>
        <v>80</v>
      </c>
      <c r="W1132" s="30">
        <f t="shared" si="249"/>
        <v>-25</v>
      </c>
      <c r="X1132" s="31" t="b">
        <f t="shared" si="250"/>
        <v>0</v>
      </c>
      <c r="Y1132" s="32" t="str">
        <f t="shared" si="251"/>
        <v>GROWTH</v>
      </c>
      <c r="Z1132" s="41">
        <v>0</v>
      </c>
      <c r="AA1132" s="36"/>
      <c r="AB1132" s="36" t="s">
        <v>24</v>
      </c>
      <c r="AC1132" s="36" t="s">
        <v>2185</v>
      </c>
      <c r="AD1132" s="34"/>
      <c r="AE1132" s="35">
        <f>IFERROR(INDEX([1]Last6M_AvgSales_Ref!$B$2:$B$12659,MATCH(D1132,[1]Last6M_AvgSales_Ref!$A$2:$A$12659,0)),"")</f>
        <v>78.3333333333333</v>
      </c>
    </row>
    <row r="1133" spans="1:31" ht="14.25" customHeight="1" x14ac:dyDescent="0.3">
      <c r="A1133" s="36" t="s">
        <v>2185</v>
      </c>
      <c r="B1133" s="38" t="s">
        <v>2316</v>
      </c>
      <c r="C1133" s="38" t="s">
        <v>2327</v>
      </c>
      <c r="D1133" s="38">
        <v>1000001165</v>
      </c>
      <c r="E1133" s="39" t="s">
        <v>2328</v>
      </c>
      <c r="F1133" s="40">
        <v>42146</v>
      </c>
      <c r="G1133" s="22" t="str">
        <f t="shared" si="238"/>
        <v>Targeted Dealer</v>
      </c>
      <c r="H1133" s="22"/>
      <c r="I1133" s="23">
        <v>125</v>
      </c>
      <c r="J1133" s="23">
        <f t="shared" si="239"/>
        <v>125.00000000000001</v>
      </c>
      <c r="K1133" s="24">
        <v>150.5</v>
      </c>
      <c r="L1133" s="24">
        <f t="shared" si="240"/>
        <v>-25.5</v>
      </c>
      <c r="M1133" s="24">
        <f t="shared" si="241"/>
        <v>120.39999999999998</v>
      </c>
      <c r="N1133" s="25">
        <v>130</v>
      </c>
      <c r="O1133" s="26" t="str">
        <f t="shared" si="242"/>
        <v>June</v>
      </c>
      <c r="P1133" s="25">
        <f t="shared" si="243"/>
        <v>130</v>
      </c>
      <c r="Q1133" s="27">
        <f t="shared" si="244"/>
        <v>20.5</v>
      </c>
      <c r="R1133" s="26" t="b">
        <f t="shared" si="245"/>
        <v>0</v>
      </c>
      <c r="S1133" s="28" t="str">
        <f t="shared" si="246"/>
        <v>GROWTH</v>
      </c>
      <c r="T1133" s="24">
        <v>130</v>
      </c>
      <c r="U1133" s="29" t="str">
        <f t="shared" si="247"/>
        <v>May</v>
      </c>
      <c r="V1133" s="24">
        <f t="shared" si="248"/>
        <v>130</v>
      </c>
      <c r="W1133" s="30">
        <f t="shared" si="249"/>
        <v>20.5</v>
      </c>
      <c r="X1133" s="31" t="b">
        <f t="shared" si="250"/>
        <v>0</v>
      </c>
      <c r="Y1133" s="32" t="str">
        <f t="shared" si="251"/>
        <v>GROWTH</v>
      </c>
      <c r="Z1133" s="41">
        <v>0</v>
      </c>
      <c r="AA1133" s="36"/>
      <c r="AB1133" s="36" t="s">
        <v>24</v>
      </c>
      <c r="AC1133" s="36" t="s">
        <v>2185</v>
      </c>
      <c r="AD1133" s="34"/>
      <c r="AE1133" s="35">
        <f>IFERROR(INDEX([1]Last6M_AvgSales_Ref!$B$2:$B$12659,MATCH(D1133,[1]Last6M_AvgSales_Ref!$A$2:$A$12659,0)),"")</f>
        <v>141.583333333333</v>
      </c>
    </row>
    <row r="1134" spans="1:31" ht="14.25" customHeight="1" x14ac:dyDescent="0.3">
      <c r="A1134" s="36" t="s">
        <v>2185</v>
      </c>
      <c r="B1134" s="38" t="s">
        <v>2316</v>
      </c>
      <c r="C1134" s="38" t="s">
        <v>2329</v>
      </c>
      <c r="D1134" s="38">
        <v>1000001186</v>
      </c>
      <c r="E1134" s="39" t="s">
        <v>2330</v>
      </c>
      <c r="F1134" s="40">
        <v>43643</v>
      </c>
      <c r="G1134" s="22" t="str">
        <f t="shared" si="238"/>
        <v>Targeted Dealer</v>
      </c>
      <c r="H1134" s="22"/>
      <c r="I1134" s="23">
        <v>100</v>
      </c>
      <c r="J1134" s="23">
        <f t="shared" si="239"/>
        <v>100</v>
      </c>
      <c r="K1134" s="24">
        <v>90</v>
      </c>
      <c r="L1134" s="24">
        <f t="shared" si="240"/>
        <v>10</v>
      </c>
      <c r="M1134" s="24">
        <f t="shared" si="241"/>
        <v>90</v>
      </c>
      <c r="N1134" s="25">
        <v>100</v>
      </c>
      <c r="O1134" s="26" t="str">
        <f t="shared" si="242"/>
        <v>June</v>
      </c>
      <c r="P1134" s="25">
        <f t="shared" si="243"/>
        <v>100</v>
      </c>
      <c r="Q1134" s="27">
        <f t="shared" si="244"/>
        <v>-10</v>
      </c>
      <c r="R1134" s="26" t="b">
        <f t="shared" si="245"/>
        <v>0</v>
      </c>
      <c r="S1134" s="28" t="str">
        <f t="shared" si="246"/>
        <v>GROWTH</v>
      </c>
      <c r="T1134" s="24">
        <v>195</v>
      </c>
      <c r="U1134" s="29" t="str">
        <f t="shared" si="247"/>
        <v>May</v>
      </c>
      <c r="V1134" s="24">
        <f t="shared" si="248"/>
        <v>195</v>
      </c>
      <c r="W1134" s="30">
        <f t="shared" si="249"/>
        <v>-105</v>
      </c>
      <c r="X1134" s="31" t="b">
        <f t="shared" si="250"/>
        <v>0</v>
      </c>
      <c r="Y1134" s="32" t="str">
        <f t="shared" si="251"/>
        <v>GROWTH</v>
      </c>
      <c r="Z1134" s="41">
        <v>0</v>
      </c>
      <c r="AA1134" s="36"/>
      <c r="AB1134" s="36" t="s">
        <v>24</v>
      </c>
      <c r="AC1134" s="36" t="s">
        <v>2185</v>
      </c>
      <c r="AD1134" s="34"/>
      <c r="AE1134" s="35">
        <f>IFERROR(INDEX([1]Last6M_AvgSales_Ref!$B$2:$B$12659,MATCH(D1134,[1]Last6M_AvgSales_Ref!$A$2:$A$12659,0)),"")</f>
        <v>128.291666666667</v>
      </c>
    </row>
    <row r="1135" spans="1:31" ht="14.25" customHeight="1" x14ac:dyDescent="0.3">
      <c r="A1135" s="36" t="s">
        <v>2185</v>
      </c>
      <c r="B1135" s="38" t="s">
        <v>2316</v>
      </c>
      <c r="C1135" s="38" t="s">
        <v>2331</v>
      </c>
      <c r="D1135" s="38">
        <v>1000001183</v>
      </c>
      <c r="E1135" s="39" t="s">
        <v>2332</v>
      </c>
      <c r="F1135" s="40">
        <v>43809</v>
      </c>
      <c r="G1135" s="22" t="str">
        <f t="shared" si="238"/>
        <v>Targeted Dealer</v>
      </c>
      <c r="H1135" s="22"/>
      <c r="I1135" s="23">
        <v>135</v>
      </c>
      <c r="J1135" s="23">
        <f t="shared" si="239"/>
        <v>135</v>
      </c>
      <c r="K1135" s="24">
        <v>180</v>
      </c>
      <c r="L1135" s="24">
        <f t="shared" si="240"/>
        <v>-45</v>
      </c>
      <c r="M1135" s="24">
        <f t="shared" si="241"/>
        <v>133.33333333333331</v>
      </c>
      <c r="N1135" s="25">
        <v>145</v>
      </c>
      <c r="O1135" s="26" t="str">
        <f t="shared" si="242"/>
        <v>June</v>
      </c>
      <c r="P1135" s="25">
        <f t="shared" si="243"/>
        <v>145</v>
      </c>
      <c r="Q1135" s="27">
        <f t="shared" si="244"/>
        <v>35</v>
      </c>
      <c r="R1135" s="26" t="b">
        <f t="shared" si="245"/>
        <v>0</v>
      </c>
      <c r="S1135" s="28" t="str">
        <f t="shared" si="246"/>
        <v>GROWTH</v>
      </c>
      <c r="T1135" s="24">
        <v>205</v>
      </c>
      <c r="U1135" s="29" t="str">
        <f t="shared" si="247"/>
        <v>May</v>
      </c>
      <c r="V1135" s="24">
        <f t="shared" si="248"/>
        <v>205</v>
      </c>
      <c r="W1135" s="30">
        <f t="shared" si="249"/>
        <v>-25</v>
      </c>
      <c r="X1135" s="31" t="b">
        <f t="shared" si="250"/>
        <v>0</v>
      </c>
      <c r="Y1135" s="32" t="str">
        <f t="shared" si="251"/>
        <v>GROWTH</v>
      </c>
      <c r="Z1135" s="41">
        <v>0</v>
      </c>
      <c r="AA1135" s="36"/>
      <c r="AB1135" s="36" t="s">
        <v>24</v>
      </c>
      <c r="AC1135" s="36" t="s">
        <v>2185</v>
      </c>
      <c r="AD1135" s="34"/>
      <c r="AE1135" s="35">
        <f>IFERROR(INDEX([1]Last6M_AvgSales_Ref!$B$2:$B$12659,MATCH(D1135,[1]Last6M_AvgSales_Ref!$A$2:$A$12659,0)),"")</f>
        <v>142.458333333333</v>
      </c>
    </row>
    <row r="1136" spans="1:31" ht="14.25" customHeight="1" x14ac:dyDescent="0.3">
      <c r="A1136" s="36" t="s">
        <v>2185</v>
      </c>
      <c r="B1136" s="38" t="s">
        <v>2316</v>
      </c>
      <c r="C1136" s="38" t="s">
        <v>2333</v>
      </c>
      <c r="D1136" s="38">
        <v>1000001988</v>
      </c>
      <c r="E1136" s="39" t="s">
        <v>2334</v>
      </c>
      <c r="F1136" s="40">
        <v>44446</v>
      </c>
      <c r="G1136" s="22" t="str">
        <f t="shared" si="238"/>
        <v>Targeted Dealer</v>
      </c>
      <c r="H1136" s="22"/>
      <c r="I1136" s="23">
        <v>60</v>
      </c>
      <c r="J1136" s="23">
        <f t="shared" si="239"/>
        <v>60</v>
      </c>
      <c r="K1136" s="24">
        <v>30</v>
      </c>
      <c r="L1136" s="24">
        <f t="shared" si="240"/>
        <v>30</v>
      </c>
      <c r="M1136" s="24">
        <f t="shared" si="241"/>
        <v>50</v>
      </c>
      <c r="N1136" s="25">
        <v>60</v>
      </c>
      <c r="O1136" s="26" t="str">
        <f t="shared" si="242"/>
        <v>June</v>
      </c>
      <c r="P1136" s="25">
        <f t="shared" si="243"/>
        <v>60</v>
      </c>
      <c r="Q1136" s="27">
        <f t="shared" si="244"/>
        <v>-30</v>
      </c>
      <c r="R1136" s="26" t="b">
        <f t="shared" si="245"/>
        <v>0</v>
      </c>
      <c r="S1136" s="28" t="str">
        <f t="shared" si="246"/>
        <v>GROWTH</v>
      </c>
      <c r="T1136" s="24">
        <v>25</v>
      </c>
      <c r="U1136" s="29" t="str">
        <f t="shared" si="247"/>
        <v>May</v>
      </c>
      <c r="V1136" s="24">
        <f t="shared" si="248"/>
        <v>25</v>
      </c>
      <c r="W1136" s="30">
        <f t="shared" si="249"/>
        <v>5</v>
      </c>
      <c r="X1136" s="31" t="b">
        <f t="shared" si="250"/>
        <v>0</v>
      </c>
      <c r="Y1136" s="32" t="str">
        <f t="shared" si="251"/>
        <v>GROWTH</v>
      </c>
      <c r="Z1136" s="41">
        <v>0</v>
      </c>
      <c r="AA1136" s="36"/>
      <c r="AB1136" s="36" t="s">
        <v>24</v>
      </c>
      <c r="AC1136" s="36" t="s">
        <v>2185</v>
      </c>
      <c r="AD1136" s="34"/>
      <c r="AE1136" s="35">
        <f>IFERROR(INDEX([1]Last6M_AvgSales_Ref!$B$2:$B$12659,MATCH(D1136,[1]Last6M_AvgSales_Ref!$A$2:$A$12659,0)),"")</f>
        <v>44.1666666666667</v>
      </c>
    </row>
    <row r="1137" spans="1:31" ht="14.25" customHeight="1" x14ac:dyDescent="0.3">
      <c r="A1137" s="36" t="s">
        <v>2185</v>
      </c>
      <c r="B1137" s="38" t="s">
        <v>2316</v>
      </c>
      <c r="C1137" s="38" t="s">
        <v>2335</v>
      </c>
      <c r="D1137" s="38">
        <v>1000002030</v>
      </c>
      <c r="E1137" s="39" t="s">
        <v>2336</v>
      </c>
      <c r="F1137" s="40">
        <v>44509</v>
      </c>
      <c r="G1137" s="22" t="str">
        <f t="shared" si="238"/>
        <v>Targeted Dealer</v>
      </c>
      <c r="H1137" s="22"/>
      <c r="I1137" s="23">
        <v>225</v>
      </c>
      <c r="J1137" s="23">
        <f t="shared" si="239"/>
        <v>225</v>
      </c>
      <c r="K1137" s="24">
        <v>265</v>
      </c>
      <c r="L1137" s="24">
        <f t="shared" si="240"/>
        <v>-40</v>
      </c>
      <c r="M1137" s="24">
        <f t="shared" si="241"/>
        <v>117.77777777777777</v>
      </c>
      <c r="N1137" s="25">
        <v>150</v>
      </c>
      <c r="O1137" s="26" t="str">
        <f t="shared" si="242"/>
        <v>June</v>
      </c>
      <c r="P1137" s="25">
        <f t="shared" si="243"/>
        <v>150</v>
      </c>
      <c r="Q1137" s="27">
        <f t="shared" si="244"/>
        <v>115</v>
      </c>
      <c r="R1137" s="26" t="b">
        <f t="shared" si="245"/>
        <v>0</v>
      </c>
      <c r="S1137" s="28" t="str">
        <f t="shared" si="246"/>
        <v>GROWTH</v>
      </c>
      <c r="T1137" s="24">
        <v>175</v>
      </c>
      <c r="U1137" s="29" t="str">
        <f t="shared" si="247"/>
        <v>May</v>
      </c>
      <c r="V1137" s="24">
        <f t="shared" si="248"/>
        <v>175</v>
      </c>
      <c r="W1137" s="30">
        <f t="shared" si="249"/>
        <v>90</v>
      </c>
      <c r="X1137" s="31" t="b">
        <f t="shared" si="250"/>
        <v>0</v>
      </c>
      <c r="Y1137" s="32" t="str">
        <f t="shared" si="251"/>
        <v>GROWTH</v>
      </c>
      <c r="Z1137" s="41">
        <v>0</v>
      </c>
      <c r="AA1137" s="36"/>
      <c r="AB1137" s="36" t="s">
        <v>24</v>
      </c>
      <c r="AC1137" s="36" t="s">
        <v>2185</v>
      </c>
      <c r="AD1137" s="34"/>
      <c r="AE1137" s="35">
        <f>IFERROR(INDEX([1]Last6M_AvgSales_Ref!$B$2:$B$12659,MATCH(D1137,[1]Last6M_AvgSales_Ref!$A$2:$A$12659,0)),"")</f>
        <v>323.33333333333297</v>
      </c>
    </row>
    <row r="1138" spans="1:31" ht="14.25" customHeight="1" x14ac:dyDescent="0.3">
      <c r="A1138" s="36" t="s">
        <v>2185</v>
      </c>
      <c r="B1138" s="38" t="s">
        <v>2316</v>
      </c>
      <c r="C1138" s="38" t="s">
        <v>2337</v>
      </c>
      <c r="D1138" s="38">
        <v>1000002075</v>
      </c>
      <c r="E1138" s="39" t="s">
        <v>2338</v>
      </c>
      <c r="F1138" s="40">
        <v>44531</v>
      </c>
      <c r="G1138" s="22" t="str">
        <f t="shared" si="238"/>
        <v>Targeted Dealer</v>
      </c>
      <c r="H1138" s="22"/>
      <c r="I1138" s="23">
        <v>50</v>
      </c>
      <c r="J1138" s="23">
        <f t="shared" si="239"/>
        <v>50</v>
      </c>
      <c r="K1138" s="24">
        <v>50</v>
      </c>
      <c r="L1138" s="24">
        <f t="shared" si="240"/>
        <v>0</v>
      </c>
      <c r="M1138" s="24">
        <f t="shared" si="241"/>
        <v>100</v>
      </c>
      <c r="N1138" s="25">
        <v>25</v>
      </c>
      <c r="O1138" s="26" t="str">
        <f t="shared" si="242"/>
        <v>June</v>
      </c>
      <c r="P1138" s="25">
        <f t="shared" si="243"/>
        <v>25</v>
      </c>
      <c r="Q1138" s="27">
        <f t="shared" si="244"/>
        <v>25</v>
      </c>
      <c r="R1138" s="26" t="b">
        <f t="shared" si="245"/>
        <v>0</v>
      </c>
      <c r="S1138" s="28" t="str">
        <f t="shared" si="246"/>
        <v>GROWTH</v>
      </c>
      <c r="T1138" s="24">
        <v>80</v>
      </c>
      <c r="U1138" s="29" t="str">
        <f t="shared" si="247"/>
        <v>May</v>
      </c>
      <c r="V1138" s="24">
        <f t="shared" si="248"/>
        <v>80</v>
      </c>
      <c r="W1138" s="30">
        <f t="shared" si="249"/>
        <v>-30</v>
      </c>
      <c r="X1138" s="31" t="b">
        <f t="shared" si="250"/>
        <v>0</v>
      </c>
      <c r="Y1138" s="32" t="str">
        <f t="shared" si="251"/>
        <v>GROWTH</v>
      </c>
      <c r="Z1138" s="41">
        <v>0</v>
      </c>
      <c r="AA1138" s="36"/>
      <c r="AB1138" s="36" t="s">
        <v>24</v>
      </c>
      <c r="AC1138" s="36" t="s">
        <v>2185</v>
      </c>
      <c r="AD1138" s="34"/>
      <c r="AE1138" s="35">
        <f>IFERROR(INDEX([1]Last6M_AvgSales_Ref!$B$2:$B$12659,MATCH(D1138,[1]Last6M_AvgSales_Ref!$A$2:$A$12659,0)),"")</f>
        <v>37.5</v>
      </c>
    </row>
    <row r="1139" spans="1:31" ht="14.25" customHeight="1" x14ac:dyDescent="0.3">
      <c r="A1139" s="36" t="s">
        <v>2185</v>
      </c>
      <c r="B1139" s="38" t="s">
        <v>2316</v>
      </c>
      <c r="C1139" s="38" t="s">
        <v>2339</v>
      </c>
      <c r="D1139" s="38">
        <v>1000002064</v>
      </c>
      <c r="E1139" s="39" t="s">
        <v>2340</v>
      </c>
      <c r="F1139" s="40">
        <v>44543</v>
      </c>
      <c r="G1139" s="22" t="str">
        <f t="shared" si="238"/>
        <v>Targeted Dealer</v>
      </c>
      <c r="H1139" s="22"/>
      <c r="I1139" s="23">
        <v>200</v>
      </c>
      <c r="J1139" s="23">
        <f t="shared" si="239"/>
        <v>200</v>
      </c>
      <c r="K1139" s="24">
        <v>210</v>
      </c>
      <c r="L1139" s="24">
        <f t="shared" si="240"/>
        <v>-10</v>
      </c>
      <c r="M1139" s="24">
        <f t="shared" si="241"/>
        <v>105</v>
      </c>
      <c r="N1139" s="25">
        <v>210</v>
      </c>
      <c r="O1139" s="26" t="str">
        <f t="shared" si="242"/>
        <v>June</v>
      </c>
      <c r="P1139" s="25">
        <f t="shared" si="243"/>
        <v>210</v>
      </c>
      <c r="Q1139" s="27">
        <f t="shared" si="244"/>
        <v>0</v>
      </c>
      <c r="R1139" s="26" t="b">
        <f t="shared" si="245"/>
        <v>0</v>
      </c>
      <c r="S1139" s="28" t="str">
        <f t="shared" si="246"/>
        <v>GROWTH</v>
      </c>
      <c r="T1139" s="24">
        <v>235</v>
      </c>
      <c r="U1139" s="29" t="str">
        <f t="shared" si="247"/>
        <v>May</v>
      </c>
      <c r="V1139" s="24">
        <f t="shared" si="248"/>
        <v>235</v>
      </c>
      <c r="W1139" s="30">
        <f t="shared" si="249"/>
        <v>-25</v>
      </c>
      <c r="X1139" s="31" t="b">
        <f t="shared" si="250"/>
        <v>0</v>
      </c>
      <c r="Y1139" s="32" t="str">
        <f t="shared" si="251"/>
        <v>GROWTH</v>
      </c>
      <c r="Z1139" s="41">
        <v>0</v>
      </c>
      <c r="AA1139" s="36"/>
      <c r="AB1139" s="36" t="s">
        <v>24</v>
      </c>
      <c r="AC1139" s="36" t="s">
        <v>2185</v>
      </c>
      <c r="AD1139" s="34"/>
      <c r="AE1139" s="35">
        <f>IFERROR(INDEX([1]Last6M_AvgSales_Ref!$B$2:$B$12659,MATCH(D1139,[1]Last6M_AvgSales_Ref!$A$2:$A$12659,0)),"")</f>
        <v>234.166666666667</v>
      </c>
    </row>
    <row r="1140" spans="1:31" ht="14.25" customHeight="1" x14ac:dyDescent="0.3">
      <c r="A1140" s="36" t="s">
        <v>2185</v>
      </c>
      <c r="B1140" s="38" t="s">
        <v>2316</v>
      </c>
      <c r="C1140" s="38" t="s">
        <v>2341</v>
      </c>
      <c r="D1140" s="38">
        <v>1000002070</v>
      </c>
      <c r="E1140" s="39" t="s">
        <v>2342</v>
      </c>
      <c r="F1140" s="40">
        <v>44554</v>
      </c>
      <c r="G1140" s="22" t="str">
        <f t="shared" si="238"/>
        <v>Targeted Dealer</v>
      </c>
      <c r="H1140" s="22"/>
      <c r="I1140" s="23">
        <v>250</v>
      </c>
      <c r="J1140" s="23">
        <f t="shared" si="239"/>
        <v>250.00000000000003</v>
      </c>
      <c r="K1140" s="24">
        <v>270</v>
      </c>
      <c r="L1140" s="24">
        <f t="shared" si="240"/>
        <v>-20</v>
      </c>
      <c r="M1140" s="24">
        <f t="shared" si="241"/>
        <v>107.99999999999999</v>
      </c>
      <c r="N1140" s="25">
        <v>279</v>
      </c>
      <c r="O1140" s="26" t="str">
        <f t="shared" si="242"/>
        <v>June</v>
      </c>
      <c r="P1140" s="25">
        <f t="shared" si="243"/>
        <v>279</v>
      </c>
      <c r="Q1140" s="27">
        <f t="shared" si="244"/>
        <v>-9</v>
      </c>
      <c r="R1140" s="26" t="b">
        <f t="shared" si="245"/>
        <v>0</v>
      </c>
      <c r="S1140" s="28" t="str">
        <f t="shared" si="246"/>
        <v>GROWTH</v>
      </c>
      <c r="T1140" s="24">
        <v>230</v>
      </c>
      <c r="U1140" s="29" t="str">
        <f t="shared" si="247"/>
        <v>May</v>
      </c>
      <c r="V1140" s="24">
        <f t="shared" si="248"/>
        <v>230</v>
      </c>
      <c r="W1140" s="30">
        <f t="shared" si="249"/>
        <v>40</v>
      </c>
      <c r="X1140" s="31" t="b">
        <f t="shared" si="250"/>
        <v>0</v>
      </c>
      <c r="Y1140" s="32" t="str">
        <f t="shared" si="251"/>
        <v>GROWTH</v>
      </c>
      <c r="Z1140" s="41">
        <v>0</v>
      </c>
      <c r="AA1140" s="36"/>
      <c r="AB1140" s="36" t="s">
        <v>24</v>
      </c>
      <c r="AC1140" s="36" t="s">
        <v>2185</v>
      </c>
      <c r="AD1140" s="34"/>
      <c r="AE1140" s="35">
        <f>IFERROR(INDEX([1]Last6M_AvgSales_Ref!$B$2:$B$12659,MATCH(D1140,[1]Last6M_AvgSales_Ref!$A$2:$A$12659,0)),"")</f>
        <v>288.33333333333297</v>
      </c>
    </row>
    <row r="1141" spans="1:31" ht="14.25" customHeight="1" x14ac:dyDescent="0.3">
      <c r="A1141" s="36" t="s">
        <v>2185</v>
      </c>
      <c r="B1141" s="38" t="s">
        <v>2316</v>
      </c>
      <c r="C1141" s="38" t="s">
        <v>2343</v>
      </c>
      <c r="D1141" s="38">
        <v>1000002546</v>
      </c>
      <c r="E1141" s="39" t="s">
        <v>2344</v>
      </c>
      <c r="F1141" s="40">
        <v>44608</v>
      </c>
      <c r="G1141" s="22" t="str">
        <f t="shared" si="238"/>
        <v>-</v>
      </c>
      <c r="H1141" s="22"/>
      <c r="I1141" s="23">
        <v>0</v>
      </c>
      <c r="J1141" s="23">
        <f t="shared" si="239"/>
        <v>0</v>
      </c>
      <c r="K1141" s="24">
        <v>0</v>
      </c>
      <c r="L1141" s="24">
        <f t="shared" si="240"/>
        <v>0</v>
      </c>
      <c r="M1141" s="24" t="str">
        <f t="shared" si="241"/>
        <v>-</v>
      </c>
      <c r="N1141" s="25">
        <v>0</v>
      </c>
      <c r="O1141" s="26" t="str">
        <f t="shared" si="242"/>
        <v>June</v>
      </c>
      <c r="P1141" s="25">
        <f t="shared" si="243"/>
        <v>0</v>
      </c>
      <c r="Q1141" s="27">
        <f t="shared" si="244"/>
        <v>0</v>
      </c>
      <c r="R1141" s="26" t="b">
        <f t="shared" si="245"/>
        <v>0</v>
      </c>
      <c r="S1141" s="28" t="b">
        <f t="shared" si="246"/>
        <v>0</v>
      </c>
      <c r="T1141" s="24">
        <v>50</v>
      </c>
      <c r="U1141" s="29" t="str">
        <f t="shared" si="247"/>
        <v>May</v>
      </c>
      <c r="V1141" s="24">
        <f t="shared" si="248"/>
        <v>50</v>
      </c>
      <c r="W1141" s="30">
        <f t="shared" si="249"/>
        <v>-50</v>
      </c>
      <c r="X1141" s="31" t="b">
        <f t="shared" si="250"/>
        <v>0</v>
      </c>
      <c r="Y1141" s="32" t="str">
        <f t="shared" si="251"/>
        <v>GROWTH</v>
      </c>
      <c r="Z1141" s="41">
        <v>0</v>
      </c>
      <c r="AA1141" s="36"/>
      <c r="AB1141" s="36" t="s">
        <v>24</v>
      </c>
      <c r="AC1141" s="36" t="s">
        <v>2185</v>
      </c>
      <c r="AD1141" s="34"/>
      <c r="AE1141" s="35">
        <f>IFERROR(INDEX([1]Last6M_AvgSales_Ref!$B$2:$B$12659,MATCH(D1141,[1]Last6M_AvgSales_Ref!$A$2:$A$12659,0)),"")</f>
        <v>12.5</v>
      </c>
    </row>
    <row r="1142" spans="1:31" ht="14.25" customHeight="1" x14ac:dyDescent="0.3">
      <c r="A1142" s="36" t="s">
        <v>2185</v>
      </c>
      <c r="B1142" s="38" t="s">
        <v>2316</v>
      </c>
      <c r="C1142" s="38" t="s">
        <v>2345</v>
      </c>
      <c r="D1142" s="38">
        <v>1000002774</v>
      </c>
      <c r="E1142" s="48" t="s">
        <v>2346</v>
      </c>
      <c r="F1142" s="40">
        <v>44692</v>
      </c>
      <c r="G1142" s="22" t="str">
        <f t="shared" si="238"/>
        <v>Targeted Dealer</v>
      </c>
      <c r="H1142" s="22"/>
      <c r="I1142" s="23">
        <v>25</v>
      </c>
      <c r="J1142" s="23">
        <f t="shared" si="239"/>
        <v>25</v>
      </c>
      <c r="K1142" s="24">
        <v>0</v>
      </c>
      <c r="L1142" s="24">
        <f t="shared" si="240"/>
        <v>25</v>
      </c>
      <c r="M1142" s="24">
        <f t="shared" si="241"/>
        <v>0</v>
      </c>
      <c r="N1142" s="25">
        <v>25</v>
      </c>
      <c r="O1142" s="26" t="str">
        <f t="shared" si="242"/>
        <v>June</v>
      </c>
      <c r="P1142" s="25">
        <f t="shared" si="243"/>
        <v>25</v>
      </c>
      <c r="Q1142" s="27">
        <f t="shared" si="244"/>
        <v>-25</v>
      </c>
      <c r="R1142" s="26" t="b">
        <f t="shared" si="245"/>
        <v>0</v>
      </c>
      <c r="S1142" s="28" t="str">
        <f t="shared" si="246"/>
        <v>GROWTH</v>
      </c>
      <c r="T1142" s="24">
        <v>50</v>
      </c>
      <c r="U1142" s="29" t="str">
        <f t="shared" si="247"/>
        <v>May</v>
      </c>
      <c r="V1142" s="24">
        <f t="shared" si="248"/>
        <v>50</v>
      </c>
      <c r="W1142" s="30">
        <f t="shared" si="249"/>
        <v>-50</v>
      </c>
      <c r="X1142" s="31" t="b">
        <f t="shared" si="250"/>
        <v>0</v>
      </c>
      <c r="Y1142" s="32" t="str">
        <f t="shared" si="251"/>
        <v>GROWTH</v>
      </c>
      <c r="Z1142" s="41">
        <v>0</v>
      </c>
      <c r="AA1142" s="36"/>
      <c r="AB1142" s="36" t="s">
        <v>24</v>
      </c>
      <c r="AC1142" s="36" t="s">
        <v>2185</v>
      </c>
      <c r="AD1142" s="34"/>
      <c r="AE1142" s="35">
        <f>IFERROR(INDEX([1]Last6M_AvgSales_Ref!$B$2:$B$12659,MATCH(D1142,[1]Last6M_AvgSales_Ref!$A$2:$A$12659,0)),"")</f>
        <v>14.1666666666667</v>
      </c>
    </row>
    <row r="1143" spans="1:31" ht="14.25" customHeight="1" x14ac:dyDescent="0.3">
      <c r="A1143" s="36" t="s">
        <v>2185</v>
      </c>
      <c r="B1143" s="38" t="s">
        <v>2316</v>
      </c>
      <c r="C1143" s="38" t="s">
        <v>2347</v>
      </c>
      <c r="D1143" s="38">
        <v>1000003311</v>
      </c>
      <c r="E1143" s="38" t="s">
        <v>2348</v>
      </c>
      <c r="F1143" s="40">
        <v>44957</v>
      </c>
      <c r="G1143" s="22" t="str">
        <f t="shared" si="238"/>
        <v>Targeted Dealer</v>
      </c>
      <c r="H1143" s="22"/>
      <c r="I1143" s="23">
        <v>25</v>
      </c>
      <c r="J1143" s="23">
        <f t="shared" si="239"/>
        <v>25</v>
      </c>
      <c r="K1143" s="24">
        <v>0</v>
      </c>
      <c r="L1143" s="24">
        <f t="shared" si="240"/>
        <v>25</v>
      </c>
      <c r="M1143" s="24">
        <f t="shared" si="241"/>
        <v>0</v>
      </c>
      <c r="N1143" s="25">
        <v>55</v>
      </c>
      <c r="O1143" s="26" t="str">
        <f t="shared" si="242"/>
        <v>June</v>
      </c>
      <c r="P1143" s="25">
        <f t="shared" si="243"/>
        <v>55</v>
      </c>
      <c r="Q1143" s="27">
        <f t="shared" si="244"/>
        <v>-55</v>
      </c>
      <c r="R1143" s="26" t="b">
        <f t="shared" si="245"/>
        <v>0</v>
      </c>
      <c r="S1143" s="28" t="str">
        <f t="shared" si="246"/>
        <v>GROWTH</v>
      </c>
      <c r="T1143" s="24">
        <v>50</v>
      </c>
      <c r="U1143" s="29" t="str">
        <f t="shared" si="247"/>
        <v>May</v>
      </c>
      <c r="V1143" s="24">
        <f t="shared" si="248"/>
        <v>50</v>
      </c>
      <c r="W1143" s="30">
        <f t="shared" si="249"/>
        <v>-50</v>
      </c>
      <c r="X1143" s="31" t="b">
        <f t="shared" si="250"/>
        <v>0</v>
      </c>
      <c r="Y1143" s="32" t="str">
        <f t="shared" si="251"/>
        <v>GROWTH</v>
      </c>
      <c r="Z1143" s="41">
        <v>0</v>
      </c>
      <c r="AA1143" s="36"/>
      <c r="AB1143" s="36" t="s">
        <v>24</v>
      </c>
      <c r="AC1143" s="36" t="s">
        <v>2185</v>
      </c>
      <c r="AD1143" s="34"/>
      <c r="AE1143" s="35">
        <f>IFERROR(INDEX([1]Last6M_AvgSales_Ref!$B$2:$B$12659,MATCH(D1143,[1]Last6M_AvgSales_Ref!$A$2:$A$12659,0)),"")</f>
        <v>96.5</v>
      </c>
    </row>
    <row r="1144" spans="1:31" ht="14.25" customHeight="1" x14ac:dyDescent="0.3">
      <c r="A1144" s="36" t="s">
        <v>2185</v>
      </c>
      <c r="B1144" s="38" t="s">
        <v>2316</v>
      </c>
      <c r="C1144" s="38" t="s">
        <v>2349</v>
      </c>
      <c r="D1144" s="38">
        <v>1000003323</v>
      </c>
      <c r="E1144" s="38" t="s">
        <v>2350</v>
      </c>
      <c r="F1144" s="40">
        <v>44959</v>
      </c>
      <c r="G1144" s="22" t="str">
        <f t="shared" si="238"/>
        <v>Targeted Dealer</v>
      </c>
      <c r="H1144" s="22"/>
      <c r="I1144" s="23">
        <v>25</v>
      </c>
      <c r="J1144" s="23">
        <f t="shared" si="239"/>
        <v>25</v>
      </c>
      <c r="K1144" s="24">
        <v>25</v>
      </c>
      <c r="L1144" s="24">
        <f t="shared" si="240"/>
        <v>0</v>
      </c>
      <c r="M1144" s="24">
        <f t="shared" si="241"/>
        <v>100</v>
      </c>
      <c r="N1144" s="25">
        <v>25</v>
      </c>
      <c r="O1144" s="26" t="str">
        <f t="shared" si="242"/>
        <v>June</v>
      </c>
      <c r="P1144" s="25">
        <f t="shared" si="243"/>
        <v>25</v>
      </c>
      <c r="Q1144" s="27">
        <f t="shared" si="244"/>
        <v>0</v>
      </c>
      <c r="R1144" s="26" t="b">
        <f t="shared" si="245"/>
        <v>0</v>
      </c>
      <c r="S1144" s="28" t="str">
        <f t="shared" si="246"/>
        <v>GROWTH</v>
      </c>
      <c r="T1144" s="24">
        <v>25</v>
      </c>
      <c r="U1144" s="29" t="str">
        <f t="shared" si="247"/>
        <v>May</v>
      </c>
      <c r="V1144" s="24">
        <f t="shared" si="248"/>
        <v>25</v>
      </c>
      <c r="W1144" s="30">
        <f t="shared" si="249"/>
        <v>0</v>
      </c>
      <c r="X1144" s="31" t="b">
        <f t="shared" si="250"/>
        <v>0</v>
      </c>
      <c r="Y1144" s="32" t="str">
        <f t="shared" si="251"/>
        <v>GROWTH</v>
      </c>
      <c r="Z1144" s="41">
        <v>0</v>
      </c>
      <c r="AA1144" s="36"/>
      <c r="AB1144" s="36" t="s">
        <v>24</v>
      </c>
      <c r="AC1144" s="36" t="s">
        <v>2185</v>
      </c>
      <c r="AD1144" s="34"/>
      <c r="AE1144" s="35">
        <f>IFERROR(INDEX([1]Last6M_AvgSales_Ref!$B$2:$B$12659,MATCH(D1144,[1]Last6M_AvgSales_Ref!$A$2:$A$12659,0)),"")</f>
        <v>16.6666666666667</v>
      </c>
    </row>
    <row r="1145" spans="1:31" ht="14.25" customHeight="1" x14ac:dyDescent="0.3">
      <c r="A1145" s="41" t="s">
        <v>2185</v>
      </c>
      <c r="B1145" s="44" t="s">
        <v>2316</v>
      </c>
      <c r="C1145" s="44" t="s">
        <v>2351</v>
      </c>
      <c r="D1145" s="44">
        <v>1000003965</v>
      </c>
      <c r="E1145" s="44" t="s">
        <v>2352</v>
      </c>
      <c r="F1145" s="40">
        <v>45433</v>
      </c>
      <c r="G1145" s="22" t="str">
        <f t="shared" si="238"/>
        <v>Targeted Dealer</v>
      </c>
      <c r="H1145" s="22"/>
      <c r="I1145" s="23">
        <v>50</v>
      </c>
      <c r="J1145" s="23">
        <f t="shared" si="239"/>
        <v>50</v>
      </c>
      <c r="K1145" s="24">
        <v>55</v>
      </c>
      <c r="L1145" s="24">
        <f t="shared" si="240"/>
        <v>-5</v>
      </c>
      <c r="M1145" s="24">
        <f t="shared" si="241"/>
        <v>110</v>
      </c>
      <c r="N1145" s="25">
        <v>60</v>
      </c>
      <c r="O1145" s="26" t="str">
        <f t="shared" si="242"/>
        <v>June</v>
      </c>
      <c r="P1145" s="25">
        <f t="shared" si="243"/>
        <v>60</v>
      </c>
      <c r="Q1145" s="27">
        <f t="shared" si="244"/>
        <v>-5</v>
      </c>
      <c r="R1145" s="26" t="b">
        <f t="shared" si="245"/>
        <v>0</v>
      </c>
      <c r="S1145" s="28" t="str">
        <f t="shared" si="246"/>
        <v>GROWTH</v>
      </c>
      <c r="T1145" s="24">
        <v>25</v>
      </c>
      <c r="U1145" s="29" t="str">
        <f t="shared" si="247"/>
        <v>May</v>
      </c>
      <c r="V1145" s="24">
        <f t="shared" si="248"/>
        <v>25</v>
      </c>
      <c r="W1145" s="30">
        <f t="shared" si="249"/>
        <v>30</v>
      </c>
      <c r="X1145" s="31" t="b">
        <f t="shared" si="250"/>
        <v>0</v>
      </c>
      <c r="Y1145" s="32" t="str">
        <f t="shared" si="251"/>
        <v>GROWTH</v>
      </c>
      <c r="Z1145" s="41">
        <v>0</v>
      </c>
      <c r="AA1145" s="36"/>
      <c r="AB1145" s="36" t="s">
        <v>24</v>
      </c>
      <c r="AC1145" s="41" t="s">
        <v>2185</v>
      </c>
      <c r="AD1145" s="34"/>
      <c r="AE1145" s="35">
        <f>IFERROR(INDEX([1]Last6M_AvgSales_Ref!$B$2:$B$12659,MATCH(D1145,[1]Last6M_AvgSales_Ref!$A$2:$A$12659,0)),"")</f>
        <v>36.6666666666667</v>
      </c>
    </row>
    <row r="1146" spans="1:31" ht="14.25" customHeight="1" x14ac:dyDescent="0.3">
      <c r="A1146" s="36" t="s">
        <v>2185</v>
      </c>
      <c r="B1146" s="38" t="s">
        <v>2353</v>
      </c>
      <c r="C1146" s="38" t="s">
        <v>2354</v>
      </c>
      <c r="D1146" s="38">
        <v>1000001654</v>
      </c>
      <c r="E1146" s="39" t="s">
        <v>2355</v>
      </c>
      <c r="F1146" s="40">
        <v>41869</v>
      </c>
      <c r="G1146" s="22" t="str">
        <f t="shared" si="238"/>
        <v>Targeted Dealer</v>
      </c>
      <c r="H1146" s="22"/>
      <c r="I1146" s="23">
        <v>45</v>
      </c>
      <c r="J1146" s="23">
        <f t="shared" si="239"/>
        <v>45</v>
      </c>
      <c r="K1146" s="24">
        <v>0</v>
      </c>
      <c r="L1146" s="24">
        <f t="shared" si="240"/>
        <v>45</v>
      </c>
      <c r="M1146" s="24">
        <f t="shared" si="241"/>
        <v>0</v>
      </c>
      <c r="N1146" s="25">
        <v>0</v>
      </c>
      <c r="O1146" s="26" t="str">
        <f t="shared" si="242"/>
        <v>June</v>
      </c>
      <c r="P1146" s="25">
        <f t="shared" si="243"/>
        <v>0</v>
      </c>
      <c r="Q1146" s="27">
        <f t="shared" si="244"/>
        <v>0</v>
      </c>
      <c r="R1146" s="26" t="b">
        <f t="shared" si="245"/>
        <v>0</v>
      </c>
      <c r="S1146" s="28" t="b">
        <f t="shared" si="246"/>
        <v>0</v>
      </c>
      <c r="T1146" s="24">
        <v>0</v>
      </c>
      <c r="U1146" s="29" t="str">
        <f t="shared" si="247"/>
        <v>May</v>
      </c>
      <c r="V1146" s="24">
        <f t="shared" si="248"/>
        <v>0</v>
      </c>
      <c r="W1146" s="30">
        <f t="shared" si="249"/>
        <v>0</v>
      </c>
      <c r="X1146" s="31" t="b">
        <f t="shared" si="250"/>
        <v>0</v>
      </c>
      <c r="Y1146" s="32" t="b">
        <f t="shared" si="251"/>
        <v>0</v>
      </c>
      <c r="Z1146" s="41">
        <v>0</v>
      </c>
      <c r="AA1146" s="36"/>
      <c r="AB1146" s="36" t="s">
        <v>24</v>
      </c>
      <c r="AC1146" s="36" t="s">
        <v>2185</v>
      </c>
      <c r="AD1146" s="34"/>
      <c r="AE1146" s="35">
        <f>IFERROR(INDEX([1]Last6M_AvgSales_Ref!$B$2:$B$12659,MATCH(D1146,[1]Last6M_AvgSales_Ref!$A$2:$A$12659,0)),"")</f>
        <v>25.3333333333333</v>
      </c>
    </row>
    <row r="1147" spans="1:31" ht="14.25" customHeight="1" x14ac:dyDescent="0.3">
      <c r="A1147" s="36" t="s">
        <v>2185</v>
      </c>
      <c r="B1147" s="38" t="s">
        <v>2353</v>
      </c>
      <c r="C1147" s="38" t="s">
        <v>2356</v>
      </c>
      <c r="D1147" s="38">
        <v>1000001642</v>
      </c>
      <c r="E1147" s="39" t="s">
        <v>2357</v>
      </c>
      <c r="F1147" s="40">
        <v>42185</v>
      </c>
      <c r="G1147" s="22" t="str">
        <f t="shared" si="238"/>
        <v>Targeted Dealer</v>
      </c>
      <c r="H1147" s="22"/>
      <c r="I1147" s="23">
        <v>25</v>
      </c>
      <c r="J1147" s="23">
        <f t="shared" si="239"/>
        <v>25</v>
      </c>
      <c r="K1147" s="24">
        <v>0</v>
      </c>
      <c r="L1147" s="24">
        <f t="shared" si="240"/>
        <v>25</v>
      </c>
      <c r="M1147" s="24">
        <f t="shared" si="241"/>
        <v>0</v>
      </c>
      <c r="N1147" s="25">
        <v>25</v>
      </c>
      <c r="O1147" s="26" t="str">
        <f t="shared" si="242"/>
        <v>June</v>
      </c>
      <c r="P1147" s="25">
        <f t="shared" si="243"/>
        <v>25</v>
      </c>
      <c r="Q1147" s="27">
        <f t="shared" si="244"/>
        <v>-25</v>
      </c>
      <c r="R1147" s="26" t="b">
        <f t="shared" si="245"/>
        <v>0</v>
      </c>
      <c r="S1147" s="28" t="str">
        <f t="shared" si="246"/>
        <v>GROWTH</v>
      </c>
      <c r="T1147" s="24">
        <v>0</v>
      </c>
      <c r="U1147" s="29" t="str">
        <f t="shared" si="247"/>
        <v>May</v>
      </c>
      <c r="V1147" s="24">
        <f t="shared" si="248"/>
        <v>0</v>
      </c>
      <c r="W1147" s="30">
        <f t="shared" si="249"/>
        <v>0</v>
      </c>
      <c r="X1147" s="31" t="b">
        <f t="shared" si="250"/>
        <v>0</v>
      </c>
      <c r="Y1147" s="32" t="b">
        <f t="shared" si="251"/>
        <v>0</v>
      </c>
      <c r="Z1147" s="41">
        <v>0</v>
      </c>
      <c r="AA1147" s="36"/>
      <c r="AB1147" s="36" t="s">
        <v>24</v>
      </c>
      <c r="AC1147" s="36" t="s">
        <v>2185</v>
      </c>
      <c r="AD1147" s="34"/>
      <c r="AE1147" s="35">
        <f>IFERROR(INDEX([1]Last6M_AvgSales_Ref!$B$2:$B$12659,MATCH(D1147,[1]Last6M_AvgSales_Ref!$A$2:$A$12659,0)),"")</f>
        <v>20.8333333333333</v>
      </c>
    </row>
    <row r="1148" spans="1:31" ht="14.25" customHeight="1" x14ac:dyDescent="0.3">
      <c r="A1148" s="36" t="s">
        <v>2185</v>
      </c>
      <c r="B1148" s="38" t="s">
        <v>2353</v>
      </c>
      <c r="C1148" s="38" t="s">
        <v>2358</v>
      </c>
      <c r="D1148" s="38">
        <v>1000001669</v>
      </c>
      <c r="E1148" s="39" t="s">
        <v>2359</v>
      </c>
      <c r="F1148" s="40">
        <v>42346</v>
      </c>
      <c r="G1148" s="22" t="str">
        <f t="shared" si="238"/>
        <v>Targeted Dealer</v>
      </c>
      <c r="H1148" s="22"/>
      <c r="I1148" s="23">
        <v>25</v>
      </c>
      <c r="J1148" s="23">
        <f t="shared" si="239"/>
        <v>25</v>
      </c>
      <c r="K1148" s="24">
        <v>25</v>
      </c>
      <c r="L1148" s="24">
        <f t="shared" si="240"/>
        <v>0</v>
      </c>
      <c r="M1148" s="24">
        <f t="shared" si="241"/>
        <v>100</v>
      </c>
      <c r="N1148" s="25">
        <v>20</v>
      </c>
      <c r="O1148" s="26" t="str">
        <f t="shared" si="242"/>
        <v>June</v>
      </c>
      <c r="P1148" s="25">
        <f t="shared" si="243"/>
        <v>20</v>
      </c>
      <c r="Q1148" s="27">
        <f t="shared" si="244"/>
        <v>5</v>
      </c>
      <c r="R1148" s="26" t="b">
        <f t="shared" si="245"/>
        <v>0</v>
      </c>
      <c r="S1148" s="28" t="str">
        <f t="shared" si="246"/>
        <v>GROWTH</v>
      </c>
      <c r="T1148" s="24">
        <v>50</v>
      </c>
      <c r="U1148" s="29" t="str">
        <f t="shared" si="247"/>
        <v>May</v>
      </c>
      <c r="V1148" s="24">
        <f t="shared" si="248"/>
        <v>50</v>
      </c>
      <c r="W1148" s="30">
        <f t="shared" si="249"/>
        <v>-25</v>
      </c>
      <c r="X1148" s="31" t="b">
        <f t="shared" si="250"/>
        <v>0</v>
      </c>
      <c r="Y1148" s="32" t="str">
        <f t="shared" si="251"/>
        <v>GROWTH</v>
      </c>
      <c r="Z1148" s="41">
        <v>0</v>
      </c>
      <c r="AA1148" s="36"/>
      <c r="AB1148" s="36" t="s">
        <v>24</v>
      </c>
      <c r="AC1148" s="36" t="s">
        <v>2185</v>
      </c>
      <c r="AD1148" s="34"/>
      <c r="AE1148" s="35">
        <f>IFERROR(INDEX([1]Last6M_AvgSales_Ref!$B$2:$B$12659,MATCH(D1148,[1]Last6M_AvgSales_Ref!$A$2:$A$12659,0)),"")</f>
        <v>26.75</v>
      </c>
    </row>
    <row r="1149" spans="1:31" ht="14.25" customHeight="1" x14ac:dyDescent="0.3">
      <c r="A1149" s="36" t="s">
        <v>2185</v>
      </c>
      <c r="B1149" s="38" t="s">
        <v>2353</v>
      </c>
      <c r="C1149" s="38" t="s">
        <v>2360</v>
      </c>
      <c r="D1149" s="38">
        <v>1000001671</v>
      </c>
      <c r="E1149" s="39" t="s">
        <v>2361</v>
      </c>
      <c r="F1149" s="40">
        <v>42563</v>
      </c>
      <c r="G1149" s="22" t="str">
        <f t="shared" si="238"/>
        <v>Targeted Dealer</v>
      </c>
      <c r="H1149" s="22"/>
      <c r="I1149" s="23">
        <v>30</v>
      </c>
      <c r="J1149" s="23">
        <f t="shared" si="239"/>
        <v>30</v>
      </c>
      <c r="K1149" s="24">
        <v>25</v>
      </c>
      <c r="L1149" s="24">
        <f t="shared" si="240"/>
        <v>5</v>
      </c>
      <c r="M1149" s="24">
        <f t="shared" si="241"/>
        <v>83.333333333333343</v>
      </c>
      <c r="N1149" s="25">
        <v>25</v>
      </c>
      <c r="O1149" s="26" t="str">
        <f t="shared" si="242"/>
        <v>June</v>
      </c>
      <c r="P1149" s="25">
        <f t="shared" si="243"/>
        <v>25</v>
      </c>
      <c r="Q1149" s="27">
        <f t="shared" si="244"/>
        <v>0</v>
      </c>
      <c r="R1149" s="26" t="b">
        <f t="shared" si="245"/>
        <v>0</v>
      </c>
      <c r="S1149" s="28" t="str">
        <f t="shared" si="246"/>
        <v>GROWTH</v>
      </c>
      <c r="T1149" s="24">
        <v>25</v>
      </c>
      <c r="U1149" s="29" t="str">
        <f t="shared" si="247"/>
        <v>May</v>
      </c>
      <c r="V1149" s="24">
        <f t="shared" si="248"/>
        <v>25</v>
      </c>
      <c r="W1149" s="30">
        <f t="shared" si="249"/>
        <v>0</v>
      </c>
      <c r="X1149" s="31" t="b">
        <f t="shared" si="250"/>
        <v>0</v>
      </c>
      <c r="Y1149" s="32" t="str">
        <f t="shared" si="251"/>
        <v>GROWTH</v>
      </c>
      <c r="Z1149" s="41">
        <v>0</v>
      </c>
      <c r="AA1149" s="36"/>
      <c r="AB1149" s="36" t="s">
        <v>24</v>
      </c>
      <c r="AC1149" s="36" t="s">
        <v>2185</v>
      </c>
      <c r="AD1149" s="34"/>
      <c r="AE1149" s="35">
        <f>IFERROR(INDEX([1]Last6M_AvgSales_Ref!$B$2:$B$12659,MATCH(D1149,[1]Last6M_AvgSales_Ref!$A$2:$A$12659,0)),"")</f>
        <v>20.8333333333333</v>
      </c>
    </row>
    <row r="1150" spans="1:31" ht="14.25" customHeight="1" x14ac:dyDescent="0.3">
      <c r="A1150" s="36" t="s">
        <v>2185</v>
      </c>
      <c r="B1150" s="38" t="s">
        <v>2353</v>
      </c>
      <c r="C1150" s="38" t="s">
        <v>2362</v>
      </c>
      <c r="D1150" s="38">
        <v>1000001638</v>
      </c>
      <c r="E1150" s="39" t="s">
        <v>2363</v>
      </c>
      <c r="F1150" s="40">
        <v>42580</v>
      </c>
      <c r="G1150" s="22" t="str">
        <f t="shared" si="238"/>
        <v>Targeted Dealer</v>
      </c>
      <c r="H1150" s="22"/>
      <c r="I1150" s="23">
        <v>60</v>
      </c>
      <c r="J1150" s="23">
        <f t="shared" si="239"/>
        <v>60</v>
      </c>
      <c r="K1150" s="24">
        <v>0</v>
      </c>
      <c r="L1150" s="24">
        <f t="shared" si="240"/>
        <v>60</v>
      </c>
      <c r="M1150" s="24">
        <f t="shared" si="241"/>
        <v>0</v>
      </c>
      <c r="N1150" s="25">
        <v>110</v>
      </c>
      <c r="O1150" s="26" t="str">
        <f t="shared" si="242"/>
        <v>June</v>
      </c>
      <c r="P1150" s="25">
        <f t="shared" si="243"/>
        <v>110</v>
      </c>
      <c r="Q1150" s="27">
        <f t="shared" si="244"/>
        <v>-110</v>
      </c>
      <c r="R1150" s="26" t="b">
        <f t="shared" si="245"/>
        <v>0</v>
      </c>
      <c r="S1150" s="28" t="str">
        <f t="shared" si="246"/>
        <v>GROWTH</v>
      </c>
      <c r="T1150" s="24">
        <v>0</v>
      </c>
      <c r="U1150" s="29" t="str">
        <f t="shared" si="247"/>
        <v>May</v>
      </c>
      <c r="V1150" s="24">
        <f t="shared" si="248"/>
        <v>0</v>
      </c>
      <c r="W1150" s="30">
        <f t="shared" si="249"/>
        <v>0</v>
      </c>
      <c r="X1150" s="31" t="b">
        <f t="shared" si="250"/>
        <v>0</v>
      </c>
      <c r="Y1150" s="32" t="b">
        <f t="shared" si="251"/>
        <v>0</v>
      </c>
      <c r="Z1150" s="41">
        <v>0</v>
      </c>
      <c r="AA1150" s="36"/>
      <c r="AB1150" s="36" t="s">
        <v>24</v>
      </c>
      <c r="AC1150" s="36" t="s">
        <v>2185</v>
      </c>
      <c r="AD1150" s="34"/>
      <c r="AE1150" s="35">
        <f>IFERROR(INDEX([1]Last6M_AvgSales_Ref!$B$2:$B$12659,MATCH(D1150,[1]Last6M_AvgSales_Ref!$A$2:$A$12659,0)),"")</f>
        <v>53.3333333333333</v>
      </c>
    </row>
    <row r="1151" spans="1:31" ht="14.25" customHeight="1" x14ac:dyDescent="0.3">
      <c r="A1151" s="36" t="s">
        <v>2185</v>
      </c>
      <c r="B1151" s="38" t="s">
        <v>2353</v>
      </c>
      <c r="C1151" s="38" t="s">
        <v>2364</v>
      </c>
      <c r="D1151" s="38">
        <v>1000001652</v>
      </c>
      <c r="E1151" s="39" t="s">
        <v>2365</v>
      </c>
      <c r="F1151" s="40">
        <v>43288</v>
      </c>
      <c r="G1151" s="22" t="str">
        <f t="shared" si="238"/>
        <v>Targeted Dealer</v>
      </c>
      <c r="H1151" s="22"/>
      <c r="I1151" s="23">
        <v>25</v>
      </c>
      <c r="J1151" s="23">
        <f t="shared" si="239"/>
        <v>25</v>
      </c>
      <c r="K1151" s="24">
        <v>25</v>
      </c>
      <c r="L1151" s="24">
        <f t="shared" si="240"/>
        <v>0</v>
      </c>
      <c r="M1151" s="24">
        <f t="shared" si="241"/>
        <v>100</v>
      </c>
      <c r="N1151" s="25">
        <v>0</v>
      </c>
      <c r="O1151" s="26" t="str">
        <f t="shared" si="242"/>
        <v>June</v>
      </c>
      <c r="P1151" s="25">
        <f t="shared" si="243"/>
        <v>0</v>
      </c>
      <c r="Q1151" s="27">
        <f t="shared" si="244"/>
        <v>25</v>
      </c>
      <c r="R1151" s="26" t="b">
        <f t="shared" si="245"/>
        <v>0</v>
      </c>
      <c r="S1151" s="28" t="b">
        <f t="shared" si="246"/>
        <v>0</v>
      </c>
      <c r="T1151" s="24">
        <v>0</v>
      </c>
      <c r="U1151" s="29" t="str">
        <f t="shared" si="247"/>
        <v>May</v>
      </c>
      <c r="V1151" s="24">
        <f t="shared" si="248"/>
        <v>0</v>
      </c>
      <c r="W1151" s="30">
        <f t="shared" si="249"/>
        <v>25</v>
      </c>
      <c r="X1151" s="31" t="b">
        <f t="shared" si="250"/>
        <v>0</v>
      </c>
      <c r="Y1151" s="32" t="b">
        <f t="shared" si="251"/>
        <v>0</v>
      </c>
      <c r="Z1151" s="41">
        <v>0</v>
      </c>
      <c r="AA1151" s="36"/>
      <c r="AB1151" s="36" t="s">
        <v>24</v>
      </c>
      <c r="AC1151" s="36" t="s">
        <v>2185</v>
      </c>
      <c r="AD1151" s="34"/>
      <c r="AE1151" s="35">
        <f>IFERROR(INDEX([1]Last6M_AvgSales_Ref!$B$2:$B$12659,MATCH(D1151,[1]Last6M_AvgSales_Ref!$A$2:$A$12659,0)),"")</f>
        <v>13.3333333333333</v>
      </c>
    </row>
    <row r="1152" spans="1:31" ht="14.25" customHeight="1" x14ac:dyDescent="0.3">
      <c r="A1152" s="36" t="s">
        <v>2185</v>
      </c>
      <c r="B1152" s="38" t="s">
        <v>2353</v>
      </c>
      <c r="C1152" s="38" t="s">
        <v>2366</v>
      </c>
      <c r="D1152" s="38">
        <v>1000001657</v>
      </c>
      <c r="E1152" s="39" t="s">
        <v>2367</v>
      </c>
      <c r="F1152" s="40">
        <v>43319</v>
      </c>
      <c r="G1152" s="22" t="str">
        <f t="shared" si="238"/>
        <v>Targeted Dealer</v>
      </c>
      <c r="H1152" s="22"/>
      <c r="I1152" s="23">
        <v>70</v>
      </c>
      <c r="J1152" s="23">
        <f t="shared" si="239"/>
        <v>70</v>
      </c>
      <c r="K1152" s="24">
        <v>0</v>
      </c>
      <c r="L1152" s="24">
        <f t="shared" si="240"/>
        <v>70</v>
      </c>
      <c r="M1152" s="24">
        <f t="shared" si="241"/>
        <v>0</v>
      </c>
      <c r="N1152" s="25">
        <v>0</v>
      </c>
      <c r="O1152" s="26" t="str">
        <f t="shared" si="242"/>
        <v>June</v>
      </c>
      <c r="P1152" s="25">
        <f t="shared" si="243"/>
        <v>0</v>
      </c>
      <c r="Q1152" s="27">
        <f t="shared" si="244"/>
        <v>0</v>
      </c>
      <c r="R1152" s="26" t="b">
        <f t="shared" si="245"/>
        <v>0</v>
      </c>
      <c r="S1152" s="28" t="b">
        <f t="shared" si="246"/>
        <v>0</v>
      </c>
      <c r="T1152" s="24">
        <v>0</v>
      </c>
      <c r="U1152" s="29" t="str">
        <f t="shared" si="247"/>
        <v>May</v>
      </c>
      <c r="V1152" s="24">
        <f t="shared" si="248"/>
        <v>0</v>
      </c>
      <c r="W1152" s="30">
        <f t="shared" si="249"/>
        <v>0</v>
      </c>
      <c r="X1152" s="31" t="b">
        <f t="shared" si="250"/>
        <v>0</v>
      </c>
      <c r="Y1152" s="32" t="b">
        <f t="shared" si="251"/>
        <v>0</v>
      </c>
      <c r="Z1152" s="41">
        <v>0</v>
      </c>
      <c r="AA1152" s="36"/>
      <c r="AB1152" s="36" t="s">
        <v>24</v>
      </c>
      <c r="AC1152" s="36" t="s">
        <v>2185</v>
      </c>
      <c r="AD1152" s="34"/>
      <c r="AE1152" s="35">
        <f>IFERROR(INDEX([1]Last6M_AvgSales_Ref!$B$2:$B$12659,MATCH(D1152,[1]Last6M_AvgSales_Ref!$A$2:$A$12659,0)),"")</f>
        <v>36.0833333333333</v>
      </c>
    </row>
    <row r="1153" spans="1:31" ht="14.25" customHeight="1" x14ac:dyDescent="0.3">
      <c r="A1153" s="36" t="s">
        <v>2185</v>
      </c>
      <c r="B1153" s="38" t="s">
        <v>2353</v>
      </c>
      <c r="C1153" s="38" t="s">
        <v>2368</v>
      </c>
      <c r="D1153" s="38">
        <v>1000001672</v>
      </c>
      <c r="E1153" s="39" t="s">
        <v>2369</v>
      </c>
      <c r="F1153" s="40">
        <v>43333</v>
      </c>
      <c r="G1153" s="22" t="str">
        <f t="shared" si="238"/>
        <v>Targeted Dealer</v>
      </c>
      <c r="H1153" s="22"/>
      <c r="I1153" s="23">
        <v>100</v>
      </c>
      <c r="J1153" s="23">
        <f t="shared" si="239"/>
        <v>100</v>
      </c>
      <c r="K1153" s="24">
        <v>100</v>
      </c>
      <c r="L1153" s="24">
        <f t="shared" si="240"/>
        <v>0</v>
      </c>
      <c r="M1153" s="24">
        <f t="shared" si="241"/>
        <v>100</v>
      </c>
      <c r="N1153" s="25">
        <v>105</v>
      </c>
      <c r="O1153" s="26" t="str">
        <f t="shared" si="242"/>
        <v>June</v>
      </c>
      <c r="P1153" s="25">
        <f t="shared" si="243"/>
        <v>105</v>
      </c>
      <c r="Q1153" s="27">
        <f t="shared" si="244"/>
        <v>-5</v>
      </c>
      <c r="R1153" s="26" t="b">
        <f t="shared" si="245"/>
        <v>0</v>
      </c>
      <c r="S1153" s="28" t="str">
        <f t="shared" si="246"/>
        <v>GROWTH</v>
      </c>
      <c r="T1153" s="24">
        <v>40</v>
      </c>
      <c r="U1153" s="29" t="str">
        <f t="shared" si="247"/>
        <v>May</v>
      </c>
      <c r="V1153" s="24">
        <f t="shared" si="248"/>
        <v>40</v>
      </c>
      <c r="W1153" s="30">
        <f t="shared" si="249"/>
        <v>60</v>
      </c>
      <c r="X1153" s="31" t="b">
        <f t="shared" si="250"/>
        <v>0</v>
      </c>
      <c r="Y1153" s="32" t="str">
        <f t="shared" si="251"/>
        <v>GROWTH</v>
      </c>
      <c r="Z1153" s="41">
        <v>0</v>
      </c>
      <c r="AA1153" s="36"/>
      <c r="AB1153" s="36" t="s">
        <v>24</v>
      </c>
      <c r="AC1153" s="36" t="s">
        <v>2185</v>
      </c>
      <c r="AD1153" s="34"/>
      <c r="AE1153" s="35">
        <f>IFERROR(INDEX([1]Last6M_AvgSales_Ref!$B$2:$B$12659,MATCH(D1153,[1]Last6M_AvgSales_Ref!$A$2:$A$12659,0)),"")</f>
        <v>102.666666666667</v>
      </c>
    </row>
    <row r="1154" spans="1:31" ht="14.25" customHeight="1" x14ac:dyDescent="0.3">
      <c r="A1154" s="36" t="s">
        <v>2185</v>
      </c>
      <c r="B1154" s="38" t="s">
        <v>2353</v>
      </c>
      <c r="C1154" s="38" t="s">
        <v>2370</v>
      </c>
      <c r="D1154" s="38">
        <v>1000001665</v>
      </c>
      <c r="E1154" s="39" t="s">
        <v>2371</v>
      </c>
      <c r="F1154" s="40">
        <v>43481</v>
      </c>
      <c r="G1154" s="22" t="str">
        <f t="shared" si="238"/>
        <v>Targeted Dealer</v>
      </c>
      <c r="H1154" s="22"/>
      <c r="I1154" s="23">
        <v>170</v>
      </c>
      <c r="J1154" s="23">
        <f t="shared" si="239"/>
        <v>170</v>
      </c>
      <c r="K1154" s="24">
        <v>202</v>
      </c>
      <c r="L1154" s="24">
        <f t="shared" si="240"/>
        <v>-32</v>
      </c>
      <c r="M1154" s="24">
        <f t="shared" si="241"/>
        <v>118.82352941176471</v>
      </c>
      <c r="N1154" s="25">
        <v>115</v>
      </c>
      <c r="O1154" s="26" t="str">
        <f t="shared" si="242"/>
        <v>June</v>
      </c>
      <c r="P1154" s="25">
        <f t="shared" si="243"/>
        <v>115</v>
      </c>
      <c r="Q1154" s="27">
        <f t="shared" si="244"/>
        <v>87</v>
      </c>
      <c r="R1154" s="26" t="b">
        <f t="shared" si="245"/>
        <v>0</v>
      </c>
      <c r="S1154" s="28" t="str">
        <f t="shared" si="246"/>
        <v>GROWTH</v>
      </c>
      <c r="T1154" s="24">
        <v>225</v>
      </c>
      <c r="U1154" s="29" t="str">
        <f t="shared" si="247"/>
        <v>May</v>
      </c>
      <c r="V1154" s="24">
        <f t="shared" si="248"/>
        <v>225</v>
      </c>
      <c r="W1154" s="30">
        <f t="shared" si="249"/>
        <v>-23</v>
      </c>
      <c r="X1154" s="31" t="b">
        <f t="shared" si="250"/>
        <v>0</v>
      </c>
      <c r="Y1154" s="32" t="str">
        <f t="shared" si="251"/>
        <v>GROWTH</v>
      </c>
      <c r="Z1154" s="41">
        <v>0</v>
      </c>
      <c r="AA1154" s="36"/>
      <c r="AB1154" s="36" t="s">
        <v>24</v>
      </c>
      <c r="AC1154" s="36" t="s">
        <v>2185</v>
      </c>
      <c r="AD1154" s="34"/>
      <c r="AE1154" s="35">
        <f>IFERROR(INDEX([1]Last6M_AvgSales_Ref!$B$2:$B$12659,MATCH(D1154,[1]Last6M_AvgSales_Ref!$A$2:$A$12659,0)),"")</f>
        <v>146.666666666667</v>
      </c>
    </row>
    <row r="1155" spans="1:31" ht="14.25" customHeight="1" x14ac:dyDescent="0.3">
      <c r="A1155" s="36" t="s">
        <v>2185</v>
      </c>
      <c r="B1155" s="38" t="s">
        <v>2353</v>
      </c>
      <c r="C1155" s="38" t="s">
        <v>2372</v>
      </c>
      <c r="D1155" s="38">
        <v>1000001675</v>
      </c>
      <c r="E1155" s="39" t="s">
        <v>2373</v>
      </c>
      <c r="F1155" s="40">
        <v>44247</v>
      </c>
      <c r="G1155" s="22" t="str">
        <f t="shared" ref="G1155:G1218" si="252">IF(I1155&gt;0,"Targeted Dealer","-")</f>
        <v>-</v>
      </c>
      <c r="H1155" s="22"/>
      <c r="I1155" s="23">
        <v>0</v>
      </c>
      <c r="J1155" s="23">
        <f t="shared" ref="J1155:J1218" si="253">I1155/$J$1*($J$1-$E$1)</f>
        <v>0</v>
      </c>
      <c r="K1155" s="24">
        <v>10</v>
      </c>
      <c r="L1155" s="24">
        <f t="shared" ref="L1155:L1218" si="254">I1155-K1155</f>
        <v>-10</v>
      </c>
      <c r="M1155" s="24" t="str">
        <f t="shared" ref="M1155:M1218" si="255">IFERROR((K1155/J1155%),"-")</f>
        <v>-</v>
      </c>
      <c r="N1155" s="25">
        <v>0</v>
      </c>
      <c r="O1155" s="26" t="str">
        <f t="shared" ref="O1155:O1218" si="256">IF(F1155&lt;=$P$2,"June","")</f>
        <v>June</v>
      </c>
      <c r="P1155" s="25">
        <f t="shared" ref="P1155:P1218" si="257">N1155</f>
        <v>0</v>
      </c>
      <c r="Q1155" s="27">
        <f t="shared" ref="Q1155:Q1218" si="258">K1155-P1155</f>
        <v>10</v>
      </c>
      <c r="R1155" s="26" t="b">
        <f t="shared" ref="R1155:R1218" si="259">IFERROR(IF(O1155="May",(K1155/P1155-1))," ")</f>
        <v>0</v>
      </c>
      <c r="S1155" s="28" t="b">
        <f t="shared" ref="S1155:S1218" si="260">IF(N1155&gt;0,IF(O1155="","-",IF(R1155&lt;0%,"DEGROWTH","GROWTH")))</f>
        <v>0</v>
      </c>
      <c r="T1155" s="24">
        <v>55</v>
      </c>
      <c r="U1155" s="29" t="str">
        <f t="shared" ref="U1155:U1218" si="261">IF(F1155&lt;=$V$2,"May","")</f>
        <v>May</v>
      </c>
      <c r="V1155" s="24">
        <f t="shared" ref="V1155:V1218" si="262">T1155</f>
        <v>55</v>
      </c>
      <c r="W1155" s="30">
        <f t="shared" ref="W1155:W1218" si="263">K1155-V1155</f>
        <v>-45</v>
      </c>
      <c r="X1155" s="31" t="b">
        <f t="shared" ref="X1155:X1218" si="264">IFERROR(IF(U1155="June",(K1155/V1155-1)),0)</f>
        <v>0</v>
      </c>
      <c r="Y1155" s="32" t="str">
        <f t="shared" ref="Y1155:Y1218" si="265">IF(T1155&gt;0,IF(U1155="","-",IF(X1155&lt;0%,"DEGROWTH","GROWTH")))</f>
        <v>GROWTH</v>
      </c>
      <c r="Z1155" s="41">
        <v>0</v>
      </c>
      <c r="AA1155" s="36"/>
      <c r="AB1155" s="36" t="s">
        <v>24</v>
      </c>
      <c r="AC1155" s="36" t="s">
        <v>2185</v>
      </c>
      <c r="AD1155" s="34"/>
      <c r="AE1155" s="35">
        <f>IFERROR(INDEX([1]Last6M_AvgSales_Ref!$B$2:$B$12659,MATCH(D1155,[1]Last6M_AvgSales_Ref!$A$2:$A$12659,0)),"")</f>
        <v>60.8333333333333</v>
      </c>
    </row>
    <row r="1156" spans="1:31" ht="14.25" customHeight="1" x14ac:dyDescent="0.3">
      <c r="A1156" s="36" t="s">
        <v>2185</v>
      </c>
      <c r="B1156" s="38" t="s">
        <v>2353</v>
      </c>
      <c r="C1156" s="38" t="s">
        <v>2374</v>
      </c>
      <c r="D1156" s="38">
        <v>1000001644</v>
      </c>
      <c r="E1156" s="39" t="s">
        <v>2375</v>
      </c>
      <c r="F1156" s="40">
        <v>44396</v>
      </c>
      <c r="G1156" s="22" t="str">
        <f t="shared" si="252"/>
        <v>Targeted Dealer</v>
      </c>
      <c r="H1156" s="22"/>
      <c r="I1156" s="23">
        <v>140</v>
      </c>
      <c r="J1156" s="23">
        <f t="shared" si="253"/>
        <v>140</v>
      </c>
      <c r="K1156" s="24">
        <v>149</v>
      </c>
      <c r="L1156" s="24">
        <f t="shared" si="254"/>
        <v>-9</v>
      </c>
      <c r="M1156" s="24">
        <f t="shared" si="255"/>
        <v>106.42857142857143</v>
      </c>
      <c r="N1156" s="25">
        <v>140</v>
      </c>
      <c r="O1156" s="26" t="str">
        <f t="shared" si="256"/>
        <v>June</v>
      </c>
      <c r="P1156" s="25">
        <f t="shared" si="257"/>
        <v>140</v>
      </c>
      <c r="Q1156" s="27">
        <f t="shared" si="258"/>
        <v>9</v>
      </c>
      <c r="R1156" s="26" t="b">
        <f t="shared" si="259"/>
        <v>0</v>
      </c>
      <c r="S1156" s="28" t="str">
        <f t="shared" si="260"/>
        <v>GROWTH</v>
      </c>
      <c r="T1156" s="24">
        <v>160</v>
      </c>
      <c r="U1156" s="29" t="str">
        <f t="shared" si="261"/>
        <v>May</v>
      </c>
      <c r="V1156" s="24">
        <f t="shared" si="262"/>
        <v>160</v>
      </c>
      <c r="W1156" s="30">
        <f t="shared" si="263"/>
        <v>-11</v>
      </c>
      <c r="X1156" s="31" t="b">
        <f t="shared" si="264"/>
        <v>0</v>
      </c>
      <c r="Y1156" s="32" t="str">
        <f t="shared" si="265"/>
        <v>GROWTH</v>
      </c>
      <c r="Z1156" s="41">
        <v>0</v>
      </c>
      <c r="AA1156" s="36"/>
      <c r="AB1156" s="36" t="s">
        <v>24</v>
      </c>
      <c r="AC1156" s="36" t="s">
        <v>2185</v>
      </c>
      <c r="AD1156" s="34"/>
      <c r="AE1156" s="35">
        <f>IFERROR(INDEX([1]Last6M_AvgSales_Ref!$B$2:$B$12659,MATCH(D1156,[1]Last6M_AvgSales_Ref!$A$2:$A$12659,0)),"")</f>
        <v>139.666666666667</v>
      </c>
    </row>
    <row r="1157" spans="1:31" ht="14.25" customHeight="1" x14ac:dyDescent="0.3">
      <c r="A1157" s="36" t="s">
        <v>2185</v>
      </c>
      <c r="B1157" s="38" t="s">
        <v>2353</v>
      </c>
      <c r="C1157" s="38" t="s">
        <v>2376</v>
      </c>
      <c r="D1157" s="38">
        <v>1000002005</v>
      </c>
      <c r="E1157" s="39" t="s">
        <v>2377</v>
      </c>
      <c r="F1157" s="40">
        <v>44478</v>
      </c>
      <c r="G1157" s="22" t="str">
        <f t="shared" si="252"/>
        <v>Targeted Dealer</v>
      </c>
      <c r="H1157" s="22"/>
      <c r="I1157" s="23">
        <v>15</v>
      </c>
      <c r="J1157" s="23">
        <f t="shared" si="253"/>
        <v>15</v>
      </c>
      <c r="K1157" s="24">
        <v>0</v>
      </c>
      <c r="L1157" s="24">
        <f t="shared" si="254"/>
        <v>15</v>
      </c>
      <c r="M1157" s="24">
        <f t="shared" si="255"/>
        <v>0</v>
      </c>
      <c r="N1157" s="25">
        <v>15</v>
      </c>
      <c r="O1157" s="26" t="str">
        <f t="shared" si="256"/>
        <v>June</v>
      </c>
      <c r="P1157" s="25">
        <f t="shared" si="257"/>
        <v>15</v>
      </c>
      <c r="Q1157" s="27">
        <f t="shared" si="258"/>
        <v>-15</v>
      </c>
      <c r="R1157" s="26" t="b">
        <f t="shared" si="259"/>
        <v>0</v>
      </c>
      <c r="S1157" s="28" t="str">
        <f t="shared" si="260"/>
        <v>GROWTH</v>
      </c>
      <c r="T1157" s="24">
        <v>10</v>
      </c>
      <c r="U1157" s="29" t="str">
        <f t="shared" si="261"/>
        <v>May</v>
      </c>
      <c r="V1157" s="24">
        <f t="shared" si="262"/>
        <v>10</v>
      </c>
      <c r="W1157" s="30">
        <f t="shared" si="263"/>
        <v>-10</v>
      </c>
      <c r="X1157" s="31" t="b">
        <f t="shared" si="264"/>
        <v>0</v>
      </c>
      <c r="Y1157" s="32" t="str">
        <f t="shared" si="265"/>
        <v>GROWTH</v>
      </c>
      <c r="Z1157" s="41">
        <v>0</v>
      </c>
      <c r="AA1157" s="36"/>
      <c r="AB1157" s="36" t="s">
        <v>24</v>
      </c>
      <c r="AC1157" s="36" t="s">
        <v>2185</v>
      </c>
      <c r="AD1157" s="34"/>
      <c r="AE1157" s="35">
        <f>IFERROR(INDEX([1]Last6M_AvgSales_Ref!$B$2:$B$12659,MATCH(D1157,[1]Last6M_AvgSales_Ref!$A$2:$A$12659,0)),"")</f>
        <v>6.6666666666666696</v>
      </c>
    </row>
    <row r="1158" spans="1:31" ht="14.25" customHeight="1" x14ac:dyDescent="0.3">
      <c r="A1158" s="36" t="s">
        <v>2185</v>
      </c>
      <c r="B1158" s="38" t="s">
        <v>2353</v>
      </c>
      <c r="C1158" s="38" t="s">
        <v>2378</v>
      </c>
      <c r="D1158" s="38">
        <v>1000002049</v>
      </c>
      <c r="E1158" s="39" t="s">
        <v>2379</v>
      </c>
      <c r="F1158" s="40">
        <v>44501</v>
      </c>
      <c r="G1158" s="22" t="str">
        <f t="shared" si="252"/>
        <v>Targeted Dealer</v>
      </c>
      <c r="H1158" s="22"/>
      <c r="I1158" s="23">
        <v>25</v>
      </c>
      <c r="J1158" s="23">
        <f t="shared" si="253"/>
        <v>25</v>
      </c>
      <c r="K1158" s="24">
        <v>0</v>
      </c>
      <c r="L1158" s="24">
        <f t="shared" si="254"/>
        <v>25</v>
      </c>
      <c r="M1158" s="24">
        <f t="shared" si="255"/>
        <v>0</v>
      </c>
      <c r="N1158" s="25">
        <v>25</v>
      </c>
      <c r="O1158" s="26" t="str">
        <f t="shared" si="256"/>
        <v>June</v>
      </c>
      <c r="P1158" s="25">
        <f t="shared" si="257"/>
        <v>25</v>
      </c>
      <c r="Q1158" s="27">
        <f t="shared" si="258"/>
        <v>-25</v>
      </c>
      <c r="R1158" s="26" t="b">
        <f t="shared" si="259"/>
        <v>0</v>
      </c>
      <c r="S1158" s="28" t="str">
        <f t="shared" si="260"/>
        <v>GROWTH</v>
      </c>
      <c r="T1158" s="24">
        <v>0</v>
      </c>
      <c r="U1158" s="29" t="str">
        <f t="shared" si="261"/>
        <v>May</v>
      </c>
      <c r="V1158" s="24">
        <f t="shared" si="262"/>
        <v>0</v>
      </c>
      <c r="W1158" s="30">
        <f t="shared" si="263"/>
        <v>0</v>
      </c>
      <c r="X1158" s="31" t="b">
        <f t="shared" si="264"/>
        <v>0</v>
      </c>
      <c r="Y1158" s="32" t="b">
        <f t="shared" si="265"/>
        <v>0</v>
      </c>
      <c r="Z1158" s="41">
        <v>0</v>
      </c>
      <c r="AA1158" s="36"/>
      <c r="AB1158" s="36" t="s">
        <v>24</v>
      </c>
      <c r="AC1158" s="36" t="s">
        <v>2185</v>
      </c>
      <c r="AD1158" s="34"/>
      <c r="AE1158" s="35">
        <f>IFERROR(INDEX([1]Last6M_AvgSales_Ref!$B$2:$B$12659,MATCH(D1158,[1]Last6M_AvgSales_Ref!$A$2:$A$12659,0)),"")</f>
        <v>12.5</v>
      </c>
    </row>
    <row r="1159" spans="1:31" ht="14.25" customHeight="1" x14ac:dyDescent="0.3">
      <c r="A1159" s="36" t="s">
        <v>2185</v>
      </c>
      <c r="B1159" s="38" t="s">
        <v>2353</v>
      </c>
      <c r="C1159" s="38" t="s">
        <v>2380</v>
      </c>
      <c r="D1159" s="38">
        <v>1000002059</v>
      </c>
      <c r="E1159" s="39" t="s">
        <v>2381</v>
      </c>
      <c r="F1159" s="40">
        <v>44532</v>
      </c>
      <c r="G1159" s="22" t="str">
        <f t="shared" si="252"/>
        <v>Targeted Dealer</v>
      </c>
      <c r="H1159" s="22"/>
      <c r="I1159" s="23">
        <v>25</v>
      </c>
      <c r="J1159" s="23">
        <f t="shared" si="253"/>
        <v>25</v>
      </c>
      <c r="K1159" s="24">
        <v>0</v>
      </c>
      <c r="L1159" s="24">
        <f t="shared" si="254"/>
        <v>25</v>
      </c>
      <c r="M1159" s="24">
        <f t="shared" si="255"/>
        <v>0</v>
      </c>
      <c r="N1159" s="25">
        <v>0</v>
      </c>
      <c r="O1159" s="26" t="str">
        <f t="shared" si="256"/>
        <v>June</v>
      </c>
      <c r="P1159" s="25">
        <f t="shared" si="257"/>
        <v>0</v>
      </c>
      <c r="Q1159" s="27">
        <f t="shared" si="258"/>
        <v>0</v>
      </c>
      <c r="R1159" s="26" t="b">
        <f t="shared" si="259"/>
        <v>0</v>
      </c>
      <c r="S1159" s="28" t="b">
        <f t="shared" si="260"/>
        <v>0</v>
      </c>
      <c r="T1159" s="24">
        <v>50</v>
      </c>
      <c r="U1159" s="29" t="str">
        <f t="shared" si="261"/>
        <v>May</v>
      </c>
      <c r="V1159" s="24">
        <f t="shared" si="262"/>
        <v>50</v>
      </c>
      <c r="W1159" s="30">
        <f t="shared" si="263"/>
        <v>-50</v>
      </c>
      <c r="X1159" s="31" t="b">
        <f t="shared" si="264"/>
        <v>0</v>
      </c>
      <c r="Y1159" s="32" t="str">
        <f t="shared" si="265"/>
        <v>GROWTH</v>
      </c>
      <c r="Z1159" s="41">
        <v>0</v>
      </c>
      <c r="AA1159" s="36"/>
      <c r="AB1159" s="36" t="s">
        <v>24</v>
      </c>
      <c r="AC1159" s="36" t="s">
        <v>2185</v>
      </c>
      <c r="AD1159" s="34"/>
      <c r="AE1159" s="35">
        <f>IFERROR(INDEX([1]Last6M_AvgSales_Ref!$B$2:$B$12659,MATCH(D1159,[1]Last6M_AvgSales_Ref!$A$2:$A$12659,0)),"")</f>
        <v>16.6666666666667</v>
      </c>
    </row>
    <row r="1160" spans="1:31" ht="14.25" customHeight="1" x14ac:dyDescent="0.3">
      <c r="A1160" s="36" t="s">
        <v>2185</v>
      </c>
      <c r="B1160" s="38" t="s">
        <v>2353</v>
      </c>
      <c r="C1160" s="38" t="s">
        <v>2382</v>
      </c>
      <c r="D1160" s="38">
        <v>1000002553</v>
      </c>
      <c r="E1160" s="39" t="s">
        <v>2383</v>
      </c>
      <c r="F1160" s="40">
        <v>44615</v>
      </c>
      <c r="G1160" s="22" t="str">
        <f t="shared" si="252"/>
        <v>Targeted Dealer</v>
      </c>
      <c r="H1160" s="22"/>
      <c r="I1160" s="23">
        <v>50</v>
      </c>
      <c r="J1160" s="23">
        <f t="shared" si="253"/>
        <v>50</v>
      </c>
      <c r="K1160" s="24">
        <v>70</v>
      </c>
      <c r="L1160" s="24">
        <f t="shared" si="254"/>
        <v>-20</v>
      </c>
      <c r="M1160" s="24">
        <f t="shared" si="255"/>
        <v>140</v>
      </c>
      <c r="N1160" s="25">
        <v>34</v>
      </c>
      <c r="O1160" s="26" t="str">
        <f t="shared" si="256"/>
        <v>June</v>
      </c>
      <c r="P1160" s="25">
        <f t="shared" si="257"/>
        <v>34</v>
      </c>
      <c r="Q1160" s="27">
        <f t="shared" si="258"/>
        <v>36</v>
      </c>
      <c r="R1160" s="26" t="b">
        <f t="shared" si="259"/>
        <v>0</v>
      </c>
      <c r="S1160" s="28" t="str">
        <f t="shared" si="260"/>
        <v>GROWTH</v>
      </c>
      <c r="T1160" s="24">
        <v>30</v>
      </c>
      <c r="U1160" s="29" t="str">
        <f t="shared" si="261"/>
        <v>May</v>
      </c>
      <c r="V1160" s="24">
        <f t="shared" si="262"/>
        <v>30</v>
      </c>
      <c r="W1160" s="30">
        <f t="shared" si="263"/>
        <v>40</v>
      </c>
      <c r="X1160" s="31" t="b">
        <f t="shared" si="264"/>
        <v>0</v>
      </c>
      <c r="Y1160" s="32" t="str">
        <f t="shared" si="265"/>
        <v>GROWTH</v>
      </c>
      <c r="Z1160" s="41">
        <v>0</v>
      </c>
      <c r="AA1160" s="36"/>
      <c r="AB1160" s="36" t="s">
        <v>24</v>
      </c>
      <c r="AC1160" s="36" t="s">
        <v>2185</v>
      </c>
      <c r="AD1160" s="34"/>
      <c r="AE1160" s="35">
        <f>IFERROR(INDEX([1]Last6M_AvgSales_Ref!$B$2:$B$12659,MATCH(D1160,[1]Last6M_AvgSales_Ref!$A$2:$A$12659,0)),"")</f>
        <v>47.25</v>
      </c>
    </row>
    <row r="1161" spans="1:31" ht="14.25" customHeight="1" x14ac:dyDescent="0.3">
      <c r="A1161" s="36" t="s">
        <v>2185</v>
      </c>
      <c r="B1161" s="38" t="s">
        <v>2353</v>
      </c>
      <c r="C1161" s="38" t="s">
        <v>2384</v>
      </c>
      <c r="D1161" s="38">
        <v>1000002789</v>
      </c>
      <c r="E1161" s="39" t="s">
        <v>2385</v>
      </c>
      <c r="F1161" s="40">
        <v>44711</v>
      </c>
      <c r="G1161" s="22" t="str">
        <f t="shared" si="252"/>
        <v>Targeted Dealer</v>
      </c>
      <c r="H1161" s="22"/>
      <c r="I1161" s="23">
        <v>30</v>
      </c>
      <c r="J1161" s="23">
        <f t="shared" si="253"/>
        <v>30</v>
      </c>
      <c r="K1161" s="24">
        <v>80</v>
      </c>
      <c r="L1161" s="24">
        <f t="shared" si="254"/>
        <v>-50</v>
      </c>
      <c r="M1161" s="24">
        <f t="shared" si="255"/>
        <v>266.66666666666669</v>
      </c>
      <c r="N1161" s="25">
        <v>30</v>
      </c>
      <c r="O1161" s="26" t="str">
        <f t="shared" si="256"/>
        <v>June</v>
      </c>
      <c r="P1161" s="25">
        <f t="shared" si="257"/>
        <v>30</v>
      </c>
      <c r="Q1161" s="27">
        <f t="shared" si="258"/>
        <v>50</v>
      </c>
      <c r="R1161" s="26" t="b">
        <f t="shared" si="259"/>
        <v>0</v>
      </c>
      <c r="S1161" s="28" t="str">
        <f t="shared" si="260"/>
        <v>GROWTH</v>
      </c>
      <c r="T1161" s="24">
        <v>50</v>
      </c>
      <c r="U1161" s="29" t="str">
        <f t="shared" si="261"/>
        <v>May</v>
      </c>
      <c r="V1161" s="24">
        <f t="shared" si="262"/>
        <v>50</v>
      </c>
      <c r="W1161" s="30">
        <f t="shared" si="263"/>
        <v>30</v>
      </c>
      <c r="X1161" s="31" t="b">
        <f t="shared" si="264"/>
        <v>0</v>
      </c>
      <c r="Y1161" s="32" t="str">
        <f t="shared" si="265"/>
        <v>GROWTH</v>
      </c>
      <c r="Z1161" s="41">
        <v>0</v>
      </c>
      <c r="AA1161" s="36"/>
      <c r="AB1161" s="36" t="s">
        <v>24</v>
      </c>
      <c r="AC1161" s="36" t="s">
        <v>2185</v>
      </c>
      <c r="AD1161" s="34"/>
      <c r="AE1161" s="35">
        <f>IFERROR(INDEX([1]Last6M_AvgSales_Ref!$B$2:$B$12659,MATCH(D1161,[1]Last6M_AvgSales_Ref!$A$2:$A$12659,0)),"")</f>
        <v>30.8333333333333</v>
      </c>
    </row>
    <row r="1162" spans="1:31" ht="14.25" customHeight="1" x14ac:dyDescent="0.3">
      <c r="A1162" s="36" t="s">
        <v>2185</v>
      </c>
      <c r="B1162" s="38" t="s">
        <v>2353</v>
      </c>
      <c r="C1162" s="38" t="s">
        <v>2386</v>
      </c>
      <c r="D1162" s="38">
        <v>1000003280</v>
      </c>
      <c r="E1162" s="39" t="s">
        <v>2387</v>
      </c>
      <c r="F1162" s="40">
        <v>44951</v>
      </c>
      <c r="G1162" s="22" t="str">
        <f t="shared" si="252"/>
        <v>Targeted Dealer</v>
      </c>
      <c r="H1162" s="22"/>
      <c r="I1162" s="23">
        <v>125</v>
      </c>
      <c r="J1162" s="23">
        <f t="shared" si="253"/>
        <v>125.00000000000001</v>
      </c>
      <c r="K1162" s="24">
        <v>137.5</v>
      </c>
      <c r="L1162" s="24">
        <f t="shared" si="254"/>
        <v>-12.5</v>
      </c>
      <c r="M1162" s="24">
        <f t="shared" si="255"/>
        <v>109.99999999999999</v>
      </c>
      <c r="N1162" s="25">
        <v>125</v>
      </c>
      <c r="O1162" s="26" t="str">
        <f t="shared" si="256"/>
        <v>June</v>
      </c>
      <c r="P1162" s="25">
        <f t="shared" si="257"/>
        <v>125</v>
      </c>
      <c r="Q1162" s="27">
        <f t="shared" si="258"/>
        <v>12.5</v>
      </c>
      <c r="R1162" s="26" t="b">
        <f t="shared" si="259"/>
        <v>0</v>
      </c>
      <c r="S1162" s="28" t="str">
        <f t="shared" si="260"/>
        <v>GROWTH</v>
      </c>
      <c r="T1162" s="24">
        <v>70</v>
      </c>
      <c r="U1162" s="29" t="str">
        <f t="shared" si="261"/>
        <v>May</v>
      </c>
      <c r="V1162" s="24">
        <f t="shared" si="262"/>
        <v>70</v>
      </c>
      <c r="W1162" s="30">
        <f t="shared" si="263"/>
        <v>67.5</v>
      </c>
      <c r="X1162" s="31" t="b">
        <f t="shared" si="264"/>
        <v>0</v>
      </c>
      <c r="Y1162" s="32" t="str">
        <f t="shared" si="265"/>
        <v>GROWTH</v>
      </c>
      <c r="Z1162" s="41">
        <v>0</v>
      </c>
      <c r="AA1162" s="36"/>
      <c r="AB1162" s="36" t="s">
        <v>24</v>
      </c>
      <c r="AC1162" s="36" t="s">
        <v>2185</v>
      </c>
      <c r="AD1162" s="34"/>
      <c r="AE1162" s="35">
        <f>IFERROR(INDEX([1]Last6M_AvgSales_Ref!$B$2:$B$12659,MATCH(D1162,[1]Last6M_AvgSales_Ref!$A$2:$A$12659,0)),"")</f>
        <v>129.166666666667</v>
      </c>
    </row>
    <row r="1163" spans="1:31" ht="14.25" customHeight="1" x14ac:dyDescent="0.3">
      <c r="A1163" s="36" t="s">
        <v>2185</v>
      </c>
      <c r="B1163" s="38" t="s">
        <v>2388</v>
      </c>
      <c r="C1163" s="38" t="s">
        <v>2389</v>
      </c>
      <c r="D1163" s="38">
        <v>1000001472</v>
      </c>
      <c r="E1163" s="39" t="s">
        <v>2390</v>
      </c>
      <c r="F1163" s="40">
        <v>41340</v>
      </c>
      <c r="G1163" s="22" t="str">
        <f t="shared" si="252"/>
        <v>Targeted Dealer</v>
      </c>
      <c r="H1163" s="22"/>
      <c r="I1163" s="23">
        <v>30</v>
      </c>
      <c r="J1163" s="23">
        <f t="shared" si="253"/>
        <v>30</v>
      </c>
      <c r="K1163" s="24">
        <v>6</v>
      </c>
      <c r="L1163" s="24">
        <f t="shared" si="254"/>
        <v>24</v>
      </c>
      <c r="M1163" s="24">
        <f t="shared" si="255"/>
        <v>20</v>
      </c>
      <c r="N1163" s="25">
        <v>90</v>
      </c>
      <c r="O1163" s="26" t="str">
        <f t="shared" si="256"/>
        <v>June</v>
      </c>
      <c r="P1163" s="25">
        <f t="shared" si="257"/>
        <v>90</v>
      </c>
      <c r="Q1163" s="27">
        <f t="shared" si="258"/>
        <v>-84</v>
      </c>
      <c r="R1163" s="26" t="b">
        <f t="shared" si="259"/>
        <v>0</v>
      </c>
      <c r="S1163" s="28" t="str">
        <f t="shared" si="260"/>
        <v>GROWTH</v>
      </c>
      <c r="T1163" s="24">
        <v>30</v>
      </c>
      <c r="U1163" s="29" t="str">
        <f t="shared" si="261"/>
        <v>May</v>
      </c>
      <c r="V1163" s="24">
        <f t="shared" si="262"/>
        <v>30</v>
      </c>
      <c r="W1163" s="30">
        <f t="shared" si="263"/>
        <v>-24</v>
      </c>
      <c r="X1163" s="31" t="b">
        <f t="shared" si="264"/>
        <v>0</v>
      </c>
      <c r="Y1163" s="32" t="str">
        <f t="shared" si="265"/>
        <v>GROWTH</v>
      </c>
      <c r="Z1163" s="41">
        <v>0</v>
      </c>
      <c r="AA1163" s="36"/>
      <c r="AB1163" s="36" t="s">
        <v>24</v>
      </c>
      <c r="AC1163" s="36" t="s">
        <v>2185</v>
      </c>
      <c r="AD1163" s="34"/>
      <c r="AE1163" s="35">
        <f>IFERROR(INDEX([1]Last6M_AvgSales_Ref!$B$2:$B$12659,MATCH(D1163,[1]Last6M_AvgSales_Ref!$A$2:$A$12659,0)),"")</f>
        <v>30</v>
      </c>
    </row>
    <row r="1164" spans="1:31" ht="14.25" customHeight="1" x14ac:dyDescent="0.3">
      <c r="A1164" s="36" t="s">
        <v>2185</v>
      </c>
      <c r="B1164" s="38" t="s">
        <v>2388</v>
      </c>
      <c r="C1164" s="38" t="s">
        <v>2391</v>
      </c>
      <c r="D1164" s="38">
        <v>1000001477</v>
      </c>
      <c r="E1164" s="39" t="s">
        <v>2392</v>
      </c>
      <c r="F1164" s="40">
        <v>41449</v>
      </c>
      <c r="G1164" s="22" t="str">
        <f t="shared" si="252"/>
        <v>Targeted Dealer</v>
      </c>
      <c r="H1164" s="22"/>
      <c r="I1164" s="23">
        <v>60</v>
      </c>
      <c r="J1164" s="23">
        <f t="shared" si="253"/>
        <v>60</v>
      </c>
      <c r="K1164" s="24">
        <v>57.5</v>
      </c>
      <c r="L1164" s="24">
        <f t="shared" si="254"/>
        <v>2.5</v>
      </c>
      <c r="M1164" s="24">
        <f t="shared" si="255"/>
        <v>95.833333333333343</v>
      </c>
      <c r="N1164" s="25">
        <v>78</v>
      </c>
      <c r="O1164" s="26" t="str">
        <f t="shared" si="256"/>
        <v>June</v>
      </c>
      <c r="P1164" s="25">
        <f t="shared" si="257"/>
        <v>78</v>
      </c>
      <c r="Q1164" s="27">
        <f t="shared" si="258"/>
        <v>-20.5</v>
      </c>
      <c r="R1164" s="26" t="b">
        <f t="shared" si="259"/>
        <v>0</v>
      </c>
      <c r="S1164" s="28" t="str">
        <f t="shared" si="260"/>
        <v>GROWTH</v>
      </c>
      <c r="T1164" s="24">
        <v>33.5</v>
      </c>
      <c r="U1164" s="29" t="str">
        <f t="shared" si="261"/>
        <v>May</v>
      </c>
      <c r="V1164" s="24">
        <f t="shared" si="262"/>
        <v>33.5</v>
      </c>
      <c r="W1164" s="30">
        <f t="shared" si="263"/>
        <v>24</v>
      </c>
      <c r="X1164" s="31" t="b">
        <f t="shared" si="264"/>
        <v>0</v>
      </c>
      <c r="Y1164" s="32" t="str">
        <f t="shared" si="265"/>
        <v>GROWTH</v>
      </c>
      <c r="Z1164" s="41">
        <v>0</v>
      </c>
      <c r="AA1164" s="36"/>
      <c r="AB1164" s="36" t="s">
        <v>24</v>
      </c>
      <c r="AC1164" s="36" t="s">
        <v>2185</v>
      </c>
      <c r="AD1164" s="34"/>
      <c r="AE1164" s="35">
        <f>IFERROR(INDEX([1]Last6M_AvgSales_Ref!$B$2:$B$12659,MATCH(D1164,[1]Last6M_AvgSales_Ref!$A$2:$A$12659,0)),"")</f>
        <v>57</v>
      </c>
    </row>
    <row r="1165" spans="1:31" ht="14.25" customHeight="1" x14ac:dyDescent="0.3">
      <c r="A1165" s="36" t="s">
        <v>2185</v>
      </c>
      <c r="B1165" s="38" t="s">
        <v>2388</v>
      </c>
      <c r="C1165" s="38" t="s">
        <v>2393</v>
      </c>
      <c r="D1165" s="38">
        <v>1000001461</v>
      </c>
      <c r="E1165" s="39" t="s">
        <v>2394</v>
      </c>
      <c r="F1165" s="40">
        <v>41814</v>
      </c>
      <c r="G1165" s="22" t="str">
        <f t="shared" si="252"/>
        <v>Targeted Dealer</v>
      </c>
      <c r="H1165" s="22"/>
      <c r="I1165" s="23">
        <v>100</v>
      </c>
      <c r="J1165" s="23">
        <f t="shared" si="253"/>
        <v>100</v>
      </c>
      <c r="K1165" s="24">
        <v>181</v>
      </c>
      <c r="L1165" s="24">
        <f t="shared" si="254"/>
        <v>-81</v>
      </c>
      <c r="M1165" s="24">
        <f t="shared" si="255"/>
        <v>181</v>
      </c>
      <c r="N1165" s="25">
        <v>120</v>
      </c>
      <c r="O1165" s="26" t="str">
        <f t="shared" si="256"/>
        <v>June</v>
      </c>
      <c r="P1165" s="25">
        <f t="shared" si="257"/>
        <v>120</v>
      </c>
      <c r="Q1165" s="27">
        <f t="shared" si="258"/>
        <v>61</v>
      </c>
      <c r="R1165" s="26" t="b">
        <f t="shared" si="259"/>
        <v>0</v>
      </c>
      <c r="S1165" s="28" t="str">
        <f t="shared" si="260"/>
        <v>GROWTH</v>
      </c>
      <c r="T1165" s="24">
        <v>120</v>
      </c>
      <c r="U1165" s="29" t="str">
        <f t="shared" si="261"/>
        <v>May</v>
      </c>
      <c r="V1165" s="24">
        <f t="shared" si="262"/>
        <v>120</v>
      </c>
      <c r="W1165" s="30">
        <f t="shared" si="263"/>
        <v>61</v>
      </c>
      <c r="X1165" s="31" t="b">
        <f t="shared" si="264"/>
        <v>0</v>
      </c>
      <c r="Y1165" s="32" t="str">
        <f t="shared" si="265"/>
        <v>GROWTH</v>
      </c>
      <c r="Z1165" s="41">
        <v>0</v>
      </c>
      <c r="AA1165" s="36"/>
      <c r="AB1165" s="36" t="s">
        <v>24</v>
      </c>
      <c r="AC1165" s="36" t="s">
        <v>2185</v>
      </c>
      <c r="AD1165" s="34"/>
      <c r="AE1165" s="35">
        <f>IFERROR(INDEX([1]Last6M_AvgSales_Ref!$B$2:$B$12659,MATCH(D1165,[1]Last6M_AvgSales_Ref!$A$2:$A$12659,0)),"")</f>
        <v>99.6666666666667</v>
      </c>
    </row>
    <row r="1166" spans="1:31" ht="14.25" customHeight="1" x14ac:dyDescent="0.3">
      <c r="A1166" s="36" t="s">
        <v>2185</v>
      </c>
      <c r="B1166" s="38" t="s">
        <v>2388</v>
      </c>
      <c r="C1166" s="38" t="s">
        <v>2395</v>
      </c>
      <c r="D1166" s="38">
        <v>1000001463</v>
      </c>
      <c r="E1166" s="39" t="s">
        <v>2396</v>
      </c>
      <c r="F1166" s="40">
        <v>41856</v>
      </c>
      <c r="G1166" s="22" t="str">
        <f t="shared" si="252"/>
        <v>Targeted Dealer</v>
      </c>
      <c r="H1166" s="22"/>
      <c r="I1166" s="23">
        <v>170</v>
      </c>
      <c r="J1166" s="23">
        <f t="shared" si="253"/>
        <v>170</v>
      </c>
      <c r="K1166" s="24">
        <v>156</v>
      </c>
      <c r="L1166" s="24">
        <f t="shared" si="254"/>
        <v>14</v>
      </c>
      <c r="M1166" s="24">
        <f t="shared" si="255"/>
        <v>91.764705882352942</v>
      </c>
      <c r="N1166" s="25">
        <v>208.1</v>
      </c>
      <c r="O1166" s="26" t="str">
        <f t="shared" si="256"/>
        <v>June</v>
      </c>
      <c r="P1166" s="25">
        <f t="shared" si="257"/>
        <v>208.1</v>
      </c>
      <c r="Q1166" s="27">
        <f t="shared" si="258"/>
        <v>-52.099999999999994</v>
      </c>
      <c r="R1166" s="26" t="b">
        <f t="shared" si="259"/>
        <v>0</v>
      </c>
      <c r="S1166" s="28" t="str">
        <f t="shared" si="260"/>
        <v>GROWTH</v>
      </c>
      <c r="T1166" s="24">
        <v>108.85</v>
      </c>
      <c r="U1166" s="29" t="str">
        <f t="shared" si="261"/>
        <v>May</v>
      </c>
      <c r="V1166" s="24">
        <f t="shared" si="262"/>
        <v>108.85</v>
      </c>
      <c r="W1166" s="30">
        <f t="shared" si="263"/>
        <v>47.150000000000006</v>
      </c>
      <c r="X1166" s="31" t="b">
        <f t="shared" si="264"/>
        <v>0</v>
      </c>
      <c r="Y1166" s="32" t="str">
        <f t="shared" si="265"/>
        <v>GROWTH</v>
      </c>
      <c r="Z1166" s="41">
        <v>0</v>
      </c>
      <c r="AA1166" s="36"/>
      <c r="AB1166" s="36" t="s">
        <v>24</v>
      </c>
      <c r="AC1166" s="36" t="s">
        <v>2185</v>
      </c>
      <c r="AD1166" s="34"/>
      <c r="AE1166" s="35">
        <f>IFERROR(INDEX([1]Last6M_AvgSales_Ref!$B$2:$B$12659,MATCH(D1166,[1]Last6M_AvgSales_Ref!$A$2:$A$12659,0)),"")</f>
        <v>146.333333333333</v>
      </c>
    </row>
    <row r="1167" spans="1:31" ht="14.25" customHeight="1" x14ac:dyDescent="0.3">
      <c r="A1167" s="36" t="s">
        <v>2185</v>
      </c>
      <c r="B1167" s="38" t="s">
        <v>2388</v>
      </c>
      <c r="C1167" s="38" t="s">
        <v>2397</v>
      </c>
      <c r="D1167" s="38">
        <v>1000001468</v>
      </c>
      <c r="E1167" s="39" t="s">
        <v>2398</v>
      </c>
      <c r="F1167" s="40">
        <v>41940</v>
      </c>
      <c r="G1167" s="22" t="str">
        <f t="shared" si="252"/>
        <v>Targeted Dealer</v>
      </c>
      <c r="H1167" s="22"/>
      <c r="I1167" s="23">
        <v>280</v>
      </c>
      <c r="J1167" s="23">
        <f t="shared" si="253"/>
        <v>280</v>
      </c>
      <c r="K1167" s="24">
        <v>230</v>
      </c>
      <c r="L1167" s="24">
        <f t="shared" si="254"/>
        <v>50</v>
      </c>
      <c r="M1167" s="24">
        <f t="shared" si="255"/>
        <v>82.142857142857153</v>
      </c>
      <c r="N1167" s="25">
        <v>275</v>
      </c>
      <c r="O1167" s="26" t="str">
        <f t="shared" si="256"/>
        <v>June</v>
      </c>
      <c r="P1167" s="25">
        <f t="shared" si="257"/>
        <v>275</v>
      </c>
      <c r="Q1167" s="27">
        <f t="shared" si="258"/>
        <v>-45</v>
      </c>
      <c r="R1167" s="26" t="b">
        <f t="shared" si="259"/>
        <v>0</v>
      </c>
      <c r="S1167" s="28" t="str">
        <f t="shared" si="260"/>
        <v>GROWTH</v>
      </c>
      <c r="T1167" s="24">
        <v>500</v>
      </c>
      <c r="U1167" s="29" t="str">
        <f t="shared" si="261"/>
        <v>May</v>
      </c>
      <c r="V1167" s="24">
        <f t="shared" si="262"/>
        <v>500</v>
      </c>
      <c r="W1167" s="30">
        <f t="shared" si="263"/>
        <v>-270</v>
      </c>
      <c r="X1167" s="31" t="b">
        <f t="shared" si="264"/>
        <v>0</v>
      </c>
      <c r="Y1167" s="32" t="str">
        <f t="shared" si="265"/>
        <v>GROWTH</v>
      </c>
      <c r="Z1167" s="41">
        <v>0</v>
      </c>
      <c r="AA1167" s="36"/>
      <c r="AB1167" s="36" t="s">
        <v>24</v>
      </c>
      <c r="AC1167" s="36" t="s">
        <v>2185</v>
      </c>
      <c r="AD1167" s="34"/>
      <c r="AE1167" s="35">
        <f>IFERROR(INDEX([1]Last6M_AvgSales_Ref!$B$2:$B$12659,MATCH(D1167,[1]Last6M_AvgSales_Ref!$A$2:$A$12659,0)),"")</f>
        <v>258.33333333333297</v>
      </c>
    </row>
    <row r="1168" spans="1:31" ht="14.25" customHeight="1" x14ac:dyDescent="0.3">
      <c r="A1168" s="36" t="s">
        <v>2185</v>
      </c>
      <c r="B1168" s="38" t="s">
        <v>2388</v>
      </c>
      <c r="C1168" s="38" t="s">
        <v>2399</v>
      </c>
      <c r="D1168" s="38">
        <v>1000001462</v>
      </c>
      <c r="E1168" s="39" t="s">
        <v>2400</v>
      </c>
      <c r="F1168" s="40">
        <v>41967</v>
      </c>
      <c r="G1168" s="22" t="str">
        <f t="shared" si="252"/>
        <v>Targeted Dealer</v>
      </c>
      <c r="H1168" s="22"/>
      <c r="I1168" s="23">
        <v>100</v>
      </c>
      <c r="J1168" s="23">
        <f t="shared" si="253"/>
        <v>100</v>
      </c>
      <c r="K1168" s="24">
        <v>30</v>
      </c>
      <c r="L1168" s="24">
        <f t="shared" si="254"/>
        <v>70</v>
      </c>
      <c r="M1168" s="24">
        <f t="shared" si="255"/>
        <v>30</v>
      </c>
      <c r="N1168" s="25">
        <v>30</v>
      </c>
      <c r="O1168" s="26" t="str">
        <f t="shared" si="256"/>
        <v>June</v>
      </c>
      <c r="P1168" s="25">
        <f t="shared" si="257"/>
        <v>30</v>
      </c>
      <c r="Q1168" s="27">
        <f t="shared" si="258"/>
        <v>0</v>
      </c>
      <c r="R1168" s="26" t="b">
        <f t="shared" si="259"/>
        <v>0</v>
      </c>
      <c r="S1168" s="28" t="str">
        <f t="shared" si="260"/>
        <v>GROWTH</v>
      </c>
      <c r="T1168" s="24">
        <v>60</v>
      </c>
      <c r="U1168" s="29" t="str">
        <f t="shared" si="261"/>
        <v>May</v>
      </c>
      <c r="V1168" s="24">
        <f t="shared" si="262"/>
        <v>60</v>
      </c>
      <c r="W1168" s="30">
        <f t="shared" si="263"/>
        <v>-30</v>
      </c>
      <c r="X1168" s="31" t="b">
        <f t="shared" si="264"/>
        <v>0</v>
      </c>
      <c r="Y1168" s="32" t="str">
        <f t="shared" si="265"/>
        <v>GROWTH</v>
      </c>
      <c r="Z1168" s="41">
        <v>0</v>
      </c>
      <c r="AA1168" s="36"/>
      <c r="AB1168" s="36" t="s">
        <v>24</v>
      </c>
      <c r="AC1168" s="36" t="s">
        <v>2185</v>
      </c>
      <c r="AD1168" s="34"/>
      <c r="AE1168" s="35">
        <f>IFERROR(INDEX([1]Last6M_AvgSales_Ref!$B$2:$B$12659,MATCH(D1168,[1]Last6M_AvgSales_Ref!$A$2:$A$12659,0)),"")</f>
        <v>61.6666666666667</v>
      </c>
    </row>
    <row r="1169" spans="1:31" ht="14.25" customHeight="1" x14ac:dyDescent="0.3">
      <c r="A1169" s="36" t="s">
        <v>2185</v>
      </c>
      <c r="B1169" s="38" t="s">
        <v>2388</v>
      </c>
      <c r="C1169" s="38" t="s">
        <v>2401</v>
      </c>
      <c r="D1169" s="38">
        <v>1000001469</v>
      </c>
      <c r="E1169" s="39" t="s">
        <v>2402</v>
      </c>
      <c r="F1169" s="40">
        <v>43600</v>
      </c>
      <c r="G1169" s="22" t="str">
        <f t="shared" si="252"/>
        <v>Targeted Dealer</v>
      </c>
      <c r="H1169" s="22"/>
      <c r="I1169" s="23">
        <v>130</v>
      </c>
      <c r="J1169" s="23">
        <f t="shared" si="253"/>
        <v>130</v>
      </c>
      <c r="K1169" s="24">
        <v>146</v>
      </c>
      <c r="L1169" s="24">
        <f t="shared" si="254"/>
        <v>-16</v>
      </c>
      <c r="M1169" s="24">
        <f t="shared" si="255"/>
        <v>112.30769230769231</v>
      </c>
      <c r="N1169" s="25">
        <v>212</v>
      </c>
      <c r="O1169" s="26" t="str">
        <f t="shared" si="256"/>
        <v>June</v>
      </c>
      <c r="P1169" s="25">
        <f t="shared" si="257"/>
        <v>212</v>
      </c>
      <c r="Q1169" s="27">
        <f t="shared" si="258"/>
        <v>-66</v>
      </c>
      <c r="R1169" s="26" t="b">
        <f t="shared" si="259"/>
        <v>0</v>
      </c>
      <c r="S1169" s="28" t="str">
        <f t="shared" si="260"/>
        <v>GROWTH</v>
      </c>
      <c r="T1169" s="24">
        <v>184</v>
      </c>
      <c r="U1169" s="29" t="str">
        <f t="shared" si="261"/>
        <v>May</v>
      </c>
      <c r="V1169" s="24">
        <f t="shared" si="262"/>
        <v>184</v>
      </c>
      <c r="W1169" s="30">
        <f t="shared" si="263"/>
        <v>-38</v>
      </c>
      <c r="X1169" s="31" t="b">
        <f t="shared" si="264"/>
        <v>0</v>
      </c>
      <c r="Y1169" s="32" t="str">
        <f t="shared" si="265"/>
        <v>GROWTH</v>
      </c>
      <c r="Z1169" s="41">
        <v>0</v>
      </c>
      <c r="AA1169" s="36"/>
      <c r="AB1169" s="36" t="s">
        <v>24</v>
      </c>
      <c r="AC1169" s="36" t="s">
        <v>2185</v>
      </c>
      <c r="AD1169" s="34"/>
      <c r="AE1169" s="35">
        <f>IFERROR(INDEX([1]Last6M_AvgSales_Ref!$B$2:$B$12659,MATCH(D1169,[1]Last6M_AvgSales_Ref!$A$2:$A$12659,0)),"")</f>
        <v>119.083333333333</v>
      </c>
    </row>
    <row r="1170" spans="1:31" ht="14.25" customHeight="1" x14ac:dyDescent="0.3">
      <c r="A1170" s="36" t="s">
        <v>2185</v>
      </c>
      <c r="B1170" s="38" t="s">
        <v>2388</v>
      </c>
      <c r="C1170" s="38" t="s">
        <v>2403</v>
      </c>
      <c r="D1170" s="38">
        <v>1000001459</v>
      </c>
      <c r="E1170" s="39" t="s">
        <v>2404</v>
      </c>
      <c r="F1170" s="40">
        <v>43686</v>
      </c>
      <c r="G1170" s="22" t="str">
        <f t="shared" si="252"/>
        <v>Targeted Dealer</v>
      </c>
      <c r="H1170" s="22"/>
      <c r="I1170" s="23">
        <v>25</v>
      </c>
      <c r="J1170" s="23">
        <f t="shared" si="253"/>
        <v>25</v>
      </c>
      <c r="K1170" s="24">
        <v>0</v>
      </c>
      <c r="L1170" s="24">
        <f t="shared" si="254"/>
        <v>25</v>
      </c>
      <c r="M1170" s="24">
        <f t="shared" si="255"/>
        <v>0</v>
      </c>
      <c r="N1170" s="25">
        <v>0</v>
      </c>
      <c r="O1170" s="26" t="str">
        <f t="shared" si="256"/>
        <v>June</v>
      </c>
      <c r="P1170" s="25">
        <f t="shared" si="257"/>
        <v>0</v>
      </c>
      <c r="Q1170" s="27">
        <f t="shared" si="258"/>
        <v>0</v>
      </c>
      <c r="R1170" s="26" t="b">
        <f t="shared" si="259"/>
        <v>0</v>
      </c>
      <c r="S1170" s="28" t="b">
        <f t="shared" si="260"/>
        <v>0</v>
      </c>
      <c r="T1170" s="24">
        <v>25</v>
      </c>
      <c r="U1170" s="29" t="str">
        <f t="shared" si="261"/>
        <v>May</v>
      </c>
      <c r="V1170" s="24">
        <f t="shared" si="262"/>
        <v>25</v>
      </c>
      <c r="W1170" s="30">
        <f t="shared" si="263"/>
        <v>-25</v>
      </c>
      <c r="X1170" s="31" t="b">
        <f t="shared" si="264"/>
        <v>0</v>
      </c>
      <c r="Y1170" s="32" t="str">
        <f t="shared" si="265"/>
        <v>GROWTH</v>
      </c>
      <c r="Z1170" s="41">
        <v>0</v>
      </c>
      <c r="AA1170" s="36"/>
      <c r="AB1170" s="36" t="s">
        <v>24</v>
      </c>
      <c r="AC1170" s="36" t="s">
        <v>2185</v>
      </c>
      <c r="AD1170" s="34"/>
      <c r="AE1170" s="35">
        <f>IFERROR(INDEX([1]Last6M_AvgSales_Ref!$B$2:$B$12659,MATCH(D1170,[1]Last6M_AvgSales_Ref!$A$2:$A$12659,0)),"")</f>
        <v>10.4166666666667</v>
      </c>
    </row>
    <row r="1171" spans="1:31" ht="14.25" customHeight="1" x14ac:dyDescent="0.3">
      <c r="A1171" s="36" t="s">
        <v>2185</v>
      </c>
      <c r="B1171" s="38" t="s">
        <v>2388</v>
      </c>
      <c r="C1171" s="38" t="s">
        <v>2405</v>
      </c>
      <c r="D1171" s="38">
        <v>1000001195</v>
      </c>
      <c r="E1171" s="38" t="s">
        <v>2406</v>
      </c>
      <c r="F1171" s="40">
        <v>43804</v>
      </c>
      <c r="G1171" s="22" t="str">
        <f t="shared" si="252"/>
        <v>Targeted Dealer</v>
      </c>
      <c r="H1171" s="22"/>
      <c r="I1171" s="23">
        <v>220</v>
      </c>
      <c r="J1171" s="23">
        <f t="shared" si="253"/>
        <v>220</v>
      </c>
      <c r="K1171" s="24">
        <v>205</v>
      </c>
      <c r="L1171" s="24">
        <f t="shared" si="254"/>
        <v>15</v>
      </c>
      <c r="M1171" s="24">
        <f t="shared" si="255"/>
        <v>93.181818181818173</v>
      </c>
      <c r="N1171" s="25">
        <v>130</v>
      </c>
      <c r="O1171" s="26" t="str">
        <f t="shared" si="256"/>
        <v>June</v>
      </c>
      <c r="P1171" s="25">
        <f t="shared" si="257"/>
        <v>130</v>
      </c>
      <c r="Q1171" s="27">
        <f t="shared" si="258"/>
        <v>75</v>
      </c>
      <c r="R1171" s="26" t="b">
        <f t="shared" si="259"/>
        <v>0</v>
      </c>
      <c r="S1171" s="28" t="str">
        <f t="shared" si="260"/>
        <v>GROWTH</v>
      </c>
      <c r="T1171" s="24">
        <v>235</v>
      </c>
      <c r="U1171" s="29" t="str">
        <f t="shared" si="261"/>
        <v>May</v>
      </c>
      <c r="V1171" s="24">
        <f t="shared" si="262"/>
        <v>235</v>
      </c>
      <c r="W1171" s="30">
        <f t="shared" si="263"/>
        <v>-30</v>
      </c>
      <c r="X1171" s="31" t="b">
        <f t="shared" si="264"/>
        <v>0</v>
      </c>
      <c r="Y1171" s="32" t="str">
        <f t="shared" si="265"/>
        <v>GROWTH</v>
      </c>
      <c r="Z1171" s="41">
        <v>0</v>
      </c>
      <c r="AA1171" s="36"/>
      <c r="AB1171" s="36" t="s">
        <v>24</v>
      </c>
      <c r="AC1171" s="36" t="s">
        <v>2185</v>
      </c>
      <c r="AD1171" s="34"/>
      <c r="AE1171" s="35">
        <f>IFERROR(INDEX([1]Last6M_AvgSales_Ref!$B$2:$B$12659,MATCH(D1171,[1]Last6M_AvgSales_Ref!$A$2:$A$12659,0)),"")</f>
        <v>169.333333333333</v>
      </c>
    </row>
    <row r="1172" spans="1:31" ht="14.25" customHeight="1" x14ac:dyDescent="0.3">
      <c r="A1172" s="36" t="s">
        <v>2185</v>
      </c>
      <c r="B1172" s="38" t="s">
        <v>2388</v>
      </c>
      <c r="C1172" s="38" t="s">
        <v>2407</v>
      </c>
      <c r="D1172" s="38">
        <v>1000001465</v>
      </c>
      <c r="E1172" s="39" t="s">
        <v>2408</v>
      </c>
      <c r="F1172" s="40">
        <v>43867</v>
      </c>
      <c r="G1172" s="22" t="str">
        <f t="shared" si="252"/>
        <v>Targeted Dealer</v>
      </c>
      <c r="H1172" s="22"/>
      <c r="I1172" s="23">
        <v>180</v>
      </c>
      <c r="J1172" s="23">
        <f t="shared" si="253"/>
        <v>180</v>
      </c>
      <c r="K1172" s="24">
        <v>0</v>
      </c>
      <c r="L1172" s="24">
        <f t="shared" si="254"/>
        <v>180</v>
      </c>
      <c r="M1172" s="24">
        <f t="shared" si="255"/>
        <v>0</v>
      </c>
      <c r="N1172" s="25">
        <v>202.5</v>
      </c>
      <c r="O1172" s="26" t="str">
        <f t="shared" si="256"/>
        <v>June</v>
      </c>
      <c r="P1172" s="25">
        <f t="shared" si="257"/>
        <v>202.5</v>
      </c>
      <c r="Q1172" s="27">
        <f t="shared" si="258"/>
        <v>-202.5</v>
      </c>
      <c r="R1172" s="26" t="b">
        <f t="shared" si="259"/>
        <v>0</v>
      </c>
      <c r="S1172" s="28" t="str">
        <f t="shared" si="260"/>
        <v>GROWTH</v>
      </c>
      <c r="T1172" s="24">
        <v>243</v>
      </c>
      <c r="U1172" s="29" t="str">
        <f t="shared" si="261"/>
        <v>May</v>
      </c>
      <c r="V1172" s="24">
        <f t="shared" si="262"/>
        <v>243</v>
      </c>
      <c r="W1172" s="30">
        <f t="shared" si="263"/>
        <v>-243</v>
      </c>
      <c r="X1172" s="31" t="b">
        <f t="shared" si="264"/>
        <v>0</v>
      </c>
      <c r="Y1172" s="32" t="str">
        <f t="shared" si="265"/>
        <v>GROWTH</v>
      </c>
      <c r="Z1172" s="41">
        <v>0</v>
      </c>
      <c r="AA1172" s="36"/>
      <c r="AB1172" s="36" t="s">
        <v>24</v>
      </c>
      <c r="AC1172" s="36" t="s">
        <v>2185</v>
      </c>
      <c r="AD1172" s="34"/>
      <c r="AE1172" s="35">
        <f>IFERROR(INDEX([1]Last6M_AvgSales_Ref!$B$2:$B$12659,MATCH(D1172,[1]Last6M_AvgSales_Ref!$A$2:$A$12659,0)),"")</f>
        <v>232.5</v>
      </c>
    </row>
    <row r="1173" spans="1:31" ht="14.25" customHeight="1" x14ac:dyDescent="0.3">
      <c r="A1173" s="36" t="s">
        <v>2185</v>
      </c>
      <c r="B1173" s="38" t="s">
        <v>2388</v>
      </c>
      <c r="C1173" s="38" t="s">
        <v>2409</v>
      </c>
      <c r="D1173" s="38">
        <v>1000002010</v>
      </c>
      <c r="E1173" s="39" t="s">
        <v>2410</v>
      </c>
      <c r="F1173" s="40">
        <v>44488</v>
      </c>
      <c r="G1173" s="22" t="str">
        <f t="shared" si="252"/>
        <v>Targeted Dealer</v>
      </c>
      <c r="H1173" s="22"/>
      <c r="I1173" s="23">
        <v>60</v>
      </c>
      <c r="J1173" s="23">
        <f t="shared" si="253"/>
        <v>60</v>
      </c>
      <c r="K1173" s="24">
        <v>24</v>
      </c>
      <c r="L1173" s="24">
        <f t="shared" si="254"/>
        <v>36</v>
      </c>
      <c r="M1173" s="24">
        <f t="shared" si="255"/>
        <v>40</v>
      </c>
      <c r="N1173" s="25">
        <v>186</v>
      </c>
      <c r="O1173" s="26" t="str">
        <f t="shared" si="256"/>
        <v>June</v>
      </c>
      <c r="P1173" s="25">
        <f t="shared" si="257"/>
        <v>186</v>
      </c>
      <c r="Q1173" s="27">
        <f t="shared" si="258"/>
        <v>-162</v>
      </c>
      <c r="R1173" s="26" t="b">
        <f t="shared" si="259"/>
        <v>0</v>
      </c>
      <c r="S1173" s="28" t="str">
        <f t="shared" si="260"/>
        <v>GROWTH</v>
      </c>
      <c r="T1173" s="24">
        <v>77</v>
      </c>
      <c r="U1173" s="29" t="str">
        <f t="shared" si="261"/>
        <v>May</v>
      </c>
      <c r="V1173" s="24">
        <f t="shared" si="262"/>
        <v>77</v>
      </c>
      <c r="W1173" s="30">
        <f t="shared" si="263"/>
        <v>-53</v>
      </c>
      <c r="X1173" s="31" t="b">
        <f t="shared" si="264"/>
        <v>0</v>
      </c>
      <c r="Y1173" s="32" t="str">
        <f t="shared" si="265"/>
        <v>GROWTH</v>
      </c>
      <c r="Z1173" s="41">
        <v>0</v>
      </c>
      <c r="AA1173" s="36"/>
      <c r="AB1173" s="36" t="s">
        <v>24</v>
      </c>
      <c r="AC1173" s="36" t="s">
        <v>2185</v>
      </c>
      <c r="AD1173" s="34"/>
      <c r="AE1173" s="35">
        <f>IFERROR(INDEX([1]Last6M_AvgSales_Ref!$B$2:$B$12659,MATCH(D1173,[1]Last6M_AvgSales_Ref!$A$2:$A$12659,0)),"")</f>
        <v>40.658333333333303</v>
      </c>
    </row>
    <row r="1174" spans="1:31" ht="14.25" customHeight="1" x14ac:dyDescent="0.3">
      <c r="A1174" s="36" t="s">
        <v>2185</v>
      </c>
      <c r="B1174" s="38" t="s">
        <v>2388</v>
      </c>
      <c r="C1174" s="38" t="s">
        <v>2411</v>
      </c>
      <c r="D1174" s="38">
        <v>1000002510</v>
      </c>
      <c r="E1174" s="39" t="s">
        <v>2412</v>
      </c>
      <c r="F1174" s="40">
        <v>44585</v>
      </c>
      <c r="G1174" s="22" t="str">
        <f t="shared" si="252"/>
        <v>Targeted Dealer</v>
      </c>
      <c r="H1174" s="22"/>
      <c r="I1174" s="23">
        <v>100</v>
      </c>
      <c r="J1174" s="23">
        <f t="shared" si="253"/>
        <v>100</v>
      </c>
      <c r="K1174" s="24">
        <v>0</v>
      </c>
      <c r="L1174" s="24">
        <f t="shared" si="254"/>
        <v>100</v>
      </c>
      <c r="M1174" s="24">
        <f t="shared" si="255"/>
        <v>0</v>
      </c>
      <c r="N1174" s="25">
        <v>100</v>
      </c>
      <c r="O1174" s="26" t="str">
        <f t="shared" si="256"/>
        <v>June</v>
      </c>
      <c r="P1174" s="25">
        <f t="shared" si="257"/>
        <v>100</v>
      </c>
      <c r="Q1174" s="27">
        <f t="shared" si="258"/>
        <v>-100</v>
      </c>
      <c r="R1174" s="26" t="b">
        <f t="shared" si="259"/>
        <v>0</v>
      </c>
      <c r="S1174" s="28" t="str">
        <f t="shared" si="260"/>
        <v>GROWTH</v>
      </c>
      <c r="T1174" s="24">
        <v>120</v>
      </c>
      <c r="U1174" s="29" t="str">
        <f t="shared" si="261"/>
        <v>May</v>
      </c>
      <c r="V1174" s="24">
        <f t="shared" si="262"/>
        <v>120</v>
      </c>
      <c r="W1174" s="30">
        <f t="shared" si="263"/>
        <v>-120</v>
      </c>
      <c r="X1174" s="31" t="b">
        <f t="shared" si="264"/>
        <v>0</v>
      </c>
      <c r="Y1174" s="32" t="str">
        <f t="shared" si="265"/>
        <v>GROWTH</v>
      </c>
      <c r="Z1174" s="41">
        <v>0</v>
      </c>
      <c r="AA1174" s="36"/>
      <c r="AB1174" s="36" t="s">
        <v>24</v>
      </c>
      <c r="AC1174" s="36" t="s">
        <v>2185</v>
      </c>
      <c r="AD1174" s="34"/>
      <c r="AE1174" s="35">
        <f>IFERROR(INDEX([1]Last6M_AvgSales_Ref!$B$2:$B$12659,MATCH(D1174,[1]Last6M_AvgSales_Ref!$A$2:$A$12659,0)),"")</f>
        <v>97</v>
      </c>
    </row>
    <row r="1175" spans="1:31" ht="14.25" customHeight="1" x14ac:dyDescent="0.3">
      <c r="A1175" s="36" t="s">
        <v>2185</v>
      </c>
      <c r="B1175" s="38" t="s">
        <v>2388</v>
      </c>
      <c r="C1175" s="38" t="s">
        <v>2413</v>
      </c>
      <c r="D1175" s="38">
        <v>1000002773</v>
      </c>
      <c r="E1175" s="39" t="s">
        <v>2414</v>
      </c>
      <c r="F1175" s="40">
        <v>44692</v>
      </c>
      <c r="G1175" s="22" t="str">
        <f t="shared" si="252"/>
        <v>Targeted Dealer</v>
      </c>
      <c r="H1175" s="22"/>
      <c r="I1175" s="23">
        <v>220</v>
      </c>
      <c r="J1175" s="23">
        <f t="shared" si="253"/>
        <v>220</v>
      </c>
      <c r="K1175" s="24">
        <v>198</v>
      </c>
      <c r="L1175" s="24">
        <f t="shared" si="254"/>
        <v>22</v>
      </c>
      <c r="M1175" s="24">
        <f t="shared" si="255"/>
        <v>89.999999999999986</v>
      </c>
      <c r="N1175" s="25">
        <v>222</v>
      </c>
      <c r="O1175" s="26" t="str">
        <f t="shared" si="256"/>
        <v>June</v>
      </c>
      <c r="P1175" s="25">
        <f t="shared" si="257"/>
        <v>222</v>
      </c>
      <c r="Q1175" s="27">
        <f t="shared" si="258"/>
        <v>-24</v>
      </c>
      <c r="R1175" s="26" t="b">
        <f t="shared" si="259"/>
        <v>0</v>
      </c>
      <c r="S1175" s="28" t="str">
        <f t="shared" si="260"/>
        <v>GROWTH</v>
      </c>
      <c r="T1175" s="24">
        <v>232.5</v>
      </c>
      <c r="U1175" s="29" t="str">
        <f t="shared" si="261"/>
        <v>May</v>
      </c>
      <c r="V1175" s="24">
        <f t="shared" si="262"/>
        <v>232.5</v>
      </c>
      <c r="W1175" s="30">
        <f t="shared" si="263"/>
        <v>-34.5</v>
      </c>
      <c r="X1175" s="31" t="b">
        <f t="shared" si="264"/>
        <v>0</v>
      </c>
      <c r="Y1175" s="32" t="str">
        <f t="shared" si="265"/>
        <v>GROWTH</v>
      </c>
      <c r="Z1175" s="41">
        <v>0</v>
      </c>
      <c r="AA1175" s="36"/>
      <c r="AB1175" s="36" t="s">
        <v>24</v>
      </c>
      <c r="AC1175" s="36" t="s">
        <v>2185</v>
      </c>
      <c r="AD1175" s="34"/>
      <c r="AE1175" s="35">
        <f>IFERROR(INDEX([1]Last6M_AvgSales_Ref!$B$2:$B$12659,MATCH(D1175,[1]Last6M_AvgSales_Ref!$A$2:$A$12659,0)),"")</f>
        <v>218.3</v>
      </c>
    </row>
    <row r="1176" spans="1:31" ht="14.25" customHeight="1" x14ac:dyDescent="0.3">
      <c r="A1176" s="36" t="s">
        <v>2185</v>
      </c>
      <c r="B1176" s="38" t="s">
        <v>2388</v>
      </c>
      <c r="C1176" s="38" t="s">
        <v>2415</v>
      </c>
      <c r="D1176" s="38">
        <v>1000002866</v>
      </c>
      <c r="E1176" s="39" t="s">
        <v>2416</v>
      </c>
      <c r="F1176" s="40">
        <v>44767</v>
      </c>
      <c r="G1176" s="22" t="str">
        <f t="shared" si="252"/>
        <v>Targeted Dealer</v>
      </c>
      <c r="H1176" s="22"/>
      <c r="I1176" s="23">
        <v>100</v>
      </c>
      <c r="J1176" s="23">
        <f t="shared" si="253"/>
        <v>100</v>
      </c>
      <c r="K1176" s="24">
        <v>60</v>
      </c>
      <c r="L1176" s="24">
        <f t="shared" si="254"/>
        <v>40</v>
      </c>
      <c r="M1176" s="24">
        <f t="shared" si="255"/>
        <v>60</v>
      </c>
      <c r="N1176" s="25">
        <v>60</v>
      </c>
      <c r="O1176" s="26" t="str">
        <f t="shared" si="256"/>
        <v>June</v>
      </c>
      <c r="P1176" s="25">
        <f t="shared" si="257"/>
        <v>60</v>
      </c>
      <c r="Q1176" s="27">
        <f t="shared" si="258"/>
        <v>0</v>
      </c>
      <c r="R1176" s="26" t="b">
        <f t="shared" si="259"/>
        <v>0</v>
      </c>
      <c r="S1176" s="28" t="str">
        <f t="shared" si="260"/>
        <v>GROWTH</v>
      </c>
      <c r="T1176" s="24">
        <v>30</v>
      </c>
      <c r="U1176" s="29" t="str">
        <f t="shared" si="261"/>
        <v>May</v>
      </c>
      <c r="V1176" s="24">
        <f t="shared" si="262"/>
        <v>30</v>
      </c>
      <c r="W1176" s="30">
        <f t="shared" si="263"/>
        <v>30</v>
      </c>
      <c r="X1176" s="31" t="b">
        <f t="shared" si="264"/>
        <v>0</v>
      </c>
      <c r="Y1176" s="32" t="str">
        <f t="shared" si="265"/>
        <v>GROWTH</v>
      </c>
      <c r="Z1176" s="41">
        <v>0</v>
      </c>
      <c r="AA1176" s="36"/>
      <c r="AB1176" s="36" t="s">
        <v>24</v>
      </c>
      <c r="AC1176" s="36" t="s">
        <v>2185</v>
      </c>
      <c r="AD1176" s="34"/>
      <c r="AE1176" s="35">
        <f>IFERROR(INDEX([1]Last6M_AvgSales_Ref!$B$2:$B$12659,MATCH(D1176,[1]Last6M_AvgSales_Ref!$A$2:$A$12659,0)),"")</f>
        <v>111.666666666667</v>
      </c>
    </row>
    <row r="1177" spans="1:31" ht="14.25" customHeight="1" x14ac:dyDescent="0.3">
      <c r="A1177" s="36" t="s">
        <v>2185</v>
      </c>
      <c r="B1177" s="38" t="s">
        <v>2388</v>
      </c>
      <c r="C1177" s="38" t="s">
        <v>2417</v>
      </c>
      <c r="D1177" s="38">
        <v>1000003392</v>
      </c>
      <c r="E1177" s="38" t="s">
        <v>2418</v>
      </c>
      <c r="F1177" s="40">
        <v>44981</v>
      </c>
      <c r="G1177" s="22" t="str">
        <f t="shared" si="252"/>
        <v>Targeted Dealer</v>
      </c>
      <c r="H1177" s="22"/>
      <c r="I1177" s="23">
        <v>60</v>
      </c>
      <c r="J1177" s="23">
        <f t="shared" si="253"/>
        <v>60</v>
      </c>
      <c r="K1177" s="24">
        <v>30</v>
      </c>
      <c r="L1177" s="24">
        <f t="shared" si="254"/>
        <v>30</v>
      </c>
      <c r="M1177" s="24">
        <f t="shared" si="255"/>
        <v>50</v>
      </c>
      <c r="N1177" s="25">
        <v>60</v>
      </c>
      <c r="O1177" s="26" t="str">
        <f t="shared" si="256"/>
        <v>June</v>
      </c>
      <c r="P1177" s="25">
        <f t="shared" si="257"/>
        <v>60</v>
      </c>
      <c r="Q1177" s="27">
        <f t="shared" si="258"/>
        <v>-30</v>
      </c>
      <c r="R1177" s="26" t="b">
        <f t="shared" si="259"/>
        <v>0</v>
      </c>
      <c r="S1177" s="28" t="str">
        <f t="shared" si="260"/>
        <v>GROWTH</v>
      </c>
      <c r="T1177" s="24">
        <v>55</v>
      </c>
      <c r="U1177" s="29" t="str">
        <f t="shared" si="261"/>
        <v>May</v>
      </c>
      <c r="V1177" s="24">
        <f t="shared" si="262"/>
        <v>55</v>
      </c>
      <c r="W1177" s="30">
        <f t="shared" si="263"/>
        <v>-25</v>
      </c>
      <c r="X1177" s="31" t="b">
        <f t="shared" si="264"/>
        <v>0</v>
      </c>
      <c r="Y1177" s="32" t="str">
        <f t="shared" si="265"/>
        <v>GROWTH</v>
      </c>
      <c r="Z1177" s="41">
        <v>0</v>
      </c>
      <c r="AA1177" s="36"/>
      <c r="AB1177" s="36" t="s">
        <v>24</v>
      </c>
      <c r="AC1177" s="36" t="s">
        <v>2185</v>
      </c>
      <c r="AD1177" s="34"/>
      <c r="AE1177" s="35">
        <f>IFERROR(INDEX([1]Last6M_AvgSales_Ref!$B$2:$B$12659,MATCH(D1177,[1]Last6M_AvgSales_Ref!$A$2:$A$12659,0)),"")</f>
        <v>74.3333333333333</v>
      </c>
    </row>
    <row r="1178" spans="1:31" ht="14.25" customHeight="1" x14ac:dyDescent="0.3">
      <c r="A1178" s="36" t="s">
        <v>2185</v>
      </c>
      <c r="B1178" s="38" t="s">
        <v>2388</v>
      </c>
      <c r="C1178" s="38" t="s">
        <v>2419</v>
      </c>
      <c r="D1178" s="38">
        <v>1000003462</v>
      </c>
      <c r="E1178" s="38" t="s">
        <v>2420</v>
      </c>
      <c r="F1178" s="40">
        <v>45013</v>
      </c>
      <c r="G1178" s="22" t="str">
        <f t="shared" si="252"/>
        <v>Targeted Dealer</v>
      </c>
      <c r="H1178" s="22"/>
      <c r="I1178" s="23">
        <v>260</v>
      </c>
      <c r="J1178" s="23">
        <f t="shared" si="253"/>
        <v>260</v>
      </c>
      <c r="K1178" s="24">
        <v>0</v>
      </c>
      <c r="L1178" s="24">
        <f t="shared" si="254"/>
        <v>260</v>
      </c>
      <c r="M1178" s="24">
        <f t="shared" si="255"/>
        <v>0</v>
      </c>
      <c r="N1178" s="25">
        <v>0</v>
      </c>
      <c r="O1178" s="26" t="str">
        <f t="shared" si="256"/>
        <v>June</v>
      </c>
      <c r="P1178" s="25">
        <f t="shared" si="257"/>
        <v>0</v>
      </c>
      <c r="Q1178" s="27">
        <f t="shared" si="258"/>
        <v>0</v>
      </c>
      <c r="R1178" s="26" t="b">
        <f t="shared" si="259"/>
        <v>0</v>
      </c>
      <c r="S1178" s="28" t="b">
        <f t="shared" si="260"/>
        <v>0</v>
      </c>
      <c r="T1178" s="24">
        <v>55</v>
      </c>
      <c r="U1178" s="29" t="str">
        <f t="shared" si="261"/>
        <v>May</v>
      </c>
      <c r="V1178" s="24">
        <f t="shared" si="262"/>
        <v>55</v>
      </c>
      <c r="W1178" s="30">
        <f t="shared" si="263"/>
        <v>-55</v>
      </c>
      <c r="X1178" s="31" t="b">
        <f t="shared" si="264"/>
        <v>0</v>
      </c>
      <c r="Y1178" s="32" t="str">
        <f t="shared" si="265"/>
        <v>GROWTH</v>
      </c>
      <c r="Z1178" s="41">
        <v>0</v>
      </c>
      <c r="AA1178" s="36"/>
      <c r="AB1178" s="36" t="s">
        <v>24</v>
      </c>
      <c r="AC1178" s="36" t="s">
        <v>2185</v>
      </c>
      <c r="AD1178" s="34"/>
      <c r="AE1178" s="35">
        <f>IFERROR(INDEX([1]Last6M_AvgSales_Ref!$B$2:$B$12659,MATCH(D1178,[1]Last6M_AvgSales_Ref!$A$2:$A$12659,0)),"")</f>
        <v>4.1666666666666696</v>
      </c>
    </row>
    <row r="1179" spans="1:31" ht="14.25" customHeight="1" x14ac:dyDescent="0.3">
      <c r="A1179" s="36" t="s">
        <v>2185</v>
      </c>
      <c r="B1179" s="38" t="s">
        <v>2388</v>
      </c>
      <c r="C1179" s="38" t="s">
        <v>2421</v>
      </c>
      <c r="D1179" s="38">
        <v>1000003606</v>
      </c>
      <c r="E1179" s="38" t="s">
        <v>2422</v>
      </c>
      <c r="F1179" s="40">
        <v>45090</v>
      </c>
      <c r="G1179" s="22" t="str">
        <f t="shared" si="252"/>
        <v>Targeted Dealer</v>
      </c>
      <c r="H1179" s="22"/>
      <c r="I1179" s="23">
        <v>90</v>
      </c>
      <c r="J1179" s="23">
        <f t="shared" si="253"/>
        <v>90</v>
      </c>
      <c r="K1179" s="24">
        <v>50</v>
      </c>
      <c r="L1179" s="24">
        <f t="shared" si="254"/>
        <v>40</v>
      </c>
      <c r="M1179" s="24">
        <f t="shared" si="255"/>
        <v>55.555555555555557</v>
      </c>
      <c r="N1179" s="25">
        <v>0</v>
      </c>
      <c r="O1179" s="26" t="str">
        <f t="shared" si="256"/>
        <v>June</v>
      </c>
      <c r="P1179" s="25">
        <f t="shared" si="257"/>
        <v>0</v>
      </c>
      <c r="Q1179" s="27">
        <f t="shared" si="258"/>
        <v>50</v>
      </c>
      <c r="R1179" s="26" t="b">
        <f t="shared" si="259"/>
        <v>0</v>
      </c>
      <c r="S1179" s="28" t="b">
        <f t="shared" si="260"/>
        <v>0</v>
      </c>
      <c r="T1179" s="24">
        <v>50</v>
      </c>
      <c r="U1179" s="29" t="str">
        <f t="shared" si="261"/>
        <v>May</v>
      </c>
      <c r="V1179" s="24">
        <f t="shared" si="262"/>
        <v>50</v>
      </c>
      <c r="W1179" s="30">
        <f t="shared" si="263"/>
        <v>0</v>
      </c>
      <c r="X1179" s="31" t="b">
        <f t="shared" si="264"/>
        <v>0</v>
      </c>
      <c r="Y1179" s="32" t="str">
        <f t="shared" si="265"/>
        <v>GROWTH</v>
      </c>
      <c r="Z1179" s="41">
        <v>0</v>
      </c>
      <c r="AA1179" s="36"/>
      <c r="AB1179" s="36" t="s">
        <v>24</v>
      </c>
      <c r="AC1179" s="36" t="s">
        <v>2185</v>
      </c>
      <c r="AD1179" s="34"/>
      <c r="AE1179" s="35">
        <f>IFERROR(INDEX([1]Last6M_AvgSales_Ref!$B$2:$B$12659,MATCH(D1179,[1]Last6M_AvgSales_Ref!$A$2:$A$12659,0)),"")</f>
        <v>42.5</v>
      </c>
    </row>
    <row r="1180" spans="1:31" ht="14.25" customHeight="1" x14ac:dyDescent="0.3">
      <c r="A1180" s="36" t="s">
        <v>2185</v>
      </c>
      <c r="B1180" s="44" t="s">
        <v>2388</v>
      </c>
      <c r="C1180" s="44" t="s">
        <v>2423</v>
      </c>
      <c r="D1180" s="44">
        <v>1000003921</v>
      </c>
      <c r="E1180" s="44" t="s">
        <v>2424</v>
      </c>
      <c r="F1180" s="40">
        <v>45409</v>
      </c>
      <c r="G1180" s="22" t="str">
        <f t="shared" si="252"/>
        <v>Targeted Dealer</v>
      </c>
      <c r="H1180" s="22"/>
      <c r="I1180" s="23">
        <v>600</v>
      </c>
      <c r="J1180" s="23">
        <f t="shared" si="253"/>
        <v>600</v>
      </c>
      <c r="K1180" s="24">
        <v>600</v>
      </c>
      <c r="L1180" s="24">
        <f t="shared" si="254"/>
        <v>0</v>
      </c>
      <c r="M1180" s="24">
        <f t="shared" si="255"/>
        <v>100</v>
      </c>
      <c r="N1180" s="25">
        <v>586</v>
      </c>
      <c r="O1180" s="26" t="str">
        <f t="shared" si="256"/>
        <v>June</v>
      </c>
      <c r="P1180" s="25">
        <f t="shared" si="257"/>
        <v>586</v>
      </c>
      <c r="Q1180" s="27">
        <f t="shared" si="258"/>
        <v>14</v>
      </c>
      <c r="R1180" s="26" t="b">
        <f t="shared" si="259"/>
        <v>0</v>
      </c>
      <c r="S1180" s="28" t="str">
        <f t="shared" si="260"/>
        <v>GROWTH</v>
      </c>
      <c r="T1180" s="24">
        <v>380</v>
      </c>
      <c r="U1180" s="29" t="str">
        <f t="shared" si="261"/>
        <v>May</v>
      </c>
      <c r="V1180" s="24">
        <f t="shared" si="262"/>
        <v>380</v>
      </c>
      <c r="W1180" s="30">
        <f t="shared" si="263"/>
        <v>220</v>
      </c>
      <c r="X1180" s="31" t="b">
        <f t="shared" si="264"/>
        <v>0</v>
      </c>
      <c r="Y1180" s="32" t="str">
        <f t="shared" si="265"/>
        <v>GROWTH</v>
      </c>
      <c r="Z1180" s="41">
        <v>0</v>
      </c>
      <c r="AA1180" s="36"/>
      <c r="AB1180" s="36" t="s">
        <v>24</v>
      </c>
      <c r="AC1180" s="36" t="s">
        <v>2185</v>
      </c>
      <c r="AD1180" s="34"/>
      <c r="AE1180" s="35">
        <f>IFERROR(INDEX([1]Last6M_AvgSales_Ref!$B$2:$B$12659,MATCH(D1180,[1]Last6M_AvgSales_Ref!$A$2:$A$12659,0)),"")</f>
        <v>618.08333333333303</v>
      </c>
    </row>
    <row r="1181" spans="1:31" ht="14.25" customHeight="1" x14ac:dyDescent="0.3">
      <c r="A1181" s="36" t="s">
        <v>2185</v>
      </c>
      <c r="B1181" s="38" t="s">
        <v>2425</v>
      </c>
      <c r="C1181" s="38" t="s">
        <v>2426</v>
      </c>
      <c r="D1181" s="38">
        <v>1000001712</v>
      </c>
      <c r="E1181" s="39" t="s">
        <v>2427</v>
      </c>
      <c r="F1181" s="40">
        <v>41302</v>
      </c>
      <c r="G1181" s="22" t="str">
        <f t="shared" si="252"/>
        <v>Targeted Dealer</v>
      </c>
      <c r="H1181" s="22"/>
      <c r="I1181" s="23">
        <v>350</v>
      </c>
      <c r="J1181" s="23">
        <f t="shared" si="253"/>
        <v>350</v>
      </c>
      <c r="K1181" s="24">
        <v>245.3</v>
      </c>
      <c r="L1181" s="24">
        <f t="shared" si="254"/>
        <v>104.69999999999999</v>
      </c>
      <c r="M1181" s="24">
        <f t="shared" si="255"/>
        <v>70.085714285714289</v>
      </c>
      <c r="N1181" s="25">
        <v>373.5</v>
      </c>
      <c r="O1181" s="26" t="str">
        <f t="shared" si="256"/>
        <v>June</v>
      </c>
      <c r="P1181" s="25">
        <f t="shared" si="257"/>
        <v>373.5</v>
      </c>
      <c r="Q1181" s="27">
        <f t="shared" si="258"/>
        <v>-128.19999999999999</v>
      </c>
      <c r="R1181" s="26" t="b">
        <f t="shared" si="259"/>
        <v>0</v>
      </c>
      <c r="S1181" s="28" t="str">
        <f t="shared" si="260"/>
        <v>GROWTH</v>
      </c>
      <c r="T1181" s="24">
        <v>411</v>
      </c>
      <c r="U1181" s="29" t="str">
        <f t="shared" si="261"/>
        <v>May</v>
      </c>
      <c r="V1181" s="24">
        <f t="shared" si="262"/>
        <v>411</v>
      </c>
      <c r="W1181" s="30">
        <f t="shared" si="263"/>
        <v>-165.7</v>
      </c>
      <c r="X1181" s="31" t="b">
        <f t="shared" si="264"/>
        <v>0</v>
      </c>
      <c r="Y1181" s="32" t="str">
        <f t="shared" si="265"/>
        <v>GROWTH</v>
      </c>
      <c r="Z1181" s="41">
        <v>0</v>
      </c>
      <c r="AA1181" s="36"/>
      <c r="AB1181" s="36" t="s">
        <v>24</v>
      </c>
      <c r="AC1181" s="36" t="s">
        <v>2185</v>
      </c>
      <c r="AD1181" s="34"/>
      <c r="AE1181" s="35">
        <f>IFERROR(INDEX([1]Last6M_AvgSales_Ref!$B$2:$B$12659,MATCH(D1181,[1]Last6M_AvgSales_Ref!$A$2:$A$12659,0)),"")</f>
        <v>352.89166666666699</v>
      </c>
    </row>
    <row r="1182" spans="1:31" ht="14.25" customHeight="1" x14ac:dyDescent="0.3">
      <c r="A1182" s="36" t="s">
        <v>2185</v>
      </c>
      <c r="B1182" s="38" t="s">
        <v>2425</v>
      </c>
      <c r="C1182" s="38" t="s">
        <v>2428</v>
      </c>
      <c r="D1182" s="38">
        <v>1000001734</v>
      </c>
      <c r="E1182" s="39" t="s">
        <v>2429</v>
      </c>
      <c r="F1182" s="40">
        <v>41493</v>
      </c>
      <c r="G1182" s="22" t="str">
        <f t="shared" si="252"/>
        <v>Targeted Dealer</v>
      </c>
      <c r="H1182" s="22"/>
      <c r="I1182" s="23">
        <v>600</v>
      </c>
      <c r="J1182" s="23">
        <f t="shared" si="253"/>
        <v>600</v>
      </c>
      <c r="K1182" s="24">
        <v>485.6</v>
      </c>
      <c r="L1182" s="24">
        <f t="shared" si="254"/>
        <v>114.39999999999998</v>
      </c>
      <c r="M1182" s="24">
        <f t="shared" si="255"/>
        <v>80.933333333333337</v>
      </c>
      <c r="N1182" s="25">
        <v>722.25</v>
      </c>
      <c r="O1182" s="26" t="str">
        <f t="shared" si="256"/>
        <v>June</v>
      </c>
      <c r="P1182" s="25">
        <f t="shared" si="257"/>
        <v>722.25</v>
      </c>
      <c r="Q1182" s="27">
        <f t="shared" si="258"/>
        <v>-236.64999999999998</v>
      </c>
      <c r="R1182" s="26" t="b">
        <f t="shared" si="259"/>
        <v>0</v>
      </c>
      <c r="S1182" s="28" t="str">
        <f t="shared" si="260"/>
        <v>GROWTH</v>
      </c>
      <c r="T1182" s="24">
        <v>450.75</v>
      </c>
      <c r="U1182" s="29" t="str">
        <f t="shared" si="261"/>
        <v>May</v>
      </c>
      <c r="V1182" s="24">
        <f t="shared" si="262"/>
        <v>450.75</v>
      </c>
      <c r="W1182" s="30">
        <f t="shared" si="263"/>
        <v>34.850000000000023</v>
      </c>
      <c r="X1182" s="31" t="b">
        <f t="shared" si="264"/>
        <v>0</v>
      </c>
      <c r="Y1182" s="32" t="str">
        <f t="shared" si="265"/>
        <v>GROWTH</v>
      </c>
      <c r="Z1182" s="41">
        <v>0</v>
      </c>
      <c r="AA1182" s="36"/>
      <c r="AB1182" s="36" t="s">
        <v>24</v>
      </c>
      <c r="AC1182" s="36" t="s">
        <v>2185</v>
      </c>
      <c r="AD1182" s="34"/>
      <c r="AE1182" s="35">
        <f>IFERROR(INDEX([1]Last6M_AvgSales_Ref!$B$2:$B$12659,MATCH(D1182,[1]Last6M_AvgSales_Ref!$A$2:$A$12659,0)),"")</f>
        <v>697.34166666666704</v>
      </c>
    </row>
    <row r="1183" spans="1:31" ht="14.25" customHeight="1" x14ac:dyDescent="0.3">
      <c r="A1183" s="36" t="s">
        <v>2185</v>
      </c>
      <c r="B1183" s="38" t="s">
        <v>2425</v>
      </c>
      <c r="C1183" s="38" t="s">
        <v>2430</v>
      </c>
      <c r="D1183" s="38">
        <v>1000001735</v>
      </c>
      <c r="E1183" s="39" t="s">
        <v>2431</v>
      </c>
      <c r="F1183" s="40">
        <v>41523</v>
      </c>
      <c r="G1183" s="22" t="str">
        <f t="shared" si="252"/>
        <v>Targeted Dealer</v>
      </c>
      <c r="H1183" s="22"/>
      <c r="I1183" s="23">
        <v>510</v>
      </c>
      <c r="J1183" s="23">
        <f t="shared" si="253"/>
        <v>510</v>
      </c>
      <c r="K1183" s="24">
        <v>210</v>
      </c>
      <c r="L1183" s="24">
        <f t="shared" si="254"/>
        <v>300</v>
      </c>
      <c r="M1183" s="24">
        <f t="shared" si="255"/>
        <v>41.176470588235297</v>
      </c>
      <c r="N1183" s="25">
        <v>348</v>
      </c>
      <c r="O1183" s="26" t="str">
        <f t="shared" si="256"/>
        <v>June</v>
      </c>
      <c r="P1183" s="25">
        <f t="shared" si="257"/>
        <v>348</v>
      </c>
      <c r="Q1183" s="27">
        <f t="shared" si="258"/>
        <v>-138</v>
      </c>
      <c r="R1183" s="26" t="b">
        <f t="shared" si="259"/>
        <v>0</v>
      </c>
      <c r="S1183" s="28" t="str">
        <f t="shared" si="260"/>
        <v>GROWTH</v>
      </c>
      <c r="T1183" s="24">
        <v>180</v>
      </c>
      <c r="U1183" s="29" t="str">
        <f t="shared" si="261"/>
        <v>May</v>
      </c>
      <c r="V1183" s="24">
        <f t="shared" si="262"/>
        <v>180</v>
      </c>
      <c r="W1183" s="30">
        <f t="shared" si="263"/>
        <v>30</v>
      </c>
      <c r="X1183" s="31" t="b">
        <f t="shared" si="264"/>
        <v>0</v>
      </c>
      <c r="Y1183" s="32" t="str">
        <f t="shared" si="265"/>
        <v>GROWTH</v>
      </c>
      <c r="Z1183" s="41">
        <v>0</v>
      </c>
      <c r="AA1183" s="36"/>
      <c r="AB1183" s="36" t="s">
        <v>24</v>
      </c>
      <c r="AC1183" s="36" t="s">
        <v>2185</v>
      </c>
      <c r="AD1183" s="34"/>
      <c r="AE1183" s="35">
        <f>IFERROR(INDEX([1]Last6M_AvgSales_Ref!$B$2:$B$12659,MATCH(D1183,[1]Last6M_AvgSales_Ref!$A$2:$A$12659,0)),"")</f>
        <v>404.82499999999999</v>
      </c>
    </row>
    <row r="1184" spans="1:31" ht="14.25" customHeight="1" x14ac:dyDescent="0.3">
      <c r="A1184" s="36" t="s">
        <v>2185</v>
      </c>
      <c r="B1184" s="38" t="s">
        <v>2425</v>
      </c>
      <c r="C1184" s="38" t="s">
        <v>2432</v>
      </c>
      <c r="D1184" s="38">
        <v>1000001736</v>
      </c>
      <c r="E1184" s="39" t="s">
        <v>2433</v>
      </c>
      <c r="F1184" s="40">
        <v>41676</v>
      </c>
      <c r="G1184" s="22" t="str">
        <f t="shared" si="252"/>
        <v>Targeted Dealer</v>
      </c>
      <c r="H1184" s="22"/>
      <c r="I1184" s="23">
        <v>50</v>
      </c>
      <c r="J1184" s="23">
        <f t="shared" si="253"/>
        <v>50</v>
      </c>
      <c r="K1184" s="24">
        <v>25</v>
      </c>
      <c r="L1184" s="24">
        <f t="shared" si="254"/>
        <v>25</v>
      </c>
      <c r="M1184" s="24">
        <f t="shared" si="255"/>
        <v>50</v>
      </c>
      <c r="N1184" s="25">
        <v>30</v>
      </c>
      <c r="O1184" s="26" t="str">
        <f t="shared" si="256"/>
        <v>June</v>
      </c>
      <c r="P1184" s="25">
        <f t="shared" si="257"/>
        <v>30</v>
      </c>
      <c r="Q1184" s="27">
        <f t="shared" si="258"/>
        <v>-5</v>
      </c>
      <c r="R1184" s="26" t="b">
        <f t="shared" si="259"/>
        <v>0</v>
      </c>
      <c r="S1184" s="28" t="str">
        <f t="shared" si="260"/>
        <v>GROWTH</v>
      </c>
      <c r="T1184" s="24">
        <v>25</v>
      </c>
      <c r="U1184" s="29" t="str">
        <f t="shared" si="261"/>
        <v>May</v>
      </c>
      <c r="V1184" s="24">
        <f t="shared" si="262"/>
        <v>25</v>
      </c>
      <c r="W1184" s="30">
        <f t="shared" si="263"/>
        <v>0</v>
      </c>
      <c r="X1184" s="31" t="b">
        <f t="shared" si="264"/>
        <v>0</v>
      </c>
      <c r="Y1184" s="32" t="str">
        <f t="shared" si="265"/>
        <v>GROWTH</v>
      </c>
      <c r="Z1184" s="41">
        <v>0</v>
      </c>
      <c r="AA1184" s="36"/>
      <c r="AB1184" s="36" t="s">
        <v>24</v>
      </c>
      <c r="AC1184" s="36" t="s">
        <v>2185</v>
      </c>
      <c r="AD1184" s="34"/>
      <c r="AE1184" s="35">
        <f>IFERROR(INDEX([1]Last6M_AvgSales_Ref!$B$2:$B$12659,MATCH(D1184,[1]Last6M_AvgSales_Ref!$A$2:$A$12659,0)),"")</f>
        <v>44.1666666666667</v>
      </c>
    </row>
    <row r="1185" spans="1:31" ht="14.25" customHeight="1" x14ac:dyDescent="0.3">
      <c r="A1185" s="36" t="s">
        <v>2185</v>
      </c>
      <c r="B1185" s="38" t="s">
        <v>2425</v>
      </c>
      <c r="C1185" s="38" t="s">
        <v>2434</v>
      </c>
      <c r="D1185" s="38">
        <v>1000001718</v>
      </c>
      <c r="E1185" s="39" t="s">
        <v>2435</v>
      </c>
      <c r="F1185" s="40">
        <v>42124</v>
      </c>
      <c r="G1185" s="22" t="str">
        <f t="shared" si="252"/>
        <v>Targeted Dealer</v>
      </c>
      <c r="H1185" s="22"/>
      <c r="I1185" s="23">
        <v>50</v>
      </c>
      <c r="J1185" s="23">
        <f t="shared" si="253"/>
        <v>50</v>
      </c>
      <c r="K1185" s="24">
        <v>0</v>
      </c>
      <c r="L1185" s="24">
        <f t="shared" si="254"/>
        <v>50</v>
      </c>
      <c r="M1185" s="24">
        <f t="shared" si="255"/>
        <v>0</v>
      </c>
      <c r="N1185" s="25">
        <v>36.5</v>
      </c>
      <c r="O1185" s="26" t="str">
        <f t="shared" si="256"/>
        <v>June</v>
      </c>
      <c r="P1185" s="25">
        <f t="shared" si="257"/>
        <v>36.5</v>
      </c>
      <c r="Q1185" s="27">
        <f t="shared" si="258"/>
        <v>-36.5</v>
      </c>
      <c r="R1185" s="26" t="b">
        <f t="shared" si="259"/>
        <v>0</v>
      </c>
      <c r="S1185" s="28" t="str">
        <f t="shared" si="260"/>
        <v>GROWTH</v>
      </c>
      <c r="T1185" s="24">
        <v>30</v>
      </c>
      <c r="U1185" s="29" t="str">
        <f t="shared" si="261"/>
        <v>May</v>
      </c>
      <c r="V1185" s="24">
        <f t="shared" si="262"/>
        <v>30</v>
      </c>
      <c r="W1185" s="30">
        <f t="shared" si="263"/>
        <v>-30</v>
      </c>
      <c r="X1185" s="31" t="b">
        <f t="shared" si="264"/>
        <v>0</v>
      </c>
      <c r="Y1185" s="32" t="str">
        <f t="shared" si="265"/>
        <v>GROWTH</v>
      </c>
      <c r="Z1185" s="41">
        <v>0</v>
      </c>
      <c r="AA1185" s="36"/>
      <c r="AB1185" s="36" t="s">
        <v>24</v>
      </c>
      <c r="AC1185" s="36" t="s">
        <v>2185</v>
      </c>
      <c r="AD1185" s="34"/>
      <c r="AE1185" s="35">
        <f>IFERROR(INDEX([1]Last6M_AvgSales_Ref!$B$2:$B$12659,MATCH(D1185,[1]Last6M_AvgSales_Ref!$A$2:$A$12659,0)),"")</f>
        <v>11</v>
      </c>
    </row>
    <row r="1186" spans="1:31" ht="14.25" customHeight="1" x14ac:dyDescent="0.3">
      <c r="A1186" s="36" t="s">
        <v>2185</v>
      </c>
      <c r="B1186" s="38" t="s">
        <v>2425</v>
      </c>
      <c r="C1186" s="38" t="s">
        <v>2436</v>
      </c>
      <c r="D1186" s="38">
        <v>1000001724</v>
      </c>
      <c r="E1186" s="39" t="s">
        <v>2437</v>
      </c>
      <c r="F1186" s="40">
        <v>42124</v>
      </c>
      <c r="G1186" s="22" t="str">
        <f t="shared" si="252"/>
        <v>Targeted Dealer</v>
      </c>
      <c r="H1186" s="22"/>
      <c r="I1186" s="23">
        <v>50</v>
      </c>
      <c r="J1186" s="23">
        <f t="shared" si="253"/>
        <v>50</v>
      </c>
      <c r="K1186" s="24">
        <v>5</v>
      </c>
      <c r="L1186" s="24">
        <f t="shared" si="254"/>
        <v>45</v>
      </c>
      <c r="M1186" s="24">
        <f t="shared" si="255"/>
        <v>10</v>
      </c>
      <c r="N1186" s="25">
        <v>6.5</v>
      </c>
      <c r="O1186" s="26" t="str">
        <f t="shared" si="256"/>
        <v>June</v>
      </c>
      <c r="P1186" s="25">
        <f t="shared" si="257"/>
        <v>6.5</v>
      </c>
      <c r="Q1186" s="27">
        <f t="shared" si="258"/>
        <v>-1.5</v>
      </c>
      <c r="R1186" s="26" t="b">
        <f t="shared" si="259"/>
        <v>0</v>
      </c>
      <c r="S1186" s="28" t="str">
        <f t="shared" si="260"/>
        <v>GROWTH</v>
      </c>
      <c r="T1186" s="24">
        <v>14.75</v>
      </c>
      <c r="U1186" s="29" t="str">
        <f t="shared" si="261"/>
        <v>May</v>
      </c>
      <c r="V1186" s="24">
        <f t="shared" si="262"/>
        <v>14.75</v>
      </c>
      <c r="W1186" s="30">
        <f t="shared" si="263"/>
        <v>-9.75</v>
      </c>
      <c r="X1186" s="31" t="b">
        <f t="shared" si="264"/>
        <v>0</v>
      </c>
      <c r="Y1186" s="32" t="str">
        <f t="shared" si="265"/>
        <v>GROWTH</v>
      </c>
      <c r="Z1186" s="41">
        <v>0</v>
      </c>
      <c r="AA1186" s="36"/>
      <c r="AB1186" s="36" t="s">
        <v>24</v>
      </c>
      <c r="AC1186" s="36" t="s">
        <v>2185</v>
      </c>
      <c r="AD1186" s="34"/>
      <c r="AE1186" s="35">
        <f>IFERROR(INDEX([1]Last6M_AvgSales_Ref!$B$2:$B$12659,MATCH(D1186,[1]Last6M_AvgSales_Ref!$A$2:$A$12659,0)),"")</f>
        <v>12.875</v>
      </c>
    </row>
    <row r="1187" spans="1:31" ht="14.25" customHeight="1" x14ac:dyDescent="0.3">
      <c r="A1187" s="36" t="s">
        <v>2185</v>
      </c>
      <c r="B1187" s="38" t="s">
        <v>2425</v>
      </c>
      <c r="C1187" s="38" t="s">
        <v>2438</v>
      </c>
      <c r="D1187" s="38">
        <v>1000001721</v>
      </c>
      <c r="E1187" s="39" t="s">
        <v>2439</v>
      </c>
      <c r="F1187" s="40">
        <v>42222</v>
      </c>
      <c r="G1187" s="22" t="str">
        <f t="shared" si="252"/>
        <v>Targeted Dealer</v>
      </c>
      <c r="H1187" s="22"/>
      <c r="I1187" s="23">
        <v>130</v>
      </c>
      <c r="J1187" s="23">
        <f t="shared" si="253"/>
        <v>130</v>
      </c>
      <c r="K1187" s="24">
        <v>95</v>
      </c>
      <c r="L1187" s="24">
        <f t="shared" si="254"/>
        <v>35</v>
      </c>
      <c r="M1187" s="24">
        <f t="shared" si="255"/>
        <v>73.07692307692308</v>
      </c>
      <c r="N1187" s="25">
        <v>84.5</v>
      </c>
      <c r="O1187" s="26" t="str">
        <f t="shared" si="256"/>
        <v>June</v>
      </c>
      <c r="P1187" s="25">
        <f t="shared" si="257"/>
        <v>84.5</v>
      </c>
      <c r="Q1187" s="27">
        <f t="shared" si="258"/>
        <v>10.5</v>
      </c>
      <c r="R1187" s="26" t="b">
        <f t="shared" si="259"/>
        <v>0</v>
      </c>
      <c r="S1187" s="28" t="str">
        <f t="shared" si="260"/>
        <v>GROWTH</v>
      </c>
      <c r="T1187" s="24">
        <v>76</v>
      </c>
      <c r="U1187" s="29" t="str">
        <f t="shared" si="261"/>
        <v>May</v>
      </c>
      <c r="V1187" s="24">
        <f t="shared" si="262"/>
        <v>76</v>
      </c>
      <c r="W1187" s="30">
        <f t="shared" si="263"/>
        <v>19</v>
      </c>
      <c r="X1187" s="31" t="b">
        <f t="shared" si="264"/>
        <v>0</v>
      </c>
      <c r="Y1187" s="32" t="str">
        <f t="shared" si="265"/>
        <v>GROWTH</v>
      </c>
      <c r="Z1187" s="41">
        <v>0</v>
      </c>
      <c r="AA1187" s="36"/>
      <c r="AB1187" s="36" t="s">
        <v>24</v>
      </c>
      <c r="AC1187" s="36" t="s">
        <v>2185</v>
      </c>
      <c r="AD1187" s="34"/>
      <c r="AE1187" s="35">
        <f>IFERROR(INDEX([1]Last6M_AvgSales_Ref!$B$2:$B$12659,MATCH(D1187,[1]Last6M_AvgSales_Ref!$A$2:$A$12659,0)),"")</f>
        <v>50.75</v>
      </c>
    </row>
    <row r="1188" spans="1:31" ht="14.25" customHeight="1" x14ac:dyDescent="0.3">
      <c r="A1188" s="36" t="s">
        <v>2185</v>
      </c>
      <c r="B1188" s="38" t="s">
        <v>2425</v>
      </c>
      <c r="C1188" s="38" t="s">
        <v>2440</v>
      </c>
      <c r="D1188" s="38">
        <v>1000001727</v>
      </c>
      <c r="E1188" s="39" t="s">
        <v>2441</v>
      </c>
      <c r="F1188" s="40">
        <v>42756</v>
      </c>
      <c r="G1188" s="22" t="str">
        <f t="shared" si="252"/>
        <v>Targeted Dealer</v>
      </c>
      <c r="H1188" s="22"/>
      <c r="I1188" s="23">
        <v>30</v>
      </c>
      <c r="J1188" s="23">
        <f t="shared" si="253"/>
        <v>30</v>
      </c>
      <c r="K1188" s="24">
        <v>0</v>
      </c>
      <c r="L1188" s="24">
        <f t="shared" si="254"/>
        <v>30</v>
      </c>
      <c r="M1188" s="24">
        <f t="shared" si="255"/>
        <v>0</v>
      </c>
      <c r="N1188" s="25">
        <v>30</v>
      </c>
      <c r="O1188" s="26" t="str">
        <f t="shared" si="256"/>
        <v>June</v>
      </c>
      <c r="P1188" s="25">
        <f t="shared" si="257"/>
        <v>30</v>
      </c>
      <c r="Q1188" s="27">
        <f t="shared" si="258"/>
        <v>-30</v>
      </c>
      <c r="R1188" s="26" t="b">
        <f t="shared" si="259"/>
        <v>0</v>
      </c>
      <c r="S1188" s="28" t="str">
        <f t="shared" si="260"/>
        <v>GROWTH</v>
      </c>
      <c r="T1188" s="24">
        <v>30</v>
      </c>
      <c r="U1188" s="29" t="str">
        <f t="shared" si="261"/>
        <v>May</v>
      </c>
      <c r="V1188" s="24">
        <f t="shared" si="262"/>
        <v>30</v>
      </c>
      <c r="W1188" s="30">
        <f t="shared" si="263"/>
        <v>-30</v>
      </c>
      <c r="X1188" s="31" t="b">
        <f t="shared" si="264"/>
        <v>0</v>
      </c>
      <c r="Y1188" s="32" t="str">
        <f t="shared" si="265"/>
        <v>GROWTH</v>
      </c>
      <c r="Z1188" s="41">
        <v>0</v>
      </c>
      <c r="AA1188" s="36"/>
      <c r="AB1188" s="36" t="s">
        <v>24</v>
      </c>
      <c r="AC1188" s="36" t="s">
        <v>2185</v>
      </c>
      <c r="AD1188" s="34"/>
      <c r="AE1188" s="35">
        <f>IFERROR(INDEX([1]Last6M_AvgSales_Ref!$B$2:$B$12659,MATCH(D1188,[1]Last6M_AvgSales_Ref!$A$2:$A$12659,0)),"")</f>
        <v>8.3333333333333304</v>
      </c>
    </row>
    <row r="1189" spans="1:31" ht="14.25" customHeight="1" x14ac:dyDescent="0.3">
      <c r="A1189" s="36" t="s">
        <v>2185</v>
      </c>
      <c r="B1189" s="38" t="s">
        <v>2425</v>
      </c>
      <c r="C1189" s="38" t="s">
        <v>2442</v>
      </c>
      <c r="D1189" s="38">
        <v>1000001716</v>
      </c>
      <c r="E1189" s="39" t="s">
        <v>2443</v>
      </c>
      <c r="F1189" s="40">
        <v>43099</v>
      </c>
      <c r="G1189" s="22" t="str">
        <f t="shared" si="252"/>
        <v>Targeted Dealer</v>
      </c>
      <c r="H1189" s="22"/>
      <c r="I1189" s="23">
        <v>320</v>
      </c>
      <c r="J1189" s="23">
        <f t="shared" si="253"/>
        <v>320</v>
      </c>
      <c r="K1189" s="24">
        <v>223.5</v>
      </c>
      <c r="L1189" s="24">
        <f t="shared" si="254"/>
        <v>96.5</v>
      </c>
      <c r="M1189" s="24">
        <f t="shared" si="255"/>
        <v>69.84375</v>
      </c>
      <c r="N1189" s="25">
        <v>345</v>
      </c>
      <c r="O1189" s="26" t="str">
        <f t="shared" si="256"/>
        <v>June</v>
      </c>
      <c r="P1189" s="25">
        <f t="shared" si="257"/>
        <v>345</v>
      </c>
      <c r="Q1189" s="27">
        <f t="shared" si="258"/>
        <v>-121.5</v>
      </c>
      <c r="R1189" s="26" t="b">
        <f t="shared" si="259"/>
        <v>0</v>
      </c>
      <c r="S1189" s="28" t="str">
        <f t="shared" si="260"/>
        <v>GROWTH</v>
      </c>
      <c r="T1189" s="24">
        <v>180</v>
      </c>
      <c r="U1189" s="29" t="str">
        <f t="shared" si="261"/>
        <v>May</v>
      </c>
      <c r="V1189" s="24">
        <f t="shared" si="262"/>
        <v>180</v>
      </c>
      <c r="W1189" s="30">
        <f t="shared" si="263"/>
        <v>43.5</v>
      </c>
      <c r="X1189" s="31" t="b">
        <f t="shared" si="264"/>
        <v>0</v>
      </c>
      <c r="Y1189" s="32" t="str">
        <f t="shared" si="265"/>
        <v>GROWTH</v>
      </c>
      <c r="Z1189" s="41">
        <v>0</v>
      </c>
      <c r="AA1189" s="36"/>
      <c r="AB1189" s="36" t="s">
        <v>24</v>
      </c>
      <c r="AC1189" s="36" t="s">
        <v>2185</v>
      </c>
      <c r="AD1189" s="34"/>
      <c r="AE1189" s="35">
        <f>IFERROR(INDEX([1]Last6M_AvgSales_Ref!$B$2:$B$12659,MATCH(D1189,[1]Last6M_AvgSales_Ref!$A$2:$A$12659,0)),"")</f>
        <v>393.54166666666703</v>
      </c>
    </row>
    <row r="1190" spans="1:31" ht="14.25" customHeight="1" x14ac:dyDescent="0.3">
      <c r="A1190" s="36" t="s">
        <v>2185</v>
      </c>
      <c r="B1190" s="38" t="s">
        <v>2425</v>
      </c>
      <c r="C1190" s="38" t="s">
        <v>2444</v>
      </c>
      <c r="D1190" s="38">
        <v>1000001722</v>
      </c>
      <c r="E1190" s="39" t="s">
        <v>2445</v>
      </c>
      <c r="F1190" s="40">
        <v>43614</v>
      </c>
      <c r="G1190" s="22" t="str">
        <f t="shared" si="252"/>
        <v>Targeted Dealer</v>
      </c>
      <c r="H1190" s="22"/>
      <c r="I1190" s="23">
        <v>300</v>
      </c>
      <c r="J1190" s="23">
        <f t="shared" si="253"/>
        <v>300</v>
      </c>
      <c r="K1190" s="24">
        <v>294.75</v>
      </c>
      <c r="L1190" s="24">
        <f t="shared" si="254"/>
        <v>5.25</v>
      </c>
      <c r="M1190" s="24">
        <f t="shared" si="255"/>
        <v>98.25</v>
      </c>
      <c r="N1190" s="25">
        <v>338</v>
      </c>
      <c r="O1190" s="26" t="str">
        <f t="shared" si="256"/>
        <v>June</v>
      </c>
      <c r="P1190" s="25">
        <f t="shared" si="257"/>
        <v>338</v>
      </c>
      <c r="Q1190" s="27">
        <f t="shared" si="258"/>
        <v>-43.25</v>
      </c>
      <c r="R1190" s="26" t="b">
        <f t="shared" si="259"/>
        <v>0</v>
      </c>
      <c r="S1190" s="28" t="str">
        <f t="shared" si="260"/>
        <v>GROWTH</v>
      </c>
      <c r="T1190" s="24">
        <v>338.5</v>
      </c>
      <c r="U1190" s="29" t="str">
        <f t="shared" si="261"/>
        <v>May</v>
      </c>
      <c r="V1190" s="24">
        <f t="shared" si="262"/>
        <v>338.5</v>
      </c>
      <c r="W1190" s="30">
        <f t="shared" si="263"/>
        <v>-43.75</v>
      </c>
      <c r="X1190" s="31" t="b">
        <f t="shared" si="264"/>
        <v>0</v>
      </c>
      <c r="Y1190" s="32" t="str">
        <f t="shared" si="265"/>
        <v>GROWTH</v>
      </c>
      <c r="Z1190" s="41">
        <v>0</v>
      </c>
      <c r="AA1190" s="36"/>
      <c r="AB1190" s="36" t="s">
        <v>24</v>
      </c>
      <c r="AC1190" s="36" t="s">
        <v>2185</v>
      </c>
      <c r="AD1190" s="34"/>
      <c r="AE1190" s="35">
        <f>IFERROR(INDEX([1]Last6M_AvgSales_Ref!$B$2:$B$12659,MATCH(D1190,[1]Last6M_AvgSales_Ref!$A$2:$A$12659,0)),"")</f>
        <v>306</v>
      </c>
    </row>
    <row r="1191" spans="1:31" ht="14.25" customHeight="1" x14ac:dyDescent="0.3">
      <c r="A1191" s="36" t="s">
        <v>2185</v>
      </c>
      <c r="B1191" s="38" t="s">
        <v>2425</v>
      </c>
      <c r="C1191" s="38" t="s">
        <v>2446</v>
      </c>
      <c r="D1191" s="38">
        <v>1000001719</v>
      </c>
      <c r="E1191" s="39" t="s">
        <v>2447</v>
      </c>
      <c r="F1191" s="40">
        <v>43956</v>
      </c>
      <c r="G1191" s="22" t="str">
        <f t="shared" si="252"/>
        <v>Targeted Dealer</v>
      </c>
      <c r="H1191" s="22"/>
      <c r="I1191" s="23">
        <v>150</v>
      </c>
      <c r="J1191" s="23">
        <f t="shared" si="253"/>
        <v>150</v>
      </c>
      <c r="K1191" s="24">
        <v>0</v>
      </c>
      <c r="L1191" s="24">
        <f t="shared" si="254"/>
        <v>150</v>
      </c>
      <c r="M1191" s="24">
        <f t="shared" si="255"/>
        <v>0</v>
      </c>
      <c r="N1191" s="25">
        <v>36.5</v>
      </c>
      <c r="O1191" s="26" t="str">
        <f t="shared" si="256"/>
        <v>June</v>
      </c>
      <c r="P1191" s="25">
        <f t="shared" si="257"/>
        <v>36.5</v>
      </c>
      <c r="Q1191" s="27">
        <f t="shared" si="258"/>
        <v>-36.5</v>
      </c>
      <c r="R1191" s="26" t="b">
        <f t="shared" si="259"/>
        <v>0</v>
      </c>
      <c r="S1191" s="28" t="str">
        <f t="shared" si="260"/>
        <v>GROWTH</v>
      </c>
      <c r="T1191" s="24">
        <v>0</v>
      </c>
      <c r="U1191" s="29" t="str">
        <f t="shared" si="261"/>
        <v>May</v>
      </c>
      <c r="V1191" s="24">
        <f t="shared" si="262"/>
        <v>0</v>
      </c>
      <c r="W1191" s="30">
        <f t="shared" si="263"/>
        <v>0</v>
      </c>
      <c r="X1191" s="31" t="b">
        <f t="shared" si="264"/>
        <v>0</v>
      </c>
      <c r="Y1191" s="32" t="b">
        <f t="shared" si="265"/>
        <v>0</v>
      </c>
      <c r="Z1191" s="41">
        <v>0</v>
      </c>
      <c r="AA1191" s="36"/>
      <c r="AB1191" s="36" t="s">
        <v>24</v>
      </c>
      <c r="AC1191" s="36" t="s">
        <v>2185</v>
      </c>
      <c r="AD1191" s="34"/>
      <c r="AE1191" s="35">
        <f>IFERROR(INDEX([1]Last6M_AvgSales_Ref!$B$2:$B$12659,MATCH(D1191,[1]Last6M_AvgSales_Ref!$A$2:$A$12659,0)),"")</f>
        <v>158.083333333333</v>
      </c>
    </row>
    <row r="1192" spans="1:31" ht="14.25" customHeight="1" x14ac:dyDescent="0.3">
      <c r="A1192" s="36" t="s">
        <v>2185</v>
      </c>
      <c r="B1192" s="38" t="s">
        <v>2425</v>
      </c>
      <c r="C1192" s="38" t="s">
        <v>2448</v>
      </c>
      <c r="D1192" s="38">
        <v>1000001732</v>
      </c>
      <c r="E1192" s="39" t="s">
        <v>2449</v>
      </c>
      <c r="F1192" s="40">
        <v>44343</v>
      </c>
      <c r="G1192" s="22" t="str">
        <f t="shared" si="252"/>
        <v>-</v>
      </c>
      <c r="H1192" s="22"/>
      <c r="I1192" s="23">
        <v>0</v>
      </c>
      <c r="J1192" s="23">
        <f t="shared" si="253"/>
        <v>0</v>
      </c>
      <c r="K1192" s="24">
        <v>0</v>
      </c>
      <c r="L1192" s="24">
        <f t="shared" si="254"/>
        <v>0</v>
      </c>
      <c r="M1192" s="24" t="str">
        <f t="shared" si="255"/>
        <v>-</v>
      </c>
      <c r="N1192" s="25">
        <v>30</v>
      </c>
      <c r="O1192" s="26" t="str">
        <f t="shared" si="256"/>
        <v>June</v>
      </c>
      <c r="P1192" s="25">
        <f t="shared" si="257"/>
        <v>30</v>
      </c>
      <c r="Q1192" s="27">
        <f t="shared" si="258"/>
        <v>-30</v>
      </c>
      <c r="R1192" s="26" t="b">
        <f t="shared" si="259"/>
        <v>0</v>
      </c>
      <c r="S1192" s="28" t="str">
        <f t="shared" si="260"/>
        <v>GROWTH</v>
      </c>
      <c r="T1192" s="24">
        <v>30</v>
      </c>
      <c r="U1192" s="29" t="str">
        <f t="shared" si="261"/>
        <v>May</v>
      </c>
      <c r="V1192" s="24">
        <f t="shared" si="262"/>
        <v>30</v>
      </c>
      <c r="W1192" s="30">
        <f t="shared" si="263"/>
        <v>-30</v>
      </c>
      <c r="X1192" s="31" t="b">
        <f t="shared" si="264"/>
        <v>0</v>
      </c>
      <c r="Y1192" s="32" t="str">
        <f t="shared" si="265"/>
        <v>GROWTH</v>
      </c>
      <c r="Z1192" s="41">
        <v>0</v>
      </c>
      <c r="AA1192" s="36"/>
      <c r="AB1192" s="36" t="s">
        <v>24</v>
      </c>
      <c r="AC1192" s="36" t="s">
        <v>2185</v>
      </c>
      <c r="AD1192" s="34"/>
      <c r="AE1192" s="35">
        <f>IFERROR(INDEX([1]Last6M_AvgSales_Ref!$B$2:$B$12659,MATCH(D1192,[1]Last6M_AvgSales_Ref!$A$2:$A$12659,0)),"")</f>
        <v>10.5833333333333</v>
      </c>
    </row>
    <row r="1193" spans="1:31" ht="14.25" customHeight="1" x14ac:dyDescent="0.3">
      <c r="A1193" s="36" t="s">
        <v>2185</v>
      </c>
      <c r="B1193" s="38" t="s">
        <v>2425</v>
      </c>
      <c r="C1193" s="38" t="s">
        <v>2450</v>
      </c>
      <c r="D1193" s="38">
        <v>1000002536</v>
      </c>
      <c r="E1193" s="39" t="s">
        <v>2451</v>
      </c>
      <c r="F1193" s="40">
        <v>44603</v>
      </c>
      <c r="G1193" s="22" t="str">
        <f t="shared" si="252"/>
        <v>Targeted Dealer</v>
      </c>
      <c r="H1193" s="22"/>
      <c r="I1193" s="23">
        <v>70</v>
      </c>
      <c r="J1193" s="23">
        <f t="shared" si="253"/>
        <v>70</v>
      </c>
      <c r="K1193" s="24">
        <v>75</v>
      </c>
      <c r="L1193" s="24">
        <f t="shared" si="254"/>
        <v>-5</v>
      </c>
      <c r="M1193" s="24">
        <f t="shared" si="255"/>
        <v>107.14285714285715</v>
      </c>
      <c r="N1193" s="25">
        <v>50</v>
      </c>
      <c r="O1193" s="26" t="str">
        <f t="shared" si="256"/>
        <v>June</v>
      </c>
      <c r="P1193" s="25">
        <f t="shared" si="257"/>
        <v>50</v>
      </c>
      <c r="Q1193" s="27">
        <f t="shared" si="258"/>
        <v>25</v>
      </c>
      <c r="R1193" s="26" t="b">
        <f t="shared" si="259"/>
        <v>0</v>
      </c>
      <c r="S1193" s="28" t="str">
        <f t="shared" si="260"/>
        <v>GROWTH</v>
      </c>
      <c r="T1193" s="24">
        <v>55</v>
      </c>
      <c r="U1193" s="29" t="str">
        <f t="shared" si="261"/>
        <v>May</v>
      </c>
      <c r="V1193" s="24">
        <f t="shared" si="262"/>
        <v>55</v>
      </c>
      <c r="W1193" s="30">
        <f t="shared" si="263"/>
        <v>20</v>
      </c>
      <c r="X1193" s="31" t="b">
        <f t="shared" si="264"/>
        <v>0</v>
      </c>
      <c r="Y1193" s="32" t="str">
        <f t="shared" si="265"/>
        <v>GROWTH</v>
      </c>
      <c r="Z1193" s="41">
        <v>0</v>
      </c>
      <c r="AA1193" s="36"/>
      <c r="AB1193" s="36" t="s">
        <v>24</v>
      </c>
      <c r="AC1193" s="36" t="s">
        <v>2185</v>
      </c>
      <c r="AD1193" s="34"/>
      <c r="AE1193" s="35">
        <f>IFERROR(INDEX([1]Last6M_AvgSales_Ref!$B$2:$B$12659,MATCH(D1193,[1]Last6M_AvgSales_Ref!$A$2:$A$12659,0)),"")</f>
        <v>48.3333333333333</v>
      </c>
    </row>
    <row r="1194" spans="1:31" ht="14.25" customHeight="1" x14ac:dyDescent="0.3">
      <c r="A1194" s="36" t="s">
        <v>2185</v>
      </c>
      <c r="B1194" s="38" t="s">
        <v>2425</v>
      </c>
      <c r="C1194" s="38" t="s">
        <v>2452</v>
      </c>
      <c r="D1194" s="38">
        <v>1000003040</v>
      </c>
      <c r="E1194" s="38" t="s">
        <v>2453</v>
      </c>
      <c r="F1194" s="40">
        <v>44847</v>
      </c>
      <c r="G1194" s="22" t="str">
        <f t="shared" si="252"/>
        <v>Targeted Dealer</v>
      </c>
      <c r="H1194" s="22"/>
      <c r="I1194" s="23">
        <v>200</v>
      </c>
      <c r="J1194" s="23">
        <f t="shared" si="253"/>
        <v>200</v>
      </c>
      <c r="K1194" s="24">
        <v>180</v>
      </c>
      <c r="L1194" s="24">
        <f t="shared" si="254"/>
        <v>20</v>
      </c>
      <c r="M1194" s="24">
        <f t="shared" si="255"/>
        <v>90</v>
      </c>
      <c r="N1194" s="25">
        <v>120</v>
      </c>
      <c r="O1194" s="26" t="str">
        <f t="shared" si="256"/>
        <v>June</v>
      </c>
      <c r="P1194" s="25">
        <f t="shared" si="257"/>
        <v>120</v>
      </c>
      <c r="Q1194" s="27">
        <f t="shared" si="258"/>
        <v>60</v>
      </c>
      <c r="R1194" s="26" t="b">
        <f t="shared" si="259"/>
        <v>0</v>
      </c>
      <c r="S1194" s="28" t="str">
        <f t="shared" si="260"/>
        <v>GROWTH</v>
      </c>
      <c r="T1194" s="24">
        <v>115</v>
      </c>
      <c r="U1194" s="29" t="str">
        <f t="shared" si="261"/>
        <v>May</v>
      </c>
      <c r="V1194" s="24">
        <f t="shared" si="262"/>
        <v>115</v>
      </c>
      <c r="W1194" s="30">
        <f t="shared" si="263"/>
        <v>65</v>
      </c>
      <c r="X1194" s="31" t="b">
        <f t="shared" si="264"/>
        <v>0</v>
      </c>
      <c r="Y1194" s="32" t="str">
        <f t="shared" si="265"/>
        <v>GROWTH</v>
      </c>
      <c r="Z1194" s="41">
        <v>0</v>
      </c>
      <c r="AA1194" s="36"/>
      <c r="AB1194" s="36" t="s">
        <v>24</v>
      </c>
      <c r="AC1194" s="36" t="s">
        <v>2185</v>
      </c>
      <c r="AD1194" s="34"/>
      <c r="AE1194" s="35">
        <f>IFERROR(INDEX([1]Last6M_AvgSales_Ref!$B$2:$B$12659,MATCH(D1194,[1]Last6M_AvgSales_Ref!$A$2:$A$12659,0)),"")</f>
        <v>171</v>
      </c>
    </row>
    <row r="1195" spans="1:31" ht="14.25" customHeight="1" x14ac:dyDescent="0.3">
      <c r="A1195" s="36" t="s">
        <v>2185</v>
      </c>
      <c r="B1195" s="38" t="s">
        <v>2425</v>
      </c>
      <c r="C1195" s="38" t="s">
        <v>2454</v>
      </c>
      <c r="D1195" s="38">
        <v>1000003080</v>
      </c>
      <c r="E1195" s="38" t="s">
        <v>2455</v>
      </c>
      <c r="F1195" s="40">
        <v>44868</v>
      </c>
      <c r="G1195" s="22" t="str">
        <f t="shared" si="252"/>
        <v>-</v>
      </c>
      <c r="H1195" s="22"/>
      <c r="I1195" s="23">
        <v>0</v>
      </c>
      <c r="J1195" s="23">
        <f t="shared" si="253"/>
        <v>0</v>
      </c>
      <c r="K1195" s="24">
        <v>0</v>
      </c>
      <c r="L1195" s="24">
        <f t="shared" si="254"/>
        <v>0</v>
      </c>
      <c r="M1195" s="24" t="str">
        <f t="shared" si="255"/>
        <v>-</v>
      </c>
      <c r="N1195" s="25">
        <v>0</v>
      </c>
      <c r="O1195" s="26" t="str">
        <f t="shared" si="256"/>
        <v>June</v>
      </c>
      <c r="P1195" s="25">
        <f t="shared" si="257"/>
        <v>0</v>
      </c>
      <c r="Q1195" s="27">
        <f t="shared" si="258"/>
        <v>0</v>
      </c>
      <c r="R1195" s="26" t="b">
        <f t="shared" si="259"/>
        <v>0</v>
      </c>
      <c r="S1195" s="28" t="b">
        <f t="shared" si="260"/>
        <v>0</v>
      </c>
      <c r="T1195" s="24">
        <v>0</v>
      </c>
      <c r="U1195" s="29" t="str">
        <f t="shared" si="261"/>
        <v>May</v>
      </c>
      <c r="V1195" s="24">
        <f t="shared" si="262"/>
        <v>0</v>
      </c>
      <c r="W1195" s="30">
        <f t="shared" si="263"/>
        <v>0</v>
      </c>
      <c r="X1195" s="31" t="b">
        <f t="shared" si="264"/>
        <v>0</v>
      </c>
      <c r="Y1195" s="32" t="b">
        <f t="shared" si="265"/>
        <v>0</v>
      </c>
      <c r="Z1195" s="41">
        <v>0</v>
      </c>
      <c r="AA1195" s="36"/>
      <c r="AB1195" s="36" t="s">
        <v>24</v>
      </c>
      <c r="AC1195" s="36" t="s">
        <v>2185</v>
      </c>
      <c r="AD1195" s="34"/>
      <c r="AE1195" s="35">
        <f>IFERROR(INDEX([1]Last6M_AvgSales_Ref!$B$2:$B$12659,MATCH(D1195,[1]Last6M_AvgSales_Ref!$A$2:$A$12659,0)),"")</f>
        <v>1.1666666666666701</v>
      </c>
    </row>
    <row r="1196" spans="1:31" ht="14.25" customHeight="1" x14ac:dyDescent="0.3">
      <c r="A1196" s="36" t="s">
        <v>2185</v>
      </c>
      <c r="B1196" s="38" t="s">
        <v>2425</v>
      </c>
      <c r="C1196" s="38" t="s">
        <v>2456</v>
      </c>
      <c r="D1196" s="38">
        <v>1000003556</v>
      </c>
      <c r="E1196" s="38" t="s">
        <v>2457</v>
      </c>
      <c r="F1196" s="40">
        <v>45072</v>
      </c>
      <c r="G1196" s="22" t="str">
        <f t="shared" si="252"/>
        <v>Targeted Dealer</v>
      </c>
      <c r="H1196" s="22"/>
      <c r="I1196" s="23">
        <v>300</v>
      </c>
      <c r="J1196" s="23">
        <f t="shared" si="253"/>
        <v>300</v>
      </c>
      <c r="K1196" s="24">
        <v>345</v>
      </c>
      <c r="L1196" s="24">
        <f t="shared" si="254"/>
        <v>-45</v>
      </c>
      <c r="M1196" s="24">
        <f t="shared" si="255"/>
        <v>115</v>
      </c>
      <c r="N1196" s="25">
        <v>367</v>
      </c>
      <c r="O1196" s="26" t="str">
        <f t="shared" si="256"/>
        <v>June</v>
      </c>
      <c r="P1196" s="25">
        <f t="shared" si="257"/>
        <v>367</v>
      </c>
      <c r="Q1196" s="27">
        <f t="shared" si="258"/>
        <v>-22</v>
      </c>
      <c r="R1196" s="26" t="b">
        <f t="shared" si="259"/>
        <v>0</v>
      </c>
      <c r="S1196" s="28" t="str">
        <f t="shared" si="260"/>
        <v>GROWTH</v>
      </c>
      <c r="T1196" s="24">
        <v>333.5</v>
      </c>
      <c r="U1196" s="29" t="str">
        <f t="shared" si="261"/>
        <v>May</v>
      </c>
      <c r="V1196" s="24">
        <f t="shared" si="262"/>
        <v>333.5</v>
      </c>
      <c r="W1196" s="30">
        <f t="shared" si="263"/>
        <v>11.5</v>
      </c>
      <c r="X1196" s="31" t="b">
        <f t="shared" si="264"/>
        <v>0</v>
      </c>
      <c r="Y1196" s="32" t="str">
        <f t="shared" si="265"/>
        <v>GROWTH</v>
      </c>
      <c r="Z1196" s="41">
        <v>0</v>
      </c>
      <c r="AA1196" s="36"/>
      <c r="AB1196" s="36" t="s">
        <v>24</v>
      </c>
      <c r="AC1196" s="36" t="s">
        <v>2185</v>
      </c>
      <c r="AD1196" s="34"/>
      <c r="AE1196" s="35">
        <f>IFERROR(INDEX([1]Last6M_AvgSales_Ref!$B$2:$B$12659,MATCH(D1196,[1]Last6M_AvgSales_Ref!$A$2:$A$12659,0)),"")</f>
        <v>342.28333333333302</v>
      </c>
    </row>
    <row r="1197" spans="1:31" ht="14.25" customHeight="1" x14ac:dyDescent="0.3">
      <c r="A1197" s="41" t="s">
        <v>848</v>
      </c>
      <c r="B1197" s="37" t="s">
        <v>1101</v>
      </c>
      <c r="C1197" s="44" t="s">
        <v>2458</v>
      </c>
      <c r="D1197" s="44">
        <v>1000004108</v>
      </c>
      <c r="E1197" s="44" t="s">
        <v>2459</v>
      </c>
      <c r="F1197" s="40">
        <v>45539</v>
      </c>
      <c r="G1197" s="22" t="str">
        <f t="shared" si="252"/>
        <v>Targeted Dealer</v>
      </c>
      <c r="H1197" s="22"/>
      <c r="I1197" s="23">
        <v>300</v>
      </c>
      <c r="J1197" s="23">
        <f t="shared" si="253"/>
        <v>300</v>
      </c>
      <c r="K1197" s="24">
        <v>104.5</v>
      </c>
      <c r="L1197" s="24">
        <f t="shared" si="254"/>
        <v>195.5</v>
      </c>
      <c r="M1197" s="24">
        <f t="shared" si="255"/>
        <v>34.833333333333336</v>
      </c>
      <c r="N1197" s="25">
        <v>130.5</v>
      </c>
      <c r="O1197" s="26" t="str">
        <f t="shared" si="256"/>
        <v>June</v>
      </c>
      <c r="P1197" s="25">
        <f t="shared" si="257"/>
        <v>130.5</v>
      </c>
      <c r="Q1197" s="27">
        <f t="shared" si="258"/>
        <v>-26</v>
      </c>
      <c r="R1197" s="26" t="b">
        <f t="shared" si="259"/>
        <v>0</v>
      </c>
      <c r="S1197" s="28" t="str">
        <f t="shared" si="260"/>
        <v>GROWTH</v>
      </c>
      <c r="T1197" s="24">
        <v>130</v>
      </c>
      <c r="U1197" s="29" t="str">
        <f t="shared" si="261"/>
        <v>May</v>
      </c>
      <c r="V1197" s="24">
        <f t="shared" si="262"/>
        <v>130</v>
      </c>
      <c r="W1197" s="30">
        <f t="shared" si="263"/>
        <v>-25.5</v>
      </c>
      <c r="X1197" s="31" t="b">
        <f t="shared" si="264"/>
        <v>0</v>
      </c>
      <c r="Y1197" s="32" t="str">
        <f t="shared" si="265"/>
        <v>GROWTH</v>
      </c>
      <c r="Z1197" s="41">
        <v>0</v>
      </c>
      <c r="AA1197" s="36"/>
      <c r="AB1197" s="36" t="s">
        <v>24</v>
      </c>
      <c r="AC1197" s="41" t="s">
        <v>848</v>
      </c>
      <c r="AD1197" s="34"/>
      <c r="AE1197" s="35">
        <f>IFERROR(INDEX([1]Last6M_AvgSales_Ref!$B$2:$B$12659,MATCH(D1197,[1]Last6M_AvgSales_Ref!$A$2:$A$12659,0)),"")</f>
        <v>118.083333333333</v>
      </c>
    </row>
    <row r="1198" spans="1:31" ht="14.25" customHeight="1" x14ac:dyDescent="0.3">
      <c r="A1198" s="41" t="s">
        <v>24</v>
      </c>
      <c r="B1198" s="44" t="s">
        <v>752</v>
      </c>
      <c r="C1198" s="44" t="s">
        <v>2460</v>
      </c>
      <c r="D1198" s="44">
        <v>1000004110</v>
      </c>
      <c r="E1198" s="44" t="s">
        <v>2461</v>
      </c>
      <c r="F1198" s="40">
        <v>45540</v>
      </c>
      <c r="G1198" s="22" t="str">
        <f t="shared" si="252"/>
        <v>Targeted Dealer</v>
      </c>
      <c r="H1198" s="22"/>
      <c r="I1198" s="23">
        <v>70</v>
      </c>
      <c r="J1198" s="23">
        <f t="shared" si="253"/>
        <v>70</v>
      </c>
      <c r="K1198" s="24">
        <v>50</v>
      </c>
      <c r="L1198" s="24">
        <f t="shared" si="254"/>
        <v>20</v>
      </c>
      <c r="M1198" s="24">
        <f t="shared" si="255"/>
        <v>71.428571428571431</v>
      </c>
      <c r="N1198" s="25">
        <v>0</v>
      </c>
      <c r="O1198" s="26" t="str">
        <f t="shared" si="256"/>
        <v>June</v>
      </c>
      <c r="P1198" s="25">
        <f t="shared" si="257"/>
        <v>0</v>
      </c>
      <c r="Q1198" s="27">
        <f t="shared" si="258"/>
        <v>50</v>
      </c>
      <c r="R1198" s="26" t="b">
        <f t="shared" si="259"/>
        <v>0</v>
      </c>
      <c r="S1198" s="28" t="b">
        <f t="shared" si="260"/>
        <v>0</v>
      </c>
      <c r="T1198" s="24">
        <v>0</v>
      </c>
      <c r="U1198" s="29" t="str">
        <f t="shared" si="261"/>
        <v>May</v>
      </c>
      <c r="V1198" s="24">
        <f t="shared" si="262"/>
        <v>0</v>
      </c>
      <c r="W1198" s="30">
        <f t="shared" si="263"/>
        <v>50</v>
      </c>
      <c r="X1198" s="31" t="b">
        <f t="shared" si="264"/>
        <v>0</v>
      </c>
      <c r="Y1198" s="32" t="b">
        <f t="shared" si="265"/>
        <v>0</v>
      </c>
      <c r="Z1198" s="41">
        <v>0</v>
      </c>
      <c r="AA1198" s="36"/>
      <c r="AB1198" s="36" t="s">
        <v>24</v>
      </c>
      <c r="AC1198" s="41" t="s">
        <v>24</v>
      </c>
      <c r="AD1198" s="34"/>
      <c r="AE1198" s="35">
        <f>IFERROR(INDEX([1]Last6M_AvgSales_Ref!$B$2:$B$12659,MATCH(D1198,[1]Last6M_AvgSales_Ref!$A$2:$A$12659,0)),"")</f>
        <v>57</v>
      </c>
    </row>
    <row r="1199" spans="1:31" ht="14.25" customHeight="1" x14ac:dyDescent="0.3">
      <c r="A1199" s="41" t="s">
        <v>24</v>
      </c>
      <c r="B1199" s="44" t="s">
        <v>399</v>
      </c>
      <c r="C1199" s="44" t="s">
        <v>2462</v>
      </c>
      <c r="D1199" s="44">
        <v>1000004111</v>
      </c>
      <c r="E1199" s="44" t="s">
        <v>2463</v>
      </c>
      <c r="F1199" s="40">
        <v>45540</v>
      </c>
      <c r="G1199" s="22" t="str">
        <f t="shared" si="252"/>
        <v>Targeted Dealer</v>
      </c>
      <c r="H1199" s="22"/>
      <c r="I1199" s="23">
        <v>30</v>
      </c>
      <c r="J1199" s="23">
        <f t="shared" si="253"/>
        <v>30</v>
      </c>
      <c r="K1199" s="24">
        <v>5</v>
      </c>
      <c r="L1199" s="24">
        <f t="shared" si="254"/>
        <v>25</v>
      </c>
      <c r="M1199" s="24">
        <f t="shared" si="255"/>
        <v>16.666666666666668</v>
      </c>
      <c r="N1199" s="25">
        <v>0</v>
      </c>
      <c r="O1199" s="26" t="str">
        <f t="shared" si="256"/>
        <v>June</v>
      </c>
      <c r="P1199" s="25">
        <f t="shared" si="257"/>
        <v>0</v>
      </c>
      <c r="Q1199" s="27">
        <f t="shared" si="258"/>
        <v>5</v>
      </c>
      <c r="R1199" s="26" t="b">
        <f t="shared" si="259"/>
        <v>0</v>
      </c>
      <c r="S1199" s="28" t="b">
        <f t="shared" si="260"/>
        <v>0</v>
      </c>
      <c r="T1199" s="24">
        <v>205.75</v>
      </c>
      <c r="U1199" s="29" t="str">
        <f t="shared" si="261"/>
        <v>May</v>
      </c>
      <c r="V1199" s="24">
        <f t="shared" si="262"/>
        <v>205.75</v>
      </c>
      <c r="W1199" s="30">
        <f t="shared" si="263"/>
        <v>-200.75</v>
      </c>
      <c r="X1199" s="31" t="b">
        <f t="shared" si="264"/>
        <v>0</v>
      </c>
      <c r="Y1199" s="32" t="str">
        <f t="shared" si="265"/>
        <v>GROWTH</v>
      </c>
      <c r="Z1199" s="41">
        <v>0</v>
      </c>
      <c r="AA1199" s="36"/>
      <c r="AB1199" s="36" t="s">
        <v>24</v>
      </c>
      <c r="AC1199" s="41" t="s">
        <v>24</v>
      </c>
      <c r="AD1199" s="34"/>
      <c r="AE1199" s="35">
        <f>IFERROR(INDEX([1]Last6M_AvgSales_Ref!$B$2:$B$12659,MATCH(D1199,[1]Last6M_AvgSales_Ref!$A$2:$A$12659,0)),"")</f>
        <v>3.3333333333333299</v>
      </c>
    </row>
    <row r="1200" spans="1:31" ht="14.25" customHeight="1" x14ac:dyDescent="0.3">
      <c r="A1200" s="41" t="s">
        <v>24</v>
      </c>
      <c r="B1200" s="37" t="s">
        <v>59</v>
      </c>
      <c r="C1200" s="44" t="s">
        <v>2464</v>
      </c>
      <c r="D1200" s="44">
        <v>1000004109</v>
      </c>
      <c r="E1200" s="44" t="s">
        <v>2465</v>
      </c>
      <c r="F1200" s="40">
        <v>45540</v>
      </c>
      <c r="G1200" s="22" t="str">
        <f t="shared" si="252"/>
        <v>Targeted Dealer</v>
      </c>
      <c r="H1200" s="22"/>
      <c r="I1200" s="23">
        <v>10</v>
      </c>
      <c r="J1200" s="23">
        <f t="shared" si="253"/>
        <v>10</v>
      </c>
      <c r="K1200" s="24">
        <v>10</v>
      </c>
      <c r="L1200" s="24">
        <f t="shared" si="254"/>
        <v>0</v>
      </c>
      <c r="M1200" s="24">
        <f t="shared" si="255"/>
        <v>100</v>
      </c>
      <c r="N1200" s="25">
        <v>10</v>
      </c>
      <c r="O1200" s="26" t="str">
        <f t="shared" si="256"/>
        <v>June</v>
      </c>
      <c r="P1200" s="25">
        <f t="shared" si="257"/>
        <v>10</v>
      </c>
      <c r="Q1200" s="27">
        <f t="shared" si="258"/>
        <v>0</v>
      </c>
      <c r="R1200" s="26" t="b">
        <f t="shared" si="259"/>
        <v>0</v>
      </c>
      <c r="S1200" s="28" t="str">
        <f t="shared" si="260"/>
        <v>GROWTH</v>
      </c>
      <c r="T1200" s="24">
        <v>32.5</v>
      </c>
      <c r="U1200" s="29" t="str">
        <f t="shared" si="261"/>
        <v>May</v>
      </c>
      <c r="V1200" s="24">
        <f t="shared" si="262"/>
        <v>32.5</v>
      </c>
      <c r="W1200" s="30">
        <f t="shared" si="263"/>
        <v>-22.5</v>
      </c>
      <c r="X1200" s="31" t="b">
        <f t="shared" si="264"/>
        <v>0</v>
      </c>
      <c r="Y1200" s="32" t="str">
        <f t="shared" si="265"/>
        <v>GROWTH</v>
      </c>
      <c r="Z1200" s="41">
        <v>0</v>
      </c>
      <c r="AA1200" s="36"/>
      <c r="AB1200" s="36" t="s">
        <v>24</v>
      </c>
      <c r="AC1200" s="41" t="s">
        <v>24</v>
      </c>
      <c r="AD1200" s="34"/>
      <c r="AE1200" s="35">
        <f>IFERROR(INDEX([1]Last6M_AvgSales_Ref!$B$2:$B$12659,MATCH(D1200,[1]Last6M_AvgSales_Ref!$A$2:$A$12659,0)),"")</f>
        <v>19.5</v>
      </c>
    </row>
    <row r="1201" spans="1:31" ht="14.25" customHeight="1" x14ac:dyDescent="0.3">
      <c r="A1201" s="41" t="s">
        <v>848</v>
      </c>
      <c r="B1201" s="44" t="s">
        <v>917</v>
      </c>
      <c r="C1201" s="44" t="s">
        <v>2466</v>
      </c>
      <c r="D1201" s="44">
        <v>1000004112</v>
      </c>
      <c r="E1201" s="44" t="s">
        <v>2467</v>
      </c>
      <c r="F1201" s="40">
        <v>45541</v>
      </c>
      <c r="G1201" s="22" t="str">
        <f t="shared" si="252"/>
        <v>Targeted Dealer</v>
      </c>
      <c r="H1201" s="22"/>
      <c r="I1201" s="23">
        <v>40</v>
      </c>
      <c r="J1201" s="23">
        <f t="shared" si="253"/>
        <v>40</v>
      </c>
      <c r="K1201" s="24">
        <v>65</v>
      </c>
      <c r="L1201" s="24">
        <f t="shared" si="254"/>
        <v>-25</v>
      </c>
      <c r="M1201" s="24">
        <f t="shared" si="255"/>
        <v>162.5</v>
      </c>
      <c r="N1201" s="25">
        <v>64.5</v>
      </c>
      <c r="O1201" s="26" t="str">
        <f t="shared" si="256"/>
        <v>June</v>
      </c>
      <c r="P1201" s="25">
        <f t="shared" si="257"/>
        <v>64.5</v>
      </c>
      <c r="Q1201" s="27">
        <f t="shared" si="258"/>
        <v>0.5</v>
      </c>
      <c r="R1201" s="26" t="b">
        <f t="shared" si="259"/>
        <v>0</v>
      </c>
      <c r="S1201" s="28" t="str">
        <f t="shared" si="260"/>
        <v>GROWTH</v>
      </c>
      <c r="T1201" s="24">
        <v>12.5</v>
      </c>
      <c r="U1201" s="29" t="str">
        <f t="shared" si="261"/>
        <v>May</v>
      </c>
      <c r="V1201" s="24">
        <f t="shared" si="262"/>
        <v>12.5</v>
      </c>
      <c r="W1201" s="30">
        <f t="shared" si="263"/>
        <v>52.5</v>
      </c>
      <c r="X1201" s="31" t="b">
        <f t="shared" si="264"/>
        <v>0</v>
      </c>
      <c r="Y1201" s="32" t="str">
        <f t="shared" si="265"/>
        <v>GROWTH</v>
      </c>
      <c r="Z1201" s="41">
        <v>0</v>
      </c>
      <c r="AA1201" s="36"/>
      <c r="AB1201" s="36" t="s">
        <v>24</v>
      </c>
      <c r="AC1201" s="41" t="s">
        <v>848</v>
      </c>
      <c r="AD1201" s="34"/>
      <c r="AE1201" s="35">
        <f>IFERROR(INDEX([1]Last6M_AvgSales_Ref!$B$2:$B$12659,MATCH(D1201,[1]Last6M_AvgSales_Ref!$A$2:$A$12659,0)),"")</f>
        <v>70.8333333333333</v>
      </c>
    </row>
    <row r="1202" spans="1:31" ht="14.25" customHeight="1" x14ac:dyDescent="0.3">
      <c r="A1202" s="41" t="s">
        <v>24</v>
      </c>
      <c r="B1202" s="37" t="s">
        <v>269</v>
      </c>
      <c r="C1202" s="44" t="s">
        <v>2468</v>
      </c>
      <c r="D1202" s="44">
        <v>1000002901</v>
      </c>
      <c r="E1202" s="44" t="s">
        <v>2469</v>
      </c>
      <c r="F1202" s="40">
        <v>44799</v>
      </c>
      <c r="G1202" s="22" t="str">
        <f t="shared" si="252"/>
        <v>Targeted Dealer</v>
      </c>
      <c r="H1202" s="22"/>
      <c r="I1202" s="23">
        <v>120</v>
      </c>
      <c r="J1202" s="23">
        <f t="shared" si="253"/>
        <v>120</v>
      </c>
      <c r="K1202" s="24">
        <v>122.5</v>
      </c>
      <c r="L1202" s="24">
        <f t="shared" si="254"/>
        <v>-2.5</v>
      </c>
      <c r="M1202" s="24">
        <f t="shared" si="255"/>
        <v>102.08333333333334</v>
      </c>
      <c r="N1202" s="25">
        <v>340</v>
      </c>
      <c r="O1202" s="26" t="str">
        <f t="shared" si="256"/>
        <v>June</v>
      </c>
      <c r="P1202" s="25">
        <f t="shared" si="257"/>
        <v>340</v>
      </c>
      <c r="Q1202" s="27">
        <f t="shared" si="258"/>
        <v>-217.5</v>
      </c>
      <c r="R1202" s="26" t="b">
        <f t="shared" si="259"/>
        <v>0</v>
      </c>
      <c r="S1202" s="28" t="str">
        <f t="shared" si="260"/>
        <v>GROWTH</v>
      </c>
      <c r="T1202" s="24">
        <v>150</v>
      </c>
      <c r="U1202" s="29" t="str">
        <f t="shared" si="261"/>
        <v>May</v>
      </c>
      <c r="V1202" s="24">
        <f t="shared" si="262"/>
        <v>150</v>
      </c>
      <c r="W1202" s="30">
        <f t="shared" si="263"/>
        <v>-27.5</v>
      </c>
      <c r="X1202" s="31" t="b">
        <f t="shared" si="264"/>
        <v>0</v>
      </c>
      <c r="Y1202" s="32" t="str">
        <f t="shared" si="265"/>
        <v>GROWTH</v>
      </c>
      <c r="Z1202" s="41">
        <v>0</v>
      </c>
      <c r="AA1202" s="36"/>
      <c r="AB1202" s="36" t="s">
        <v>24</v>
      </c>
      <c r="AC1202" s="41" t="s">
        <v>24</v>
      </c>
      <c r="AD1202" s="34"/>
      <c r="AE1202" s="35">
        <f>IFERROR(INDEX([1]Last6M_AvgSales_Ref!$B$2:$B$12659,MATCH(D1202,[1]Last6M_AvgSales_Ref!$A$2:$A$12659,0)),"")</f>
        <v>161</v>
      </c>
    </row>
    <row r="1203" spans="1:31" ht="14.25" customHeight="1" x14ac:dyDescent="0.3">
      <c r="A1203" s="41" t="s">
        <v>24</v>
      </c>
      <c r="B1203" s="37" t="s">
        <v>269</v>
      </c>
      <c r="C1203" s="44" t="s">
        <v>2470</v>
      </c>
      <c r="D1203" s="44">
        <v>1000004113</v>
      </c>
      <c r="E1203" s="44" t="s">
        <v>2471</v>
      </c>
      <c r="F1203" s="40">
        <v>45542</v>
      </c>
      <c r="G1203" s="22" t="str">
        <f t="shared" si="252"/>
        <v>Targeted Dealer</v>
      </c>
      <c r="H1203" s="22"/>
      <c r="I1203" s="23">
        <v>50</v>
      </c>
      <c r="J1203" s="23">
        <f t="shared" si="253"/>
        <v>50</v>
      </c>
      <c r="K1203" s="24">
        <v>90</v>
      </c>
      <c r="L1203" s="24">
        <f t="shared" si="254"/>
        <v>-40</v>
      </c>
      <c r="M1203" s="24">
        <f t="shared" si="255"/>
        <v>180</v>
      </c>
      <c r="N1203" s="25">
        <v>109.7</v>
      </c>
      <c r="O1203" s="26" t="str">
        <f t="shared" si="256"/>
        <v>June</v>
      </c>
      <c r="P1203" s="25">
        <f t="shared" si="257"/>
        <v>109.7</v>
      </c>
      <c r="Q1203" s="27">
        <f t="shared" si="258"/>
        <v>-19.700000000000003</v>
      </c>
      <c r="R1203" s="26" t="b">
        <f t="shared" si="259"/>
        <v>0</v>
      </c>
      <c r="S1203" s="28" t="str">
        <f t="shared" si="260"/>
        <v>GROWTH</v>
      </c>
      <c r="T1203" s="24">
        <v>49.9</v>
      </c>
      <c r="U1203" s="29" t="str">
        <f t="shared" si="261"/>
        <v>May</v>
      </c>
      <c r="V1203" s="24">
        <f t="shared" si="262"/>
        <v>49.9</v>
      </c>
      <c r="W1203" s="30">
        <f t="shared" si="263"/>
        <v>40.1</v>
      </c>
      <c r="X1203" s="31" t="b">
        <f t="shared" si="264"/>
        <v>0</v>
      </c>
      <c r="Y1203" s="32" t="str">
        <f t="shared" si="265"/>
        <v>GROWTH</v>
      </c>
      <c r="Z1203" s="41">
        <v>0</v>
      </c>
      <c r="AA1203" s="36"/>
      <c r="AB1203" s="36" t="s">
        <v>24</v>
      </c>
      <c r="AC1203" s="41" t="s">
        <v>24</v>
      </c>
      <c r="AD1203" s="34"/>
      <c r="AE1203" s="35">
        <f>IFERROR(INDEX([1]Last6M_AvgSales_Ref!$B$2:$B$12659,MATCH(D1203,[1]Last6M_AvgSales_Ref!$A$2:$A$12659,0)),"")</f>
        <v>91.7083333333333</v>
      </c>
    </row>
    <row r="1204" spans="1:31" ht="14.25" customHeight="1" x14ac:dyDescent="0.3">
      <c r="A1204" s="41" t="s">
        <v>848</v>
      </c>
      <c r="B1204" s="44" t="s">
        <v>1487</v>
      </c>
      <c r="C1204" s="44" t="s">
        <v>2472</v>
      </c>
      <c r="D1204" s="44">
        <v>1000004114</v>
      </c>
      <c r="E1204" s="44" t="s">
        <v>2473</v>
      </c>
      <c r="F1204" s="40">
        <v>45544</v>
      </c>
      <c r="G1204" s="22" t="str">
        <f t="shared" si="252"/>
        <v>Targeted Dealer</v>
      </c>
      <c r="H1204" s="22"/>
      <c r="I1204" s="23">
        <v>60</v>
      </c>
      <c r="J1204" s="23">
        <f t="shared" si="253"/>
        <v>60</v>
      </c>
      <c r="K1204" s="24">
        <v>14</v>
      </c>
      <c r="L1204" s="24">
        <f t="shared" si="254"/>
        <v>46</v>
      </c>
      <c r="M1204" s="24">
        <f t="shared" si="255"/>
        <v>23.333333333333336</v>
      </c>
      <c r="N1204" s="25">
        <v>0</v>
      </c>
      <c r="O1204" s="26" t="str">
        <f t="shared" si="256"/>
        <v>June</v>
      </c>
      <c r="P1204" s="25">
        <f t="shared" si="257"/>
        <v>0</v>
      </c>
      <c r="Q1204" s="27">
        <f t="shared" si="258"/>
        <v>14</v>
      </c>
      <c r="R1204" s="26" t="b">
        <f t="shared" si="259"/>
        <v>0</v>
      </c>
      <c r="S1204" s="28" t="b">
        <f t="shared" si="260"/>
        <v>0</v>
      </c>
      <c r="T1204" s="24">
        <v>20</v>
      </c>
      <c r="U1204" s="29" t="str">
        <f t="shared" si="261"/>
        <v>May</v>
      </c>
      <c r="V1204" s="24">
        <f t="shared" si="262"/>
        <v>20</v>
      </c>
      <c r="W1204" s="30">
        <f t="shared" si="263"/>
        <v>-6</v>
      </c>
      <c r="X1204" s="31" t="b">
        <f t="shared" si="264"/>
        <v>0</v>
      </c>
      <c r="Y1204" s="32" t="str">
        <f t="shared" si="265"/>
        <v>GROWTH</v>
      </c>
      <c r="Z1204" s="41">
        <v>0</v>
      </c>
      <c r="AA1204" s="36"/>
      <c r="AB1204" s="36" t="s">
        <v>24</v>
      </c>
      <c r="AC1204" s="41" t="s">
        <v>848</v>
      </c>
      <c r="AD1204" s="34"/>
      <c r="AE1204" s="35">
        <f>IFERROR(INDEX([1]Last6M_AvgSales_Ref!$B$2:$B$12659,MATCH(D1204,[1]Last6M_AvgSales_Ref!$A$2:$A$12659,0)),"")</f>
        <v>16.25</v>
      </c>
    </row>
    <row r="1205" spans="1:31" ht="14.25" customHeight="1" x14ac:dyDescent="0.3">
      <c r="A1205" s="41" t="s">
        <v>848</v>
      </c>
      <c r="B1205" s="37" t="s">
        <v>1098</v>
      </c>
      <c r="C1205" s="44" t="s">
        <v>2474</v>
      </c>
      <c r="D1205" s="44">
        <v>1000004115</v>
      </c>
      <c r="E1205" s="44" t="s">
        <v>2475</v>
      </c>
      <c r="F1205" s="40">
        <v>45544</v>
      </c>
      <c r="G1205" s="22" t="str">
        <f t="shared" si="252"/>
        <v>Targeted Dealer</v>
      </c>
      <c r="H1205" s="22"/>
      <c r="I1205" s="23">
        <v>300</v>
      </c>
      <c r="J1205" s="23">
        <f t="shared" si="253"/>
        <v>300</v>
      </c>
      <c r="K1205" s="24">
        <v>125</v>
      </c>
      <c r="L1205" s="24">
        <f t="shared" si="254"/>
        <v>175</v>
      </c>
      <c r="M1205" s="24">
        <f t="shared" si="255"/>
        <v>41.666666666666664</v>
      </c>
      <c r="N1205" s="25">
        <v>125</v>
      </c>
      <c r="O1205" s="26" t="str">
        <f t="shared" si="256"/>
        <v>June</v>
      </c>
      <c r="P1205" s="25">
        <f t="shared" si="257"/>
        <v>125</v>
      </c>
      <c r="Q1205" s="27">
        <f t="shared" si="258"/>
        <v>0</v>
      </c>
      <c r="R1205" s="26" t="b">
        <f t="shared" si="259"/>
        <v>0</v>
      </c>
      <c r="S1205" s="28" t="str">
        <f t="shared" si="260"/>
        <v>GROWTH</v>
      </c>
      <c r="T1205" s="24">
        <v>150</v>
      </c>
      <c r="U1205" s="29" t="str">
        <f t="shared" si="261"/>
        <v>May</v>
      </c>
      <c r="V1205" s="24">
        <f t="shared" si="262"/>
        <v>150</v>
      </c>
      <c r="W1205" s="30">
        <f t="shared" si="263"/>
        <v>-25</v>
      </c>
      <c r="X1205" s="31" t="b">
        <f t="shared" si="264"/>
        <v>0</v>
      </c>
      <c r="Y1205" s="32" t="str">
        <f t="shared" si="265"/>
        <v>GROWTH</v>
      </c>
      <c r="Z1205" s="41">
        <v>0</v>
      </c>
      <c r="AA1205" s="36"/>
      <c r="AB1205" s="36" t="s">
        <v>24</v>
      </c>
      <c r="AC1205" s="41" t="s">
        <v>848</v>
      </c>
      <c r="AD1205" s="34"/>
      <c r="AE1205" s="35">
        <f>IFERROR(INDEX([1]Last6M_AvgSales_Ref!$B$2:$B$12659,MATCH(D1205,[1]Last6M_AvgSales_Ref!$A$2:$A$12659,0)),"")</f>
        <v>141.666666666667</v>
      </c>
    </row>
    <row r="1206" spans="1:31" ht="14.25" customHeight="1" x14ac:dyDescent="0.3">
      <c r="A1206" s="36" t="s">
        <v>848</v>
      </c>
      <c r="B1206" s="38" t="s">
        <v>1257</v>
      </c>
      <c r="C1206" s="44" t="s">
        <v>2476</v>
      </c>
      <c r="D1206" s="44">
        <v>1000004116</v>
      </c>
      <c r="E1206" s="44" t="s">
        <v>2477</v>
      </c>
      <c r="F1206" s="40">
        <v>45547</v>
      </c>
      <c r="G1206" s="22" t="str">
        <f t="shared" si="252"/>
        <v>Targeted Dealer</v>
      </c>
      <c r="H1206" s="22"/>
      <c r="I1206" s="23">
        <v>80</v>
      </c>
      <c r="J1206" s="23">
        <f t="shared" si="253"/>
        <v>80</v>
      </c>
      <c r="K1206" s="24">
        <v>65</v>
      </c>
      <c r="L1206" s="24">
        <f t="shared" si="254"/>
        <v>15</v>
      </c>
      <c r="M1206" s="24">
        <f t="shared" si="255"/>
        <v>81.25</v>
      </c>
      <c r="N1206" s="25">
        <v>38.5</v>
      </c>
      <c r="O1206" s="26" t="str">
        <f t="shared" si="256"/>
        <v>June</v>
      </c>
      <c r="P1206" s="25">
        <f t="shared" si="257"/>
        <v>38.5</v>
      </c>
      <c r="Q1206" s="27">
        <f t="shared" si="258"/>
        <v>26.5</v>
      </c>
      <c r="R1206" s="26" t="b">
        <f t="shared" si="259"/>
        <v>0</v>
      </c>
      <c r="S1206" s="28" t="str">
        <f t="shared" si="260"/>
        <v>GROWTH</v>
      </c>
      <c r="T1206" s="24">
        <v>71.5</v>
      </c>
      <c r="U1206" s="29" t="str">
        <f t="shared" si="261"/>
        <v>May</v>
      </c>
      <c r="V1206" s="24">
        <f t="shared" si="262"/>
        <v>71.5</v>
      </c>
      <c r="W1206" s="30">
        <f t="shared" si="263"/>
        <v>-6.5</v>
      </c>
      <c r="X1206" s="31" t="b">
        <f t="shared" si="264"/>
        <v>0</v>
      </c>
      <c r="Y1206" s="32" t="str">
        <f t="shared" si="265"/>
        <v>GROWTH</v>
      </c>
      <c r="Z1206" s="41">
        <v>0</v>
      </c>
      <c r="AA1206" s="36"/>
      <c r="AB1206" s="36" t="s">
        <v>24</v>
      </c>
      <c r="AC1206" s="36" t="s">
        <v>848</v>
      </c>
      <c r="AD1206" s="34"/>
      <c r="AE1206" s="35">
        <f>IFERROR(INDEX([1]Last6M_AvgSales_Ref!$B$2:$B$12659,MATCH(D1206,[1]Last6M_AvgSales_Ref!$A$2:$A$12659,0)),"")</f>
        <v>39.0833333333333</v>
      </c>
    </row>
    <row r="1207" spans="1:31" ht="14.25" customHeight="1" x14ac:dyDescent="0.3">
      <c r="A1207" s="36" t="s">
        <v>848</v>
      </c>
      <c r="B1207" s="38" t="s">
        <v>1329</v>
      </c>
      <c r="C1207" s="44" t="s">
        <v>2478</v>
      </c>
      <c r="D1207" s="44">
        <v>1000004117</v>
      </c>
      <c r="E1207" s="44" t="s">
        <v>2479</v>
      </c>
      <c r="F1207" s="40">
        <v>45547</v>
      </c>
      <c r="G1207" s="22" t="str">
        <f t="shared" si="252"/>
        <v>Targeted Dealer</v>
      </c>
      <c r="H1207" s="22"/>
      <c r="I1207" s="23">
        <v>40</v>
      </c>
      <c r="J1207" s="23">
        <f t="shared" si="253"/>
        <v>40</v>
      </c>
      <c r="K1207" s="24">
        <v>10</v>
      </c>
      <c r="L1207" s="24">
        <f t="shared" si="254"/>
        <v>30</v>
      </c>
      <c r="M1207" s="24">
        <f t="shared" si="255"/>
        <v>25</v>
      </c>
      <c r="N1207" s="25">
        <v>20</v>
      </c>
      <c r="O1207" s="26" t="str">
        <f t="shared" si="256"/>
        <v>June</v>
      </c>
      <c r="P1207" s="25">
        <f t="shared" si="257"/>
        <v>20</v>
      </c>
      <c r="Q1207" s="27">
        <f t="shared" si="258"/>
        <v>-10</v>
      </c>
      <c r="R1207" s="26" t="b">
        <f t="shared" si="259"/>
        <v>0</v>
      </c>
      <c r="S1207" s="28" t="str">
        <f t="shared" si="260"/>
        <v>GROWTH</v>
      </c>
      <c r="T1207" s="24">
        <v>15</v>
      </c>
      <c r="U1207" s="29" t="str">
        <f t="shared" si="261"/>
        <v>May</v>
      </c>
      <c r="V1207" s="24">
        <f t="shared" si="262"/>
        <v>15</v>
      </c>
      <c r="W1207" s="30">
        <f t="shared" si="263"/>
        <v>-5</v>
      </c>
      <c r="X1207" s="31" t="b">
        <f t="shared" si="264"/>
        <v>0</v>
      </c>
      <c r="Y1207" s="32" t="str">
        <f t="shared" si="265"/>
        <v>GROWTH</v>
      </c>
      <c r="Z1207" s="41">
        <v>0</v>
      </c>
      <c r="AA1207" s="36"/>
      <c r="AB1207" s="36" t="s">
        <v>24</v>
      </c>
      <c r="AC1207" s="36" t="s">
        <v>848</v>
      </c>
      <c r="AD1207" s="34"/>
      <c r="AE1207" s="35">
        <f>IFERROR(INDEX([1]Last6M_AvgSales_Ref!$B$2:$B$12659,MATCH(D1207,[1]Last6M_AvgSales_Ref!$A$2:$A$12659,0)),"")</f>
        <v>10</v>
      </c>
    </row>
    <row r="1208" spans="1:31" ht="14.25" customHeight="1" x14ac:dyDescent="0.3">
      <c r="A1208" s="36" t="s">
        <v>848</v>
      </c>
      <c r="B1208" s="38" t="s">
        <v>1806</v>
      </c>
      <c r="C1208" s="44" t="s">
        <v>2480</v>
      </c>
      <c r="D1208" s="44">
        <v>1000004118</v>
      </c>
      <c r="E1208" s="44" t="s">
        <v>2481</v>
      </c>
      <c r="F1208" s="40">
        <v>45547</v>
      </c>
      <c r="G1208" s="22" t="str">
        <f t="shared" si="252"/>
        <v>Targeted Dealer</v>
      </c>
      <c r="H1208" s="22"/>
      <c r="I1208" s="23">
        <v>380</v>
      </c>
      <c r="J1208" s="23">
        <f t="shared" si="253"/>
        <v>380</v>
      </c>
      <c r="K1208" s="24">
        <v>301</v>
      </c>
      <c r="L1208" s="24">
        <f t="shared" si="254"/>
        <v>79</v>
      </c>
      <c r="M1208" s="24">
        <f t="shared" si="255"/>
        <v>79.21052631578948</v>
      </c>
      <c r="N1208" s="25">
        <v>473.5</v>
      </c>
      <c r="O1208" s="26" t="str">
        <f t="shared" si="256"/>
        <v>June</v>
      </c>
      <c r="P1208" s="25">
        <f t="shared" si="257"/>
        <v>473.5</v>
      </c>
      <c r="Q1208" s="27">
        <f t="shared" si="258"/>
        <v>-172.5</v>
      </c>
      <c r="R1208" s="26" t="b">
        <f t="shared" si="259"/>
        <v>0</v>
      </c>
      <c r="S1208" s="28" t="str">
        <f t="shared" si="260"/>
        <v>GROWTH</v>
      </c>
      <c r="T1208" s="24">
        <v>180</v>
      </c>
      <c r="U1208" s="29" t="str">
        <f t="shared" si="261"/>
        <v>May</v>
      </c>
      <c r="V1208" s="24">
        <f t="shared" si="262"/>
        <v>180</v>
      </c>
      <c r="W1208" s="30">
        <f t="shared" si="263"/>
        <v>121</v>
      </c>
      <c r="X1208" s="31" t="b">
        <f t="shared" si="264"/>
        <v>0</v>
      </c>
      <c r="Y1208" s="32" t="str">
        <f t="shared" si="265"/>
        <v>GROWTH</v>
      </c>
      <c r="Z1208" s="41">
        <v>0</v>
      </c>
      <c r="AA1208" s="36"/>
      <c r="AB1208" s="36" t="s">
        <v>24</v>
      </c>
      <c r="AC1208" s="36" t="s">
        <v>848</v>
      </c>
      <c r="AD1208" s="34"/>
      <c r="AE1208" s="35">
        <f>IFERROR(INDEX([1]Last6M_AvgSales_Ref!$B$2:$B$12659,MATCH(D1208,[1]Last6M_AvgSales_Ref!$A$2:$A$12659,0)),"")</f>
        <v>255.333333333333</v>
      </c>
    </row>
    <row r="1209" spans="1:31" ht="14.25" customHeight="1" x14ac:dyDescent="0.3">
      <c r="A1209" s="41" t="s">
        <v>848</v>
      </c>
      <c r="B1209" s="44" t="s">
        <v>917</v>
      </c>
      <c r="C1209" s="44" t="s">
        <v>2482</v>
      </c>
      <c r="D1209" s="44">
        <v>1000004119</v>
      </c>
      <c r="E1209" s="44" t="s">
        <v>2483</v>
      </c>
      <c r="F1209" s="40">
        <v>45548</v>
      </c>
      <c r="G1209" s="22" t="str">
        <f t="shared" si="252"/>
        <v>Targeted Dealer</v>
      </c>
      <c r="H1209" s="22"/>
      <c r="I1209" s="23">
        <v>180</v>
      </c>
      <c r="J1209" s="23">
        <f t="shared" si="253"/>
        <v>180</v>
      </c>
      <c r="K1209" s="24">
        <v>103.5</v>
      </c>
      <c r="L1209" s="24">
        <f t="shared" si="254"/>
        <v>76.5</v>
      </c>
      <c r="M1209" s="24">
        <f t="shared" si="255"/>
        <v>57.5</v>
      </c>
      <c r="N1209" s="25">
        <v>91</v>
      </c>
      <c r="O1209" s="26" t="str">
        <f t="shared" si="256"/>
        <v>June</v>
      </c>
      <c r="P1209" s="25">
        <f t="shared" si="257"/>
        <v>91</v>
      </c>
      <c r="Q1209" s="27">
        <f t="shared" si="258"/>
        <v>12.5</v>
      </c>
      <c r="R1209" s="26" t="b">
        <f t="shared" si="259"/>
        <v>0</v>
      </c>
      <c r="S1209" s="28" t="str">
        <f t="shared" si="260"/>
        <v>GROWTH</v>
      </c>
      <c r="T1209" s="24">
        <v>88.5</v>
      </c>
      <c r="U1209" s="29" t="str">
        <f t="shared" si="261"/>
        <v>May</v>
      </c>
      <c r="V1209" s="24">
        <f t="shared" si="262"/>
        <v>88.5</v>
      </c>
      <c r="W1209" s="30">
        <f t="shared" si="263"/>
        <v>15</v>
      </c>
      <c r="X1209" s="31" t="b">
        <f t="shared" si="264"/>
        <v>0</v>
      </c>
      <c r="Y1209" s="32" t="str">
        <f t="shared" si="265"/>
        <v>GROWTH</v>
      </c>
      <c r="Z1209" s="41">
        <v>0</v>
      </c>
      <c r="AA1209" s="36"/>
      <c r="AB1209" s="36" t="s">
        <v>24</v>
      </c>
      <c r="AC1209" s="41" t="s">
        <v>848</v>
      </c>
      <c r="AD1209" s="34"/>
      <c r="AE1209" s="35">
        <f>IFERROR(INDEX([1]Last6M_AvgSales_Ref!$B$2:$B$12659,MATCH(D1209,[1]Last6M_AvgSales_Ref!$A$2:$A$12659,0)),"")</f>
        <v>94.5</v>
      </c>
    </row>
    <row r="1210" spans="1:31" ht="14.25" customHeight="1" x14ac:dyDescent="0.3">
      <c r="A1210" s="41" t="s">
        <v>24</v>
      </c>
      <c r="B1210" s="44" t="s">
        <v>504</v>
      </c>
      <c r="C1210" s="44" t="s">
        <v>2484</v>
      </c>
      <c r="D1210" s="44">
        <v>1000004120</v>
      </c>
      <c r="E1210" s="44" t="s">
        <v>2485</v>
      </c>
      <c r="F1210" s="40">
        <v>45548</v>
      </c>
      <c r="G1210" s="22" t="str">
        <f t="shared" si="252"/>
        <v>Targeted Dealer</v>
      </c>
      <c r="H1210" s="22"/>
      <c r="I1210" s="23">
        <v>120</v>
      </c>
      <c r="J1210" s="23">
        <f t="shared" si="253"/>
        <v>120</v>
      </c>
      <c r="K1210" s="24">
        <v>103</v>
      </c>
      <c r="L1210" s="24">
        <f t="shared" si="254"/>
        <v>17</v>
      </c>
      <c r="M1210" s="24">
        <f t="shared" si="255"/>
        <v>85.833333333333343</v>
      </c>
      <c r="N1210" s="25">
        <v>103</v>
      </c>
      <c r="O1210" s="26" t="str">
        <f t="shared" si="256"/>
        <v>June</v>
      </c>
      <c r="P1210" s="25">
        <f t="shared" si="257"/>
        <v>103</v>
      </c>
      <c r="Q1210" s="27">
        <f t="shared" si="258"/>
        <v>0</v>
      </c>
      <c r="R1210" s="26" t="b">
        <f t="shared" si="259"/>
        <v>0</v>
      </c>
      <c r="S1210" s="28" t="str">
        <f t="shared" si="260"/>
        <v>GROWTH</v>
      </c>
      <c r="T1210" s="24">
        <v>95</v>
      </c>
      <c r="U1210" s="29" t="str">
        <f t="shared" si="261"/>
        <v>May</v>
      </c>
      <c r="V1210" s="24">
        <f t="shared" si="262"/>
        <v>95</v>
      </c>
      <c r="W1210" s="30">
        <f t="shared" si="263"/>
        <v>8</v>
      </c>
      <c r="X1210" s="31" t="b">
        <f t="shared" si="264"/>
        <v>0</v>
      </c>
      <c r="Y1210" s="32" t="str">
        <f t="shared" si="265"/>
        <v>GROWTH</v>
      </c>
      <c r="Z1210" s="41">
        <v>0</v>
      </c>
      <c r="AA1210" s="36"/>
      <c r="AB1210" s="36" t="s">
        <v>24</v>
      </c>
      <c r="AC1210" s="41" t="s">
        <v>24</v>
      </c>
      <c r="AD1210" s="34"/>
      <c r="AE1210" s="35">
        <f>IFERROR(INDEX([1]Last6M_AvgSales_Ref!$B$2:$B$12659,MATCH(D1210,[1]Last6M_AvgSales_Ref!$A$2:$A$12659,0)),"")</f>
        <v>99.1666666666667</v>
      </c>
    </row>
    <row r="1211" spans="1:31" ht="14.25" customHeight="1" x14ac:dyDescent="0.3">
      <c r="A1211" s="41" t="s">
        <v>848</v>
      </c>
      <c r="B1211" s="44" t="s">
        <v>1558</v>
      </c>
      <c r="C1211" s="44" t="s">
        <v>2486</v>
      </c>
      <c r="D1211" s="44">
        <v>1000004121</v>
      </c>
      <c r="E1211" s="44" t="s">
        <v>2487</v>
      </c>
      <c r="F1211" s="40">
        <v>45553</v>
      </c>
      <c r="G1211" s="22" t="str">
        <f t="shared" si="252"/>
        <v>Targeted Dealer</v>
      </c>
      <c r="H1211" s="22"/>
      <c r="I1211" s="23">
        <v>700</v>
      </c>
      <c r="J1211" s="23">
        <f t="shared" si="253"/>
        <v>700</v>
      </c>
      <c r="K1211" s="24">
        <v>416.3</v>
      </c>
      <c r="L1211" s="24">
        <f t="shared" si="254"/>
        <v>283.7</v>
      </c>
      <c r="M1211" s="24">
        <f t="shared" si="255"/>
        <v>59.471428571428575</v>
      </c>
      <c r="N1211" s="25">
        <v>330.25</v>
      </c>
      <c r="O1211" s="26" t="str">
        <f t="shared" si="256"/>
        <v>June</v>
      </c>
      <c r="P1211" s="25">
        <f t="shared" si="257"/>
        <v>330.25</v>
      </c>
      <c r="Q1211" s="27">
        <f t="shared" si="258"/>
        <v>86.050000000000011</v>
      </c>
      <c r="R1211" s="26" t="b">
        <f t="shared" si="259"/>
        <v>0</v>
      </c>
      <c r="S1211" s="28" t="str">
        <f t="shared" si="260"/>
        <v>GROWTH</v>
      </c>
      <c r="T1211" s="24">
        <v>253.75</v>
      </c>
      <c r="U1211" s="29" t="str">
        <f t="shared" si="261"/>
        <v>May</v>
      </c>
      <c r="V1211" s="24">
        <f t="shared" si="262"/>
        <v>253.75</v>
      </c>
      <c r="W1211" s="30">
        <f t="shared" si="263"/>
        <v>162.55000000000001</v>
      </c>
      <c r="X1211" s="31" t="b">
        <f t="shared" si="264"/>
        <v>0</v>
      </c>
      <c r="Y1211" s="32" t="str">
        <f t="shared" si="265"/>
        <v>GROWTH</v>
      </c>
      <c r="Z1211" s="41">
        <v>0</v>
      </c>
      <c r="AA1211" s="36"/>
      <c r="AB1211" s="36" t="s">
        <v>24</v>
      </c>
      <c r="AC1211" s="41" t="s">
        <v>848</v>
      </c>
      <c r="AD1211" s="34"/>
      <c r="AE1211" s="35">
        <f>IFERROR(INDEX([1]Last6M_AvgSales_Ref!$B$2:$B$12659,MATCH(D1211,[1]Last6M_AvgSales_Ref!$A$2:$A$12659,0)),"")</f>
        <v>360.97500000000002</v>
      </c>
    </row>
    <row r="1212" spans="1:31" ht="14.25" customHeight="1" x14ac:dyDescent="0.3">
      <c r="A1212" s="41" t="s">
        <v>848</v>
      </c>
      <c r="B1212" s="44" t="s">
        <v>1065</v>
      </c>
      <c r="C1212" s="44" t="s">
        <v>2488</v>
      </c>
      <c r="D1212" s="44">
        <v>1000004122</v>
      </c>
      <c r="E1212" s="44" t="s">
        <v>2489</v>
      </c>
      <c r="F1212" s="40">
        <v>45554</v>
      </c>
      <c r="G1212" s="22" t="str">
        <f t="shared" si="252"/>
        <v>-</v>
      </c>
      <c r="H1212" s="22"/>
      <c r="I1212" s="23">
        <v>0</v>
      </c>
      <c r="J1212" s="23">
        <f t="shared" si="253"/>
        <v>0</v>
      </c>
      <c r="K1212" s="24">
        <v>20</v>
      </c>
      <c r="L1212" s="24">
        <f t="shared" si="254"/>
        <v>-20</v>
      </c>
      <c r="M1212" s="24" t="str">
        <f t="shared" si="255"/>
        <v>-</v>
      </c>
      <c r="N1212" s="25">
        <v>20</v>
      </c>
      <c r="O1212" s="26" t="str">
        <f t="shared" si="256"/>
        <v>June</v>
      </c>
      <c r="P1212" s="25">
        <f t="shared" si="257"/>
        <v>20</v>
      </c>
      <c r="Q1212" s="27">
        <f t="shared" si="258"/>
        <v>0</v>
      </c>
      <c r="R1212" s="26" t="b">
        <f t="shared" si="259"/>
        <v>0</v>
      </c>
      <c r="S1212" s="28" t="str">
        <f t="shared" si="260"/>
        <v>GROWTH</v>
      </c>
      <c r="T1212" s="24">
        <v>0</v>
      </c>
      <c r="U1212" s="29" t="str">
        <f t="shared" si="261"/>
        <v>May</v>
      </c>
      <c r="V1212" s="24">
        <f t="shared" si="262"/>
        <v>0</v>
      </c>
      <c r="W1212" s="30">
        <f t="shared" si="263"/>
        <v>20</v>
      </c>
      <c r="X1212" s="31" t="b">
        <f t="shared" si="264"/>
        <v>0</v>
      </c>
      <c r="Y1212" s="32" t="b">
        <f t="shared" si="265"/>
        <v>0</v>
      </c>
      <c r="Z1212" s="41">
        <v>0</v>
      </c>
      <c r="AA1212" s="36"/>
      <c r="AB1212" s="36" t="s">
        <v>24</v>
      </c>
      <c r="AC1212" s="41" t="s">
        <v>848</v>
      </c>
      <c r="AD1212" s="34"/>
      <c r="AE1212" s="35">
        <f>IFERROR(INDEX([1]Last6M_AvgSales_Ref!$B$2:$B$12659,MATCH(D1212,[1]Last6M_AvgSales_Ref!$A$2:$A$12659,0)),"")</f>
        <v>26.1666666666667</v>
      </c>
    </row>
    <row r="1213" spans="1:31" ht="14.25" customHeight="1" x14ac:dyDescent="0.3">
      <c r="A1213" s="41" t="s">
        <v>24</v>
      </c>
      <c r="B1213" s="44" t="s">
        <v>698</v>
      </c>
      <c r="C1213" s="44" t="s">
        <v>2490</v>
      </c>
      <c r="D1213" s="44">
        <v>1000004123</v>
      </c>
      <c r="E1213" s="44" t="s">
        <v>2491</v>
      </c>
      <c r="F1213" s="40">
        <v>45554</v>
      </c>
      <c r="G1213" s="22" t="str">
        <f t="shared" si="252"/>
        <v>Targeted Dealer</v>
      </c>
      <c r="H1213" s="22"/>
      <c r="I1213" s="23">
        <v>200</v>
      </c>
      <c r="J1213" s="23">
        <f t="shared" si="253"/>
        <v>200</v>
      </c>
      <c r="K1213" s="24">
        <v>230</v>
      </c>
      <c r="L1213" s="24">
        <f t="shared" si="254"/>
        <v>-30</v>
      </c>
      <c r="M1213" s="24">
        <f t="shared" si="255"/>
        <v>115</v>
      </c>
      <c r="N1213" s="25">
        <v>74</v>
      </c>
      <c r="O1213" s="26" t="str">
        <f t="shared" si="256"/>
        <v>June</v>
      </c>
      <c r="P1213" s="25">
        <f t="shared" si="257"/>
        <v>74</v>
      </c>
      <c r="Q1213" s="27">
        <f t="shared" si="258"/>
        <v>156</v>
      </c>
      <c r="R1213" s="26" t="b">
        <f t="shared" si="259"/>
        <v>0</v>
      </c>
      <c r="S1213" s="28" t="str">
        <f t="shared" si="260"/>
        <v>GROWTH</v>
      </c>
      <c r="T1213" s="24">
        <v>154</v>
      </c>
      <c r="U1213" s="29" t="str">
        <f t="shared" si="261"/>
        <v>May</v>
      </c>
      <c r="V1213" s="24">
        <f t="shared" si="262"/>
        <v>154</v>
      </c>
      <c r="W1213" s="30">
        <f t="shared" si="263"/>
        <v>76</v>
      </c>
      <c r="X1213" s="31" t="b">
        <f t="shared" si="264"/>
        <v>0</v>
      </c>
      <c r="Y1213" s="32" t="str">
        <f t="shared" si="265"/>
        <v>GROWTH</v>
      </c>
      <c r="Z1213" s="41">
        <v>0</v>
      </c>
      <c r="AA1213" s="36"/>
      <c r="AB1213" s="36" t="s">
        <v>24</v>
      </c>
      <c r="AC1213" s="41" t="s">
        <v>24</v>
      </c>
      <c r="AD1213" s="34"/>
      <c r="AE1213" s="35">
        <f>IFERROR(INDEX([1]Last6M_AvgSales_Ref!$B$2:$B$12659,MATCH(D1213,[1]Last6M_AvgSales_Ref!$A$2:$A$12659,0)),"")</f>
        <v>234.166666666667</v>
      </c>
    </row>
    <row r="1214" spans="1:31" ht="14.25" customHeight="1" x14ac:dyDescent="0.3">
      <c r="A1214" s="41" t="s">
        <v>848</v>
      </c>
      <c r="B1214" s="44" t="s">
        <v>1558</v>
      </c>
      <c r="C1214" s="44" t="s">
        <v>2492</v>
      </c>
      <c r="D1214" s="44">
        <v>1000004126</v>
      </c>
      <c r="E1214" s="44" t="s">
        <v>2493</v>
      </c>
      <c r="F1214" s="40">
        <v>45556</v>
      </c>
      <c r="G1214" s="22" t="str">
        <f t="shared" si="252"/>
        <v>Targeted Dealer</v>
      </c>
      <c r="H1214" s="22"/>
      <c r="I1214" s="23">
        <v>10</v>
      </c>
      <c r="J1214" s="23">
        <f t="shared" si="253"/>
        <v>10</v>
      </c>
      <c r="K1214" s="24">
        <v>5</v>
      </c>
      <c r="L1214" s="24">
        <f t="shared" si="254"/>
        <v>5</v>
      </c>
      <c r="M1214" s="24">
        <f t="shared" si="255"/>
        <v>50</v>
      </c>
      <c r="N1214" s="25">
        <v>5</v>
      </c>
      <c r="O1214" s="26" t="str">
        <f t="shared" si="256"/>
        <v>June</v>
      </c>
      <c r="P1214" s="25">
        <f t="shared" si="257"/>
        <v>5</v>
      </c>
      <c r="Q1214" s="27">
        <f t="shared" si="258"/>
        <v>0</v>
      </c>
      <c r="R1214" s="26" t="b">
        <f t="shared" si="259"/>
        <v>0</v>
      </c>
      <c r="S1214" s="28" t="str">
        <f t="shared" si="260"/>
        <v>GROWTH</v>
      </c>
      <c r="T1214" s="24">
        <v>0</v>
      </c>
      <c r="U1214" s="29" t="str">
        <f t="shared" si="261"/>
        <v>May</v>
      </c>
      <c r="V1214" s="24">
        <f t="shared" si="262"/>
        <v>0</v>
      </c>
      <c r="W1214" s="30">
        <f t="shared" si="263"/>
        <v>5</v>
      </c>
      <c r="X1214" s="31" t="b">
        <f t="shared" si="264"/>
        <v>0</v>
      </c>
      <c r="Y1214" s="32" t="b">
        <f t="shared" si="265"/>
        <v>0</v>
      </c>
      <c r="Z1214" s="41">
        <v>0</v>
      </c>
      <c r="AA1214" s="36"/>
      <c r="AB1214" s="36" t="s">
        <v>24</v>
      </c>
      <c r="AC1214" s="41" t="s">
        <v>848</v>
      </c>
      <c r="AD1214" s="34"/>
      <c r="AE1214" s="35">
        <f>IFERROR(INDEX([1]Last6M_AvgSales_Ref!$B$2:$B$12659,MATCH(D1214,[1]Last6M_AvgSales_Ref!$A$2:$A$12659,0)),"")</f>
        <v>22.5</v>
      </c>
    </row>
    <row r="1215" spans="1:31" ht="14.25" customHeight="1" x14ac:dyDescent="0.3">
      <c r="A1215" s="41" t="s">
        <v>848</v>
      </c>
      <c r="B1215" s="44" t="s">
        <v>1702</v>
      </c>
      <c r="C1215" s="44" t="s">
        <v>2494</v>
      </c>
      <c r="D1215" s="44">
        <v>1000004134</v>
      </c>
      <c r="E1215" s="44" t="s">
        <v>2495</v>
      </c>
      <c r="F1215" s="40">
        <v>45558</v>
      </c>
      <c r="G1215" s="22" t="str">
        <f t="shared" si="252"/>
        <v>Targeted Dealer</v>
      </c>
      <c r="H1215" s="22"/>
      <c r="I1215" s="23">
        <v>20</v>
      </c>
      <c r="J1215" s="23">
        <f t="shared" si="253"/>
        <v>20</v>
      </c>
      <c r="K1215" s="24">
        <v>8</v>
      </c>
      <c r="L1215" s="24">
        <f t="shared" si="254"/>
        <v>12</v>
      </c>
      <c r="M1215" s="24">
        <f t="shared" si="255"/>
        <v>40</v>
      </c>
      <c r="N1215" s="25">
        <v>4</v>
      </c>
      <c r="O1215" s="26" t="str">
        <f t="shared" si="256"/>
        <v>June</v>
      </c>
      <c r="P1215" s="25">
        <f t="shared" si="257"/>
        <v>4</v>
      </c>
      <c r="Q1215" s="27">
        <f t="shared" si="258"/>
        <v>4</v>
      </c>
      <c r="R1215" s="26" t="b">
        <f t="shared" si="259"/>
        <v>0</v>
      </c>
      <c r="S1215" s="28" t="str">
        <f t="shared" si="260"/>
        <v>GROWTH</v>
      </c>
      <c r="T1215" s="24">
        <v>0.25</v>
      </c>
      <c r="U1215" s="29" t="str">
        <f t="shared" si="261"/>
        <v>May</v>
      </c>
      <c r="V1215" s="24">
        <f t="shared" si="262"/>
        <v>0.25</v>
      </c>
      <c r="W1215" s="30">
        <f t="shared" si="263"/>
        <v>7.75</v>
      </c>
      <c r="X1215" s="31" t="b">
        <f t="shared" si="264"/>
        <v>0</v>
      </c>
      <c r="Y1215" s="32" t="str">
        <f t="shared" si="265"/>
        <v>GROWTH</v>
      </c>
      <c r="Z1215" s="41">
        <v>0</v>
      </c>
      <c r="AA1215" s="36"/>
      <c r="AB1215" s="36" t="s">
        <v>24</v>
      </c>
      <c r="AC1215" s="41" t="s">
        <v>848</v>
      </c>
      <c r="AD1215" s="34"/>
      <c r="AE1215" s="35">
        <f>IFERROR(INDEX([1]Last6M_AvgSales_Ref!$B$2:$B$12659,MATCH(D1215,[1]Last6M_AvgSales_Ref!$A$2:$A$12659,0)),"")</f>
        <v>5.5</v>
      </c>
    </row>
    <row r="1216" spans="1:31" ht="14.25" customHeight="1" x14ac:dyDescent="0.3">
      <c r="A1216" s="41" t="s">
        <v>848</v>
      </c>
      <c r="B1216" s="44" t="s">
        <v>1769</v>
      </c>
      <c r="C1216" s="44" t="s">
        <v>2496</v>
      </c>
      <c r="D1216" s="44">
        <v>1000004133</v>
      </c>
      <c r="E1216" s="44" t="s">
        <v>2497</v>
      </c>
      <c r="F1216" s="40">
        <v>45558</v>
      </c>
      <c r="G1216" s="22" t="str">
        <f t="shared" si="252"/>
        <v>-</v>
      </c>
      <c r="H1216" s="22"/>
      <c r="I1216" s="23">
        <v>0</v>
      </c>
      <c r="J1216" s="23">
        <f t="shared" si="253"/>
        <v>0</v>
      </c>
      <c r="K1216" s="24">
        <v>0</v>
      </c>
      <c r="L1216" s="24">
        <f t="shared" si="254"/>
        <v>0</v>
      </c>
      <c r="M1216" s="24" t="str">
        <f t="shared" si="255"/>
        <v>-</v>
      </c>
      <c r="N1216" s="25">
        <v>0</v>
      </c>
      <c r="O1216" s="26" t="str">
        <f t="shared" si="256"/>
        <v>June</v>
      </c>
      <c r="P1216" s="25">
        <f t="shared" si="257"/>
        <v>0</v>
      </c>
      <c r="Q1216" s="27">
        <f t="shared" si="258"/>
        <v>0</v>
      </c>
      <c r="R1216" s="26" t="b">
        <f t="shared" si="259"/>
        <v>0</v>
      </c>
      <c r="S1216" s="28" t="b">
        <f t="shared" si="260"/>
        <v>0</v>
      </c>
      <c r="T1216" s="24">
        <v>75</v>
      </c>
      <c r="U1216" s="29" t="str">
        <f t="shared" si="261"/>
        <v>May</v>
      </c>
      <c r="V1216" s="24">
        <f t="shared" si="262"/>
        <v>75</v>
      </c>
      <c r="W1216" s="30">
        <f t="shared" si="263"/>
        <v>-75</v>
      </c>
      <c r="X1216" s="31" t="b">
        <f t="shared" si="264"/>
        <v>0</v>
      </c>
      <c r="Y1216" s="32" t="str">
        <f t="shared" si="265"/>
        <v>GROWTH</v>
      </c>
      <c r="Z1216" s="41">
        <v>0</v>
      </c>
      <c r="AA1216" s="36"/>
      <c r="AB1216" s="36" t="s">
        <v>24</v>
      </c>
      <c r="AC1216" s="41" t="s">
        <v>848</v>
      </c>
      <c r="AD1216" s="34"/>
      <c r="AE1216" s="35">
        <f>IFERROR(INDEX([1]Last6M_AvgSales_Ref!$B$2:$B$12659,MATCH(D1216,[1]Last6M_AvgSales_Ref!$A$2:$A$12659,0)),"")</f>
        <v>23.3333333333333</v>
      </c>
    </row>
    <row r="1217" spans="1:31" ht="14.25" customHeight="1" x14ac:dyDescent="0.3">
      <c r="A1217" s="41" t="s">
        <v>848</v>
      </c>
      <c r="B1217" s="37" t="s">
        <v>1098</v>
      </c>
      <c r="C1217" s="44" t="s">
        <v>2498</v>
      </c>
      <c r="D1217" s="44">
        <v>1000004132</v>
      </c>
      <c r="E1217" s="44" t="s">
        <v>2499</v>
      </c>
      <c r="F1217" s="40">
        <v>45558</v>
      </c>
      <c r="G1217" s="22" t="str">
        <f t="shared" si="252"/>
        <v>Targeted Dealer</v>
      </c>
      <c r="H1217" s="22"/>
      <c r="I1217" s="23">
        <v>200</v>
      </c>
      <c r="J1217" s="23">
        <f t="shared" si="253"/>
        <v>200</v>
      </c>
      <c r="K1217" s="24">
        <v>75</v>
      </c>
      <c r="L1217" s="24">
        <f t="shared" si="254"/>
        <v>125</v>
      </c>
      <c r="M1217" s="24">
        <f t="shared" si="255"/>
        <v>37.5</v>
      </c>
      <c r="N1217" s="25">
        <v>75</v>
      </c>
      <c r="O1217" s="26" t="str">
        <f t="shared" si="256"/>
        <v>June</v>
      </c>
      <c r="P1217" s="25">
        <f t="shared" si="257"/>
        <v>75</v>
      </c>
      <c r="Q1217" s="27">
        <f t="shared" si="258"/>
        <v>0</v>
      </c>
      <c r="R1217" s="26" t="b">
        <f t="shared" si="259"/>
        <v>0</v>
      </c>
      <c r="S1217" s="28" t="str">
        <f t="shared" si="260"/>
        <v>GROWTH</v>
      </c>
      <c r="T1217" s="24">
        <v>100</v>
      </c>
      <c r="U1217" s="29" t="str">
        <f t="shared" si="261"/>
        <v>May</v>
      </c>
      <c r="V1217" s="24">
        <f t="shared" si="262"/>
        <v>100</v>
      </c>
      <c r="W1217" s="30">
        <f t="shared" si="263"/>
        <v>-25</v>
      </c>
      <c r="X1217" s="31" t="b">
        <f t="shared" si="264"/>
        <v>0</v>
      </c>
      <c r="Y1217" s="32" t="str">
        <f t="shared" si="265"/>
        <v>GROWTH</v>
      </c>
      <c r="Z1217" s="41">
        <v>0</v>
      </c>
      <c r="AA1217" s="36"/>
      <c r="AB1217" s="36" t="s">
        <v>24</v>
      </c>
      <c r="AC1217" s="41" t="s">
        <v>848</v>
      </c>
      <c r="AD1217" s="34"/>
      <c r="AE1217" s="35">
        <f>IFERROR(INDEX([1]Last6M_AvgSales_Ref!$B$2:$B$12659,MATCH(D1217,[1]Last6M_AvgSales_Ref!$A$2:$A$12659,0)),"")</f>
        <v>116.666666666667</v>
      </c>
    </row>
    <row r="1218" spans="1:31" ht="14.25" customHeight="1" x14ac:dyDescent="0.3">
      <c r="A1218" s="41" t="s">
        <v>848</v>
      </c>
      <c r="B1218" s="44" t="s">
        <v>1420</v>
      </c>
      <c r="C1218" s="44" t="s">
        <v>2500</v>
      </c>
      <c r="D1218" s="44">
        <v>1000004136</v>
      </c>
      <c r="E1218" s="44" t="s">
        <v>2501</v>
      </c>
      <c r="F1218" s="40">
        <v>45559</v>
      </c>
      <c r="G1218" s="22" t="str">
        <f t="shared" si="252"/>
        <v>Targeted Dealer</v>
      </c>
      <c r="H1218" s="22"/>
      <c r="I1218" s="23">
        <v>80</v>
      </c>
      <c r="J1218" s="23">
        <f t="shared" si="253"/>
        <v>80</v>
      </c>
      <c r="K1218" s="24">
        <v>52.5</v>
      </c>
      <c r="L1218" s="24">
        <f t="shared" si="254"/>
        <v>27.5</v>
      </c>
      <c r="M1218" s="24">
        <f t="shared" si="255"/>
        <v>65.625</v>
      </c>
      <c r="N1218" s="25">
        <v>69.5</v>
      </c>
      <c r="O1218" s="26" t="str">
        <f t="shared" si="256"/>
        <v>June</v>
      </c>
      <c r="P1218" s="25">
        <f t="shared" si="257"/>
        <v>69.5</v>
      </c>
      <c r="Q1218" s="27">
        <f t="shared" si="258"/>
        <v>-17</v>
      </c>
      <c r="R1218" s="26" t="b">
        <f t="shared" si="259"/>
        <v>0</v>
      </c>
      <c r="S1218" s="28" t="str">
        <f t="shared" si="260"/>
        <v>GROWTH</v>
      </c>
      <c r="T1218" s="24">
        <v>36</v>
      </c>
      <c r="U1218" s="29" t="str">
        <f t="shared" si="261"/>
        <v>May</v>
      </c>
      <c r="V1218" s="24">
        <f t="shared" si="262"/>
        <v>36</v>
      </c>
      <c r="W1218" s="30">
        <f t="shared" si="263"/>
        <v>16.5</v>
      </c>
      <c r="X1218" s="31" t="b">
        <f t="shared" si="264"/>
        <v>0</v>
      </c>
      <c r="Y1218" s="32" t="str">
        <f t="shared" si="265"/>
        <v>GROWTH</v>
      </c>
      <c r="Z1218" s="41">
        <v>0</v>
      </c>
      <c r="AA1218" s="36"/>
      <c r="AB1218" s="36" t="s">
        <v>24</v>
      </c>
      <c r="AC1218" s="41" t="s">
        <v>848</v>
      </c>
      <c r="AD1218" s="34"/>
      <c r="AE1218" s="35">
        <f>IFERROR(INDEX([1]Last6M_AvgSales_Ref!$B$2:$B$12659,MATCH(D1218,[1]Last6M_AvgSales_Ref!$A$2:$A$12659,0)),"")</f>
        <v>30.9166666666667</v>
      </c>
    </row>
    <row r="1219" spans="1:31" ht="14.25" customHeight="1" x14ac:dyDescent="0.3">
      <c r="A1219" s="41" t="s">
        <v>24</v>
      </c>
      <c r="B1219" s="37" t="s">
        <v>264</v>
      </c>
      <c r="C1219" s="44" t="s">
        <v>2502</v>
      </c>
      <c r="D1219" s="44">
        <v>1000004137</v>
      </c>
      <c r="E1219" s="44" t="s">
        <v>2503</v>
      </c>
      <c r="F1219" s="40">
        <v>45560</v>
      </c>
      <c r="G1219" s="22" t="str">
        <f t="shared" ref="G1219:G1282" si="266">IF(I1219&gt;0,"Targeted Dealer","-")</f>
        <v>Targeted Dealer</v>
      </c>
      <c r="H1219" s="22"/>
      <c r="I1219" s="23">
        <v>390</v>
      </c>
      <c r="J1219" s="23">
        <f t="shared" ref="J1219:J1282" si="267">I1219/$J$1*($J$1-$E$1)</f>
        <v>390</v>
      </c>
      <c r="K1219" s="24">
        <v>504.75</v>
      </c>
      <c r="L1219" s="24">
        <f t="shared" ref="L1219:L1282" si="268">I1219-K1219</f>
        <v>-114.75</v>
      </c>
      <c r="M1219" s="24">
        <f t="shared" ref="M1219:M1282" si="269">IFERROR((K1219/J1219%),"-")</f>
        <v>129.42307692307693</v>
      </c>
      <c r="N1219" s="25">
        <v>504</v>
      </c>
      <c r="O1219" s="26" t="str">
        <f t="shared" ref="O1219:O1282" si="270">IF(F1219&lt;=$P$2,"June","")</f>
        <v>June</v>
      </c>
      <c r="P1219" s="25">
        <f t="shared" ref="P1219:P1282" si="271">N1219</f>
        <v>504</v>
      </c>
      <c r="Q1219" s="27">
        <f t="shared" ref="Q1219:Q1282" si="272">K1219-P1219</f>
        <v>0.75</v>
      </c>
      <c r="R1219" s="26" t="b">
        <f t="shared" ref="R1219:R1282" si="273">IFERROR(IF(O1219="May",(K1219/P1219-1))," ")</f>
        <v>0</v>
      </c>
      <c r="S1219" s="28" t="str">
        <f t="shared" ref="S1219:S1282" si="274">IF(N1219&gt;0,IF(O1219="","-",IF(R1219&lt;0%,"DEGROWTH","GROWTH")))</f>
        <v>GROWTH</v>
      </c>
      <c r="T1219" s="24">
        <v>310</v>
      </c>
      <c r="U1219" s="29" t="str">
        <f t="shared" ref="U1219:U1282" si="275">IF(F1219&lt;=$V$2,"May","")</f>
        <v>May</v>
      </c>
      <c r="V1219" s="24">
        <f t="shared" ref="V1219:V1282" si="276">T1219</f>
        <v>310</v>
      </c>
      <c r="W1219" s="30">
        <f t="shared" ref="W1219:W1282" si="277">K1219-V1219</f>
        <v>194.75</v>
      </c>
      <c r="X1219" s="31" t="b">
        <f t="shared" ref="X1219:X1282" si="278">IFERROR(IF(U1219="June",(K1219/V1219-1)),0)</f>
        <v>0</v>
      </c>
      <c r="Y1219" s="32" t="str">
        <f t="shared" ref="Y1219:Y1282" si="279">IF(T1219&gt;0,IF(U1219="","-",IF(X1219&lt;0%,"DEGROWTH","GROWTH")))</f>
        <v>GROWTH</v>
      </c>
      <c r="Z1219" s="41">
        <v>0</v>
      </c>
      <c r="AA1219" s="36"/>
      <c r="AB1219" s="36" t="s">
        <v>24</v>
      </c>
      <c r="AC1219" s="41" t="s">
        <v>24</v>
      </c>
      <c r="AD1219" s="34"/>
      <c r="AE1219" s="35">
        <f>IFERROR(INDEX([1]Last6M_AvgSales_Ref!$B$2:$B$12659,MATCH(D1219,[1]Last6M_AvgSales_Ref!$A$2:$A$12659,0)),"")</f>
        <v>451.22500000000002</v>
      </c>
    </row>
    <row r="1220" spans="1:31" ht="14.25" customHeight="1" x14ac:dyDescent="0.3">
      <c r="A1220" s="41" t="s">
        <v>848</v>
      </c>
      <c r="B1220" s="44" t="s">
        <v>917</v>
      </c>
      <c r="C1220" s="44" t="s">
        <v>2504</v>
      </c>
      <c r="D1220" s="44">
        <v>1000004139</v>
      </c>
      <c r="E1220" s="44" t="s">
        <v>2505</v>
      </c>
      <c r="F1220" s="40">
        <v>45562</v>
      </c>
      <c r="G1220" s="22" t="str">
        <f t="shared" si="266"/>
        <v>Targeted Dealer</v>
      </c>
      <c r="H1220" s="22"/>
      <c r="I1220" s="23">
        <v>40</v>
      </c>
      <c r="J1220" s="23">
        <f t="shared" si="267"/>
        <v>40</v>
      </c>
      <c r="K1220" s="24">
        <v>0</v>
      </c>
      <c r="L1220" s="24">
        <f t="shared" si="268"/>
        <v>40</v>
      </c>
      <c r="M1220" s="24">
        <f t="shared" si="269"/>
        <v>0</v>
      </c>
      <c r="N1220" s="25">
        <v>0</v>
      </c>
      <c r="O1220" s="26" t="str">
        <f t="shared" si="270"/>
        <v>June</v>
      </c>
      <c r="P1220" s="25">
        <f t="shared" si="271"/>
        <v>0</v>
      </c>
      <c r="Q1220" s="27">
        <f t="shared" si="272"/>
        <v>0</v>
      </c>
      <c r="R1220" s="26" t="b">
        <f t="shared" si="273"/>
        <v>0</v>
      </c>
      <c r="S1220" s="28" t="b">
        <f t="shared" si="274"/>
        <v>0</v>
      </c>
      <c r="T1220" s="24">
        <v>20</v>
      </c>
      <c r="U1220" s="29" t="str">
        <f t="shared" si="275"/>
        <v>May</v>
      </c>
      <c r="V1220" s="24">
        <f t="shared" si="276"/>
        <v>20</v>
      </c>
      <c r="W1220" s="30">
        <f t="shared" si="277"/>
        <v>-20</v>
      </c>
      <c r="X1220" s="31" t="b">
        <f t="shared" si="278"/>
        <v>0</v>
      </c>
      <c r="Y1220" s="32" t="str">
        <f t="shared" si="279"/>
        <v>GROWTH</v>
      </c>
      <c r="Z1220" s="41">
        <v>0</v>
      </c>
      <c r="AA1220" s="36"/>
      <c r="AB1220" s="36" t="s">
        <v>24</v>
      </c>
      <c r="AC1220" s="41" t="s">
        <v>848</v>
      </c>
      <c r="AD1220" s="34"/>
      <c r="AE1220" s="35">
        <f>IFERROR(INDEX([1]Last6M_AvgSales_Ref!$B$2:$B$12659,MATCH(D1220,[1]Last6M_AvgSales_Ref!$A$2:$A$12659,0)),"")</f>
        <v>13.3333333333333</v>
      </c>
    </row>
    <row r="1221" spans="1:31" ht="14.25" customHeight="1" x14ac:dyDescent="0.3">
      <c r="A1221" s="41" t="s">
        <v>24</v>
      </c>
      <c r="B1221" s="44" t="s">
        <v>570</v>
      </c>
      <c r="C1221" s="44" t="s">
        <v>2506</v>
      </c>
      <c r="D1221" s="44">
        <v>1000004141</v>
      </c>
      <c r="E1221" s="44" t="s">
        <v>2507</v>
      </c>
      <c r="F1221" s="40">
        <v>45565</v>
      </c>
      <c r="G1221" s="22" t="str">
        <f t="shared" si="266"/>
        <v>Targeted Dealer</v>
      </c>
      <c r="H1221" s="22"/>
      <c r="I1221" s="23">
        <v>300</v>
      </c>
      <c r="J1221" s="23">
        <f t="shared" si="267"/>
        <v>300</v>
      </c>
      <c r="K1221" s="24">
        <v>600.79999999999995</v>
      </c>
      <c r="L1221" s="24">
        <f t="shared" si="268"/>
        <v>-300.79999999999995</v>
      </c>
      <c r="M1221" s="24">
        <f t="shared" si="269"/>
        <v>200.26666666666665</v>
      </c>
      <c r="N1221" s="25">
        <v>616</v>
      </c>
      <c r="O1221" s="26" t="str">
        <f t="shared" si="270"/>
        <v>June</v>
      </c>
      <c r="P1221" s="25">
        <f t="shared" si="271"/>
        <v>616</v>
      </c>
      <c r="Q1221" s="27">
        <f t="shared" si="272"/>
        <v>-15.200000000000045</v>
      </c>
      <c r="R1221" s="26" t="b">
        <f t="shared" si="273"/>
        <v>0</v>
      </c>
      <c r="S1221" s="28" t="str">
        <f t="shared" si="274"/>
        <v>GROWTH</v>
      </c>
      <c r="T1221" s="24">
        <v>224.5</v>
      </c>
      <c r="U1221" s="29" t="str">
        <f t="shared" si="275"/>
        <v>May</v>
      </c>
      <c r="V1221" s="24">
        <f t="shared" si="276"/>
        <v>224.5</v>
      </c>
      <c r="W1221" s="30">
        <f t="shared" si="277"/>
        <v>376.29999999999995</v>
      </c>
      <c r="X1221" s="31" t="b">
        <f t="shared" si="278"/>
        <v>0</v>
      </c>
      <c r="Y1221" s="32" t="str">
        <f t="shared" si="279"/>
        <v>GROWTH</v>
      </c>
      <c r="Z1221" s="41">
        <v>0</v>
      </c>
      <c r="AA1221" s="36"/>
      <c r="AB1221" s="36" t="s">
        <v>24</v>
      </c>
      <c r="AC1221" s="41" t="s">
        <v>24</v>
      </c>
      <c r="AD1221" s="34"/>
      <c r="AE1221" s="35">
        <f>IFERROR(INDEX([1]Last6M_AvgSales_Ref!$B$2:$B$12659,MATCH(D1221,[1]Last6M_AvgSales_Ref!$A$2:$A$12659,0)),"")</f>
        <v>377.41666666666703</v>
      </c>
    </row>
    <row r="1222" spans="1:31" ht="14.25" customHeight="1" x14ac:dyDescent="0.3">
      <c r="A1222" s="41" t="s">
        <v>2185</v>
      </c>
      <c r="B1222" s="44" t="s">
        <v>2287</v>
      </c>
      <c r="C1222" s="44" t="s">
        <v>2508</v>
      </c>
      <c r="D1222" s="44">
        <v>1000004146</v>
      </c>
      <c r="E1222" s="44" t="s">
        <v>2509</v>
      </c>
      <c r="F1222" s="40">
        <v>45573</v>
      </c>
      <c r="G1222" s="22" t="str">
        <f t="shared" si="266"/>
        <v>-</v>
      </c>
      <c r="H1222" s="22"/>
      <c r="I1222" s="23">
        <v>0</v>
      </c>
      <c r="J1222" s="23">
        <f t="shared" si="267"/>
        <v>0</v>
      </c>
      <c r="K1222" s="24">
        <v>0</v>
      </c>
      <c r="L1222" s="24">
        <f t="shared" si="268"/>
        <v>0</v>
      </c>
      <c r="M1222" s="24" t="str">
        <f t="shared" si="269"/>
        <v>-</v>
      </c>
      <c r="N1222" s="25">
        <v>0</v>
      </c>
      <c r="O1222" s="26" t="str">
        <f t="shared" si="270"/>
        <v>June</v>
      </c>
      <c r="P1222" s="25">
        <f t="shared" si="271"/>
        <v>0</v>
      </c>
      <c r="Q1222" s="27">
        <f t="shared" si="272"/>
        <v>0</v>
      </c>
      <c r="R1222" s="26" t="b">
        <f t="shared" si="273"/>
        <v>0</v>
      </c>
      <c r="S1222" s="28" t="b">
        <f t="shared" si="274"/>
        <v>0</v>
      </c>
      <c r="T1222" s="24">
        <v>10</v>
      </c>
      <c r="U1222" s="29" t="str">
        <f t="shared" si="275"/>
        <v>May</v>
      </c>
      <c r="V1222" s="24">
        <f t="shared" si="276"/>
        <v>10</v>
      </c>
      <c r="W1222" s="30">
        <f t="shared" si="277"/>
        <v>-10</v>
      </c>
      <c r="X1222" s="31" t="b">
        <f t="shared" si="278"/>
        <v>0</v>
      </c>
      <c r="Y1222" s="32" t="str">
        <f t="shared" si="279"/>
        <v>GROWTH</v>
      </c>
      <c r="Z1222" s="41">
        <v>0</v>
      </c>
      <c r="AA1222" s="36"/>
      <c r="AB1222" s="36" t="s">
        <v>24</v>
      </c>
      <c r="AC1222" s="41" t="s">
        <v>2185</v>
      </c>
      <c r="AD1222" s="34"/>
      <c r="AE1222" s="35">
        <f>IFERROR(INDEX([1]Last6M_AvgSales_Ref!$B$2:$B$12659,MATCH(D1222,[1]Last6M_AvgSales_Ref!$A$2:$A$12659,0)),"")</f>
        <v>5.8333333333333304</v>
      </c>
    </row>
    <row r="1223" spans="1:31" ht="14.25" customHeight="1" x14ac:dyDescent="0.3">
      <c r="A1223" s="41" t="s">
        <v>848</v>
      </c>
      <c r="B1223" s="44" t="s">
        <v>1806</v>
      </c>
      <c r="C1223" s="44" t="s">
        <v>2510</v>
      </c>
      <c r="D1223" s="44">
        <v>1000004147</v>
      </c>
      <c r="E1223" s="44" t="s">
        <v>2511</v>
      </c>
      <c r="F1223" s="40">
        <v>45574</v>
      </c>
      <c r="G1223" s="22" t="str">
        <f t="shared" si="266"/>
        <v>Targeted Dealer</v>
      </c>
      <c r="H1223" s="22"/>
      <c r="I1223" s="23">
        <v>300</v>
      </c>
      <c r="J1223" s="23">
        <f t="shared" si="267"/>
        <v>300</v>
      </c>
      <c r="K1223" s="24">
        <v>400</v>
      </c>
      <c r="L1223" s="24">
        <f t="shared" si="268"/>
        <v>-100</v>
      </c>
      <c r="M1223" s="24">
        <f t="shared" si="269"/>
        <v>133.33333333333334</v>
      </c>
      <c r="N1223" s="25">
        <v>430</v>
      </c>
      <c r="O1223" s="26" t="str">
        <f t="shared" si="270"/>
        <v>June</v>
      </c>
      <c r="P1223" s="25">
        <f t="shared" si="271"/>
        <v>430</v>
      </c>
      <c r="Q1223" s="27">
        <f t="shared" si="272"/>
        <v>-30</v>
      </c>
      <c r="R1223" s="26" t="b">
        <f t="shared" si="273"/>
        <v>0</v>
      </c>
      <c r="S1223" s="28" t="str">
        <f t="shared" si="274"/>
        <v>GROWTH</v>
      </c>
      <c r="T1223" s="24">
        <v>100</v>
      </c>
      <c r="U1223" s="29" t="str">
        <f t="shared" si="275"/>
        <v>May</v>
      </c>
      <c r="V1223" s="24">
        <f t="shared" si="276"/>
        <v>100</v>
      </c>
      <c r="W1223" s="30">
        <f t="shared" si="277"/>
        <v>300</v>
      </c>
      <c r="X1223" s="31" t="b">
        <f t="shared" si="278"/>
        <v>0</v>
      </c>
      <c r="Y1223" s="32" t="str">
        <f t="shared" si="279"/>
        <v>GROWTH</v>
      </c>
      <c r="Z1223" s="41">
        <v>0</v>
      </c>
      <c r="AA1223" s="36"/>
      <c r="AB1223" s="36" t="s">
        <v>24</v>
      </c>
      <c r="AC1223" s="41" t="s">
        <v>848</v>
      </c>
      <c r="AD1223" s="34"/>
      <c r="AE1223" s="35">
        <f>IFERROR(INDEX([1]Last6M_AvgSales_Ref!$B$2:$B$12659,MATCH(D1223,[1]Last6M_AvgSales_Ref!$A$2:$A$12659,0)),"")</f>
        <v>484.16666666666703</v>
      </c>
    </row>
    <row r="1224" spans="1:31" ht="14.25" customHeight="1" x14ac:dyDescent="0.3">
      <c r="A1224" s="36" t="s">
        <v>848</v>
      </c>
      <c r="B1224" s="38" t="s">
        <v>849</v>
      </c>
      <c r="C1224" s="38" t="s">
        <v>2512</v>
      </c>
      <c r="D1224" s="38">
        <v>1000000306</v>
      </c>
      <c r="E1224" s="39" t="s">
        <v>2513</v>
      </c>
      <c r="F1224" s="40">
        <v>43862</v>
      </c>
      <c r="G1224" s="22" t="str">
        <f t="shared" si="266"/>
        <v>Targeted Dealer</v>
      </c>
      <c r="H1224" s="22"/>
      <c r="I1224" s="23">
        <v>2024</v>
      </c>
      <c r="J1224" s="23">
        <f t="shared" si="267"/>
        <v>2024</v>
      </c>
      <c r="K1224" s="24">
        <v>1080.5</v>
      </c>
      <c r="L1224" s="24">
        <f t="shared" si="268"/>
        <v>943.5</v>
      </c>
      <c r="M1224" s="24">
        <f t="shared" si="269"/>
        <v>53.384387351778663</v>
      </c>
      <c r="N1224" s="25">
        <v>696</v>
      </c>
      <c r="O1224" s="26" t="str">
        <f t="shared" si="270"/>
        <v>June</v>
      </c>
      <c r="P1224" s="25">
        <f t="shared" si="271"/>
        <v>696</v>
      </c>
      <c r="Q1224" s="27">
        <f t="shared" si="272"/>
        <v>384.5</v>
      </c>
      <c r="R1224" s="26" t="b">
        <f t="shared" si="273"/>
        <v>0</v>
      </c>
      <c r="S1224" s="28" t="str">
        <f t="shared" si="274"/>
        <v>GROWTH</v>
      </c>
      <c r="T1224" s="24">
        <v>1011</v>
      </c>
      <c r="U1224" s="29" t="str">
        <f t="shared" si="275"/>
        <v>May</v>
      </c>
      <c r="V1224" s="24">
        <f t="shared" si="276"/>
        <v>1011</v>
      </c>
      <c r="W1224" s="30">
        <f t="shared" si="277"/>
        <v>69.5</v>
      </c>
      <c r="X1224" s="31" t="b">
        <f t="shared" si="278"/>
        <v>0</v>
      </c>
      <c r="Y1224" s="32" t="str">
        <f t="shared" si="279"/>
        <v>GROWTH</v>
      </c>
      <c r="Z1224" s="41">
        <v>0</v>
      </c>
      <c r="AA1224" s="36"/>
      <c r="AB1224" s="36" t="s">
        <v>24</v>
      </c>
      <c r="AC1224" s="36" t="s">
        <v>848</v>
      </c>
      <c r="AD1224" s="34"/>
      <c r="AE1224" s="35">
        <f>IFERROR(INDEX([1]Last6M_AvgSales_Ref!$B$2:$B$12659,MATCH(D1224,[1]Last6M_AvgSales_Ref!$A$2:$A$12659,0)),"")</f>
        <v>1009.83333333333</v>
      </c>
    </row>
    <row r="1225" spans="1:31" ht="14.25" customHeight="1" x14ac:dyDescent="0.3">
      <c r="A1225" s="41" t="s">
        <v>24</v>
      </c>
      <c r="B1225" s="44" t="s">
        <v>570</v>
      </c>
      <c r="C1225" s="44" t="s">
        <v>2514</v>
      </c>
      <c r="D1225" s="44">
        <v>1000004149</v>
      </c>
      <c r="E1225" s="44" t="s">
        <v>2515</v>
      </c>
      <c r="F1225" s="40">
        <v>45574</v>
      </c>
      <c r="G1225" s="22" t="str">
        <f t="shared" si="266"/>
        <v>-</v>
      </c>
      <c r="H1225" s="22"/>
      <c r="I1225" s="23">
        <v>0</v>
      </c>
      <c r="J1225" s="23">
        <f t="shared" si="267"/>
        <v>0</v>
      </c>
      <c r="K1225" s="24">
        <v>0</v>
      </c>
      <c r="L1225" s="24">
        <f t="shared" si="268"/>
        <v>0</v>
      </c>
      <c r="M1225" s="24" t="str">
        <f t="shared" si="269"/>
        <v>-</v>
      </c>
      <c r="N1225" s="25">
        <v>0</v>
      </c>
      <c r="O1225" s="26" t="str">
        <f t="shared" si="270"/>
        <v>June</v>
      </c>
      <c r="P1225" s="25">
        <f t="shared" si="271"/>
        <v>0</v>
      </c>
      <c r="Q1225" s="27">
        <f t="shared" si="272"/>
        <v>0</v>
      </c>
      <c r="R1225" s="26" t="b">
        <f t="shared" si="273"/>
        <v>0</v>
      </c>
      <c r="S1225" s="28" t="b">
        <f t="shared" si="274"/>
        <v>0</v>
      </c>
      <c r="T1225" s="24">
        <v>10</v>
      </c>
      <c r="U1225" s="29" t="str">
        <f t="shared" si="275"/>
        <v>May</v>
      </c>
      <c r="V1225" s="24">
        <f t="shared" si="276"/>
        <v>10</v>
      </c>
      <c r="W1225" s="30">
        <f t="shared" si="277"/>
        <v>-10</v>
      </c>
      <c r="X1225" s="31" t="b">
        <f t="shared" si="278"/>
        <v>0</v>
      </c>
      <c r="Y1225" s="32" t="str">
        <f t="shared" si="279"/>
        <v>GROWTH</v>
      </c>
      <c r="Z1225" s="41">
        <v>0</v>
      </c>
      <c r="AA1225" s="36"/>
      <c r="AB1225" s="36" t="s">
        <v>24</v>
      </c>
      <c r="AC1225" s="41" t="s">
        <v>24</v>
      </c>
      <c r="AD1225" s="34"/>
      <c r="AE1225" s="35">
        <f>IFERROR(INDEX([1]Last6M_AvgSales_Ref!$B$2:$B$12659,MATCH(D1225,[1]Last6M_AvgSales_Ref!$A$2:$A$12659,0)),"")</f>
        <v>3.1666666666666701</v>
      </c>
    </row>
    <row r="1226" spans="1:31" ht="14.25" customHeight="1" x14ac:dyDescent="0.3">
      <c r="A1226" s="41" t="s">
        <v>2185</v>
      </c>
      <c r="B1226" s="44" t="s">
        <v>2425</v>
      </c>
      <c r="C1226" s="44" t="s">
        <v>2516</v>
      </c>
      <c r="D1226" s="44">
        <v>1000003303</v>
      </c>
      <c r="E1226" s="44" t="s">
        <v>2517</v>
      </c>
      <c r="F1226" s="40">
        <v>44957</v>
      </c>
      <c r="G1226" s="22" t="str">
        <f t="shared" si="266"/>
        <v>Targeted Dealer</v>
      </c>
      <c r="H1226" s="22"/>
      <c r="I1226" s="23">
        <v>30</v>
      </c>
      <c r="J1226" s="23">
        <f t="shared" si="267"/>
        <v>30</v>
      </c>
      <c r="K1226" s="24">
        <v>36.75</v>
      </c>
      <c r="L1226" s="24">
        <f t="shared" si="268"/>
        <v>-6.75</v>
      </c>
      <c r="M1226" s="24">
        <f t="shared" si="269"/>
        <v>122.5</v>
      </c>
      <c r="N1226" s="25">
        <v>30</v>
      </c>
      <c r="O1226" s="26" t="str">
        <f t="shared" si="270"/>
        <v>June</v>
      </c>
      <c r="P1226" s="25">
        <f t="shared" si="271"/>
        <v>30</v>
      </c>
      <c r="Q1226" s="27">
        <f t="shared" si="272"/>
        <v>6.75</v>
      </c>
      <c r="R1226" s="26" t="b">
        <f t="shared" si="273"/>
        <v>0</v>
      </c>
      <c r="S1226" s="28" t="str">
        <f t="shared" si="274"/>
        <v>GROWTH</v>
      </c>
      <c r="T1226" s="24">
        <v>0</v>
      </c>
      <c r="U1226" s="29" t="str">
        <f t="shared" si="275"/>
        <v>May</v>
      </c>
      <c r="V1226" s="24">
        <f t="shared" si="276"/>
        <v>0</v>
      </c>
      <c r="W1226" s="30">
        <f t="shared" si="277"/>
        <v>36.75</v>
      </c>
      <c r="X1226" s="31" t="b">
        <f t="shared" si="278"/>
        <v>0</v>
      </c>
      <c r="Y1226" s="32" t="b">
        <f t="shared" si="279"/>
        <v>0</v>
      </c>
      <c r="Z1226" s="41">
        <v>0</v>
      </c>
      <c r="AA1226" s="36"/>
      <c r="AB1226" s="36" t="s">
        <v>24</v>
      </c>
      <c r="AC1226" s="41" t="s">
        <v>2185</v>
      </c>
      <c r="AD1226" s="34"/>
      <c r="AE1226" s="35">
        <f>IFERROR(INDEX([1]Last6M_AvgSales_Ref!$B$2:$B$12659,MATCH(D1226,[1]Last6M_AvgSales_Ref!$A$2:$A$12659,0)),"")</f>
        <v>30.75</v>
      </c>
    </row>
    <row r="1227" spans="1:31" ht="14.25" customHeight="1" x14ac:dyDescent="0.3">
      <c r="A1227" s="36" t="s">
        <v>848</v>
      </c>
      <c r="B1227" s="38" t="s">
        <v>1666</v>
      </c>
      <c r="C1227" s="38" t="s">
        <v>2518</v>
      </c>
      <c r="D1227" s="38">
        <v>1000000435</v>
      </c>
      <c r="E1227" s="39" t="s">
        <v>2519</v>
      </c>
      <c r="F1227" s="40">
        <v>42955</v>
      </c>
      <c r="G1227" s="22" t="str">
        <f t="shared" si="266"/>
        <v>Targeted Dealer</v>
      </c>
      <c r="H1227" s="22"/>
      <c r="I1227" s="23">
        <v>40</v>
      </c>
      <c r="J1227" s="23">
        <f t="shared" si="267"/>
        <v>40</v>
      </c>
      <c r="K1227" s="24">
        <v>26</v>
      </c>
      <c r="L1227" s="24">
        <f t="shared" si="268"/>
        <v>14</v>
      </c>
      <c r="M1227" s="24">
        <f t="shared" si="269"/>
        <v>65</v>
      </c>
      <c r="N1227" s="25">
        <v>0</v>
      </c>
      <c r="O1227" s="26" t="str">
        <f t="shared" si="270"/>
        <v>June</v>
      </c>
      <c r="P1227" s="25">
        <f t="shared" si="271"/>
        <v>0</v>
      </c>
      <c r="Q1227" s="27">
        <f t="shared" si="272"/>
        <v>26</v>
      </c>
      <c r="R1227" s="26" t="b">
        <f t="shared" si="273"/>
        <v>0</v>
      </c>
      <c r="S1227" s="28" t="b">
        <f t="shared" si="274"/>
        <v>0</v>
      </c>
      <c r="T1227" s="24">
        <v>0</v>
      </c>
      <c r="U1227" s="29" t="str">
        <f t="shared" si="275"/>
        <v>May</v>
      </c>
      <c r="V1227" s="24">
        <f t="shared" si="276"/>
        <v>0</v>
      </c>
      <c r="W1227" s="30">
        <f t="shared" si="277"/>
        <v>26</v>
      </c>
      <c r="X1227" s="31" t="b">
        <f t="shared" si="278"/>
        <v>0</v>
      </c>
      <c r="Y1227" s="32" t="b">
        <f t="shared" si="279"/>
        <v>0</v>
      </c>
      <c r="Z1227" s="41">
        <v>0</v>
      </c>
      <c r="AA1227" s="36"/>
      <c r="AB1227" s="36" t="s">
        <v>24</v>
      </c>
      <c r="AC1227" s="36" t="s">
        <v>848</v>
      </c>
      <c r="AD1227" s="34"/>
      <c r="AE1227" s="35">
        <f>IFERROR(INDEX([1]Last6M_AvgSales_Ref!$B$2:$B$12659,MATCH(D1227,[1]Last6M_AvgSales_Ref!$A$2:$A$12659,0)),"")</f>
        <v>13.1916666666667</v>
      </c>
    </row>
    <row r="1228" spans="1:31" ht="14.25" customHeight="1" x14ac:dyDescent="0.3">
      <c r="A1228" s="36" t="s">
        <v>848</v>
      </c>
      <c r="B1228" s="38" t="s">
        <v>1329</v>
      </c>
      <c r="C1228" s="38" t="s">
        <v>2520</v>
      </c>
      <c r="D1228" s="38">
        <v>1000004151</v>
      </c>
      <c r="E1228" s="39" t="s">
        <v>2521</v>
      </c>
      <c r="F1228" s="40">
        <v>45583</v>
      </c>
      <c r="G1228" s="22" t="str">
        <f t="shared" si="266"/>
        <v>Targeted Dealer</v>
      </c>
      <c r="H1228" s="22"/>
      <c r="I1228" s="23">
        <v>160</v>
      </c>
      <c r="J1228" s="23">
        <f t="shared" si="267"/>
        <v>160</v>
      </c>
      <c r="K1228" s="24">
        <v>75</v>
      </c>
      <c r="L1228" s="24">
        <f t="shared" si="268"/>
        <v>85</v>
      </c>
      <c r="M1228" s="24">
        <f t="shared" si="269"/>
        <v>46.875</v>
      </c>
      <c r="N1228" s="25">
        <v>80</v>
      </c>
      <c r="O1228" s="26" t="str">
        <f t="shared" si="270"/>
        <v>June</v>
      </c>
      <c r="P1228" s="25">
        <f t="shared" si="271"/>
        <v>80</v>
      </c>
      <c r="Q1228" s="27">
        <f t="shared" si="272"/>
        <v>-5</v>
      </c>
      <c r="R1228" s="26" t="b">
        <f t="shared" si="273"/>
        <v>0</v>
      </c>
      <c r="S1228" s="28" t="str">
        <f t="shared" si="274"/>
        <v>GROWTH</v>
      </c>
      <c r="T1228" s="24">
        <v>55</v>
      </c>
      <c r="U1228" s="29" t="str">
        <f t="shared" si="275"/>
        <v>May</v>
      </c>
      <c r="V1228" s="24">
        <f t="shared" si="276"/>
        <v>55</v>
      </c>
      <c r="W1228" s="30">
        <f t="shared" si="277"/>
        <v>20</v>
      </c>
      <c r="X1228" s="31" t="b">
        <f t="shared" si="278"/>
        <v>0</v>
      </c>
      <c r="Y1228" s="32" t="str">
        <f t="shared" si="279"/>
        <v>GROWTH</v>
      </c>
      <c r="Z1228" s="41">
        <v>0</v>
      </c>
      <c r="AA1228" s="36"/>
      <c r="AB1228" s="36" t="s">
        <v>24</v>
      </c>
      <c r="AC1228" s="36" t="s">
        <v>848</v>
      </c>
      <c r="AD1228" s="34"/>
      <c r="AE1228" s="35">
        <f>IFERROR(INDEX([1]Last6M_AvgSales_Ref!$B$2:$B$12659,MATCH(D1228,[1]Last6M_AvgSales_Ref!$A$2:$A$12659,0)),"")</f>
        <v>136.333333333333</v>
      </c>
    </row>
    <row r="1229" spans="1:31" ht="14.25" customHeight="1" x14ac:dyDescent="0.3">
      <c r="A1229" s="36" t="s">
        <v>848</v>
      </c>
      <c r="B1229" s="37" t="s">
        <v>1098</v>
      </c>
      <c r="C1229" s="38" t="s">
        <v>2522</v>
      </c>
      <c r="D1229" s="38">
        <v>1000004152</v>
      </c>
      <c r="E1229" s="39" t="s">
        <v>2523</v>
      </c>
      <c r="F1229" s="40">
        <v>45585</v>
      </c>
      <c r="G1229" s="22" t="str">
        <f t="shared" si="266"/>
        <v>Targeted Dealer</v>
      </c>
      <c r="H1229" s="22"/>
      <c r="I1229" s="23">
        <v>200</v>
      </c>
      <c r="J1229" s="23">
        <f t="shared" si="267"/>
        <v>200</v>
      </c>
      <c r="K1229" s="24">
        <v>100</v>
      </c>
      <c r="L1229" s="24">
        <f t="shared" si="268"/>
        <v>100</v>
      </c>
      <c r="M1229" s="24">
        <f t="shared" si="269"/>
        <v>50</v>
      </c>
      <c r="N1229" s="25">
        <v>75</v>
      </c>
      <c r="O1229" s="26" t="str">
        <f t="shared" si="270"/>
        <v>June</v>
      </c>
      <c r="P1229" s="25">
        <f t="shared" si="271"/>
        <v>75</v>
      </c>
      <c r="Q1229" s="27">
        <f t="shared" si="272"/>
        <v>25</v>
      </c>
      <c r="R1229" s="26" t="b">
        <f t="shared" si="273"/>
        <v>0</v>
      </c>
      <c r="S1229" s="28" t="str">
        <f t="shared" si="274"/>
        <v>GROWTH</v>
      </c>
      <c r="T1229" s="24">
        <v>100</v>
      </c>
      <c r="U1229" s="29" t="str">
        <f t="shared" si="275"/>
        <v>May</v>
      </c>
      <c r="V1229" s="24">
        <f t="shared" si="276"/>
        <v>100</v>
      </c>
      <c r="W1229" s="30">
        <f t="shared" si="277"/>
        <v>0</v>
      </c>
      <c r="X1229" s="31" t="b">
        <f t="shared" si="278"/>
        <v>0</v>
      </c>
      <c r="Y1229" s="32" t="str">
        <f t="shared" si="279"/>
        <v>GROWTH</v>
      </c>
      <c r="Z1229" s="41">
        <v>0</v>
      </c>
      <c r="AA1229" s="36"/>
      <c r="AB1229" s="36" t="s">
        <v>24</v>
      </c>
      <c r="AC1229" s="36" t="s">
        <v>848</v>
      </c>
      <c r="AD1229" s="34"/>
      <c r="AE1229" s="35">
        <f>IFERROR(INDEX([1]Last6M_AvgSales_Ref!$B$2:$B$12659,MATCH(D1229,[1]Last6M_AvgSales_Ref!$A$2:$A$12659,0)),"")</f>
        <v>62.5</v>
      </c>
    </row>
    <row r="1230" spans="1:31" ht="14.25" customHeight="1" x14ac:dyDescent="0.3">
      <c r="A1230" s="36" t="s">
        <v>24</v>
      </c>
      <c r="B1230" s="38" t="s">
        <v>399</v>
      </c>
      <c r="C1230" s="38" t="s">
        <v>2524</v>
      </c>
      <c r="D1230" s="38">
        <v>1000004157</v>
      </c>
      <c r="E1230" s="39" t="s">
        <v>2525</v>
      </c>
      <c r="F1230" s="49">
        <v>45589</v>
      </c>
      <c r="G1230" s="22" t="str">
        <f t="shared" si="266"/>
        <v>Targeted Dealer</v>
      </c>
      <c r="H1230" s="22"/>
      <c r="I1230" s="23">
        <v>60</v>
      </c>
      <c r="J1230" s="23">
        <f t="shared" si="267"/>
        <v>60</v>
      </c>
      <c r="K1230" s="24">
        <v>140</v>
      </c>
      <c r="L1230" s="24">
        <f t="shared" si="268"/>
        <v>-80</v>
      </c>
      <c r="M1230" s="24">
        <f t="shared" si="269"/>
        <v>233.33333333333334</v>
      </c>
      <c r="N1230" s="25">
        <v>108</v>
      </c>
      <c r="O1230" s="26" t="str">
        <f t="shared" si="270"/>
        <v>June</v>
      </c>
      <c r="P1230" s="25">
        <f t="shared" si="271"/>
        <v>108</v>
      </c>
      <c r="Q1230" s="27">
        <f t="shared" si="272"/>
        <v>32</v>
      </c>
      <c r="R1230" s="26" t="b">
        <f t="shared" si="273"/>
        <v>0</v>
      </c>
      <c r="S1230" s="28" t="str">
        <f t="shared" si="274"/>
        <v>GROWTH</v>
      </c>
      <c r="T1230" s="24">
        <v>61</v>
      </c>
      <c r="U1230" s="29" t="str">
        <f t="shared" si="275"/>
        <v>May</v>
      </c>
      <c r="V1230" s="24">
        <f t="shared" si="276"/>
        <v>61</v>
      </c>
      <c r="W1230" s="30">
        <f t="shared" si="277"/>
        <v>79</v>
      </c>
      <c r="X1230" s="31" t="b">
        <f t="shared" si="278"/>
        <v>0</v>
      </c>
      <c r="Y1230" s="32" t="str">
        <f t="shared" si="279"/>
        <v>GROWTH</v>
      </c>
      <c r="Z1230" s="41">
        <v>0</v>
      </c>
      <c r="AA1230" s="36"/>
      <c r="AB1230" s="36" t="s">
        <v>24</v>
      </c>
      <c r="AC1230" s="36" t="s">
        <v>24</v>
      </c>
      <c r="AD1230" s="34"/>
      <c r="AE1230" s="35">
        <f>IFERROR(INDEX([1]Last6M_AvgSales_Ref!$B$2:$B$12659,MATCH(D1230,[1]Last6M_AvgSales_Ref!$A$2:$A$12659,0)),"")</f>
        <v>123.333333333333</v>
      </c>
    </row>
    <row r="1231" spans="1:31" ht="14.25" customHeight="1" x14ac:dyDescent="0.3">
      <c r="A1231" s="36" t="s">
        <v>24</v>
      </c>
      <c r="B1231" s="38" t="s">
        <v>150</v>
      </c>
      <c r="C1231" s="38" t="s">
        <v>2526</v>
      </c>
      <c r="D1231" s="38">
        <v>1000004155</v>
      </c>
      <c r="E1231" s="39" t="s">
        <v>2527</v>
      </c>
      <c r="F1231" s="49">
        <v>45588</v>
      </c>
      <c r="G1231" s="22" t="str">
        <f t="shared" si="266"/>
        <v>Targeted Dealer</v>
      </c>
      <c r="H1231" s="22"/>
      <c r="I1231" s="23">
        <v>100</v>
      </c>
      <c r="J1231" s="23">
        <f t="shared" si="267"/>
        <v>100</v>
      </c>
      <c r="K1231" s="24">
        <v>80</v>
      </c>
      <c r="L1231" s="24">
        <f t="shared" si="268"/>
        <v>20</v>
      </c>
      <c r="M1231" s="24">
        <f t="shared" si="269"/>
        <v>80</v>
      </c>
      <c r="N1231" s="25">
        <v>100</v>
      </c>
      <c r="O1231" s="26" t="str">
        <f t="shared" si="270"/>
        <v>June</v>
      </c>
      <c r="P1231" s="25">
        <f t="shared" si="271"/>
        <v>100</v>
      </c>
      <c r="Q1231" s="27">
        <f t="shared" si="272"/>
        <v>-20</v>
      </c>
      <c r="R1231" s="26" t="b">
        <f t="shared" si="273"/>
        <v>0</v>
      </c>
      <c r="S1231" s="28" t="str">
        <f t="shared" si="274"/>
        <v>GROWTH</v>
      </c>
      <c r="T1231" s="24">
        <v>80</v>
      </c>
      <c r="U1231" s="29" t="str">
        <f t="shared" si="275"/>
        <v>May</v>
      </c>
      <c r="V1231" s="24">
        <f t="shared" si="276"/>
        <v>80</v>
      </c>
      <c r="W1231" s="30">
        <f t="shared" si="277"/>
        <v>0</v>
      </c>
      <c r="X1231" s="31" t="b">
        <f t="shared" si="278"/>
        <v>0</v>
      </c>
      <c r="Y1231" s="32" t="str">
        <f t="shared" si="279"/>
        <v>GROWTH</v>
      </c>
      <c r="Z1231" s="41">
        <v>0</v>
      </c>
      <c r="AA1231" s="36"/>
      <c r="AB1231" s="36" t="s">
        <v>24</v>
      </c>
      <c r="AC1231" s="36" t="s">
        <v>24</v>
      </c>
      <c r="AD1231" s="34"/>
      <c r="AE1231" s="35">
        <f>IFERROR(INDEX([1]Last6M_AvgSales_Ref!$B$2:$B$12659,MATCH(D1231,[1]Last6M_AvgSales_Ref!$A$2:$A$12659,0)),"")</f>
        <v>100.833333333333</v>
      </c>
    </row>
    <row r="1232" spans="1:31" ht="14.25" customHeight="1" x14ac:dyDescent="0.3">
      <c r="A1232" s="36" t="s">
        <v>848</v>
      </c>
      <c r="B1232" s="38" t="s">
        <v>1666</v>
      </c>
      <c r="C1232" s="38" t="s">
        <v>2528</v>
      </c>
      <c r="D1232" s="38">
        <v>1000004156</v>
      </c>
      <c r="E1232" s="39" t="s">
        <v>2529</v>
      </c>
      <c r="F1232" s="49">
        <v>45588</v>
      </c>
      <c r="G1232" s="22" t="str">
        <f t="shared" si="266"/>
        <v>Targeted Dealer</v>
      </c>
      <c r="H1232" s="22"/>
      <c r="I1232" s="23">
        <v>40</v>
      </c>
      <c r="J1232" s="23">
        <f t="shared" si="267"/>
        <v>40</v>
      </c>
      <c r="K1232" s="24">
        <v>5</v>
      </c>
      <c r="L1232" s="24">
        <f t="shared" si="268"/>
        <v>35</v>
      </c>
      <c r="M1232" s="24">
        <f t="shared" si="269"/>
        <v>12.5</v>
      </c>
      <c r="N1232" s="25">
        <v>5</v>
      </c>
      <c r="O1232" s="26" t="str">
        <f t="shared" si="270"/>
        <v>June</v>
      </c>
      <c r="P1232" s="25">
        <f t="shared" si="271"/>
        <v>5</v>
      </c>
      <c r="Q1232" s="27">
        <f t="shared" si="272"/>
        <v>0</v>
      </c>
      <c r="R1232" s="26" t="b">
        <f t="shared" si="273"/>
        <v>0</v>
      </c>
      <c r="S1232" s="28" t="str">
        <f t="shared" si="274"/>
        <v>GROWTH</v>
      </c>
      <c r="T1232" s="24">
        <v>10</v>
      </c>
      <c r="U1232" s="29" t="str">
        <f t="shared" si="275"/>
        <v>May</v>
      </c>
      <c r="V1232" s="24">
        <f t="shared" si="276"/>
        <v>10</v>
      </c>
      <c r="W1232" s="30">
        <f t="shared" si="277"/>
        <v>-5</v>
      </c>
      <c r="X1232" s="31" t="b">
        <f t="shared" si="278"/>
        <v>0</v>
      </c>
      <c r="Y1232" s="32" t="str">
        <f t="shared" si="279"/>
        <v>GROWTH</v>
      </c>
      <c r="Z1232" s="41">
        <v>0</v>
      </c>
      <c r="AA1232" s="36"/>
      <c r="AB1232" s="36" t="s">
        <v>24</v>
      </c>
      <c r="AC1232" s="36" t="s">
        <v>848</v>
      </c>
      <c r="AD1232" s="34"/>
      <c r="AE1232" s="35">
        <f>IFERROR(INDEX([1]Last6M_AvgSales_Ref!$B$2:$B$12659,MATCH(D1232,[1]Last6M_AvgSales_Ref!$A$2:$A$12659,0)),"")</f>
        <v>5</v>
      </c>
    </row>
    <row r="1233" spans="1:31" ht="14.25" customHeight="1" x14ac:dyDescent="0.3">
      <c r="A1233" s="36" t="s">
        <v>24</v>
      </c>
      <c r="B1233" s="38" t="s">
        <v>570</v>
      </c>
      <c r="C1233" s="38" t="s">
        <v>2530</v>
      </c>
      <c r="D1233" s="38">
        <v>1000004161</v>
      </c>
      <c r="E1233" s="39" t="s">
        <v>2531</v>
      </c>
      <c r="F1233" s="49">
        <v>45597</v>
      </c>
      <c r="G1233" s="22" t="str">
        <f t="shared" si="266"/>
        <v>Targeted Dealer</v>
      </c>
      <c r="H1233" s="22"/>
      <c r="I1233" s="23">
        <v>120</v>
      </c>
      <c r="J1233" s="23">
        <f t="shared" si="267"/>
        <v>120</v>
      </c>
      <c r="K1233" s="24">
        <v>110</v>
      </c>
      <c r="L1233" s="24">
        <f t="shared" si="268"/>
        <v>10</v>
      </c>
      <c r="M1233" s="24">
        <f t="shared" si="269"/>
        <v>91.666666666666671</v>
      </c>
      <c r="N1233" s="25">
        <v>82.5</v>
      </c>
      <c r="O1233" s="26" t="str">
        <f t="shared" si="270"/>
        <v>June</v>
      </c>
      <c r="P1233" s="25">
        <f t="shared" si="271"/>
        <v>82.5</v>
      </c>
      <c r="Q1233" s="27">
        <f t="shared" si="272"/>
        <v>27.5</v>
      </c>
      <c r="R1233" s="26" t="b">
        <f t="shared" si="273"/>
        <v>0</v>
      </c>
      <c r="S1233" s="28" t="str">
        <f t="shared" si="274"/>
        <v>GROWTH</v>
      </c>
      <c r="T1233" s="24">
        <v>104</v>
      </c>
      <c r="U1233" s="29" t="str">
        <f t="shared" si="275"/>
        <v>May</v>
      </c>
      <c r="V1233" s="24">
        <f t="shared" si="276"/>
        <v>104</v>
      </c>
      <c r="W1233" s="30">
        <f t="shared" si="277"/>
        <v>6</v>
      </c>
      <c r="X1233" s="31" t="b">
        <f t="shared" si="278"/>
        <v>0</v>
      </c>
      <c r="Y1233" s="32" t="str">
        <f t="shared" si="279"/>
        <v>GROWTH</v>
      </c>
      <c r="Z1233" s="41">
        <v>0</v>
      </c>
      <c r="AA1233" s="36"/>
      <c r="AB1233" s="36" t="s">
        <v>24</v>
      </c>
      <c r="AC1233" s="36" t="s">
        <v>24</v>
      </c>
      <c r="AD1233" s="34"/>
      <c r="AE1233" s="35">
        <f>IFERROR(INDEX([1]Last6M_AvgSales_Ref!$B$2:$B$12659,MATCH(D1233,[1]Last6M_AvgSales_Ref!$A$2:$A$12659,0)),"")</f>
        <v>132.5</v>
      </c>
    </row>
    <row r="1234" spans="1:31" ht="14.25" customHeight="1" x14ac:dyDescent="0.3">
      <c r="A1234" s="36" t="s">
        <v>24</v>
      </c>
      <c r="B1234" s="38" t="s">
        <v>150</v>
      </c>
      <c r="C1234" s="38" t="s">
        <v>2532</v>
      </c>
      <c r="D1234" s="38">
        <v>1000004153</v>
      </c>
      <c r="E1234" s="39" t="s">
        <v>1929</v>
      </c>
      <c r="F1234" s="49">
        <v>45588</v>
      </c>
      <c r="G1234" s="22" t="str">
        <f t="shared" si="266"/>
        <v>Targeted Dealer</v>
      </c>
      <c r="H1234" s="22"/>
      <c r="I1234" s="23">
        <v>100</v>
      </c>
      <c r="J1234" s="23">
        <f t="shared" si="267"/>
        <v>100</v>
      </c>
      <c r="K1234" s="24">
        <v>80</v>
      </c>
      <c r="L1234" s="24">
        <f t="shared" si="268"/>
        <v>20</v>
      </c>
      <c r="M1234" s="24">
        <f t="shared" si="269"/>
        <v>80</v>
      </c>
      <c r="N1234" s="25">
        <v>80</v>
      </c>
      <c r="O1234" s="26" t="str">
        <f t="shared" si="270"/>
        <v>June</v>
      </c>
      <c r="P1234" s="25">
        <f t="shared" si="271"/>
        <v>80</v>
      </c>
      <c r="Q1234" s="27">
        <f t="shared" si="272"/>
        <v>0</v>
      </c>
      <c r="R1234" s="26" t="b">
        <f t="shared" si="273"/>
        <v>0</v>
      </c>
      <c r="S1234" s="28" t="str">
        <f t="shared" si="274"/>
        <v>GROWTH</v>
      </c>
      <c r="T1234" s="24">
        <v>120</v>
      </c>
      <c r="U1234" s="29" t="str">
        <f t="shared" si="275"/>
        <v>May</v>
      </c>
      <c r="V1234" s="24">
        <f t="shared" si="276"/>
        <v>120</v>
      </c>
      <c r="W1234" s="30">
        <f t="shared" si="277"/>
        <v>-40</v>
      </c>
      <c r="X1234" s="31" t="b">
        <f t="shared" si="278"/>
        <v>0</v>
      </c>
      <c r="Y1234" s="32" t="str">
        <f t="shared" si="279"/>
        <v>GROWTH</v>
      </c>
      <c r="Z1234" s="41">
        <v>0</v>
      </c>
      <c r="AA1234" s="36"/>
      <c r="AB1234" s="36" t="s">
        <v>24</v>
      </c>
      <c r="AC1234" s="36" t="s">
        <v>24</v>
      </c>
      <c r="AD1234" s="34"/>
      <c r="AE1234" s="35">
        <f>IFERROR(INDEX([1]Last6M_AvgSales_Ref!$B$2:$B$12659,MATCH(D1234,[1]Last6M_AvgSales_Ref!$A$2:$A$12659,0)),"")</f>
        <v>133.333333333333</v>
      </c>
    </row>
    <row r="1235" spans="1:31" ht="14.25" customHeight="1" x14ac:dyDescent="0.3">
      <c r="A1235" s="36" t="s">
        <v>848</v>
      </c>
      <c r="B1235" s="38" t="s">
        <v>1329</v>
      </c>
      <c r="C1235" s="38" t="s">
        <v>2533</v>
      </c>
      <c r="D1235" s="38">
        <v>1000004165</v>
      </c>
      <c r="E1235" s="39" t="s">
        <v>2534</v>
      </c>
      <c r="F1235" s="49">
        <v>45602</v>
      </c>
      <c r="G1235" s="22" t="str">
        <f t="shared" si="266"/>
        <v>Targeted Dealer</v>
      </c>
      <c r="H1235" s="22"/>
      <c r="I1235" s="23">
        <v>1100</v>
      </c>
      <c r="J1235" s="23">
        <f t="shared" si="267"/>
        <v>1100</v>
      </c>
      <c r="K1235" s="24">
        <v>545.75</v>
      </c>
      <c r="L1235" s="24">
        <f t="shared" si="268"/>
        <v>554.25</v>
      </c>
      <c r="M1235" s="24">
        <f t="shared" si="269"/>
        <v>49.613636363636367</v>
      </c>
      <c r="N1235" s="25">
        <v>481.05</v>
      </c>
      <c r="O1235" s="26" t="str">
        <f t="shared" si="270"/>
        <v>June</v>
      </c>
      <c r="P1235" s="25">
        <f t="shared" si="271"/>
        <v>481.05</v>
      </c>
      <c r="Q1235" s="27">
        <f t="shared" si="272"/>
        <v>64.699999999999989</v>
      </c>
      <c r="R1235" s="26" t="b">
        <f t="shared" si="273"/>
        <v>0</v>
      </c>
      <c r="S1235" s="28" t="str">
        <f t="shared" si="274"/>
        <v>GROWTH</v>
      </c>
      <c r="T1235" s="24">
        <v>467.1</v>
      </c>
      <c r="U1235" s="29" t="str">
        <f t="shared" si="275"/>
        <v>May</v>
      </c>
      <c r="V1235" s="24">
        <f t="shared" si="276"/>
        <v>467.1</v>
      </c>
      <c r="W1235" s="30">
        <f t="shared" si="277"/>
        <v>78.649999999999977</v>
      </c>
      <c r="X1235" s="31" t="b">
        <f t="shared" si="278"/>
        <v>0</v>
      </c>
      <c r="Y1235" s="32" t="str">
        <f t="shared" si="279"/>
        <v>GROWTH</v>
      </c>
      <c r="Z1235" s="41">
        <v>0</v>
      </c>
      <c r="AA1235" s="36"/>
      <c r="AB1235" s="36" t="s">
        <v>24</v>
      </c>
      <c r="AC1235" s="36" t="s">
        <v>848</v>
      </c>
      <c r="AD1235" s="34"/>
      <c r="AE1235" s="35">
        <f>IFERROR(INDEX([1]Last6M_AvgSales_Ref!$B$2:$B$12659,MATCH(D1235,[1]Last6M_AvgSales_Ref!$A$2:$A$12659,0)),"")</f>
        <v>665.375</v>
      </c>
    </row>
    <row r="1236" spans="1:31" ht="14.25" customHeight="1" x14ac:dyDescent="0.3">
      <c r="A1236" s="36" t="s">
        <v>848</v>
      </c>
      <c r="B1236" s="38" t="s">
        <v>1420</v>
      </c>
      <c r="C1236" s="38" t="s">
        <v>2535</v>
      </c>
      <c r="D1236" s="38">
        <v>1000004164</v>
      </c>
      <c r="E1236" s="39" t="s">
        <v>2536</v>
      </c>
      <c r="F1236" s="49">
        <v>45602</v>
      </c>
      <c r="G1236" s="22" t="str">
        <f t="shared" si="266"/>
        <v>-</v>
      </c>
      <c r="H1236" s="22"/>
      <c r="I1236" s="23">
        <v>0</v>
      </c>
      <c r="J1236" s="23">
        <f t="shared" si="267"/>
        <v>0</v>
      </c>
      <c r="K1236" s="24">
        <v>0</v>
      </c>
      <c r="L1236" s="24">
        <f t="shared" si="268"/>
        <v>0</v>
      </c>
      <c r="M1236" s="24" t="str">
        <f t="shared" si="269"/>
        <v>-</v>
      </c>
      <c r="N1236" s="25">
        <v>0</v>
      </c>
      <c r="O1236" s="26" t="str">
        <f t="shared" si="270"/>
        <v>June</v>
      </c>
      <c r="P1236" s="25">
        <f t="shared" si="271"/>
        <v>0</v>
      </c>
      <c r="Q1236" s="27">
        <f t="shared" si="272"/>
        <v>0</v>
      </c>
      <c r="R1236" s="26" t="b">
        <f t="shared" si="273"/>
        <v>0</v>
      </c>
      <c r="S1236" s="28" t="b">
        <f t="shared" si="274"/>
        <v>0</v>
      </c>
      <c r="T1236" s="24">
        <v>19.5</v>
      </c>
      <c r="U1236" s="29" t="str">
        <f t="shared" si="275"/>
        <v>May</v>
      </c>
      <c r="V1236" s="24">
        <f t="shared" si="276"/>
        <v>19.5</v>
      </c>
      <c r="W1236" s="30">
        <f t="shared" si="277"/>
        <v>-19.5</v>
      </c>
      <c r="X1236" s="31" t="b">
        <f t="shared" si="278"/>
        <v>0</v>
      </c>
      <c r="Y1236" s="32" t="str">
        <f t="shared" si="279"/>
        <v>GROWTH</v>
      </c>
      <c r="Z1236" s="41">
        <v>0</v>
      </c>
      <c r="AA1236" s="36"/>
      <c r="AB1236" s="36" t="s">
        <v>24</v>
      </c>
      <c r="AC1236" s="36" t="s">
        <v>848</v>
      </c>
      <c r="AD1236" s="34"/>
      <c r="AE1236" s="35">
        <f>IFERROR(INDEX([1]Last6M_AvgSales_Ref!$B$2:$B$12659,MATCH(D1236,[1]Last6M_AvgSales_Ref!$A$2:$A$12659,0)),"")</f>
        <v>13</v>
      </c>
    </row>
    <row r="1237" spans="1:31" ht="14.25" customHeight="1" x14ac:dyDescent="0.3">
      <c r="A1237" s="41" t="s">
        <v>2027</v>
      </c>
      <c r="B1237" s="38" t="s">
        <v>2095</v>
      </c>
      <c r="C1237" s="38" t="s">
        <v>2537</v>
      </c>
      <c r="D1237" s="38">
        <v>1000004158</v>
      </c>
      <c r="E1237" s="39" t="s">
        <v>2538</v>
      </c>
      <c r="F1237" s="49">
        <v>45594</v>
      </c>
      <c r="G1237" s="22" t="str">
        <f t="shared" si="266"/>
        <v>Targeted Dealer</v>
      </c>
      <c r="H1237" s="22"/>
      <c r="I1237" s="23">
        <v>40</v>
      </c>
      <c r="J1237" s="23">
        <f t="shared" si="267"/>
        <v>40</v>
      </c>
      <c r="K1237" s="24">
        <v>25</v>
      </c>
      <c r="L1237" s="24">
        <f t="shared" si="268"/>
        <v>15</v>
      </c>
      <c r="M1237" s="24">
        <f t="shared" si="269"/>
        <v>62.5</v>
      </c>
      <c r="N1237" s="25">
        <v>26.85</v>
      </c>
      <c r="O1237" s="26" t="str">
        <f t="shared" si="270"/>
        <v>June</v>
      </c>
      <c r="P1237" s="25">
        <f t="shared" si="271"/>
        <v>26.85</v>
      </c>
      <c r="Q1237" s="27">
        <f t="shared" si="272"/>
        <v>-1.8500000000000014</v>
      </c>
      <c r="R1237" s="26" t="b">
        <f t="shared" si="273"/>
        <v>0</v>
      </c>
      <c r="S1237" s="28" t="str">
        <f t="shared" si="274"/>
        <v>GROWTH</v>
      </c>
      <c r="T1237" s="24">
        <v>31</v>
      </c>
      <c r="U1237" s="29" t="str">
        <f t="shared" si="275"/>
        <v>May</v>
      </c>
      <c r="V1237" s="24">
        <f t="shared" si="276"/>
        <v>31</v>
      </c>
      <c r="W1237" s="30">
        <f t="shared" si="277"/>
        <v>-6</v>
      </c>
      <c r="X1237" s="31" t="b">
        <f t="shared" si="278"/>
        <v>0</v>
      </c>
      <c r="Y1237" s="32" t="str">
        <f t="shared" si="279"/>
        <v>GROWTH</v>
      </c>
      <c r="Z1237" s="41">
        <v>0</v>
      </c>
      <c r="AA1237" s="36"/>
      <c r="AB1237" s="36" t="s">
        <v>24</v>
      </c>
      <c r="AC1237" s="41" t="s">
        <v>2027</v>
      </c>
      <c r="AD1237" s="34"/>
      <c r="AE1237" s="35">
        <f>IFERROR(INDEX([1]Last6M_AvgSales_Ref!$B$2:$B$12659,MATCH(D1237,[1]Last6M_AvgSales_Ref!$A$2:$A$12659,0)),"")</f>
        <v>35.8333333333333</v>
      </c>
    </row>
    <row r="1238" spans="1:31" ht="14.25" customHeight="1" x14ac:dyDescent="0.3">
      <c r="A1238" s="36" t="s">
        <v>848</v>
      </c>
      <c r="B1238" s="38" t="s">
        <v>1420</v>
      </c>
      <c r="C1238" s="38" t="s">
        <v>2539</v>
      </c>
      <c r="D1238" s="38">
        <v>1000004163</v>
      </c>
      <c r="E1238" s="39" t="s">
        <v>2540</v>
      </c>
      <c r="F1238" s="49">
        <v>45602</v>
      </c>
      <c r="G1238" s="22" t="str">
        <f t="shared" si="266"/>
        <v>Targeted Dealer</v>
      </c>
      <c r="H1238" s="22"/>
      <c r="I1238" s="23">
        <v>140</v>
      </c>
      <c r="J1238" s="23">
        <f t="shared" si="267"/>
        <v>140</v>
      </c>
      <c r="K1238" s="24">
        <v>174</v>
      </c>
      <c r="L1238" s="24">
        <f t="shared" si="268"/>
        <v>-34</v>
      </c>
      <c r="M1238" s="24">
        <f t="shared" si="269"/>
        <v>124.28571428571429</v>
      </c>
      <c r="N1238" s="25">
        <v>165</v>
      </c>
      <c r="O1238" s="26" t="str">
        <f t="shared" si="270"/>
        <v>June</v>
      </c>
      <c r="P1238" s="25">
        <f t="shared" si="271"/>
        <v>165</v>
      </c>
      <c r="Q1238" s="27">
        <f t="shared" si="272"/>
        <v>9</v>
      </c>
      <c r="R1238" s="26" t="b">
        <f t="shared" si="273"/>
        <v>0</v>
      </c>
      <c r="S1238" s="28" t="str">
        <f t="shared" si="274"/>
        <v>GROWTH</v>
      </c>
      <c r="T1238" s="24">
        <v>59.95</v>
      </c>
      <c r="U1238" s="29" t="str">
        <f t="shared" si="275"/>
        <v>May</v>
      </c>
      <c r="V1238" s="24">
        <f t="shared" si="276"/>
        <v>59.95</v>
      </c>
      <c r="W1238" s="30">
        <f t="shared" si="277"/>
        <v>114.05</v>
      </c>
      <c r="X1238" s="31" t="b">
        <f t="shared" si="278"/>
        <v>0</v>
      </c>
      <c r="Y1238" s="32" t="str">
        <f t="shared" si="279"/>
        <v>GROWTH</v>
      </c>
      <c r="Z1238" s="41">
        <v>0</v>
      </c>
      <c r="AA1238" s="36"/>
      <c r="AB1238" s="36" t="s">
        <v>24</v>
      </c>
      <c r="AC1238" s="36" t="s">
        <v>848</v>
      </c>
      <c r="AD1238" s="34"/>
      <c r="AE1238" s="35">
        <f>IFERROR(INDEX([1]Last6M_AvgSales_Ref!$B$2:$B$12659,MATCH(D1238,[1]Last6M_AvgSales_Ref!$A$2:$A$12659,0)),"")</f>
        <v>166.15</v>
      </c>
    </row>
    <row r="1239" spans="1:31" ht="14.25" customHeight="1" x14ac:dyDescent="0.3">
      <c r="A1239" s="36" t="s">
        <v>24</v>
      </c>
      <c r="B1239" s="38" t="s">
        <v>698</v>
      </c>
      <c r="C1239" s="38" t="s">
        <v>2541</v>
      </c>
      <c r="D1239" s="38">
        <v>1000004168</v>
      </c>
      <c r="E1239" s="39" t="s">
        <v>2542</v>
      </c>
      <c r="F1239" s="49">
        <v>45606</v>
      </c>
      <c r="G1239" s="22" t="str">
        <f t="shared" si="266"/>
        <v>Targeted Dealer</v>
      </c>
      <c r="H1239" s="22"/>
      <c r="I1239" s="23">
        <v>22</v>
      </c>
      <c r="J1239" s="23">
        <f t="shared" si="267"/>
        <v>22</v>
      </c>
      <c r="K1239" s="24">
        <v>0</v>
      </c>
      <c r="L1239" s="24">
        <f t="shared" si="268"/>
        <v>22</v>
      </c>
      <c r="M1239" s="24">
        <f t="shared" si="269"/>
        <v>0</v>
      </c>
      <c r="N1239" s="25">
        <v>22</v>
      </c>
      <c r="O1239" s="26" t="str">
        <f t="shared" si="270"/>
        <v>June</v>
      </c>
      <c r="P1239" s="25">
        <f t="shared" si="271"/>
        <v>22</v>
      </c>
      <c r="Q1239" s="27">
        <f t="shared" si="272"/>
        <v>-22</v>
      </c>
      <c r="R1239" s="26" t="b">
        <f t="shared" si="273"/>
        <v>0</v>
      </c>
      <c r="S1239" s="28" t="str">
        <f t="shared" si="274"/>
        <v>GROWTH</v>
      </c>
      <c r="T1239" s="24">
        <v>22</v>
      </c>
      <c r="U1239" s="29" t="str">
        <f t="shared" si="275"/>
        <v>May</v>
      </c>
      <c r="V1239" s="24">
        <f t="shared" si="276"/>
        <v>22</v>
      </c>
      <c r="W1239" s="30">
        <f t="shared" si="277"/>
        <v>-22</v>
      </c>
      <c r="X1239" s="31" t="b">
        <f t="shared" si="278"/>
        <v>0</v>
      </c>
      <c r="Y1239" s="32" t="str">
        <f t="shared" si="279"/>
        <v>GROWTH</v>
      </c>
      <c r="Z1239" s="41">
        <v>0</v>
      </c>
      <c r="AA1239" s="36"/>
      <c r="AB1239" s="36" t="s">
        <v>24</v>
      </c>
      <c r="AC1239" s="36" t="s">
        <v>24</v>
      </c>
      <c r="AD1239" s="34"/>
      <c r="AE1239" s="35">
        <f>IFERROR(INDEX([1]Last6M_AvgSales_Ref!$B$2:$B$12659,MATCH(D1239,[1]Last6M_AvgSales_Ref!$A$2:$A$12659,0)),"")</f>
        <v>25.3333333333333</v>
      </c>
    </row>
    <row r="1240" spans="1:31" ht="14.25" customHeight="1" x14ac:dyDescent="0.3">
      <c r="A1240" s="36" t="s">
        <v>2185</v>
      </c>
      <c r="B1240" s="38" t="s">
        <v>2353</v>
      </c>
      <c r="C1240" s="38" t="s">
        <v>2543</v>
      </c>
      <c r="D1240" s="38">
        <v>1000001683</v>
      </c>
      <c r="E1240" s="39" t="s">
        <v>2544</v>
      </c>
      <c r="F1240" s="49">
        <v>41303</v>
      </c>
      <c r="G1240" s="22" t="str">
        <f t="shared" si="266"/>
        <v>Targeted Dealer</v>
      </c>
      <c r="H1240" s="22"/>
      <c r="I1240" s="23">
        <v>15</v>
      </c>
      <c r="J1240" s="23">
        <f t="shared" si="267"/>
        <v>15</v>
      </c>
      <c r="K1240" s="24">
        <v>0</v>
      </c>
      <c r="L1240" s="24">
        <f t="shared" si="268"/>
        <v>15</v>
      </c>
      <c r="M1240" s="24">
        <f t="shared" si="269"/>
        <v>0</v>
      </c>
      <c r="N1240" s="25">
        <v>7.5</v>
      </c>
      <c r="O1240" s="26" t="str">
        <f t="shared" si="270"/>
        <v>June</v>
      </c>
      <c r="P1240" s="25">
        <f t="shared" si="271"/>
        <v>7.5</v>
      </c>
      <c r="Q1240" s="27">
        <f t="shared" si="272"/>
        <v>-7.5</v>
      </c>
      <c r="R1240" s="26" t="b">
        <f t="shared" si="273"/>
        <v>0</v>
      </c>
      <c r="S1240" s="28" t="str">
        <f t="shared" si="274"/>
        <v>GROWTH</v>
      </c>
      <c r="T1240" s="24">
        <v>0</v>
      </c>
      <c r="U1240" s="29" t="str">
        <f t="shared" si="275"/>
        <v>May</v>
      </c>
      <c r="V1240" s="24">
        <f t="shared" si="276"/>
        <v>0</v>
      </c>
      <c r="W1240" s="30">
        <f t="shared" si="277"/>
        <v>0</v>
      </c>
      <c r="X1240" s="31" t="b">
        <f t="shared" si="278"/>
        <v>0</v>
      </c>
      <c r="Y1240" s="32" t="b">
        <f t="shared" si="279"/>
        <v>0</v>
      </c>
      <c r="Z1240" s="41">
        <v>0</v>
      </c>
      <c r="AA1240" s="36"/>
      <c r="AB1240" s="36" t="s">
        <v>24</v>
      </c>
      <c r="AC1240" s="36" t="s">
        <v>2185</v>
      </c>
      <c r="AD1240" s="34"/>
      <c r="AE1240" s="35">
        <f>IFERROR(INDEX([1]Last6M_AvgSales_Ref!$B$2:$B$12659,MATCH(D1240,[1]Last6M_AvgSales_Ref!$A$2:$A$12659,0)),"")</f>
        <v>5</v>
      </c>
    </row>
    <row r="1241" spans="1:31" ht="14.25" customHeight="1" x14ac:dyDescent="0.3">
      <c r="A1241" s="36" t="s">
        <v>24</v>
      </c>
      <c r="B1241" s="37" t="s">
        <v>25</v>
      </c>
      <c r="C1241" s="38" t="s">
        <v>2545</v>
      </c>
      <c r="D1241" s="38">
        <v>1000004167</v>
      </c>
      <c r="E1241" s="39" t="s">
        <v>2546</v>
      </c>
      <c r="F1241" s="49">
        <v>45606</v>
      </c>
      <c r="G1241" s="22" t="str">
        <f t="shared" si="266"/>
        <v>Targeted Dealer</v>
      </c>
      <c r="H1241" s="22"/>
      <c r="I1241" s="23">
        <v>250</v>
      </c>
      <c r="J1241" s="23">
        <f t="shared" si="267"/>
        <v>250.00000000000003</v>
      </c>
      <c r="K1241" s="24">
        <v>273</v>
      </c>
      <c r="L1241" s="24">
        <f t="shared" si="268"/>
        <v>-23</v>
      </c>
      <c r="M1241" s="24">
        <f t="shared" si="269"/>
        <v>109.19999999999997</v>
      </c>
      <c r="N1241" s="25">
        <v>221</v>
      </c>
      <c r="O1241" s="26" t="str">
        <f t="shared" si="270"/>
        <v>June</v>
      </c>
      <c r="P1241" s="25">
        <f t="shared" si="271"/>
        <v>221</v>
      </c>
      <c r="Q1241" s="27">
        <f t="shared" si="272"/>
        <v>52</v>
      </c>
      <c r="R1241" s="26" t="b">
        <f t="shared" si="273"/>
        <v>0</v>
      </c>
      <c r="S1241" s="28" t="str">
        <f t="shared" si="274"/>
        <v>GROWTH</v>
      </c>
      <c r="T1241" s="24">
        <v>105</v>
      </c>
      <c r="U1241" s="29" t="str">
        <f t="shared" si="275"/>
        <v>May</v>
      </c>
      <c r="V1241" s="24">
        <f t="shared" si="276"/>
        <v>105</v>
      </c>
      <c r="W1241" s="30">
        <f t="shared" si="277"/>
        <v>168</v>
      </c>
      <c r="X1241" s="31" t="b">
        <f t="shared" si="278"/>
        <v>0</v>
      </c>
      <c r="Y1241" s="32" t="str">
        <f t="shared" si="279"/>
        <v>GROWTH</v>
      </c>
      <c r="Z1241" s="41">
        <v>0</v>
      </c>
      <c r="AA1241" s="36"/>
      <c r="AB1241" s="36" t="s">
        <v>24</v>
      </c>
      <c r="AC1241" s="36" t="s">
        <v>24</v>
      </c>
      <c r="AD1241" s="34"/>
      <c r="AE1241" s="35">
        <f>IFERROR(INDEX([1]Last6M_AvgSales_Ref!$B$2:$B$12659,MATCH(D1241,[1]Last6M_AvgSales_Ref!$A$2:$A$12659,0)),"")</f>
        <v>175</v>
      </c>
    </row>
    <row r="1242" spans="1:31" ht="14.25" customHeight="1" x14ac:dyDescent="0.3">
      <c r="A1242" s="36" t="s">
        <v>848</v>
      </c>
      <c r="B1242" s="38" t="s">
        <v>1647</v>
      </c>
      <c r="C1242" s="38" t="s">
        <v>2547</v>
      </c>
      <c r="D1242" s="38">
        <v>1000004169</v>
      </c>
      <c r="E1242" s="39" t="s">
        <v>2548</v>
      </c>
      <c r="F1242" s="49">
        <v>45606</v>
      </c>
      <c r="G1242" s="22" t="str">
        <f t="shared" si="266"/>
        <v>Targeted Dealer</v>
      </c>
      <c r="H1242" s="22"/>
      <c r="I1242" s="23">
        <v>100</v>
      </c>
      <c r="J1242" s="23">
        <f t="shared" si="267"/>
        <v>100</v>
      </c>
      <c r="K1242" s="24">
        <v>40</v>
      </c>
      <c r="L1242" s="24">
        <f t="shared" si="268"/>
        <v>60</v>
      </c>
      <c r="M1242" s="24">
        <f t="shared" si="269"/>
        <v>40</v>
      </c>
      <c r="N1242" s="25">
        <v>46</v>
      </c>
      <c r="O1242" s="26" t="str">
        <f t="shared" si="270"/>
        <v>June</v>
      </c>
      <c r="P1242" s="25">
        <f t="shared" si="271"/>
        <v>46</v>
      </c>
      <c r="Q1242" s="27">
        <f t="shared" si="272"/>
        <v>-6</v>
      </c>
      <c r="R1242" s="26" t="b">
        <f t="shared" si="273"/>
        <v>0</v>
      </c>
      <c r="S1242" s="28" t="str">
        <f t="shared" si="274"/>
        <v>GROWTH</v>
      </c>
      <c r="T1242" s="24">
        <v>30</v>
      </c>
      <c r="U1242" s="29" t="str">
        <f t="shared" si="275"/>
        <v>May</v>
      </c>
      <c r="V1242" s="24">
        <f t="shared" si="276"/>
        <v>30</v>
      </c>
      <c r="W1242" s="30">
        <f t="shared" si="277"/>
        <v>10</v>
      </c>
      <c r="X1242" s="31" t="b">
        <f t="shared" si="278"/>
        <v>0</v>
      </c>
      <c r="Y1242" s="32" t="str">
        <f t="shared" si="279"/>
        <v>GROWTH</v>
      </c>
      <c r="Z1242" s="41">
        <v>0</v>
      </c>
      <c r="AA1242" s="36"/>
      <c r="AB1242" s="36" t="s">
        <v>24</v>
      </c>
      <c r="AC1242" s="36" t="s">
        <v>848</v>
      </c>
      <c r="AD1242" s="34"/>
      <c r="AE1242" s="35">
        <f>IFERROR(INDEX([1]Last6M_AvgSales_Ref!$B$2:$B$12659,MATCH(D1242,[1]Last6M_AvgSales_Ref!$A$2:$A$12659,0)),"")</f>
        <v>32</v>
      </c>
    </row>
    <row r="1243" spans="1:31" ht="14.25" customHeight="1" x14ac:dyDescent="0.3">
      <c r="A1243" s="36" t="s">
        <v>848</v>
      </c>
      <c r="B1243" s="38" t="s">
        <v>1666</v>
      </c>
      <c r="C1243" s="38" t="s">
        <v>2549</v>
      </c>
      <c r="D1243" s="38">
        <v>1000000378</v>
      </c>
      <c r="E1243" s="39" t="s">
        <v>2550</v>
      </c>
      <c r="F1243" s="49">
        <v>43911</v>
      </c>
      <c r="G1243" s="22" t="str">
        <f t="shared" si="266"/>
        <v>Targeted Dealer</v>
      </c>
      <c r="H1243" s="22"/>
      <c r="I1243" s="23">
        <v>100</v>
      </c>
      <c r="J1243" s="23">
        <f t="shared" si="267"/>
        <v>100</v>
      </c>
      <c r="K1243" s="24">
        <v>68.75</v>
      </c>
      <c r="L1243" s="24">
        <f t="shared" si="268"/>
        <v>31.25</v>
      </c>
      <c r="M1243" s="24">
        <f t="shared" si="269"/>
        <v>68.75</v>
      </c>
      <c r="N1243" s="25">
        <v>42.75</v>
      </c>
      <c r="O1243" s="26" t="str">
        <f t="shared" si="270"/>
        <v>June</v>
      </c>
      <c r="P1243" s="25">
        <f t="shared" si="271"/>
        <v>42.75</v>
      </c>
      <c r="Q1243" s="27">
        <f t="shared" si="272"/>
        <v>26</v>
      </c>
      <c r="R1243" s="26" t="b">
        <f t="shared" si="273"/>
        <v>0</v>
      </c>
      <c r="S1243" s="28" t="str">
        <f t="shared" si="274"/>
        <v>GROWTH</v>
      </c>
      <c r="T1243" s="24">
        <v>47.25</v>
      </c>
      <c r="U1243" s="29" t="str">
        <f t="shared" si="275"/>
        <v>May</v>
      </c>
      <c r="V1243" s="24">
        <f t="shared" si="276"/>
        <v>47.25</v>
      </c>
      <c r="W1243" s="30">
        <f t="shared" si="277"/>
        <v>21.5</v>
      </c>
      <c r="X1243" s="31" t="b">
        <f t="shared" si="278"/>
        <v>0</v>
      </c>
      <c r="Y1243" s="32" t="str">
        <f t="shared" si="279"/>
        <v>GROWTH</v>
      </c>
      <c r="Z1243" s="41">
        <v>0</v>
      </c>
      <c r="AA1243" s="36"/>
      <c r="AB1243" s="36" t="s">
        <v>24</v>
      </c>
      <c r="AC1243" s="36" t="s">
        <v>848</v>
      </c>
      <c r="AD1243" s="34"/>
      <c r="AE1243" s="35">
        <f>IFERROR(INDEX([1]Last6M_AvgSales_Ref!$B$2:$B$12659,MATCH(D1243,[1]Last6M_AvgSales_Ref!$A$2:$A$12659,0)),"")</f>
        <v>40.625</v>
      </c>
    </row>
    <row r="1244" spans="1:31" ht="14.25" customHeight="1" x14ac:dyDescent="0.3">
      <c r="A1244" s="36" t="s">
        <v>1836</v>
      </c>
      <c r="B1244" s="38" t="s">
        <v>2145</v>
      </c>
      <c r="C1244" s="38" t="s">
        <v>2551</v>
      </c>
      <c r="D1244" s="38">
        <v>1000001366</v>
      </c>
      <c r="E1244" s="39" t="s">
        <v>2552</v>
      </c>
      <c r="F1244" s="49">
        <v>44054</v>
      </c>
      <c r="G1244" s="22" t="str">
        <f t="shared" si="266"/>
        <v>Targeted Dealer</v>
      </c>
      <c r="H1244" s="22"/>
      <c r="I1244" s="23">
        <v>400</v>
      </c>
      <c r="J1244" s="23">
        <f t="shared" si="267"/>
        <v>400</v>
      </c>
      <c r="K1244" s="24">
        <v>370.75</v>
      </c>
      <c r="L1244" s="24">
        <f t="shared" si="268"/>
        <v>29.25</v>
      </c>
      <c r="M1244" s="24">
        <f t="shared" si="269"/>
        <v>92.6875</v>
      </c>
      <c r="N1244" s="25">
        <v>30.5</v>
      </c>
      <c r="O1244" s="26" t="str">
        <f t="shared" si="270"/>
        <v>June</v>
      </c>
      <c r="P1244" s="25">
        <f t="shared" si="271"/>
        <v>30.5</v>
      </c>
      <c r="Q1244" s="27">
        <f t="shared" si="272"/>
        <v>340.25</v>
      </c>
      <c r="R1244" s="26" t="b">
        <f t="shared" si="273"/>
        <v>0</v>
      </c>
      <c r="S1244" s="28" t="str">
        <f t="shared" si="274"/>
        <v>GROWTH</v>
      </c>
      <c r="T1244" s="24">
        <v>410.85</v>
      </c>
      <c r="U1244" s="29" t="str">
        <f t="shared" si="275"/>
        <v>May</v>
      </c>
      <c r="V1244" s="24">
        <f t="shared" si="276"/>
        <v>410.85</v>
      </c>
      <c r="W1244" s="30">
        <f t="shared" si="277"/>
        <v>-40.100000000000023</v>
      </c>
      <c r="X1244" s="31" t="b">
        <f t="shared" si="278"/>
        <v>0</v>
      </c>
      <c r="Y1244" s="32" t="str">
        <f t="shared" si="279"/>
        <v>GROWTH</v>
      </c>
      <c r="Z1244" s="41">
        <v>0</v>
      </c>
      <c r="AA1244" s="36"/>
      <c r="AB1244" s="36" t="s">
        <v>24</v>
      </c>
      <c r="AC1244" s="36" t="s">
        <v>1836</v>
      </c>
      <c r="AD1244" s="34"/>
      <c r="AE1244" s="35">
        <f>IFERROR(INDEX([1]Last6M_AvgSales_Ref!$B$2:$B$12659,MATCH(D1244,[1]Last6M_AvgSales_Ref!$A$2:$A$12659,0)),"")</f>
        <v>477.4</v>
      </c>
    </row>
    <row r="1245" spans="1:31" ht="14.25" customHeight="1" x14ac:dyDescent="0.3">
      <c r="A1245" s="36" t="s">
        <v>24</v>
      </c>
      <c r="B1245" s="38" t="s">
        <v>752</v>
      </c>
      <c r="C1245" s="38" t="s">
        <v>2553</v>
      </c>
      <c r="D1245" s="38">
        <v>1000004159</v>
      </c>
      <c r="E1245" s="39" t="s">
        <v>2554</v>
      </c>
      <c r="F1245" s="49">
        <v>45594</v>
      </c>
      <c r="G1245" s="22" t="str">
        <f t="shared" si="266"/>
        <v>Targeted Dealer</v>
      </c>
      <c r="H1245" s="22"/>
      <c r="I1245" s="23">
        <v>60</v>
      </c>
      <c r="J1245" s="23">
        <f t="shared" si="267"/>
        <v>60</v>
      </c>
      <c r="K1245" s="24">
        <v>39</v>
      </c>
      <c r="L1245" s="24">
        <f t="shared" si="268"/>
        <v>21</v>
      </c>
      <c r="M1245" s="24">
        <f t="shared" si="269"/>
        <v>65</v>
      </c>
      <c r="N1245" s="25">
        <v>0</v>
      </c>
      <c r="O1245" s="26" t="str">
        <f t="shared" si="270"/>
        <v>June</v>
      </c>
      <c r="P1245" s="25">
        <f t="shared" si="271"/>
        <v>0</v>
      </c>
      <c r="Q1245" s="27">
        <f t="shared" si="272"/>
        <v>39</v>
      </c>
      <c r="R1245" s="26" t="b">
        <f t="shared" si="273"/>
        <v>0</v>
      </c>
      <c r="S1245" s="28" t="b">
        <f t="shared" si="274"/>
        <v>0</v>
      </c>
      <c r="T1245" s="24">
        <v>0</v>
      </c>
      <c r="U1245" s="29" t="str">
        <f t="shared" si="275"/>
        <v>May</v>
      </c>
      <c r="V1245" s="24">
        <f t="shared" si="276"/>
        <v>0</v>
      </c>
      <c r="W1245" s="30">
        <f t="shared" si="277"/>
        <v>39</v>
      </c>
      <c r="X1245" s="31" t="b">
        <f t="shared" si="278"/>
        <v>0</v>
      </c>
      <c r="Y1245" s="32" t="b">
        <f t="shared" si="279"/>
        <v>0</v>
      </c>
      <c r="Z1245" s="41">
        <v>0</v>
      </c>
      <c r="AA1245" s="36"/>
      <c r="AB1245" s="36" t="s">
        <v>24</v>
      </c>
      <c r="AC1245" s="36" t="s">
        <v>24</v>
      </c>
      <c r="AD1245" s="34"/>
      <c r="AE1245" s="35">
        <f>IFERROR(INDEX([1]Last6M_AvgSales_Ref!$B$2:$B$12659,MATCH(D1245,[1]Last6M_AvgSales_Ref!$A$2:$A$12659,0)),"")</f>
        <v>44.5</v>
      </c>
    </row>
    <row r="1246" spans="1:31" ht="14.25" customHeight="1" x14ac:dyDescent="0.3">
      <c r="A1246" s="36" t="s">
        <v>24</v>
      </c>
      <c r="B1246" s="37" t="s">
        <v>59</v>
      </c>
      <c r="C1246" s="38" t="s">
        <v>2555</v>
      </c>
      <c r="D1246" s="38">
        <v>1000004170</v>
      </c>
      <c r="E1246" s="39" t="s">
        <v>2556</v>
      </c>
      <c r="F1246" s="49">
        <v>45611</v>
      </c>
      <c r="G1246" s="22" t="str">
        <f t="shared" si="266"/>
        <v>Targeted Dealer</v>
      </c>
      <c r="H1246" s="22"/>
      <c r="I1246" s="23">
        <v>40</v>
      </c>
      <c r="J1246" s="23">
        <f t="shared" si="267"/>
        <v>40</v>
      </c>
      <c r="K1246" s="24">
        <v>45</v>
      </c>
      <c r="L1246" s="24">
        <f t="shared" si="268"/>
        <v>-5</v>
      </c>
      <c r="M1246" s="24">
        <f t="shared" si="269"/>
        <v>112.5</v>
      </c>
      <c r="N1246" s="25">
        <v>25</v>
      </c>
      <c r="O1246" s="26" t="str">
        <f t="shared" si="270"/>
        <v>June</v>
      </c>
      <c r="P1246" s="25">
        <f t="shared" si="271"/>
        <v>25</v>
      </c>
      <c r="Q1246" s="27">
        <f t="shared" si="272"/>
        <v>20</v>
      </c>
      <c r="R1246" s="26" t="b">
        <f t="shared" si="273"/>
        <v>0</v>
      </c>
      <c r="S1246" s="28" t="str">
        <f t="shared" si="274"/>
        <v>GROWTH</v>
      </c>
      <c r="T1246" s="24">
        <v>20</v>
      </c>
      <c r="U1246" s="29" t="str">
        <f t="shared" si="275"/>
        <v>May</v>
      </c>
      <c r="V1246" s="24">
        <f t="shared" si="276"/>
        <v>20</v>
      </c>
      <c r="W1246" s="30">
        <f t="shared" si="277"/>
        <v>25</v>
      </c>
      <c r="X1246" s="31" t="b">
        <f t="shared" si="278"/>
        <v>0</v>
      </c>
      <c r="Y1246" s="32" t="str">
        <f t="shared" si="279"/>
        <v>GROWTH</v>
      </c>
      <c r="Z1246" s="41">
        <v>0</v>
      </c>
      <c r="AA1246" s="36"/>
      <c r="AB1246" s="36" t="s">
        <v>24</v>
      </c>
      <c r="AC1246" s="36" t="s">
        <v>24</v>
      </c>
      <c r="AD1246" s="34"/>
      <c r="AE1246" s="35">
        <f>IFERROR(INDEX([1]Last6M_AvgSales_Ref!$B$2:$B$12659,MATCH(D1246,[1]Last6M_AvgSales_Ref!$A$2:$A$12659,0)),"")</f>
        <v>39.1666666666667</v>
      </c>
    </row>
    <row r="1247" spans="1:31" ht="14.25" customHeight="1" x14ac:dyDescent="0.3">
      <c r="A1247" s="36" t="s">
        <v>24</v>
      </c>
      <c r="B1247" s="38" t="s">
        <v>2557</v>
      </c>
      <c r="C1247" s="38" t="s">
        <v>2558</v>
      </c>
      <c r="D1247" s="38">
        <v>1000003041</v>
      </c>
      <c r="E1247" s="39" t="s">
        <v>2559</v>
      </c>
      <c r="F1247" s="49">
        <v>44847</v>
      </c>
      <c r="G1247" s="22" t="str">
        <f t="shared" si="266"/>
        <v>Targeted Dealer</v>
      </c>
      <c r="H1247" s="22"/>
      <c r="I1247" s="23">
        <v>160</v>
      </c>
      <c r="J1247" s="23">
        <f t="shared" si="267"/>
        <v>160</v>
      </c>
      <c r="K1247" s="24">
        <v>160</v>
      </c>
      <c r="L1247" s="24">
        <f t="shared" si="268"/>
        <v>0</v>
      </c>
      <c r="M1247" s="24">
        <f t="shared" si="269"/>
        <v>100</v>
      </c>
      <c r="N1247" s="25">
        <v>80</v>
      </c>
      <c r="O1247" s="26" t="str">
        <f t="shared" si="270"/>
        <v>June</v>
      </c>
      <c r="P1247" s="25">
        <f t="shared" si="271"/>
        <v>80</v>
      </c>
      <c r="Q1247" s="27">
        <f t="shared" si="272"/>
        <v>80</v>
      </c>
      <c r="R1247" s="26" t="b">
        <f t="shared" si="273"/>
        <v>0</v>
      </c>
      <c r="S1247" s="28" t="str">
        <f t="shared" si="274"/>
        <v>GROWTH</v>
      </c>
      <c r="T1247" s="24">
        <v>0</v>
      </c>
      <c r="U1247" s="29" t="str">
        <f t="shared" si="275"/>
        <v>May</v>
      </c>
      <c r="V1247" s="24">
        <f t="shared" si="276"/>
        <v>0</v>
      </c>
      <c r="W1247" s="30">
        <f t="shared" si="277"/>
        <v>160</v>
      </c>
      <c r="X1247" s="31" t="b">
        <f t="shared" si="278"/>
        <v>0</v>
      </c>
      <c r="Y1247" s="32" t="b">
        <f t="shared" si="279"/>
        <v>0</v>
      </c>
      <c r="Z1247" s="41">
        <v>0</v>
      </c>
      <c r="AA1247" s="36"/>
      <c r="AB1247" s="36" t="s">
        <v>24</v>
      </c>
      <c r="AC1247" s="36" t="s">
        <v>24</v>
      </c>
      <c r="AD1247" s="34"/>
      <c r="AE1247" s="35">
        <f>IFERROR(INDEX([1]Last6M_AvgSales_Ref!$B$2:$B$12659,MATCH(D1247,[1]Last6M_AvgSales_Ref!$A$2:$A$12659,0)),"")</f>
        <v>110</v>
      </c>
    </row>
    <row r="1248" spans="1:31" ht="14.25" customHeight="1" x14ac:dyDescent="0.3">
      <c r="A1248" s="36" t="s">
        <v>848</v>
      </c>
      <c r="B1248" s="37" t="s">
        <v>1098</v>
      </c>
      <c r="C1248" s="38" t="s">
        <v>2560</v>
      </c>
      <c r="D1248" s="38">
        <v>1000004172</v>
      </c>
      <c r="E1248" s="39" t="s">
        <v>2561</v>
      </c>
      <c r="F1248" s="49">
        <v>45618</v>
      </c>
      <c r="G1248" s="22" t="str">
        <f t="shared" si="266"/>
        <v>Targeted Dealer</v>
      </c>
      <c r="H1248" s="22"/>
      <c r="I1248" s="23">
        <v>150</v>
      </c>
      <c r="J1248" s="23">
        <f t="shared" si="267"/>
        <v>150</v>
      </c>
      <c r="K1248" s="24">
        <v>60</v>
      </c>
      <c r="L1248" s="24">
        <f t="shared" si="268"/>
        <v>90</v>
      </c>
      <c r="M1248" s="24">
        <f t="shared" si="269"/>
        <v>40</v>
      </c>
      <c r="N1248" s="25">
        <v>75</v>
      </c>
      <c r="O1248" s="26" t="str">
        <f t="shared" si="270"/>
        <v>June</v>
      </c>
      <c r="P1248" s="25">
        <f t="shared" si="271"/>
        <v>75</v>
      </c>
      <c r="Q1248" s="27">
        <f t="shared" si="272"/>
        <v>-15</v>
      </c>
      <c r="R1248" s="26" t="b">
        <f t="shared" si="273"/>
        <v>0</v>
      </c>
      <c r="S1248" s="28" t="str">
        <f t="shared" si="274"/>
        <v>GROWTH</v>
      </c>
      <c r="T1248" s="24">
        <v>75</v>
      </c>
      <c r="U1248" s="29" t="str">
        <f t="shared" si="275"/>
        <v>May</v>
      </c>
      <c r="V1248" s="24">
        <f t="shared" si="276"/>
        <v>75</v>
      </c>
      <c r="W1248" s="30">
        <f t="shared" si="277"/>
        <v>-15</v>
      </c>
      <c r="X1248" s="31" t="b">
        <f t="shared" si="278"/>
        <v>0</v>
      </c>
      <c r="Y1248" s="32" t="str">
        <f t="shared" si="279"/>
        <v>GROWTH</v>
      </c>
      <c r="Z1248" s="41">
        <v>0</v>
      </c>
      <c r="AA1248" s="36"/>
      <c r="AB1248" s="36" t="s">
        <v>24</v>
      </c>
      <c r="AC1248" s="36" t="s">
        <v>848</v>
      </c>
      <c r="AD1248" s="34"/>
      <c r="AE1248" s="35">
        <f>IFERROR(INDEX([1]Last6M_AvgSales_Ref!$B$2:$B$12659,MATCH(D1248,[1]Last6M_AvgSales_Ref!$A$2:$A$12659,0)),"")</f>
        <v>67.5</v>
      </c>
    </row>
    <row r="1249" spans="1:31" ht="14.25" customHeight="1" x14ac:dyDescent="0.3">
      <c r="A1249" s="36" t="s">
        <v>24</v>
      </c>
      <c r="B1249" s="38" t="s">
        <v>645</v>
      </c>
      <c r="C1249" s="38" t="s">
        <v>2562</v>
      </c>
      <c r="D1249" s="38">
        <v>1000004183</v>
      </c>
      <c r="E1249" s="39" t="s">
        <v>2563</v>
      </c>
      <c r="F1249" s="49">
        <v>45621</v>
      </c>
      <c r="G1249" s="22" t="str">
        <f t="shared" si="266"/>
        <v>Targeted Dealer</v>
      </c>
      <c r="H1249" s="22"/>
      <c r="I1249" s="23">
        <v>100</v>
      </c>
      <c r="J1249" s="23">
        <f t="shared" si="267"/>
        <v>100</v>
      </c>
      <c r="K1249" s="24">
        <v>71.5</v>
      </c>
      <c r="L1249" s="24">
        <f t="shared" si="268"/>
        <v>28.5</v>
      </c>
      <c r="M1249" s="24">
        <f t="shared" si="269"/>
        <v>71.5</v>
      </c>
      <c r="N1249" s="25">
        <v>100</v>
      </c>
      <c r="O1249" s="26" t="str">
        <f t="shared" si="270"/>
        <v>June</v>
      </c>
      <c r="P1249" s="25">
        <f t="shared" si="271"/>
        <v>100</v>
      </c>
      <c r="Q1249" s="27">
        <f t="shared" si="272"/>
        <v>-28.5</v>
      </c>
      <c r="R1249" s="26" t="b">
        <f t="shared" si="273"/>
        <v>0</v>
      </c>
      <c r="S1249" s="28" t="str">
        <f t="shared" si="274"/>
        <v>GROWTH</v>
      </c>
      <c r="T1249" s="24">
        <v>90</v>
      </c>
      <c r="U1249" s="29" t="str">
        <f t="shared" si="275"/>
        <v>May</v>
      </c>
      <c r="V1249" s="24">
        <f t="shared" si="276"/>
        <v>90</v>
      </c>
      <c r="W1249" s="30">
        <f t="shared" si="277"/>
        <v>-18.5</v>
      </c>
      <c r="X1249" s="31" t="b">
        <f t="shared" si="278"/>
        <v>0</v>
      </c>
      <c r="Y1249" s="32" t="str">
        <f t="shared" si="279"/>
        <v>GROWTH</v>
      </c>
      <c r="Z1249" s="41">
        <v>0</v>
      </c>
      <c r="AA1249" s="36"/>
      <c r="AB1249" s="36" t="s">
        <v>24</v>
      </c>
      <c r="AC1249" s="36" t="s">
        <v>24</v>
      </c>
      <c r="AD1249" s="34"/>
      <c r="AE1249" s="35">
        <f>IFERROR(INDEX([1]Last6M_AvgSales_Ref!$B$2:$B$12659,MATCH(D1249,[1]Last6M_AvgSales_Ref!$A$2:$A$12659,0)),"")</f>
        <v>62</v>
      </c>
    </row>
    <row r="1250" spans="1:31" ht="14.25" customHeight="1" x14ac:dyDescent="0.3">
      <c r="A1250" s="36" t="s">
        <v>24</v>
      </c>
      <c r="B1250" s="38" t="s">
        <v>752</v>
      </c>
      <c r="C1250" s="38" t="s">
        <v>2564</v>
      </c>
      <c r="D1250" s="38">
        <v>1000004171</v>
      </c>
      <c r="E1250" s="39" t="s">
        <v>2565</v>
      </c>
      <c r="F1250" s="49">
        <v>45611</v>
      </c>
      <c r="G1250" s="22" t="str">
        <f t="shared" si="266"/>
        <v>-</v>
      </c>
      <c r="H1250" s="22"/>
      <c r="I1250" s="23">
        <v>0</v>
      </c>
      <c r="J1250" s="23">
        <f t="shared" si="267"/>
        <v>0</v>
      </c>
      <c r="K1250" s="24">
        <v>50</v>
      </c>
      <c r="L1250" s="24">
        <f t="shared" si="268"/>
        <v>-50</v>
      </c>
      <c r="M1250" s="24" t="str">
        <f t="shared" si="269"/>
        <v>-</v>
      </c>
      <c r="N1250" s="25">
        <v>0</v>
      </c>
      <c r="O1250" s="26" t="str">
        <f t="shared" si="270"/>
        <v>June</v>
      </c>
      <c r="P1250" s="25">
        <f t="shared" si="271"/>
        <v>0</v>
      </c>
      <c r="Q1250" s="27">
        <f t="shared" si="272"/>
        <v>50</v>
      </c>
      <c r="R1250" s="26" t="b">
        <f t="shared" si="273"/>
        <v>0</v>
      </c>
      <c r="S1250" s="28" t="b">
        <f t="shared" si="274"/>
        <v>0</v>
      </c>
      <c r="T1250" s="24">
        <v>0</v>
      </c>
      <c r="U1250" s="29" t="str">
        <f t="shared" si="275"/>
        <v>May</v>
      </c>
      <c r="V1250" s="24">
        <f t="shared" si="276"/>
        <v>0</v>
      </c>
      <c r="W1250" s="30">
        <f t="shared" si="277"/>
        <v>50</v>
      </c>
      <c r="X1250" s="31" t="b">
        <f t="shared" si="278"/>
        <v>0</v>
      </c>
      <c r="Y1250" s="32" t="b">
        <f t="shared" si="279"/>
        <v>0</v>
      </c>
      <c r="Z1250" s="41">
        <v>0</v>
      </c>
      <c r="AA1250" s="36"/>
      <c r="AB1250" s="36" t="s">
        <v>24</v>
      </c>
      <c r="AC1250" s="36" t="s">
        <v>24</v>
      </c>
      <c r="AD1250" s="34"/>
      <c r="AE1250" s="35">
        <f>IFERROR(INDEX([1]Last6M_AvgSales_Ref!$B$2:$B$12659,MATCH(D1250,[1]Last6M_AvgSales_Ref!$A$2:$A$12659,0)),"")</f>
        <v>30</v>
      </c>
    </row>
    <row r="1251" spans="1:31" ht="14.25" customHeight="1" x14ac:dyDescent="0.3">
      <c r="A1251" s="36" t="s">
        <v>24</v>
      </c>
      <c r="B1251" s="38" t="s">
        <v>656</v>
      </c>
      <c r="C1251" s="38" t="s">
        <v>2566</v>
      </c>
      <c r="D1251" s="38">
        <v>1000004182</v>
      </c>
      <c r="E1251" s="39" t="s">
        <v>2567</v>
      </c>
      <c r="F1251" s="49">
        <v>45621</v>
      </c>
      <c r="G1251" s="22" t="str">
        <f t="shared" si="266"/>
        <v>-</v>
      </c>
      <c r="H1251" s="22"/>
      <c r="I1251" s="23">
        <v>0</v>
      </c>
      <c r="J1251" s="23">
        <f t="shared" si="267"/>
        <v>0</v>
      </c>
      <c r="K1251" s="24">
        <v>0</v>
      </c>
      <c r="L1251" s="24">
        <f t="shared" si="268"/>
        <v>0</v>
      </c>
      <c r="M1251" s="24" t="str">
        <f t="shared" si="269"/>
        <v>-</v>
      </c>
      <c r="N1251" s="25">
        <v>0</v>
      </c>
      <c r="O1251" s="26" t="str">
        <f t="shared" si="270"/>
        <v>June</v>
      </c>
      <c r="P1251" s="25">
        <f t="shared" si="271"/>
        <v>0</v>
      </c>
      <c r="Q1251" s="27">
        <f t="shared" si="272"/>
        <v>0</v>
      </c>
      <c r="R1251" s="26" t="b">
        <f t="shared" si="273"/>
        <v>0</v>
      </c>
      <c r="S1251" s="28" t="b">
        <f t="shared" si="274"/>
        <v>0</v>
      </c>
      <c r="T1251" s="24">
        <v>40</v>
      </c>
      <c r="U1251" s="29" t="str">
        <f t="shared" si="275"/>
        <v>May</v>
      </c>
      <c r="V1251" s="24">
        <f t="shared" si="276"/>
        <v>40</v>
      </c>
      <c r="W1251" s="30">
        <f t="shared" si="277"/>
        <v>-40</v>
      </c>
      <c r="X1251" s="31" t="b">
        <f t="shared" si="278"/>
        <v>0</v>
      </c>
      <c r="Y1251" s="32" t="str">
        <f t="shared" si="279"/>
        <v>GROWTH</v>
      </c>
      <c r="Z1251" s="41">
        <v>0</v>
      </c>
      <c r="AA1251" s="36"/>
      <c r="AB1251" s="36" t="s">
        <v>24</v>
      </c>
      <c r="AC1251" s="36" t="s">
        <v>24</v>
      </c>
      <c r="AD1251" s="34"/>
      <c r="AE1251" s="35">
        <f>IFERROR(INDEX([1]Last6M_AvgSales_Ref!$B$2:$B$12659,MATCH(D1251,[1]Last6M_AvgSales_Ref!$A$2:$A$12659,0)),"")</f>
        <v>58.3333333333333</v>
      </c>
    </row>
    <row r="1252" spans="1:31" ht="14.25" customHeight="1" x14ac:dyDescent="0.3">
      <c r="A1252" s="36" t="s">
        <v>24</v>
      </c>
      <c r="B1252" s="38" t="s">
        <v>752</v>
      </c>
      <c r="C1252" s="38" t="s">
        <v>2568</v>
      </c>
      <c r="D1252" s="38">
        <v>1000000568</v>
      </c>
      <c r="E1252" s="39" t="s">
        <v>2569</v>
      </c>
      <c r="F1252" s="49">
        <v>44738</v>
      </c>
      <c r="G1252" s="22" t="str">
        <f t="shared" si="266"/>
        <v>Targeted Dealer</v>
      </c>
      <c r="H1252" s="22"/>
      <c r="I1252" s="23">
        <v>105</v>
      </c>
      <c r="J1252" s="23">
        <f t="shared" si="267"/>
        <v>105</v>
      </c>
      <c r="K1252" s="24">
        <v>60</v>
      </c>
      <c r="L1252" s="24">
        <f t="shared" si="268"/>
        <v>45</v>
      </c>
      <c r="M1252" s="24">
        <f t="shared" si="269"/>
        <v>57.142857142857139</v>
      </c>
      <c r="N1252" s="25">
        <v>60</v>
      </c>
      <c r="O1252" s="26" t="str">
        <f t="shared" si="270"/>
        <v>June</v>
      </c>
      <c r="P1252" s="25">
        <f t="shared" si="271"/>
        <v>60</v>
      </c>
      <c r="Q1252" s="27">
        <f t="shared" si="272"/>
        <v>0</v>
      </c>
      <c r="R1252" s="26" t="b">
        <f t="shared" si="273"/>
        <v>0</v>
      </c>
      <c r="S1252" s="28" t="str">
        <f t="shared" si="274"/>
        <v>GROWTH</v>
      </c>
      <c r="T1252" s="24">
        <v>30</v>
      </c>
      <c r="U1252" s="29" t="str">
        <f t="shared" si="275"/>
        <v>May</v>
      </c>
      <c r="V1252" s="24">
        <f t="shared" si="276"/>
        <v>30</v>
      </c>
      <c r="W1252" s="30">
        <f t="shared" si="277"/>
        <v>30</v>
      </c>
      <c r="X1252" s="31" t="b">
        <f t="shared" si="278"/>
        <v>0</v>
      </c>
      <c r="Y1252" s="32" t="str">
        <f t="shared" si="279"/>
        <v>GROWTH</v>
      </c>
      <c r="Z1252" s="41">
        <v>0</v>
      </c>
      <c r="AA1252" s="36"/>
      <c r="AB1252" s="36" t="s">
        <v>24</v>
      </c>
      <c r="AC1252" s="36" t="s">
        <v>24</v>
      </c>
      <c r="AD1252" s="34"/>
      <c r="AE1252" s="35">
        <f>IFERROR(INDEX([1]Last6M_AvgSales_Ref!$B$2:$B$12659,MATCH(D1252,[1]Last6M_AvgSales_Ref!$A$2:$A$12659,0)),"")</f>
        <v>123</v>
      </c>
    </row>
    <row r="1253" spans="1:31" ht="14.25" customHeight="1" x14ac:dyDescent="0.3">
      <c r="A1253" s="36" t="s">
        <v>2185</v>
      </c>
      <c r="B1253" s="38" t="s">
        <v>2186</v>
      </c>
      <c r="C1253" s="38" t="s">
        <v>2570</v>
      </c>
      <c r="D1253" s="38">
        <v>1000004184</v>
      </c>
      <c r="E1253" s="39" t="s">
        <v>2571</v>
      </c>
      <c r="F1253" s="49">
        <v>45626</v>
      </c>
      <c r="G1253" s="22" t="str">
        <f t="shared" si="266"/>
        <v>Targeted Dealer</v>
      </c>
      <c r="H1253" s="22"/>
      <c r="I1253" s="23">
        <v>200</v>
      </c>
      <c r="J1253" s="23">
        <f t="shared" si="267"/>
        <v>200</v>
      </c>
      <c r="K1253" s="24">
        <v>35</v>
      </c>
      <c r="L1253" s="24">
        <f t="shared" si="268"/>
        <v>165</v>
      </c>
      <c r="M1253" s="24">
        <f t="shared" si="269"/>
        <v>17.5</v>
      </c>
      <c r="N1253" s="25">
        <v>35</v>
      </c>
      <c r="O1253" s="26" t="str">
        <f t="shared" si="270"/>
        <v>June</v>
      </c>
      <c r="P1253" s="25">
        <f t="shared" si="271"/>
        <v>35</v>
      </c>
      <c r="Q1253" s="27">
        <f t="shared" si="272"/>
        <v>0</v>
      </c>
      <c r="R1253" s="26" t="b">
        <f t="shared" si="273"/>
        <v>0</v>
      </c>
      <c r="S1253" s="28" t="str">
        <f t="shared" si="274"/>
        <v>GROWTH</v>
      </c>
      <c r="T1253" s="24">
        <v>160</v>
      </c>
      <c r="U1253" s="29" t="str">
        <f t="shared" si="275"/>
        <v>May</v>
      </c>
      <c r="V1253" s="24">
        <f t="shared" si="276"/>
        <v>160</v>
      </c>
      <c r="W1253" s="30">
        <f t="shared" si="277"/>
        <v>-125</v>
      </c>
      <c r="X1253" s="31" t="b">
        <f t="shared" si="278"/>
        <v>0</v>
      </c>
      <c r="Y1253" s="32" t="str">
        <f t="shared" si="279"/>
        <v>GROWTH</v>
      </c>
      <c r="Z1253" s="41">
        <v>0</v>
      </c>
      <c r="AA1253" s="36"/>
      <c r="AB1253" s="36" t="s">
        <v>24</v>
      </c>
      <c r="AC1253" s="36" t="s">
        <v>2185</v>
      </c>
      <c r="AD1253" s="34"/>
      <c r="AE1253" s="35">
        <f>IFERROR(INDEX([1]Last6M_AvgSales_Ref!$B$2:$B$12659,MATCH(D1253,[1]Last6M_AvgSales_Ref!$A$2:$A$12659,0)),"")</f>
        <v>63.1666666666667</v>
      </c>
    </row>
    <row r="1254" spans="1:31" ht="14.25" customHeight="1" x14ac:dyDescent="0.3">
      <c r="A1254" s="36" t="s">
        <v>24</v>
      </c>
      <c r="B1254" s="38" t="s">
        <v>570</v>
      </c>
      <c r="C1254" s="38" t="s">
        <v>2572</v>
      </c>
      <c r="D1254" s="38">
        <v>1000004177</v>
      </c>
      <c r="E1254" s="39" t="s">
        <v>2573</v>
      </c>
      <c r="F1254" s="49">
        <v>45630</v>
      </c>
      <c r="G1254" s="22" t="str">
        <f t="shared" si="266"/>
        <v>Targeted Dealer</v>
      </c>
      <c r="H1254" s="22"/>
      <c r="I1254" s="23">
        <v>70</v>
      </c>
      <c r="J1254" s="23">
        <f t="shared" si="267"/>
        <v>70</v>
      </c>
      <c r="K1254" s="24">
        <v>60</v>
      </c>
      <c r="L1254" s="24">
        <f t="shared" si="268"/>
        <v>10</v>
      </c>
      <c r="M1254" s="24">
        <f t="shared" si="269"/>
        <v>85.714285714285722</v>
      </c>
      <c r="N1254" s="25">
        <v>65</v>
      </c>
      <c r="O1254" s="26" t="str">
        <f t="shared" si="270"/>
        <v>June</v>
      </c>
      <c r="P1254" s="25">
        <f t="shared" si="271"/>
        <v>65</v>
      </c>
      <c r="Q1254" s="27">
        <f t="shared" si="272"/>
        <v>-5</v>
      </c>
      <c r="R1254" s="26" t="b">
        <f t="shared" si="273"/>
        <v>0</v>
      </c>
      <c r="S1254" s="28" t="str">
        <f t="shared" si="274"/>
        <v>GROWTH</v>
      </c>
      <c r="T1254" s="24">
        <v>60</v>
      </c>
      <c r="U1254" s="29" t="str">
        <f t="shared" si="275"/>
        <v>May</v>
      </c>
      <c r="V1254" s="24">
        <f t="shared" si="276"/>
        <v>60</v>
      </c>
      <c r="W1254" s="30">
        <f t="shared" si="277"/>
        <v>0</v>
      </c>
      <c r="X1254" s="31" t="b">
        <f t="shared" si="278"/>
        <v>0</v>
      </c>
      <c r="Y1254" s="32" t="str">
        <f t="shared" si="279"/>
        <v>GROWTH</v>
      </c>
      <c r="Z1254" s="41">
        <v>0</v>
      </c>
      <c r="AA1254" s="36"/>
      <c r="AB1254" s="36" t="s">
        <v>24</v>
      </c>
      <c r="AC1254" s="36" t="s">
        <v>24</v>
      </c>
      <c r="AD1254" s="34"/>
      <c r="AE1254" s="35">
        <f>IFERROR(INDEX([1]Last6M_AvgSales_Ref!$B$2:$B$12659,MATCH(D1254,[1]Last6M_AvgSales_Ref!$A$2:$A$12659,0)),"")</f>
        <v>63.6666666666667</v>
      </c>
    </row>
    <row r="1255" spans="1:31" ht="14.25" customHeight="1" x14ac:dyDescent="0.3">
      <c r="A1255" s="36" t="s">
        <v>848</v>
      </c>
      <c r="B1255" s="38" t="s">
        <v>1487</v>
      </c>
      <c r="C1255" s="38" t="s">
        <v>2574</v>
      </c>
      <c r="D1255" s="38">
        <v>1000004174</v>
      </c>
      <c r="E1255" s="39" t="s">
        <v>2575</v>
      </c>
      <c r="F1255" s="49">
        <v>45625</v>
      </c>
      <c r="G1255" s="22" t="str">
        <f t="shared" si="266"/>
        <v>Targeted Dealer</v>
      </c>
      <c r="H1255" s="22"/>
      <c r="I1255" s="23">
        <v>200</v>
      </c>
      <c r="J1255" s="23">
        <f t="shared" si="267"/>
        <v>200</v>
      </c>
      <c r="K1255" s="24">
        <v>132.5</v>
      </c>
      <c r="L1255" s="24">
        <f t="shared" si="268"/>
        <v>67.5</v>
      </c>
      <c r="M1255" s="24">
        <f t="shared" si="269"/>
        <v>66.25</v>
      </c>
      <c r="N1255" s="25">
        <v>205</v>
      </c>
      <c r="O1255" s="26" t="str">
        <f t="shared" si="270"/>
        <v>June</v>
      </c>
      <c r="P1255" s="25">
        <f t="shared" si="271"/>
        <v>205</v>
      </c>
      <c r="Q1255" s="27">
        <f t="shared" si="272"/>
        <v>-72.5</v>
      </c>
      <c r="R1255" s="26" t="b">
        <f t="shared" si="273"/>
        <v>0</v>
      </c>
      <c r="S1255" s="28" t="str">
        <f t="shared" si="274"/>
        <v>GROWTH</v>
      </c>
      <c r="T1255" s="24">
        <v>85.5</v>
      </c>
      <c r="U1255" s="29" t="str">
        <f t="shared" si="275"/>
        <v>May</v>
      </c>
      <c r="V1255" s="24">
        <f t="shared" si="276"/>
        <v>85.5</v>
      </c>
      <c r="W1255" s="30">
        <f t="shared" si="277"/>
        <v>47</v>
      </c>
      <c r="X1255" s="31" t="b">
        <f t="shared" si="278"/>
        <v>0</v>
      </c>
      <c r="Y1255" s="32" t="str">
        <f t="shared" si="279"/>
        <v>GROWTH</v>
      </c>
      <c r="Z1255" s="41">
        <v>0</v>
      </c>
      <c r="AA1255" s="36"/>
      <c r="AB1255" s="36" t="s">
        <v>24</v>
      </c>
      <c r="AC1255" s="36" t="s">
        <v>848</v>
      </c>
      <c r="AD1255" s="34"/>
      <c r="AE1255" s="35">
        <f>IFERROR(INDEX([1]Last6M_AvgSales_Ref!$B$2:$B$12659,MATCH(D1255,[1]Last6M_AvgSales_Ref!$A$2:$A$12659,0)),"")</f>
        <v>142.333333333333</v>
      </c>
    </row>
    <row r="1256" spans="1:31" ht="14.25" customHeight="1" x14ac:dyDescent="0.3">
      <c r="A1256" s="36" t="s">
        <v>848</v>
      </c>
      <c r="B1256" s="38" t="s">
        <v>917</v>
      </c>
      <c r="C1256" s="38" t="s">
        <v>2576</v>
      </c>
      <c r="D1256" s="38">
        <v>1000004175</v>
      </c>
      <c r="E1256" s="39" t="s">
        <v>2577</v>
      </c>
      <c r="F1256" s="49">
        <v>45625</v>
      </c>
      <c r="G1256" s="22" t="str">
        <f t="shared" si="266"/>
        <v>Targeted Dealer</v>
      </c>
      <c r="H1256" s="22"/>
      <c r="I1256" s="23">
        <v>60</v>
      </c>
      <c r="J1256" s="23">
        <f t="shared" si="267"/>
        <v>60</v>
      </c>
      <c r="K1256" s="24">
        <v>44</v>
      </c>
      <c r="L1256" s="24">
        <f t="shared" si="268"/>
        <v>16</v>
      </c>
      <c r="M1256" s="24">
        <f t="shared" si="269"/>
        <v>73.333333333333343</v>
      </c>
      <c r="N1256" s="25">
        <v>38.5</v>
      </c>
      <c r="O1256" s="26" t="str">
        <f t="shared" si="270"/>
        <v>June</v>
      </c>
      <c r="P1256" s="25">
        <f t="shared" si="271"/>
        <v>38.5</v>
      </c>
      <c r="Q1256" s="27">
        <f t="shared" si="272"/>
        <v>5.5</v>
      </c>
      <c r="R1256" s="26" t="b">
        <f t="shared" si="273"/>
        <v>0</v>
      </c>
      <c r="S1256" s="28" t="str">
        <f t="shared" si="274"/>
        <v>GROWTH</v>
      </c>
      <c r="T1256" s="24">
        <v>25.5</v>
      </c>
      <c r="U1256" s="29" t="str">
        <f t="shared" si="275"/>
        <v>May</v>
      </c>
      <c r="V1256" s="24">
        <f t="shared" si="276"/>
        <v>25.5</v>
      </c>
      <c r="W1256" s="30">
        <f t="shared" si="277"/>
        <v>18.5</v>
      </c>
      <c r="X1256" s="31" t="b">
        <f t="shared" si="278"/>
        <v>0</v>
      </c>
      <c r="Y1256" s="32" t="str">
        <f t="shared" si="279"/>
        <v>GROWTH</v>
      </c>
      <c r="Z1256" s="41">
        <v>0</v>
      </c>
      <c r="AA1256" s="36"/>
      <c r="AB1256" s="36" t="s">
        <v>24</v>
      </c>
      <c r="AC1256" s="36" t="s">
        <v>848</v>
      </c>
      <c r="AD1256" s="34"/>
      <c r="AE1256" s="35">
        <f>IFERROR(INDEX([1]Last6M_AvgSales_Ref!$B$2:$B$12659,MATCH(D1256,[1]Last6M_AvgSales_Ref!$A$2:$A$12659,0)),"")</f>
        <v>45.0833333333333</v>
      </c>
    </row>
    <row r="1257" spans="1:31" ht="14.25" customHeight="1" x14ac:dyDescent="0.3">
      <c r="A1257" s="36" t="s">
        <v>24</v>
      </c>
      <c r="B1257" s="38" t="s">
        <v>801</v>
      </c>
      <c r="C1257" s="38" t="s">
        <v>2578</v>
      </c>
      <c r="D1257" s="38">
        <v>1000004166</v>
      </c>
      <c r="E1257" s="39" t="s">
        <v>2579</v>
      </c>
      <c r="F1257" s="49">
        <v>45603</v>
      </c>
      <c r="G1257" s="22" t="str">
        <f t="shared" si="266"/>
        <v>Targeted Dealer</v>
      </c>
      <c r="H1257" s="22"/>
      <c r="I1257" s="23">
        <v>60</v>
      </c>
      <c r="J1257" s="23">
        <f t="shared" si="267"/>
        <v>60</v>
      </c>
      <c r="K1257" s="24">
        <v>60</v>
      </c>
      <c r="L1257" s="24">
        <f t="shared" si="268"/>
        <v>0</v>
      </c>
      <c r="M1257" s="24">
        <f t="shared" si="269"/>
        <v>100</v>
      </c>
      <c r="N1257" s="25">
        <v>30</v>
      </c>
      <c r="O1257" s="26" t="str">
        <f t="shared" si="270"/>
        <v>June</v>
      </c>
      <c r="P1257" s="25">
        <f t="shared" si="271"/>
        <v>30</v>
      </c>
      <c r="Q1257" s="27">
        <f t="shared" si="272"/>
        <v>30</v>
      </c>
      <c r="R1257" s="26" t="b">
        <f t="shared" si="273"/>
        <v>0</v>
      </c>
      <c r="S1257" s="28" t="str">
        <f t="shared" si="274"/>
        <v>GROWTH</v>
      </c>
      <c r="T1257" s="24">
        <v>90</v>
      </c>
      <c r="U1257" s="29" t="str">
        <f t="shared" si="275"/>
        <v>May</v>
      </c>
      <c r="V1257" s="24">
        <f t="shared" si="276"/>
        <v>90</v>
      </c>
      <c r="W1257" s="30">
        <f t="shared" si="277"/>
        <v>-30</v>
      </c>
      <c r="X1257" s="31" t="b">
        <f t="shared" si="278"/>
        <v>0</v>
      </c>
      <c r="Y1257" s="32" t="str">
        <f t="shared" si="279"/>
        <v>GROWTH</v>
      </c>
      <c r="Z1257" s="41">
        <v>0</v>
      </c>
      <c r="AA1257" s="36"/>
      <c r="AB1257" s="36" t="s">
        <v>24</v>
      </c>
      <c r="AC1257" s="36" t="s">
        <v>24</v>
      </c>
      <c r="AD1257" s="34"/>
      <c r="AE1257" s="35">
        <f>IFERROR(INDEX([1]Last6M_AvgSales_Ref!$B$2:$B$12659,MATCH(D1257,[1]Last6M_AvgSales_Ref!$A$2:$A$12659,0)),"")</f>
        <v>20</v>
      </c>
    </row>
    <row r="1258" spans="1:31" ht="14.25" customHeight="1" x14ac:dyDescent="0.3">
      <c r="A1258" s="36" t="s">
        <v>2185</v>
      </c>
      <c r="B1258" s="38" t="s">
        <v>2316</v>
      </c>
      <c r="C1258" s="38" t="s">
        <v>2580</v>
      </c>
      <c r="D1258" s="38">
        <v>1000001168</v>
      </c>
      <c r="E1258" s="39" t="s">
        <v>2581</v>
      </c>
      <c r="F1258" s="49">
        <v>44739</v>
      </c>
      <c r="G1258" s="22" t="str">
        <f t="shared" si="266"/>
        <v>Targeted Dealer</v>
      </c>
      <c r="H1258" s="22"/>
      <c r="I1258" s="23">
        <v>15</v>
      </c>
      <c r="J1258" s="23">
        <f t="shared" si="267"/>
        <v>15</v>
      </c>
      <c r="K1258" s="24">
        <v>25</v>
      </c>
      <c r="L1258" s="24">
        <f t="shared" si="268"/>
        <v>-10</v>
      </c>
      <c r="M1258" s="24">
        <f t="shared" si="269"/>
        <v>166.66666666666669</v>
      </c>
      <c r="N1258" s="25">
        <v>5</v>
      </c>
      <c r="O1258" s="26" t="str">
        <f t="shared" si="270"/>
        <v>June</v>
      </c>
      <c r="P1258" s="25">
        <f t="shared" si="271"/>
        <v>5</v>
      </c>
      <c r="Q1258" s="27">
        <f t="shared" si="272"/>
        <v>20</v>
      </c>
      <c r="R1258" s="26" t="b">
        <f t="shared" si="273"/>
        <v>0</v>
      </c>
      <c r="S1258" s="28" t="str">
        <f t="shared" si="274"/>
        <v>GROWTH</v>
      </c>
      <c r="T1258" s="24">
        <v>30</v>
      </c>
      <c r="U1258" s="29" t="str">
        <f t="shared" si="275"/>
        <v>May</v>
      </c>
      <c r="V1258" s="24">
        <f t="shared" si="276"/>
        <v>30</v>
      </c>
      <c r="W1258" s="30">
        <f t="shared" si="277"/>
        <v>-5</v>
      </c>
      <c r="X1258" s="31" t="b">
        <f t="shared" si="278"/>
        <v>0</v>
      </c>
      <c r="Y1258" s="32" t="str">
        <f t="shared" si="279"/>
        <v>GROWTH</v>
      </c>
      <c r="Z1258" s="41">
        <v>0</v>
      </c>
      <c r="AA1258" s="36"/>
      <c r="AB1258" s="36" t="s">
        <v>24</v>
      </c>
      <c r="AC1258" s="36" t="s">
        <v>2185</v>
      </c>
      <c r="AD1258" s="34"/>
      <c r="AE1258" s="35">
        <f>IFERROR(INDEX([1]Last6M_AvgSales_Ref!$B$2:$B$12659,MATCH(D1258,[1]Last6M_AvgSales_Ref!$A$2:$A$12659,0)),"")</f>
        <v>5.8333333333333304</v>
      </c>
    </row>
    <row r="1259" spans="1:31" ht="14.25" customHeight="1" x14ac:dyDescent="0.3">
      <c r="A1259" s="36" t="s">
        <v>24</v>
      </c>
      <c r="B1259" s="38" t="s">
        <v>504</v>
      </c>
      <c r="C1259" s="38" t="s">
        <v>2582</v>
      </c>
      <c r="D1259" s="38">
        <v>1000004179</v>
      </c>
      <c r="E1259" s="39" t="s">
        <v>2583</v>
      </c>
      <c r="F1259" s="49">
        <v>45635</v>
      </c>
      <c r="G1259" s="22" t="str">
        <f t="shared" si="266"/>
        <v>Targeted Dealer</v>
      </c>
      <c r="H1259" s="22"/>
      <c r="I1259" s="23">
        <v>120</v>
      </c>
      <c r="J1259" s="23">
        <f t="shared" si="267"/>
        <v>120</v>
      </c>
      <c r="K1259" s="24">
        <v>120</v>
      </c>
      <c r="L1259" s="24">
        <f t="shared" si="268"/>
        <v>0</v>
      </c>
      <c r="M1259" s="24">
        <f t="shared" si="269"/>
        <v>100</v>
      </c>
      <c r="N1259" s="25">
        <v>120</v>
      </c>
      <c r="O1259" s="26" t="str">
        <f t="shared" si="270"/>
        <v>June</v>
      </c>
      <c r="P1259" s="25">
        <f t="shared" si="271"/>
        <v>120</v>
      </c>
      <c r="Q1259" s="27">
        <f t="shared" si="272"/>
        <v>0</v>
      </c>
      <c r="R1259" s="26" t="b">
        <f t="shared" si="273"/>
        <v>0</v>
      </c>
      <c r="S1259" s="28" t="str">
        <f t="shared" si="274"/>
        <v>GROWTH</v>
      </c>
      <c r="T1259" s="24">
        <v>120</v>
      </c>
      <c r="U1259" s="29" t="str">
        <f t="shared" si="275"/>
        <v>May</v>
      </c>
      <c r="V1259" s="24">
        <f t="shared" si="276"/>
        <v>120</v>
      </c>
      <c r="W1259" s="30">
        <f t="shared" si="277"/>
        <v>0</v>
      </c>
      <c r="X1259" s="31" t="b">
        <f t="shared" si="278"/>
        <v>0</v>
      </c>
      <c r="Y1259" s="32" t="str">
        <f t="shared" si="279"/>
        <v>GROWTH</v>
      </c>
      <c r="Z1259" s="41">
        <v>0</v>
      </c>
      <c r="AA1259" s="36"/>
      <c r="AB1259" s="36" t="s">
        <v>24</v>
      </c>
      <c r="AC1259" s="36" t="s">
        <v>24</v>
      </c>
      <c r="AD1259" s="34"/>
      <c r="AE1259" s="35">
        <f>IFERROR(INDEX([1]Last6M_AvgSales_Ref!$B$2:$B$12659,MATCH(D1259,[1]Last6M_AvgSales_Ref!$A$2:$A$12659,0)),"")</f>
        <v>80</v>
      </c>
    </row>
    <row r="1260" spans="1:31" ht="14.25" customHeight="1" x14ac:dyDescent="0.3">
      <c r="A1260" s="36" t="s">
        <v>24</v>
      </c>
      <c r="B1260" s="37" t="s">
        <v>269</v>
      </c>
      <c r="C1260" s="38" t="s">
        <v>2584</v>
      </c>
      <c r="D1260" s="38">
        <v>1000004181</v>
      </c>
      <c r="E1260" s="39" t="s">
        <v>2585</v>
      </c>
      <c r="F1260" s="49">
        <v>45635</v>
      </c>
      <c r="G1260" s="22" t="str">
        <f t="shared" si="266"/>
        <v>Targeted Dealer</v>
      </c>
      <c r="H1260" s="22"/>
      <c r="I1260" s="23">
        <v>120</v>
      </c>
      <c r="J1260" s="23">
        <f t="shared" si="267"/>
        <v>120</v>
      </c>
      <c r="K1260" s="24">
        <v>190</v>
      </c>
      <c r="L1260" s="24">
        <f t="shared" si="268"/>
        <v>-70</v>
      </c>
      <c r="M1260" s="24">
        <f t="shared" si="269"/>
        <v>158.33333333333334</v>
      </c>
      <c r="N1260" s="25">
        <v>126</v>
      </c>
      <c r="O1260" s="26" t="str">
        <f t="shared" si="270"/>
        <v>June</v>
      </c>
      <c r="P1260" s="25">
        <f t="shared" si="271"/>
        <v>126</v>
      </c>
      <c r="Q1260" s="27">
        <f t="shared" si="272"/>
        <v>64</v>
      </c>
      <c r="R1260" s="26" t="b">
        <f t="shared" si="273"/>
        <v>0</v>
      </c>
      <c r="S1260" s="28" t="str">
        <f t="shared" si="274"/>
        <v>GROWTH</v>
      </c>
      <c r="T1260" s="24">
        <v>80</v>
      </c>
      <c r="U1260" s="29" t="str">
        <f t="shared" si="275"/>
        <v>May</v>
      </c>
      <c r="V1260" s="24">
        <f t="shared" si="276"/>
        <v>80</v>
      </c>
      <c r="W1260" s="30">
        <f t="shared" si="277"/>
        <v>110</v>
      </c>
      <c r="X1260" s="31" t="b">
        <f t="shared" si="278"/>
        <v>0</v>
      </c>
      <c r="Y1260" s="32" t="str">
        <f t="shared" si="279"/>
        <v>GROWTH</v>
      </c>
      <c r="Z1260" s="41">
        <v>0</v>
      </c>
      <c r="AA1260" s="36"/>
      <c r="AB1260" s="36" t="s">
        <v>24</v>
      </c>
      <c r="AC1260" s="36" t="s">
        <v>24</v>
      </c>
      <c r="AD1260" s="34"/>
      <c r="AE1260" s="35">
        <f>IFERROR(INDEX([1]Last6M_AvgSales_Ref!$B$2:$B$12659,MATCH(D1260,[1]Last6M_AvgSales_Ref!$A$2:$A$12659,0)),"")</f>
        <v>126.325</v>
      </c>
    </row>
    <row r="1261" spans="1:31" ht="14.25" customHeight="1" x14ac:dyDescent="0.3">
      <c r="A1261" s="36" t="s">
        <v>24</v>
      </c>
      <c r="B1261" s="37" t="s">
        <v>25</v>
      </c>
      <c r="C1261" s="38" t="s">
        <v>2586</v>
      </c>
      <c r="D1261" s="38">
        <v>1000004187</v>
      </c>
      <c r="E1261" s="39" t="s">
        <v>2587</v>
      </c>
      <c r="F1261" s="49">
        <v>45636</v>
      </c>
      <c r="G1261" s="22" t="str">
        <f t="shared" si="266"/>
        <v>Targeted Dealer</v>
      </c>
      <c r="H1261" s="22"/>
      <c r="I1261" s="23">
        <v>250</v>
      </c>
      <c r="J1261" s="23">
        <f t="shared" si="267"/>
        <v>250.00000000000003</v>
      </c>
      <c r="K1261" s="24">
        <v>261</v>
      </c>
      <c r="L1261" s="24">
        <f t="shared" si="268"/>
        <v>-11</v>
      </c>
      <c r="M1261" s="24">
        <f t="shared" si="269"/>
        <v>104.39999999999998</v>
      </c>
      <c r="N1261" s="25">
        <v>171</v>
      </c>
      <c r="O1261" s="26" t="str">
        <f t="shared" si="270"/>
        <v>June</v>
      </c>
      <c r="P1261" s="25">
        <f t="shared" si="271"/>
        <v>171</v>
      </c>
      <c r="Q1261" s="27">
        <f t="shared" si="272"/>
        <v>90</v>
      </c>
      <c r="R1261" s="26" t="b">
        <f t="shared" si="273"/>
        <v>0</v>
      </c>
      <c r="S1261" s="28" t="str">
        <f t="shared" si="274"/>
        <v>GROWTH</v>
      </c>
      <c r="T1261" s="24">
        <v>189</v>
      </c>
      <c r="U1261" s="29" t="str">
        <f t="shared" si="275"/>
        <v>May</v>
      </c>
      <c r="V1261" s="24">
        <f t="shared" si="276"/>
        <v>189</v>
      </c>
      <c r="W1261" s="30">
        <f t="shared" si="277"/>
        <v>72</v>
      </c>
      <c r="X1261" s="31" t="b">
        <f t="shared" si="278"/>
        <v>0</v>
      </c>
      <c r="Y1261" s="32" t="str">
        <f t="shared" si="279"/>
        <v>GROWTH</v>
      </c>
      <c r="Z1261" s="41">
        <v>0</v>
      </c>
      <c r="AA1261" s="36"/>
      <c r="AB1261" s="36" t="s">
        <v>24</v>
      </c>
      <c r="AC1261" s="36" t="s">
        <v>24</v>
      </c>
      <c r="AD1261" s="34"/>
      <c r="AE1261" s="35">
        <f>IFERROR(INDEX([1]Last6M_AvgSales_Ref!$B$2:$B$12659,MATCH(D1261,[1]Last6M_AvgSales_Ref!$A$2:$A$12659,0)),"")</f>
        <v>232.833333333333</v>
      </c>
    </row>
    <row r="1262" spans="1:31" ht="14.25" customHeight="1" x14ac:dyDescent="0.3">
      <c r="A1262" s="36" t="s">
        <v>848</v>
      </c>
      <c r="B1262" s="38" t="s">
        <v>1487</v>
      </c>
      <c r="C1262" s="38" t="s">
        <v>2588</v>
      </c>
      <c r="D1262" s="38">
        <v>1000004185</v>
      </c>
      <c r="E1262" s="39" t="s">
        <v>2589</v>
      </c>
      <c r="F1262" s="49">
        <v>45631</v>
      </c>
      <c r="G1262" s="22" t="str">
        <f t="shared" si="266"/>
        <v>Targeted Dealer</v>
      </c>
      <c r="H1262" s="22"/>
      <c r="I1262" s="23">
        <v>100</v>
      </c>
      <c r="J1262" s="23">
        <f t="shared" si="267"/>
        <v>100</v>
      </c>
      <c r="K1262" s="24">
        <v>68</v>
      </c>
      <c r="L1262" s="24">
        <f t="shared" si="268"/>
        <v>32</v>
      </c>
      <c r="M1262" s="24">
        <f t="shared" si="269"/>
        <v>68</v>
      </c>
      <c r="N1262" s="25">
        <v>12</v>
      </c>
      <c r="O1262" s="26" t="str">
        <f t="shared" si="270"/>
        <v>June</v>
      </c>
      <c r="P1262" s="25">
        <f t="shared" si="271"/>
        <v>12</v>
      </c>
      <c r="Q1262" s="27">
        <f t="shared" si="272"/>
        <v>56</v>
      </c>
      <c r="R1262" s="26" t="b">
        <f t="shared" si="273"/>
        <v>0</v>
      </c>
      <c r="S1262" s="28" t="str">
        <f t="shared" si="274"/>
        <v>GROWTH</v>
      </c>
      <c r="T1262" s="24">
        <v>50</v>
      </c>
      <c r="U1262" s="29" t="str">
        <f t="shared" si="275"/>
        <v>May</v>
      </c>
      <c r="V1262" s="24">
        <f t="shared" si="276"/>
        <v>50</v>
      </c>
      <c r="W1262" s="30">
        <f t="shared" si="277"/>
        <v>18</v>
      </c>
      <c r="X1262" s="31" t="b">
        <f t="shared" si="278"/>
        <v>0</v>
      </c>
      <c r="Y1262" s="32" t="str">
        <f t="shared" si="279"/>
        <v>GROWTH</v>
      </c>
      <c r="Z1262" s="41">
        <v>0</v>
      </c>
      <c r="AA1262" s="36"/>
      <c r="AB1262" s="36" t="s">
        <v>24</v>
      </c>
      <c r="AC1262" s="36" t="s">
        <v>848</v>
      </c>
      <c r="AD1262" s="34"/>
      <c r="AE1262" s="35">
        <f>IFERROR(INDEX([1]Last6M_AvgSales_Ref!$B$2:$B$12659,MATCH(D1262,[1]Last6M_AvgSales_Ref!$A$2:$A$12659,0)),"")</f>
        <v>70.8333333333333</v>
      </c>
    </row>
    <row r="1263" spans="1:31" ht="14.25" customHeight="1" x14ac:dyDescent="0.3">
      <c r="A1263" s="36" t="s">
        <v>2185</v>
      </c>
      <c r="B1263" s="38" t="s">
        <v>2316</v>
      </c>
      <c r="C1263" s="38" t="s">
        <v>2590</v>
      </c>
      <c r="D1263" s="38">
        <v>1000001184</v>
      </c>
      <c r="E1263" s="39" t="s">
        <v>2591</v>
      </c>
      <c r="F1263" s="49">
        <v>44739</v>
      </c>
      <c r="G1263" s="22" t="str">
        <f t="shared" si="266"/>
        <v>Targeted Dealer</v>
      </c>
      <c r="H1263" s="22"/>
      <c r="I1263" s="23">
        <v>25</v>
      </c>
      <c r="J1263" s="23">
        <f t="shared" si="267"/>
        <v>25</v>
      </c>
      <c r="K1263" s="24">
        <v>25</v>
      </c>
      <c r="L1263" s="24">
        <f t="shared" si="268"/>
        <v>0</v>
      </c>
      <c r="M1263" s="24">
        <f t="shared" si="269"/>
        <v>100</v>
      </c>
      <c r="N1263" s="25">
        <v>0</v>
      </c>
      <c r="O1263" s="26" t="str">
        <f t="shared" si="270"/>
        <v>June</v>
      </c>
      <c r="P1263" s="25">
        <f t="shared" si="271"/>
        <v>0</v>
      </c>
      <c r="Q1263" s="27">
        <f t="shared" si="272"/>
        <v>25</v>
      </c>
      <c r="R1263" s="26" t="b">
        <f t="shared" si="273"/>
        <v>0</v>
      </c>
      <c r="S1263" s="28" t="b">
        <f t="shared" si="274"/>
        <v>0</v>
      </c>
      <c r="T1263" s="24">
        <v>0</v>
      </c>
      <c r="U1263" s="29" t="str">
        <f t="shared" si="275"/>
        <v>May</v>
      </c>
      <c r="V1263" s="24">
        <f t="shared" si="276"/>
        <v>0</v>
      </c>
      <c r="W1263" s="30">
        <f t="shared" si="277"/>
        <v>25</v>
      </c>
      <c r="X1263" s="31" t="b">
        <f t="shared" si="278"/>
        <v>0</v>
      </c>
      <c r="Y1263" s="32" t="b">
        <f t="shared" si="279"/>
        <v>0</v>
      </c>
      <c r="Z1263" s="41">
        <v>0</v>
      </c>
      <c r="AA1263" s="36"/>
      <c r="AB1263" s="36" t="s">
        <v>24</v>
      </c>
      <c r="AC1263" s="36" t="s">
        <v>2185</v>
      </c>
      <c r="AD1263" s="34"/>
      <c r="AE1263" s="35">
        <f>IFERROR(INDEX([1]Last6M_AvgSales_Ref!$B$2:$B$12659,MATCH(D1263,[1]Last6M_AvgSales_Ref!$A$2:$A$12659,0)),"")</f>
        <v>20.7916666666667</v>
      </c>
    </row>
    <row r="1264" spans="1:31" ht="14.25" customHeight="1" x14ac:dyDescent="0.3">
      <c r="A1264" s="36" t="s">
        <v>2185</v>
      </c>
      <c r="B1264" s="38" t="s">
        <v>2353</v>
      </c>
      <c r="C1264" s="38" t="s">
        <v>2592</v>
      </c>
      <c r="D1264" s="38">
        <v>1000001660</v>
      </c>
      <c r="E1264" s="39" t="s">
        <v>2593</v>
      </c>
      <c r="F1264" s="49">
        <v>44739</v>
      </c>
      <c r="G1264" s="22" t="str">
        <f t="shared" si="266"/>
        <v>Targeted Dealer</v>
      </c>
      <c r="H1264" s="22"/>
      <c r="I1264" s="23">
        <v>30</v>
      </c>
      <c r="J1264" s="23">
        <f t="shared" si="267"/>
        <v>30</v>
      </c>
      <c r="K1264" s="24">
        <v>35</v>
      </c>
      <c r="L1264" s="24">
        <f t="shared" si="268"/>
        <v>-5</v>
      </c>
      <c r="M1264" s="24">
        <f t="shared" si="269"/>
        <v>116.66666666666667</v>
      </c>
      <c r="N1264" s="25">
        <v>0</v>
      </c>
      <c r="O1264" s="26" t="str">
        <f t="shared" si="270"/>
        <v>June</v>
      </c>
      <c r="P1264" s="25">
        <f t="shared" si="271"/>
        <v>0</v>
      </c>
      <c r="Q1264" s="27">
        <f t="shared" si="272"/>
        <v>35</v>
      </c>
      <c r="R1264" s="26" t="b">
        <f t="shared" si="273"/>
        <v>0</v>
      </c>
      <c r="S1264" s="28" t="b">
        <f t="shared" si="274"/>
        <v>0</v>
      </c>
      <c r="T1264" s="24">
        <v>0</v>
      </c>
      <c r="U1264" s="29" t="str">
        <f t="shared" si="275"/>
        <v>May</v>
      </c>
      <c r="V1264" s="24">
        <f t="shared" si="276"/>
        <v>0</v>
      </c>
      <c r="W1264" s="30">
        <f t="shared" si="277"/>
        <v>35</v>
      </c>
      <c r="X1264" s="31" t="b">
        <f t="shared" si="278"/>
        <v>0</v>
      </c>
      <c r="Y1264" s="32" t="b">
        <f t="shared" si="279"/>
        <v>0</v>
      </c>
      <c r="Z1264" s="41">
        <v>0</v>
      </c>
      <c r="AA1264" s="36"/>
      <c r="AB1264" s="36" t="s">
        <v>24</v>
      </c>
      <c r="AC1264" s="36" t="s">
        <v>2185</v>
      </c>
      <c r="AD1264" s="34"/>
      <c r="AE1264" s="35">
        <f>IFERROR(INDEX([1]Last6M_AvgSales_Ref!$B$2:$B$12659,MATCH(D1264,[1]Last6M_AvgSales_Ref!$A$2:$A$12659,0)),"")</f>
        <v>15</v>
      </c>
    </row>
    <row r="1265" spans="1:31" ht="14.25" customHeight="1" x14ac:dyDescent="0.3">
      <c r="A1265" s="36" t="s">
        <v>1836</v>
      </c>
      <c r="B1265" s="38" t="s">
        <v>2004</v>
      </c>
      <c r="C1265" s="38" t="s">
        <v>2594</v>
      </c>
      <c r="D1265" s="38">
        <v>1000002780</v>
      </c>
      <c r="E1265" s="39" t="s">
        <v>2595</v>
      </c>
      <c r="F1265" s="49">
        <v>44741</v>
      </c>
      <c r="G1265" s="22" t="str">
        <f t="shared" si="266"/>
        <v>Targeted Dealer</v>
      </c>
      <c r="H1265" s="22"/>
      <c r="I1265" s="23">
        <v>40</v>
      </c>
      <c r="J1265" s="23">
        <f t="shared" si="267"/>
        <v>40</v>
      </c>
      <c r="K1265" s="24">
        <v>0</v>
      </c>
      <c r="L1265" s="24">
        <f t="shared" si="268"/>
        <v>40</v>
      </c>
      <c r="M1265" s="24">
        <f t="shared" si="269"/>
        <v>0</v>
      </c>
      <c r="N1265" s="25">
        <v>13.5</v>
      </c>
      <c r="O1265" s="26" t="str">
        <f t="shared" si="270"/>
        <v>June</v>
      </c>
      <c r="P1265" s="25">
        <f t="shared" si="271"/>
        <v>13.5</v>
      </c>
      <c r="Q1265" s="27">
        <f t="shared" si="272"/>
        <v>-13.5</v>
      </c>
      <c r="R1265" s="26" t="b">
        <f t="shared" si="273"/>
        <v>0</v>
      </c>
      <c r="S1265" s="28" t="str">
        <f t="shared" si="274"/>
        <v>GROWTH</v>
      </c>
      <c r="T1265" s="24">
        <v>12.5</v>
      </c>
      <c r="U1265" s="29" t="str">
        <f t="shared" si="275"/>
        <v>May</v>
      </c>
      <c r="V1265" s="24">
        <f t="shared" si="276"/>
        <v>12.5</v>
      </c>
      <c r="W1265" s="30">
        <f t="shared" si="277"/>
        <v>-12.5</v>
      </c>
      <c r="X1265" s="31" t="b">
        <f t="shared" si="278"/>
        <v>0</v>
      </c>
      <c r="Y1265" s="32" t="str">
        <f t="shared" si="279"/>
        <v>GROWTH</v>
      </c>
      <c r="Z1265" s="41">
        <v>0</v>
      </c>
      <c r="AA1265" s="36"/>
      <c r="AB1265" s="36" t="s">
        <v>24</v>
      </c>
      <c r="AC1265" s="36" t="s">
        <v>1836</v>
      </c>
      <c r="AD1265" s="34"/>
      <c r="AE1265" s="35">
        <f>IFERROR(INDEX([1]Last6M_AvgSales_Ref!$B$2:$B$12659,MATCH(D1265,[1]Last6M_AvgSales_Ref!$A$2:$A$12659,0)),"")</f>
        <v>9.9166666666666696</v>
      </c>
    </row>
    <row r="1266" spans="1:31" ht="14.25" customHeight="1" x14ac:dyDescent="0.3">
      <c r="A1266" s="36" t="s">
        <v>2185</v>
      </c>
      <c r="B1266" s="38" t="s">
        <v>2316</v>
      </c>
      <c r="C1266" s="38" t="s">
        <v>2596</v>
      </c>
      <c r="D1266" s="38">
        <v>1000002525</v>
      </c>
      <c r="E1266" s="39" t="s">
        <v>2597</v>
      </c>
      <c r="F1266" s="49">
        <v>44739</v>
      </c>
      <c r="G1266" s="22" t="str">
        <f t="shared" si="266"/>
        <v>-</v>
      </c>
      <c r="H1266" s="22"/>
      <c r="I1266" s="23">
        <v>0</v>
      </c>
      <c r="J1266" s="23">
        <f t="shared" si="267"/>
        <v>0</v>
      </c>
      <c r="K1266" s="24">
        <v>10</v>
      </c>
      <c r="L1266" s="24">
        <f t="shared" si="268"/>
        <v>-10</v>
      </c>
      <c r="M1266" s="24" t="str">
        <f t="shared" si="269"/>
        <v>-</v>
      </c>
      <c r="N1266" s="25">
        <v>0</v>
      </c>
      <c r="O1266" s="26" t="str">
        <f t="shared" si="270"/>
        <v>June</v>
      </c>
      <c r="P1266" s="25">
        <f t="shared" si="271"/>
        <v>0</v>
      </c>
      <c r="Q1266" s="27">
        <f t="shared" si="272"/>
        <v>10</v>
      </c>
      <c r="R1266" s="26" t="b">
        <f t="shared" si="273"/>
        <v>0</v>
      </c>
      <c r="S1266" s="28" t="b">
        <f t="shared" si="274"/>
        <v>0</v>
      </c>
      <c r="T1266" s="24">
        <v>0</v>
      </c>
      <c r="U1266" s="29" t="str">
        <f t="shared" si="275"/>
        <v>May</v>
      </c>
      <c r="V1266" s="24">
        <f t="shared" si="276"/>
        <v>0</v>
      </c>
      <c r="W1266" s="30">
        <f t="shared" si="277"/>
        <v>10</v>
      </c>
      <c r="X1266" s="31" t="b">
        <f t="shared" si="278"/>
        <v>0</v>
      </c>
      <c r="Y1266" s="32" t="b">
        <f t="shared" si="279"/>
        <v>0</v>
      </c>
      <c r="Z1266" s="41">
        <v>0</v>
      </c>
      <c r="AA1266" s="36"/>
      <c r="AB1266" s="36" t="s">
        <v>24</v>
      </c>
      <c r="AC1266" s="36" t="s">
        <v>2185</v>
      </c>
      <c r="AD1266" s="34"/>
      <c r="AE1266" s="35">
        <f>IFERROR(INDEX([1]Last6M_AvgSales_Ref!$B$2:$B$12659,MATCH(D1266,[1]Last6M_AvgSales_Ref!$A$2:$A$12659,0)),"")</f>
        <v>4.5833333333333304</v>
      </c>
    </row>
    <row r="1267" spans="1:31" ht="14.25" customHeight="1" x14ac:dyDescent="0.3">
      <c r="A1267" s="36" t="s">
        <v>24</v>
      </c>
      <c r="B1267" s="38" t="s">
        <v>752</v>
      </c>
      <c r="C1267" s="38" t="s">
        <v>2598</v>
      </c>
      <c r="D1267" s="38">
        <v>1000004192</v>
      </c>
      <c r="E1267" s="39" t="s">
        <v>2599</v>
      </c>
      <c r="F1267" s="49">
        <v>45642</v>
      </c>
      <c r="G1267" s="22" t="str">
        <f t="shared" si="266"/>
        <v>Targeted Dealer</v>
      </c>
      <c r="H1267" s="22"/>
      <c r="I1267" s="23">
        <v>105</v>
      </c>
      <c r="J1267" s="23">
        <f t="shared" si="267"/>
        <v>105</v>
      </c>
      <c r="K1267" s="24">
        <v>102</v>
      </c>
      <c r="L1267" s="24">
        <f t="shared" si="268"/>
        <v>3</v>
      </c>
      <c r="M1267" s="24">
        <f t="shared" si="269"/>
        <v>97.142857142857139</v>
      </c>
      <c r="N1267" s="25">
        <v>86</v>
      </c>
      <c r="O1267" s="26" t="str">
        <f t="shared" si="270"/>
        <v>June</v>
      </c>
      <c r="P1267" s="25">
        <f t="shared" si="271"/>
        <v>86</v>
      </c>
      <c r="Q1267" s="27">
        <f t="shared" si="272"/>
        <v>16</v>
      </c>
      <c r="R1267" s="26" t="b">
        <f t="shared" si="273"/>
        <v>0</v>
      </c>
      <c r="S1267" s="28" t="str">
        <f t="shared" si="274"/>
        <v>GROWTH</v>
      </c>
      <c r="T1267" s="24">
        <v>92</v>
      </c>
      <c r="U1267" s="29" t="str">
        <f t="shared" si="275"/>
        <v>May</v>
      </c>
      <c r="V1267" s="24">
        <f t="shared" si="276"/>
        <v>92</v>
      </c>
      <c r="W1267" s="30">
        <f t="shared" si="277"/>
        <v>10</v>
      </c>
      <c r="X1267" s="31" t="b">
        <f t="shared" si="278"/>
        <v>0</v>
      </c>
      <c r="Y1267" s="32" t="str">
        <f t="shared" si="279"/>
        <v>GROWTH</v>
      </c>
      <c r="Z1267" s="41">
        <v>0</v>
      </c>
      <c r="AA1267" s="36"/>
      <c r="AB1267" s="36" t="s">
        <v>24</v>
      </c>
      <c r="AC1267" s="36" t="s">
        <v>24</v>
      </c>
      <c r="AD1267" s="34"/>
      <c r="AE1267" s="35">
        <f>IFERROR(INDEX([1]Last6M_AvgSales_Ref!$B$2:$B$12659,MATCH(D1267,[1]Last6M_AvgSales_Ref!$A$2:$A$12659,0)),"")</f>
        <v>152.166666666667</v>
      </c>
    </row>
    <row r="1268" spans="1:31" ht="14.25" customHeight="1" x14ac:dyDescent="0.3">
      <c r="A1268" s="36" t="s">
        <v>24</v>
      </c>
      <c r="B1268" s="38" t="s">
        <v>358</v>
      </c>
      <c r="C1268" s="38" t="s">
        <v>2600</v>
      </c>
      <c r="D1268" s="38">
        <v>1000004196</v>
      </c>
      <c r="E1268" s="39" t="s">
        <v>2601</v>
      </c>
      <c r="F1268" s="49">
        <v>45650</v>
      </c>
      <c r="G1268" s="22" t="str">
        <f t="shared" si="266"/>
        <v>Targeted Dealer</v>
      </c>
      <c r="H1268" s="22"/>
      <c r="I1268" s="23">
        <v>1840</v>
      </c>
      <c r="J1268" s="23">
        <f t="shared" si="267"/>
        <v>1840</v>
      </c>
      <c r="K1268" s="24">
        <v>2005</v>
      </c>
      <c r="L1268" s="24">
        <f t="shared" si="268"/>
        <v>-165</v>
      </c>
      <c r="M1268" s="24">
        <f t="shared" si="269"/>
        <v>108.96739130434783</v>
      </c>
      <c r="N1268" s="25">
        <v>1623.7</v>
      </c>
      <c r="O1268" s="26" t="str">
        <f t="shared" si="270"/>
        <v>June</v>
      </c>
      <c r="P1268" s="25">
        <f t="shared" si="271"/>
        <v>1623.7</v>
      </c>
      <c r="Q1268" s="27">
        <f t="shared" si="272"/>
        <v>381.29999999999995</v>
      </c>
      <c r="R1268" s="26" t="b">
        <f t="shared" si="273"/>
        <v>0</v>
      </c>
      <c r="S1268" s="28" t="str">
        <f t="shared" si="274"/>
        <v>GROWTH</v>
      </c>
      <c r="T1268" s="24">
        <v>1400</v>
      </c>
      <c r="U1268" s="29" t="str">
        <f t="shared" si="275"/>
        <v>May</v>
      </c>
      <c r="V1268" s="24">
        <f t="shared" si="276"/>
        <v>1400</v>
      </c>
      <c r="W1268" s="30">
        <f t="shared" si="277"/>
        <v>605</v>
      </c>
      <c r="X1268" s="31" t="b">
        <f t="shared" si="278"/>
        <v>0</v>
      </c>
      <c r="Y1268" s="32" t="str">
        <f t="shared" si="279"/>
        <v>GROWTH</v>
      </c>
      <c r="Z1268" s="41">
        <v>0</v>
      </c>
      <c r="AA1268" s="36"/>
      <c r="AB1268" s="36" t="s">
        <v>24</v>
      </c>
      <c r="AC1268" s="36" t="s">
        <v>24</v>
      </c>
      <c r="AD1268" s="34"/>
      <c r="AE1268" s="35">
        <f>IFERROR(INDEX([1]Last6M_AvgSales_Ref!$B$2:$B$12659,MATCH(D1268,[1]Last6M_AvgSales_Ref!$A$2:$A$12659,0)),"")</f>
        <v>2328.5833333333298</v>
      </c>
    </row>
    <row r="1269" spans="1:31" ht="14.25" customHeight="1" x14ac:dyDescent="0.3">
      <c r="A1269" s="36" t="s">
        <v>24</v>
      </c>
      <c r="B1269" s="38" t="s">
        <v>399</v>
      </c>
      <c r="C1269" s="38" t="s">
        <v>2602</v>
      </c>
      <c r="D1269" s="38">
        <v>1000004203</v>
      </c>
      <c r="E1269" s="39" t="s">
        <v>2603</v>
      </c>
      <c r="F1269" s="49">
        <v>45652</v>
      </c>
      <c r="G1269" s="22" t="str">
        <f t="shared" si="266"/>
        <v>Targeted Dealer</v>
      </c>
      <c r="H1269" s="22"/>
      <c r="I1269" s="23">
        <v>20</v>
      </c>
      <c r="J1269" s="23">
        <f t="shared" si="267"/>
        <v>20</v>
      </c>
      <c r="K1269" s="24">
        <v>0</v>
      </c>
      <c r="L1269" s="24">
        <f t="shared" si="268"/>
        <v>20</v>
      </c>
      <c r="M1269" s="24">
        <f t="shared" si="269"/>
        <v>0</v>
      </c>
      <c r="N1269" s="25">
        <v>0</v>
      </c>
      <c r="O1269" s="26" t="str">
        <f t="shared" si="270"/>
        <v>June</v>
      </c>
      <c r="P1269" s="25">
        <f t="shared" si="271"/>
        <v>0</v>
      </c>
      <c r="Q1269" s="27">
        <f t="shared" si="272"/>
        <v>0</v>
      </c>
      <c r="R1269" s="26" t="b">
        <f t="shared" si="273"/>
        <v>0</v>
      </c>
      <c r="S1269" s="28" t="b">
        <f t="shared" si="274"/>
        <v>0</v>
      </c>
      <c r="T1269" s="24">
        <v>0</v>
      </c>
      <c r="U1269" s="29" t="str">
        <f t="shared" si="275"/>
        <v>May</v>
      </c>
      <c r="V1269" s="24">
        <f t="shared" si="276"/>
        <v>0</v>
      </c>
      <c r="W1269" s="30">
        <f t="shared" si="277"/>
        <v>0</v>
      </c>
      <c r="X1269" s="31" t="b">
        <f t="shared" si="278"/>
        <v>0</v>
      </c>
      <c r="Y1269" s="32" t="b">
        <f t="shared" si="279"/>
        <v>0</v>
      </c>
      <c r="Z1269" s="41">
        <v>0</v>
      </c>
      <c r="AA1269" s="36"/>
      <c r="AB1269" s="36" t="s">
        <v>24</v>
      </c>
      <c r="AC1269" s="36" t="s">
        <v>24</v>
      </c>
      <c r="AD1269" s="34"/>
      <c r="AE1269" s="35">
        <f>IFERROR(INDEX([1]Last6M_AvgSales_Ref!$B$2:$B$12659,MATCH(D1269,[1]Last6M_AvgSales_Ref!$A$2:$A$12659,0)),"")</f>
        <v>10</v>
      </c>
    </row>
    <row r="1270" spans="1:31" ht="14.25" customHeight="1" x14ac:dyDescent="0.3">
      <c r="A1270" s="36" t="s">
        <v>24</v>
      </c>
      <c r="B1270" s="38" t="s">
        <v>656</v>
      </c>
      <c r="C1270" s="38" t="s">
        <v>2604</v>
      </c>
      <c r="D1270" s="38">
        <v>1000004197</v>
      </c>
      <c r="E1270" s="39" t="s">
        <v>2605</v>
      </c>
      <c r="F1270" s="49">
        <v>45652</v>
      </c>
      <c r="G1270" s="22" t="str">
        <f t="shared" si="266"/>
        <v>Targeted Dealer</v>
      </c>
      <c r="H1270" s="22"/>
      <c r="I1270" s="23">
        <v>275</v>
      </c>
      <c r="J1270" s="23">
        <f t="shared" si="267"/>
        <v>275</v>
      </c>
      <c r="K1270" s="24">
        <v>419</v>
      </c>
      <c r="L1270" s="24">
        <f t="shared" si="268"/>
        <v>-144</v>
      </c>
      <c r="M1270" s="24">
        <f t="shared" si="269"/>
        <v>152.36363636363637</v>
      </c>
      <c r="N1270" s="25">
        <v>340.3</v>
      </c>
      <c r="O1270" s="26" t="str">
        <f t="shared" si="270"/>
        <v>June</v>
      </c>
      <c r="P1270" s="25">
        <f t="shared" si="271"/>
        <v>340.3</v>
      </c>
      <c r="Q1270" s="27">
        <f t="shared" si="272"/>
        <v>78.699999999999989</v>
      </c>
      <c r="R1270" s="26" t="b">
        <f t="shared" si="273"/>
        <v>0</v>
      </c>
      <c r="S1270" s="28" t="str">
        <f t="shared" si="274"/>
        <v>GROWTH</v>
      </c>
      <c r="T1270" s="24">
        <v>72.5</v>
      </c>
      <c r="U1270" s="29" t="str">
        <f t="shared" si="275"/>
        <v>May</v>
      </c>
      <c r="V1270" s="24">
        <f t="shared" si="276"/>
        <v>72.5</v>
      </c>
      <c r="W1270" s="30">
        <f t="shared" si="277"/>
        <v>346.5</v>
      </c>
      <c r="X1270" s="31" t="b">
        <f t="shared" si="278"/>
        <v>0</v>
      </c>
      <c r="Y1270" s="32" t="str">
        <f t="shared" si="279"/>
        <v>GROWTH</v>
      </c>
      <c r="Z1270" s="41">
        <v>0</v>
      </c>
      <c r="AA1270" s="36"/>
      <c r="AB1270" s="36" t="s">
        <v>24</v>
      </c>
      <c r="AC1270" s="36" t="s">
        <v>24</v>
      </c>
      <c r="AD1270" s="34"/>
      <c r="AE1270" s="35">
        <f>IFERROR(INDEX([1]Last6M_AvgSales_Ref!$B$2:$B$12659,MATCH(D1270,[1]Last6M_AvgSales_Ref!$A$2:$A$12659,0)),"")</f>
        <v>351.8</v>
      </c>
    </row>
    <row r="1271" spans="1:31" ht="14.25" customHeight="1" x14ac:dyDescent="0.3">
      <c r="A1271" s="36" t="s">
        <v>2185</v>
      </c>
      <c r="B1271" s="50" t="s">
        <v>2425</v>
      </c>
      <c r="C1271" s="50" t="s">
        <v>2606</v>
      </c>
      <c r="D1271" s="50">
        <v>1000001726</v>
      </c>
      <c r="E1271" s="50" t="s">
        <v>2607</v>
      </c>
      <c r="F1271" s="51">
        <v>44739</v>
      </c>
      <c r="G1271" s="22" t="str">
        <f t="shared" si="266"/>
        <v>Targeted Dealer</v>
      </c>
      <c r="H1271" s="22"/>
      <c r="I1271" s="23">
        <v>20</v>
      </c>
      <c r="J1271" s="23">
        <f t="shared" si="267"/>
        <v>20</v>
      </c>
      <c r="K1271" s="24">
        <v>0</v>
      </c>
      <c r="L1271" s="24">
        <f t="shared" si="268"/>
        <v>20</v>
      </c>
      <c r="M1271" s="24">
        <f t="shared" si="269"/>
        <v>0</v>
      </c>
      <c r="N1271" s="25">
        <v>24.5</v>
      </c>
      <c r="O1271" s="26" t="str">
        <f t="shared" si="270"/>
        <v>June</v>
      </c>
      <c r="P1271" s="25">
        <f t="shared" si="271"/>
        <v>24.5</v>
      </c>
      <c r="Q1271" s="27">
        <f t="shared" si="272"/>
        <v>-24.5</v>
      </c>
      <c r="R1271" s="26" t="b">
        <f t="shared" si="273"/>
        <v>0</v>
      </c>
      <c r="S1271" s="28" t="str">
        <f t="shared" si="274"/>
        <v>GROWTH</v>
      </c>
      <c r="T1271" s="24">
        <v>30</v>
      </c>
      <c r="U1271" s="29" t="str">
        <f t="shared" si="275"/>
        <v>May</v>
      </c>
      <c r="V1271" s="24">
        <f t="shared" si="276"/>
        <v>30</v>
      </c>
      <c r="W1271" s="30">
        <f t="shared" si="277"/>
        <v>-30</v>
      </c>
      <c r="X1271" s="31" t="b">
        <f t="shared" si="278"/>
        <v>0</v>
      </c>
      <c r="Y1271" s="32" t="str">
        <f t="shared" si="279"/>
        <v>GROWTH</v>
      </c>
      <c r="Z1271" s="41">
        <v>0</v>
      </c>
      <c r="AA1271" s="36"/>
      <c r="AB1271" s="36" t="s">
        <v>24</v>
      </c>
      <c r="AC1271" s="36" t="s">
        <v>2185</v>
      </c>
      <c r="AD1271" s="34"/>
      <c r="AE1271" s="35">
        <f>IFERROR(INDEX([1]Last6M_AvgSales_Ref!$B$2:$B$12659,MATCH(D1271,[1]Last6M_AvgSales_Ref!$A$2:$A$12659,0)),"")</f>
        <v>8.8333333333333304</v>
      </c>
    </row>
    <row r="1272" spans="1:31" ht="14.25" customHeight="1" x14ac:dyDescent="0.3">
      <c r="A1272" s="36" t="s">
        <v>848</v>
      </c>
      <c r="B1272" s="38" t="s">
        <v>849</v>
      </c>
      <c r="C1272" s="38" t="s">
        <v>2608</v>
      </c>
      <c r="D1272" s="38">
        <v>1000000307</v>
      </c>
      <c r="E1272" s="39" t="s">
        <v>2609</v>
      </c>
      <c r="F1272" s="40">
        <v>43381</v>
      </c>
      <c r="G1272" s="22" t="str">
        <f t="shared" si="266"/>
        <v>Targeted Dealer</v>
      </c>
      <c r="H1272" s="22"/>
      <c r="I1272" s="23">
        <v>140</v>
      </c>
      <c r="J1272" s="23">
        <f t="shared" si="267"/>
        <v>140</v>
      </c>
      <c r="K1272" s="24">
        <v>79</v>
      </c>
      <c r="L1272" s="24">
        <f t="shared" si="268"/>
        <v>61</v>
      </c>
      <c r="M1272" s="24">
        <f t="shared" si="269"/>
        <v>56.428571428571431</v>
      </c>
      <c r="N1272" s="25">
        <v>66</v>
      </c>
      <c r="O1272" s="26" t="str">
        <f t="shared" si="270"/>
        <v>June</v>
      </c>
      <c r="P1272" s="25">
        <f t="shared" si="271"/>
        <v>66</v>
      </c>
      <c r="Q1272" s="27">
        <f t="shared" si="272"/>
        <v>13</v>
      </c>
      <c r="R1272" s="26" t="b">
        <f t="shared" si="273"/>
        <v>0</v>
      </c>
      <c r="S1272" s="28" t="str">
        <f t="shared" si="274"/>
        <v>GROWTH</v>
      </c>
      <c r="T1272" s="24">
        <v>65</v>
      </c>
      <c r="U1272" s="29" t="str">
        <f t="shared" si="275"/>
        <v>May</v>
      </c>
      <c r="V1272" s="24">
        <f t="shared" si="276"/>
        <v>65</v>
      </c>
      <c r="W1272" s="30">
        <f t="shared" si="277"/>
        <v>14</v>
      </c>
      <c r="X1272" s="31" t="b">
        <f t="shared" si="278"/>
        <v>0</v>
      </c>
      <c r="Y1272" s="32" t="str">
        <f t="shared" si="279"/>
        <v>GROWTH</v>
      </c>
      <c r="Z1272" s="41">
        <v>0</v>
      </c>
      <c r="AA1272" s="36"/>
      <c r="AB1272" s="36" t="s">
        <v>24</v>
      </c>
      <c r="AC1272" s="36" t="s">
        <v>848</v>
      </c>
      <c r="AD1272" s="34"/>
      <c r="AE1272" s="35">
        <f>IFERROR(INDEX([1]Last6M_AvgSales_Ref!$B$2:$B$12659,MATCH(D1272,[1]Last6M_AvgSales_Ref!$A$2:$A$12659,0)),"")</f>
        <v>105.333333333333</v>
      </c>
    </row>
    <row r="1273" spans="1:31" ht="14.25" customHeight="1" x14ac:dyDescent="0.3">
      <c r="A1273" s="36" t="s">
        <v>24</v>
      </c>
      <c r="B1273" s="50" t="s">
        <v>752</v>
      </c>
      <c r="C1273" s="50" t="s">
        <v>2610</v>
      </c>
      <c r="D1273" s="50">
        <v>1000004193</v>
      </c>
      <c r="E1273" s="50" t="s">
        <v>2611</v>
      </c>
      <c r="F1273" s="51">
        <v>45642</v>
      </c>
      <c r="G1273" s="22" t="str">
        <f t="shared" si="266"/>
        <v>Targeted Dealer</v>
      </c>
      <c r="H1273" s="22"/>
      <c r="I1273" s="23">
        <v>60</v>
      </c>
      <c r="J1273" s="23">
        <f t="shared" si="267"/>
        <v>60</v>
      </c>
      <c r="K1273" s="24">
        <v>0</v>
      </c>
      <c r="L1273" s="24">
        <f t="shared" si="268"/>
        <v>60</v>
      </c>
      <c r="M1273" s="24">
        <f t="shared" si="269"/>
        <v>0</v>
      </c>
      <c r="N1273" s="25">
        <v>30</v>
      </c>
      <c r="O1273" s="26" t="str">
        <f t="shared" si="270"/>
        <v>June</v>
      </c>
      <c r="P1273" s="25">
        <f t="shared" si="271"/>
        <v>30</v>
      </c>
      <c r="Q1273" s="27">
        <f t="shared" si="272"/>
        <v>-30</v>
      </c>
      <c r="R1273" s="26" t="b">
        <f t="shared" si="273"/>
        <v>0</v>
      </c>
      <c r="S1273" s="28" t="str">
        <f t="shared" si="274"/>
        <v>GROWTH</v>
      </c>
      <c r="T1273" s="24">
        <v>0</v>
      </c>
      <c r="U1273" s="29" t="str">
        <f t="shared" si="275"/>
        <v>May</v>
      </c>
      <c r="V1273" s="24">
        <f t="shared" si="276"/>
        <v>0</v>
      </c>
      <c r="W1273" s="30">
        <f t="shared" si="277"/>
        <v>0</v>
      </c>
      <c r="X1273" s="31" t="b">
        <f t="shared" si="278"/>
        <v>0</v>
      </c>
      <c r="Y1273" s="32" t="b">
        <f t="shared" si="279"/>
        <v>0</v>
      </c>
      <c r="Z1273" s="41">
        <v>0</v>
      </c>
      <c r="AA1273" s="36"/>
      <c r="AB1273" s="36" t="s">
        <v>24</v>
      </c>
      <c r="AC1273" s="36" t="s">
        <v>24</v>
      </c>
      <c r="AD1273" s="34"/>
      <c r="AE1273" s="35">
        <f>IFERROR(INDEX([1]Last6M_AvgSales_Ref!$B$2:$B$12659,MATCH(D1273,[1]Last6M_AvgSales_Ref!$A$2:$A$12659,0)),"")</f>
        <v>37.1666666666667</v>
      </c>
    </row>
    <row r="1274" spans="1:31" ht="14.25" customHeight="1" x14ac:dyDescent="0.3">
      <c r="A1274" s="36" t="s">
        <v>1836</v>
      </c>
      <c r="B1274" s="50" t="s">
        <v>2145</v>
      </c>
      <c r="C1274" s="50" t="s">
        <v>2612</v>
      </c>
      <c r="D1274" s="50">
        <v>1000001359</v>
      </c>
      <c r="E1274" s="50" t="s">
        <v>2613</v>
      </c>
      <c r="F1274" s="51">
        <v>44739</v>
      </c>
      <c r="G1274" s="22" t="str">
        <f t="shared" si="266"/>
        <v>Targeted Dealer</v>
      </c>
      <c r="H1274" s="22"/>
      <c r="I1274" s="23">
        <v>55</v>
      </c>
      <c r="J1274" s="23">
        <f t="shared" si="267"/>
        <v>55</v>
      </c>
      <c r="K1274" s="24">
        <v>57</v>
      </c>
      <c r="L1274" s="24">
        <f t="shared" si="268"/>
        <v>-2</v>
      </c>
      <c r="M1274" s="24">
        <f t="shared" si="269"/>
        <v>103.63636363636363</v>
      </c>
      <c r="N1274" s="25">
        <v>70</v>
      </c>
      <c r="O1274" s="26" t="str">
        <f t="shared" si="270"/>
        <v>June</v>
      </c>
      <c r="P1274" s="25">
        <f t="shared" si="271"/>
        <v>70</v>
      </c>
      <c r="Q1274" s="27">
        <f t="shared" si="272"/>
        <v>-13</v>
      </c>
      <c r="R1274" s="26" t="b">
        <f t="shared" si="273"/>
        <v>0</v>
      </c>
      <c r="S1274" s="28" t="str">
        <f t="shared" si="274"/>
        <v>GROWTH</v>
      </c>
      <c r="T1274" s="24">
        <v>50.75</v>
      </c>
      <c r="U1274" s="29" t="str">
        <f t="shared" si="275"/>
        <v>May</v>
      </c>
      <c r="V1274" s="24">
        <f t="shared" si="276"/>
        <v>50.75</v>
      </c>
      <c r="W1274" s="30">
        <f t="shared" si="277"/>
        <v>6.25</v>
      </c>
      <c r="X1274" s="31" t="b">
        <f t="shared" si="278"/>
        <v>0</v>
      </c>
      <c r="Y1274" s="32" t="str">
        <f t="shared" si="279"/>
        <v>GROWTH</v>
      </c>
      <c r="Z1274" s="41">
        <v>0</v>
      </c>
      <c r="AA1274" s="36"/>
      <c r="AB1274" s="36" t="s">
        <v>24</v>
      </c>
      <c r="AC1274" s="36" t="s">
        <v>1836</v>
      </c>
      <c r="AD1274" s="34"/>
      <c r="AE1274" s="35">
        <f>IFERROR(INDEX([1]Last6M_AvgSales_Ref!$B$2:$B$12659,MATCH(D1274,[1]Last6M_AvgSales_Ref!$A$2:$A$12659,0)),"")</f>
        <v>63.1666666666667</v>
      </c>
    </row>
    <row r="1275" spans="1:31" ht="14.25" customHeight="1" x14ac:dyDescent="0.3">
      <c r="A1275" s="36" t="s">
        <v>848</v>
      </c>
      <c r="B1275" s="50" t="s">
        <v>1487</v>
      </c>
      <c r="C1275" s="50" t="s">
        <v>2614</v>
      </c>
      <c r="D1275" s="50">
        <v>1000004212</v>
      </c>
      <c r="E1275" s="50" t="s">
        <v>2615</v>
      </c>
      <c r="F1275" s="51">
        <v>45667</v>
      </c>
      <c r="G1275" s="22" t="str">
        <f t="shared" si="266"/>
        <v>Targeted Dealer</v>
      </c>
      <c r="H1275" s="22"/>
      <c r="I1275" s="23">
        <v>200</v>
      </c>
      <c r="J1275" s="23">
        <f t="shared" si="267"/>
        <v>200</v>
      </c>
      <c r="K1275" s="24">
        <v>185.5</v>
      </c>
      <c r="L1275" s="24">
        <f t="shared" si="268"/>
        <v>14.5</v>
      </c>
      <c r="M1275" s="24">
        <f t="shared" si="269"/>
        <v>92.75</v>
      </c>
      <c r="N1275" s="25">
        <v>125</v>
      </c>
      <c r="O1275" s="26" t="str">
        <f t="shared" si="270"/>
        <v>June</v>
      </c>
      <c r="P1275" s="25">
        <f t="shared" si="271"/>
        <v>125</v>
      </c>
      <c r="Q1275" s="27">
        <f t="shared" si="272"/>
        <v>60.5</v>
      </c>
      <c r="R1275" s="26" t="b">
        <f t="shared" si="273"/>
        <v>0</v>
      </c>
      <c r="S1275" s="28" t="str">
        <f t="shared" si="274"/>
        <v>GROWTH</v>
      </c>
      <c r="T1275" s="24">
        <v>75</v>
      </c>
      <c r="U1275" s="29" t="str">
        <f t="shared" si="275"/>
        <v>May</v>
      </c>
      <c r="V1275" s="24">
        <f t="shared" si="276"/>
        <v>75</v>
      </c>
      <c r="W1275" s="30">
        <f t="shared" si="277"/>
        <v>110.5</v>
      </c>
      <c r="X1275" s="31" t="b">
        <f t="shared" si="278"/>
        <v>0</v>
      </c>
      <c r="Y1275" s="32" t="str">
        <f t="shared" si="279"/>
        <v>GROWTH</v>
      </c>
      <c r="Z1275" s="41">
        <v>0</v>
      </c>
      <c r="AA1275" s="36"/>
      <c r="AB1275" s="36" t="s">
        <v>24</v>
      </c>
      <c r="AC1275" s="36" t="s">
        <v>848</v>
      </c>
      <c r="AD1275" s="34"/>
      <c r="AE1275" s="35">
        <f>IFERROR(INDEX([1]Last6M_AvgSales_Ref!$B$2:$B$12659,MATCH(D1275,[1]Last6M_AvgSales_Ref!$A$2:$A$12659,0)),"")</f>
        <v>172.5</v>
      </c>
    </row>
    <row r="1276" spans="1:31" ht="14.25" customHeight="1" x14ac:dyDescent="0.3">
      <c r="A1276" s="36" t="s">
        <v>2185</v>
      </c>
      <c r="B1276" s="50" t="s">
        <v>2388</v>
      </c>
      <c r="C1276" s="50" t="s">
        <v>2616</v>
      </c>
      <c r="D1276" s="50">
        <v>1000004204</v>
      </c>
      <c r="E1276" s="50" t="s">
        <v>2617</v>
      </c>
      <c r="F1276" s="51">
        <v>45653</v>
      </c>
      <c r="G1276" s="22" t="str">
        <f t="shared" si="266"/>
        <v>Targeted Dealer</v>
      </c>
      <c r="H1276" s="22"/>
      <c r="I1276" s="23">
        <v>130</v>
      </c>
      <c r="J1276" s="23">
        <f t="shared" si="267"/>
        <v>130</v>
      </c>
      <c r="K1276" s="24">
        <v>18.25</v>
      </c>
      <c r="L1276" s="24">
        <f t="shared" si="268"/>
        <v>111.75</v>
      </c>
      <c r="M1276" s="24">
        <f t="shared" si="269"/>
        <v>14.038461538461538</v>
      </c>
      <c r="N1276" s="25">
        <v>25.25</v>
      </c>
      <c r="O1276" s="26" t="str">
        <f t="shared" si="270"/>
        <v>June</v>
      </c>
      <c r="P1276" s="25">
        <f t="shared" si="271"/>
        <v>25.25</v>
      </c>
      <c r="Q1276" s="27">
        <f t="shared" si="272"/>
        <v>-7</v>
      </c>
      <c r="R1276" s="26" t="b">
        <f t="shared" si="273"/>
        <v>0</v>
      </c>
      <c r="S1276" s="28" t="str">
        <f t="shared" si="274"/>
        <v>GROWTH</v>
      </c>
      <c r="T1276" s="24">
        <v>59</v>
      </c>
      <c r="U1276" s="29" t="str">
        <f t="shared" si="275"/>
        <v>May</v>
      </c>
      <c r="V1276" s="24">
        <f t="shared" si="276"/>
        <v>59</v>
      </c>
      <c r="W1276" s="30">
        <f t="shared" si="277"/>
        <v>-40.75</v>
      </c>
      <c r="X1276" s="31" t="b">
        <f t="shared" si="278"/>
        <v>0</v>
      </c>
      <c r="Y1276" s="32" t="str">
        <f t="shared" si="279"/>
        <v>GROWTH</v>
      </c>
      <c r="Z1276" s="41">
        <v>0</v>
      </c>
      <c r="AA1276" s="36"/>
      <c r="AB1276" s="36" t="s">
        <v>24</v>
      </c>
      <c r="AC1276" s="36" t="s">
        <v>2185</v>
      </c>
      <c r="AD1276" s="34"/>
      <c r="AE1276" s="35">
        <f>IFERROR(INDEX([1]Last6M_AvgSales_Ref!$B$2:$B$12659,MATCH(D1276,[1]Last6M_AvgSales_Ref!$A$2:$A$12659,0)),"")</f>
        <v>28.725000000000001</v>
      </c>
    </row>
    <row r="1277" spans="1:31" ht="14.25" customHeight="1" x14ac:dyDescent="0.3">
      <c r="A1277" s="52" t="s">
        <v>24</v>
      </c>
      <c r="B1277" s="37" t="s">
        <v>28</v>
      </c>
      <c r="C1277" s="50" t="s">
        <v>2618</v>
      </c>
      <c r="D1277" s="50">
        <v>1000004215</v>
      </c>
      <c r="E1277" s="50" t="s">
        <v>2619</v>
      </c>
      <c r="F1277" s="51">
        <v>45673</v>
      </c>
      <c r="G1277" s="22" t="str">
        <f t="shared" si="266"/>
        <v>Targeted Dealer</v>
      </c>
      <c r="H1277" s="22"/>
      <c r="I1277" s="23">
        <v>200</v>
      </c>
      <c r="J1277" s="23">
        <f t="shared" si="267"/>
        <v>200</v>
      </c>
      <c r="K1277" s="24">
        <v>240</v>
      </c>
      <c r="L1277" s="24">
        <f t="shared" si="268"/>
        <v>-40</v>
      </c>
      <c r="M1277" s="24">
        <f t="shared" si="269"/>
        <v>120</v>
      </c>
      <c r="N1277" s="25">
        <v>260</v>
      </c>
      <c r="O1277" s="26" t="str">
        <f t="shared" si="270"/>
        <v>June</v>
      </c>
      <c r="P1277" s="25">
        <f t="shared" si="271"/>
        <v>260</v>
      </c>
      <c r="Q1277" s="27">
        <f t="shared" si="272"/>
        <v>-20</v>
      </c>
      <c r="R1277" s="26" t="b">
        <f t="shared" si="273"/>
        <v>0</v>
      </c>
      <c r="S1277" s="28" t="str">
        <f t="shared" si="274"/>
        <v>GROWTH</v>
      </c>
      <c r="T1277" s="24">
        <v>100</v>
      </c>
      <c r="U1277" s="29" t="str">
        <f t="shared" si="275"/>
        <v>May</v>
      </c>
      <c r="V1277" s="24">
        <f t="shared" si="276"/>
        <v>100</v>
      </c>
      <c r="W1277" s="30">
        <f t="shared" si="277"/>
        <v>140</v>
      </c>
      <c r="X1277" s="31" t="b">
        <f t="shared" si="278"/>
        <v>0</v>
      </c>
      <c r="Y1277" s="32" t="str">
        <f t="shared" si="279"/>
        <v>GROWTH</v>
      </c>
      <c r="Z1277" s="41">
        <v>0</v>
      </c>
      <c r="AA1277" s="36"/>
      <c r="AB1277" s="36" t="s">
        <v>24</v>
      </c>
      <c r="AC1277" s="52" t="s">
        <v>24</v>
      </c>
      <c r="AD1277" s="34"/>
      <c r="AE1277" s="35">
        <f>IFERROR(INDEX([1]Last6M_AvgSales_Ref!$B$2:$B$12659,MATCH(D1277,[1]Last6M_AvgSales_Ref!$A$2:$A$12659,0)),"")</f>
        <v>190</v>
      </c>
    </row>
    <row r="1278" spans="1:31" ht="14.25" customHeight="1" x14ac:dyDescent="0.3">
      <c r="A1278" s="52" t="s">
        <v>24</v>
      </c>
      <c r="B1278" s="50" t="s">
        <v>752</v>
      </c>
      <c r="C1278" s="50" t="s">
        <v>2620</v>
      </c>
      <c r="D1278" s="50">
        <v>1000000566</v>
      </c>
      <c r="E1278" s="50" t="s">
        <v>2621</v>
      </c>
      <c r="F1278" s="51">
        <v>41737</v>
      </c>
      <c r="G1278" s="22" t="str">
        <f t="shared" si="266"/>
        <v>-</v>
      </c>
      <c r="H1278" s="22"/>
      <c r="I1278" s="23">
        <v>0</v>
      </c>
      <c r="J1278" s="23">
        <f t="shared" si="267"/>
        <v>0</v>
      </c>
      <c r="K1278" s="24">
        <v>53</v>
      </c>
      <c r="L1278" s="24">
        <f t="shared" si="268"/>
        <v>-53</v>
      </c>
      <c r="M1278" s="24" t="str">
        <f t="shared" si="269"/>
        <v>-</v>
      </c>
      <c r="N1278" s="25">
        <v>0</v>
      </c>
      <c r="O1278" s="26" t="str">
        <f t="shared" si="270"/>
        <v>June</v>
      </c>
      <c r="P1278" s="25">
        <f t="shared" si="271"/>
        <v>0</v>
      </c>
      <c r="Q1278" s="27">
        <f t="shared" si="272"/>
        <v>53</v>
      </c>
      <c r="R1278" s="26" t="b">
        <f t="shared" si="273"/>
        <v>0</v>
      </c>
      <c r="S1278" s="28" t="b">
        <f t="shared" si="274"/>
        <v>0</v>
      </c>
      <c r="T1278" s="24">
        <v>0</v>
      </c>
      <c r="U1278" s="29" t="str">
        <f t="shared" si="275"/>
        <v>May</v>
      </c>
      <c r="V1278" s="24">
        <f t="shared" si="276"/>
        <v>0</v>
      </c>
      <c r="W1278" s="30">
        <f t="shared" si="277"/>
        <v>53</v>
      </c>
      <c r="X1278" s="31" t="b">
        <f t="shared" si="278"/>
        <v>0</v>
      </c>
      <c r="Y1278" s="32" t="b">
        <f t="shared" si="279"/>
        <v>0</v>
      </c>
      <c r="Z1278" s="41">
        <v>0</v>
      </c>
      <c r="AA1278" s="36"/>
      <c r="AB1278" s="36" t="s">
        <v>24</v>
      </c>
      <c r="AC1278" s="52" t="s">
        <v>24</v>
      </c>
      <c r="AD1278" s="34"/>
      <c r="AE1278" s="35">
        <f>IFERROR(INDEX([1]Last6M_AvgSales_Ref!$B$2:$B$12659,MATCH(D1278,[1]Last6M_AvgSales_Ref!$A$2:$A$12659,0)),"")</f>
        <v>53.3333333333333</v>
      </c>
    </row>
    <row r="1279" spans="1:31" ht="14.25" customHeight="1" x14ac:dyDescent="0.3">
      <c r="A1279" s="52" t="s">
        <v>848</v>
      </c>
      <c r="B1279" s="50" t="s">
        <v>917</v>
      </c>
      <c r="C1279" s="50" t="s">
        <v>2622</v>
      </c>
      <c r="D1279" s="50">
        <v>1000004201</v>
      </c>
      <c r="E1279" s="50" t="s">
        <v>2623</v>
      </c>
      <c r="F1279" s="51">
        <v>45657</v>
      </c>
      <c r="G1279" s="22" t="str">
        <f t="shared" si="266"/>
        <v>Targeted Dealer</v>
      </c>
      <c r="H1279" s="22"/>
      <c r="I1279" s="23">
        <v>26</v>
      </c>
      <c r="J1279" s="23">
        <f t="shared" si="267"/>
        <v>26</v>
      </c>
      <c r="K1279" s="24">
        <v>0</v>
      </c>
      <c r="L1279" s="24">
        <f t="shared" si="268"/>
        <v>26</v>
      </c>
      <c r="M1279" s="24">
        <f t="shared" si="269"/>
        <v>0</v>
      </c>
      <c r="N1279" s="25">
        <v>0</v>
      </c>
      <c r="O1279" s="26" t="str">
        <f t="shared" si="270"/>
        <v>June</v>
      </c>
      <c r="P1279" s="25">
        <f t="shared" si="271"/>
        <v>0</v>
      </c>
      <c r="Q1279" s="27">
        <f t="shared" si="272"/>
        <v>0</v>
      </c>
      <c r="R1279" s="26" t="b">
        <f t="shared" si="273"/>
        <v>0</v>
      </c>
      <c r="S1279" s="28" t="b">
        <f t="shared" si="274"/>
        <v>0</v>
      </c>
      <c r="T1279" s="24">
        <v>21</v>
      </c>
      <c r="U1279" s="29" t="str">
        <f t="shared" si="275"/>
        <v>May</v>
      </c>
      <c r="V1279" s="24">
        <f t="shared" si="276"/>
        <v>21</v>
      </c>
      <c r="W1279" s="30">
        <f t="shared" si="277"/>
        <v>-21</v>
      </c>
      <c r="X1279" s="31" t="b">
        <f t="shared" si="278"/>
        <v>0</v>
      </c>
      <c r="Y1279" s="32" t="str">
        <f t="shared" si="279"/>
        <v>GROWTH</v>
      </c>
      <c r="Z1279" s="41">
        <v>0</v>
      </c>
      <c r="AA1279" s="36"/>
      <c r="AB1279" s="36" t="s">
        <v>24</v>
      </c>
      <c r="AC1279" s="52" t="s">
        <v>848</v>
      </c>
      <c r="AD1279" s="34"/>
      <c r="AE1279" s="35">
        <f>IFERROR(INDEX([1]Last6M_AvgSales_Ref!$B$2:$B$12659,MATCH(D1279,[1]Last6M_AvgSales_Ref!$A$2:$A$12659,0)),"")</f>
        <v>8.5</v>
      </c>
    </row>
    <row r="1280" spans="1:31" ht="14.25" customHeight="1" x14ac:dyDescent="0.3">
      <c r="A1280" s="36" t="s">
        <v>1836</v>
      </c>
      <c r="B1280" s="50" t="s">
        <v>2004</v>
      </c>
      <c r="C1280" s="50" t="s">
        <v>2624</v>
      </c>
      <c r="D1280" s="50">
        <v>1000004214</v>
      </c>
      <c r="E1280" s="50" t="s">
        <v>2625</v>
      </c>
      <c r="F1280" s="51">
        <v>45671</v>
      </c>
      <c r="G1280" s="22" t="str">
        <f t="shared" si="266"/>
        <v>Targeted Dealer</v>
      </c>
      <c r="H1280" s="22"/>
      <c r="I1280" s="23">
        <v>50</v>
      </c>
      <c r="J1280" s="23">
        <f t="shared" si="267"/>
        <v>50</v>
      </c>
      <c r="K1280" s="24">
        <v>46.5</v>
      </c>
      <c r="L1280" s="24">
        <f t="shared" si="268"/>
        <v>3.5</v>
      </c>
      <c r="M1280" s="24">
        <f t="shared" si="269"/>
        <v>93</v>
      </c>
      <c r="N1280" s="25">
        <v>23</v>
      </c>
      <c r="O1280" s="26" t="str">
        <f t="shared" si="270"/>
        <v>June</v>
      </c>
      <c r="P1280" s="25">
        <f t="shared" si="271"/>
        <v>23</v>
      </c>
      <c r="Q1280" s="27">
        <f t="shared" si="272"/>
        <v>23.5</v>
      </c>
      <c r="R1280" s="26" t="b">
        <f t="shared" si="273"/>
        <v>0</v>
      </c>
      <c r="S1280" s="28" t="str">
        <f t="shared" si="274"/>
        <v>GROWTH</v>
      </c>
      <c r="T1280" s="24">
        <v>60</v>
      </c>
      <c r="U1280" s="29" t="str">
        <f t="shared" si="275"/>
        <v>May</v>
      </c>
      <c r="V1280" s="24">
        <f t="shared" si="276"/>
        <v>60</v>
      </c>
      <c r="W1280" s="30">
        <f t="shared" si="277"/>
        <v>-13.5</v>
      </c>
      <c r="X1280" s="31" t="b">
        <f t="shared" si="278"/>
        <v>0</v>
      </c>
      <c r="Y1280" s="32" t="str">
        <f t="shared" si="279"/>
        <v>GROWTH</v>
      </c>
      <c r="Z1280" s="41">
        <v>0</v>
      </c>
      <c r="AA1280" s="36"/>
      <c r="AB1280" s="36" t="s">
        <v>24</v>
      </c>
      <c r="AC1280" s="36" t="s">
        <v>1836</v>
      </c>
      <c r="AD1280" s="34"/>
      <c r="AE1280" s="35">
        <f>IFERROR(INDEX([1]Last6M_AvgSales_Ref!$B$2:$B$12659,MATCH(D1280,[1]Last6M_AvgSales_Ref!$A$2:$A$12659,0)),"")</f>
        <v>22.25</v>
      </c>
    </row>
    <row r="1281" spans="1:31" ht="14.25" customHeight="1" x14ac:dyDescent="0.3">
      <c r="A1281" s="52" t="s">
        <v>24</v>
      </c>
      <c r="B1281" s="50" t="s">
        <v>752</v>
      </c>
      <c r="C1281" s="50" t="s">
        <v>2626</v>
      </c>
      <c r="D1281" s="50">
        <v>1000004216</v>
      </c>
      <c r="E1281" s="50" t="s">
        <v>2627</v>
      </c>
      <c r="F1281" s="51">
        <v>45675</v>
      </c>
      <c r="G1281" s="22" t="str">
        <f t="shared" si="266"/>
        <v>Targeted Dealer</v>
      </c>
      <c r="H1281" s="22"/>
      <c r="I1281" s="23">
        <v>155</v>
      </c>
      <c r="J1281" s="23">
        <f t="shared" si="267"/>
        <v>155</v>
      </c>
      <c r="K1281" s="24">
        <v>148</v>
      </c>
      <c r="L1281" s="24">
        <f t="shared" si="268"/>
        <v>7</v>
      </c>
      <c r="M1281" s="24">
        <f t="shared" si="269"/>
        <v>95.483870967741936</v>
      </c>
      <c r="N1281" s="25">
        <v>0</v>
      </c>
      <c r="O1281" s="26" t="str">
        <f t="shared" si="270"/>
        <v>June</v>
      </c>
      <c r="P1281" s="25">
        <f t="shared" si="271"/>
        <v>0</v>
      </c>
      <c r="Q1281" s="27">
        <f t="shared" si="272"/>
        <v>148</v>
      </c>
      <c r="R1281" s="26" t="b">
        <f t="shared" si="273"/>
        <v>0</v>
      </c>
      <c r="S1281" s="28" t="b">
        <f t="shared" si="274"/>
        <v>0</v>
      </c>
      <c r="T1281" s="24">
        <v>0</v>
      </c>
      <c r="U1281" s="29" t="str">
        <f t="shared" si="275"/>
        <v>May</v>
      </c>
      <c r="V1281" s="24">
        <f t="shared" si="276"/>
        <v>0</v>
      </c>
      <c r="W1281" s="30">
        <f t="shared" si="277"/>
        <v>148</v>
      </c>
      <c r="X1281" s="31" t="b">
        <f t="shared" si="278"/>
        <v>0</v>
      </c>
      <c r="Y1281" s="32" t="b">
        <f t="shared" si="279"/>
        <v>0</v>
      </c>
      <c r="Z1281" s="41">
        <v>0</v>
      </c>
      <c r="AA1281" s="36"/>
      <c r="AB1281" s="36" t="s">
        <v>24</v>
      </c>
      <c r="AC1281" s="52" t="s">
        <v>24</v>
      </c>
      <c r="AD1281" s="34"/>
      <c r="AE1281" s="35">
        <f>IFERROR(INDEX([1]Last6M_AvgSales_Ref!$B$2:$B$12659,MATCH(D1281,[1]Last6M_AvgSales_Ref!$A$2:$A$12659,0)),"")</f>
        <v>157</v>
      </c>
    </row>
    <row r="1282" spans="1:31" ht="14.25" customHeight="1" x14ac:dyDescent="0.3">
      <c r="A1282" s="52" t="s">
        <v>24</v>
      </c>
      <c r="B1282" s="37" t="s">
        <v>269</v>
      </c>
      <c r="C1282" s="50" t="s">
        <v>2628</v>
      </c>
      <c r="D1282" s="50">
        <v>1000004222</v>
      </c>
      <c r="E1282" s="50" t="s">
        <v>2629</v>
      </c>
      <c r="F1282" s="51">
        <v>45677</v>
      </c>
      <c r="G1282" s="22" t="str">
        <f t="shared" si="266"/>
        <v>Targeted Dealer</v>
      </c>
      <c r="H1282" s="22"/>
      <c r="I1282" s="23">
        <v>80</v>
      </c>
      <c r="J1282" s="23">
        <f t="shared" si="267"/>
        <v>80</v>
      </c>
      <c r="K1282" s="24">
        <v>110</v>
      </c>
      <c r="L1282" s="24">
        <f t="shared" si="268"/>
        <v>-30</v>
      </c>
      <c r="M1282" s="24">
        <f t="shared" si="269"/>
        <v>137.5</v>
      </c>
      <c r="N1282" s="25">
        <v>80</v>
      </c>
      <c r="O1282" s="26" t="str">
        <f t="shared" si="270"/>
        <v>June</v>
      </c>
      <c r="P1282" s="25">
        <f t="shared" si="271"/>
        <v>80</v>
      </c>
      <c r="Q1282" s="27">
        <f t="shared" si="272"/>
        <v>30</v>
      </c>
      <c r="R1282" s="26" t="b">
        <f t="shared" si="273"/>
        <v>0</v>
      </c>
      <c r="S1282" s="28" t="str">
        <f t="shared" si="274"/>
        <v>GROWTH</v>
      </c>
      <c r="T1282" s="24">
        <v>80</v>
      </c>
      <c r="U1282" s="29" t="str">
        <f t="shared" si="275"/>
        <v>May</v>
      </c>
      <c r="V1282" s="24">
        <f t="shared" si="276"/>
        <v>80</v>
      </c>
      <c r="W1282" s="30">
        <f t="shared" si="277"/>
        <v>30</v>
      </c>
      <c r="X1282" s="31" t="b">
        <f t="shared" si="278"/>
        <v>0</v>
      </c>
      <c r="Y1282" s="32" t="str">
        <f t="shared" si="279"/>
        <v>GROWTH</v>
      </c>
      <c r="Z1282" s="41">
        <v>0</v>
      </c>
      <c r="AA1282" s="36"/>
      <c r="AB1282" s="36" t="s">
        <v>24</v>
      </c>
      <c r="AC1282" s="52" t="s">
        <v>24</v>
      </c>
      <c r="AD1282" s="34"/>
      <c r="AE1282" s="35">
        <f>IFERROR(INDEX([1]Last6M_AvgSales_Ref!$B$2:$B$12659,MATCH(D1282,[1]Last6M_AvgSales_Ref!$A$2:$A$12659,0)),"")</f>
        <v>109.308333333333</v>
      </c>
    </row>
    <row r="1283" spans="1:31" ht="14.25" customHeight="1" x14ac:dyDescent="0.3">
      <c r="A1283" s="52" t="s">
        <v>848</v>
      </c>
      <c r="B1283" s="37" t="s">
        <v>1098</v>
      </c>
      <c r="C1283" s="50" t="s">
        <v>2630</v>
      </c>
      <c r="D1283" s="50">
        <v>1000004223</v>
      </c>
      <c r="E1283" s="50" t="s">
        <v>2631</v>
      </c>
      <c r="F1283" s="51">
        <v>45678</v>
      </c>
      <c r="G1283" s="22" t="str">
        <f t="shared" ref="G1283:G1346" si="280">IF(I1283&gt;0,"Targeted Dealer","-")</f>
        <v>Targeted Dealer</v>
      </c>
      <c r="H1283" s="22"/>
      <c r="I1283" s="23">
        <v>300</v>
      </c>
      <c r="J1283" s="23">
        <f t="shared" ref="J1283:J1346" si="281">I1283/$J$1*($J$1-$E$1)</f>
        <v>300</v>
      </c>
      <c r="K1283" s="24">
        <v>110</v>
      </c>
      <c r="L1283" s="24">
        <f t="shared" ref="L1283:L1346" si="282">I1283-K1283</f>
        <v>190</v>
      </c>
      <c r="M1283" s="24">
        <f t="shared" ref="M1283:M1346" si="283">IFERROR((K1283/J1283%),"-")</f>
        <v>36.666666666666664</v>
      </c>
      <c r="N1283" s="25">
        <v>125</v>
      </c>
      <c r="O1283" s="26" t="str">
        <f t="shared" ref="O1283:O1346" si="284">IF(F1283&lt;=$P$2,"June","")</f>
        <v>June</v>
      </c>
      <c r="P1283" s="25">
        <f t="shared" ref="P1283:P1346" si="285">N1283</f>
        <v>125</v>
      </c>
      <c r="Q1283" s="27">
        <f t="shared" ref="Q1283:Q1346" si="286">K1283-P1283</f>
        <v>-15</v>
      </c>
      <c r="R1283" s="26" t="b">
        <f t="shared" ref="R1283:R1346" si="287">IFERROR(IF(O1283="May",(K1283/P1283-1))," ")</f>
        <v>0</v>
      </c>
      <c r="S1283" s="28" t="str">
        <f t="shared" ref="S1283:S1346" si="288">IF(N1283&gt;0,IF(O1283="","-",IF(R1283&lt;0%,"DEGROWTH","GROWTH")))</f>
        <v>GROWTH</v>
      </c>
      <c r="T1283" s="24">
        <v>130</v>
      </c>
      <c r="U1283" s="29" t="str">
        <f t="shared" ref="U1283:U1346" si="289">IF(F1283&lt;=$V$2,"May","")</f>
        <v>May</v>
      </c>
      <c r="V1283" s="24">
        <f t="shared" ref="V1283:V1346" si="290">T1283</f>
        <v>130</v>
      </c>
      <c r="W1283" s="30">
        <f t="shared" ref="W1283:W1346" si="291">K1283-V1283</f>
        <v>-20</v>
      </c>
      <c r="X1283" s="31" t="b">
        <f t="shared" ref="X1283:X1346" si="292">IFERROR(IF(U1283="June",(K1283/V1283-1)),0)</f>
        <v>0</v>
      </c>
      <c r="Y1283" s="32" t="str">
        <f t="shared" ref="Y1283:Y1346" si="293">IF(T1283&gt;0,IF(U1283="","-",IF(X1283&lt;0%,"DEGROWTH","GROWTH")))</f>
        <v>GROWTH</v>
      </c>
      <c r="Z1283" s="41">
        <v>0</v>
      </c>
      <c r="AA1283" s="36"/>
      <c r="AB1283" s="36" t="s">
        <v>24</v>
      </c>
      <c r="AC1283" s="52" t="s">
        <v>848</v>
      </c>
      <c r="AD1283" s="34"/>
      <c r="AE1283" s="35">
        <f>IFERROR(INDEX([1]Last6M_AvgSales_Ref!$B$2:$B$12659,MATCH(D1283,[1]Last6M_AvgSales_Ref!$A$2:$A$12659,0)),"")</f>
        <v>137.666666666667</v>
      </c>
    </row>
    <row r="1284" spans="1:31" ht="14.25" customHeight="1" x14ac:dyDescent="0.3">
      <c r="A1284" s="52" t="s">
        <v>24</v>
      </c>
      <c r="B1284" s="50" t="s">
        <v>752</v>
      </c>
      <c r="C1284" s="50" t="s">
        <v>2632</v>
      </c>
      <c r="D1284" s="50">
        <v>1000000580</v>
      </c>
      <c r="E1284" s="50" t="s">
        <v>2633</v>
      </c>
      <c r="F1284" s="51">
        <v>44738</v>
      </c>
      <c r="G1284" s="22" t="str">
        <f t="shared" si="280"/>
        <v>Targeted Dealer</v>
      </c>
      <c r="H1284" s="22"/>
      <c r="I1284" s="23">
        <v>105</v>
      </c>
      <c r="J1284" s="23">
        <f t="shared" si="281"/>
        <v>105</v>
      </c>
      <c r="K1284" s="24">
        <v>161</v>
      </c>
      <c r="L1284" s="24">
        <f t="shared" si="282"/>
        <v>-56</v>
      </c>
      <c r="M1284" s="24">
        <f t="shared" si="283"/>
        <v>153.33333333333331</v>
      </c>
      <c r="N1284" s="25">
        <v>79</v>
      </c>
      <c r="O1284" s="26" t="str">
        <f t="shared" si="284"/>
        <v>June</v>
      </c>
      <c r="P1284" s="25">
        <f t="shared" si="285"/>
        <v>79</v>
      </c>
      <c r="Q1284" s="27">
        <f t="shared" si="286"/>
        <v>82</v>
      </c>
      <c r="R1284" s="26" t="b">
        <f t="shared" si="287"/>
        <v>0</v>
      </c>
      <c r="S1284" s="28" t="str">
        <f t="shared" si="288"/>
        <v>GROWTH</v>
      </c>
      <c r="T1284" s="24">
        <v>0</v>
      </c>
      <c r="U1284" s="29" t="str">
        <f t="shared" si="289"/>
        <v>May</v>
      </c>
      <c r="V1284" s="24">
        <f t="shared" si="290"/>
        <v>0</v>
      </c>
      <c r="W1284" s="30">
        <f t="shared" si="291"/>
        <v>161</v>
      </c>
      <c r="X1284" s="31" t="b">
        <f t="shared" si="292"/>
        <v>0</v>
      </c>
      <c r="Y1284" s="32" t="b">
        <f t="shared" si="293"/>
        <v>0</v>
      </c>
      <c r="Z1284" s="41">
        <v>0</v>
      </c>
      <c r="AA1284" s="36"/>
      <c r="AB1284" s="36" t="s">
        <v>24</v>
      </c>
      <c r="AC1284" s="52" t="s">
        <v>24</v>
      </c>
      <c r="AD1284" s="34"/>
      <c r="AE1284" s="35">
        <f>IFERROR(INDEX([1]Last6M_AvgSales_Ref!$B$2:$B$12659,MATCH(D1284,[1]Last6M_AvgSales_Ref!$A$2:$A$12659,0)),"")</f>
        <v>192.833333333333</v>
      </c>
    </row>
    <row r="1285" spans="1:31" ht="14.25" customHeight="1" x14ac:dyDescent="0.3">
      <c r="A1285" s="52" t="s">
        <v>24</v>
      </c>
      <c r="B1285" s="37" t="s">
        <v>174</v>
      </c>
      <c r="C1285" s="50" t="s">
        <v>2634</v>
      </c>
      <c r="D1285" s="50">
        <v>1000004227</v>
      </c>
      <c r="E1285" s="50" t="s">
        <v>2635</v>
      </c>
      <c r="F1285" s="51">
        <v>45685</v>
      </c>
      <c r="G1285" s="22" t="str">
        <f t="shared" si="280"/>
        <v>Targeted Dealer</v>
      </c>
      <c r="H1285" s="22"/>
      <c r="I1285" s="23">
        <v>60</v>
      </c>
      <c r="J1285" s="23">
        <f t="shared" si="281"/>
        <v>60</v>
      </c>
      <c r="K1285" s="24">
        <v>80</v>
      </c>
      <c r="L1285" s="24">
        <f t="shared" si="282"/>
        <v>-20</v>
      </c>
      <c r="M1285" s="24">
        <f t="shared" si="283"/>
        <v>133.33333333333334</v>
      </c>
      <c r="N1285" s="25">
        <v>80</v>
      </c>
      <c r="O1285" s="26" t="str">
        <f t="shared" si="284"/>
        <v>June</v>
      </c>
      <c r="P1285" s="25">
        <f t="shared" si="285"/>
        <v>80</v>
      </c>
      <c r="Q1285" s="27">
        <f t="shared" si="286"/>
        <v>0</v>
      </c>
      <c r="R1285" s="26" t="b">
        <f t="shared" si="287"/>
        <v>0</v>
      </c>
      <c r="S1285" s="28" t="str">
        <f t="shared" si="288"/>
        <v>GROWTH</v>
      </c>
      <c r="T1285" s="24">
        <v>60</v>
      </c>
      <c r="U1285" s="29" t="str">
        <f t="shared" si="289"/>
        <v>May</v>
      </c>
      <c r="V1285" s="24">
        <f t="shared" si="290"/>
        <v>60</v>
      </c>
      <c r="W1285" s="30">
        <f t="shared" si="291"/>
        <v>20</v>
      </c>
      <c r="X1285" s="31" t="b">
        <f t="shared" si="292"/>
        <v>0</v>
      </c>
      <c r="Y1285" s="32" t="str">
        <f t="shared" si="293"/>
        <v>GROWTH</v>
      </c>
      <c r="Z1285" s="41">
        <v>0</v>
      </c>
      <c r="AA1285" s="36"/>
      <c r="AB1285" s="36" t="s">
        <v>24</v>
      </c>
      <c r="AC1285" s="52" t="s">
        <v>24</v>
      </c>
      <c r="AD1285" s="34"/>
      <c r="AE1285" s="35">
        <f>IFERROR(INDEX([1]Last6M_AvgSales_Ref!$B$2:$B$12659,MATCH(D1285,[1]Last6M_AvgSales_Ref!$A$2:$A$12659,0)),"")</f>
        <v>87.575000000000003</v>
      </c>
    </row>
    <row r="1286" spans="1:31" ht="14.25" customHeight="1" x14ac:dyDescent="0.3">
      <c r="A1286" s="52" t="s">
        <v>2185</v>
      </c>
      <c r="B1286" s="50" t="s">
        <v>2388</v>
      </c>
      <c r="C1286" s="50" t="s">
        <v>2636</v>
      </c>
      <c r="D1286" s="50">
        <v>1000004242</v>
      </c>
      <c r="E1286" s="50" t="s">
        <v>2637</v>
      </c>
      <c r="F1286" s="51">
        <v>45686</v>
      </c>
      <c r="G1286" s="22" t="str">
        <f t="shared" si="280"/>
        <v>Targeted Dealer</v>
      </c>
      <c r="H1286" s="22"/>
      <c r="I1286" s="23">
        <v>30</v>
      </c>
      <c r="J1286" s="23">
        <f t="shared" si="281"/>
        <v>30</v>
      </c>
      <c r="K1286" s="24">
        <v>0</v>
      </c>
      <c r="L1286" s="24">
        <f t="shared" si="282"/>
        <v>30</v>
      </c>
      <c r="M1286" s="24">
        <f t="shared" si="283"/>
        <v>0</v>
      </c>
      <c r="N1286" s="25">
        <v>30</v>
      </c>
      <c r="O1286" s="26" t="str">
        <f t="shared" si="284"/>
        <v>June</v>
      </c>
      <c r="P1286" s="25">
        <f t="shared" si="285"/>
        <v>30</v>
      </c>
      <c r="Q1286" s="27">
        <f t="shared" si="286"/>
        <v>-30</v>
      </c>
      <c r="R1286" s="26" t="b">
        <f t="shared" si="287"/>
        <v>0</v>
      </c>
      <c r="S1286" s="28" t="str">
        <f t="shared" si="288"/>
        <v>GROWTH</v>
      </c>
      <c r="T1286" s="24">
        <v>25</v>
      </c>
      <c r="U1286" s="29" t="str">
        <f t="shared" si="289"/>
        <v>May</v>
      </c>
      <c r="V1286" s="24">
        <f t="shared" si="290"/>
        <v>25</v>
      </c>
      <c r="W1286" s="30">
        <f t="shared" si="291"/>
        <v>-25</v>
      </c>
      <c r="X1286" s="31" t="b">
        <f t="shared" si="292"/>
        <v>0</v>
      </c>
      <c r="Y1286" s="32" t="str">
        <f t="shared" si="293"/>
        <v>GROWTH</v>
      </c>
      <c r="Z1286" s="41">
        <v>0</v>
      </c>
      <c r="AA1286" s="36"/>
      <c r="AB1286" s="36" t="s">
        <v>24</v>
      </c>
      <c r="AC1286" s="52" t="s">
        <v>2185</v>
      </c>
      <c r="AD1286" s="34"/>
      <c r="AE1286" s="35">
        <f>IFERROR(INDEX([1]Last6M_AvgSales_Ref!$B$2:$B$12659,MATCH(D1286,[1]Last6M_AvgSales_Ref!$A$2:$A$12659,0)),"")</f>
        <v>33</v>
      </c>
    </row>
    <row r="1287" spans="1:31" ht="14.25" customHeight="1" x14ac:dyDescent="0.3">
      <c r="A1287" s="52" t="s">
        <v>848</v>
      </c>
      <c r="B1287" s="50" t="s">
        <v>1558</v>
      </c>
      <c r="C1287" s="50" t="s">
        <v>2638</v>
      </c>
      <c r="D1287" s="50">
        <v>1000004230</v>
      </c>
      <c r="E1287" s="50" t="s">
        <v>2639</v>
      </c>
      <c r="F1287" s="51">
        <v>45685</v>
      </c>
      <c r="G1287" s="22" t="str">
        <f t="shared" si="280"/>
        <v>Targeted Dealer</v>
      </c>
      <c r="H1287" s="22"/>
      <c r="I1287" s="23">
        <v>40</v>
      </c>
      <c r="J1287" s="23">
        <f t="shared" si="281"/>
        <v>40</v>
      </c>
      <c r="K1287" s="24">
        <v>15</v>
      </c>
      <c r="L1287" s="24">
        <f t="shared" si="282"/>
        <v>25</v>
      </c>
      <c r="M1287" s="24">
        <f t="shared" si="283"/>
        <v>37.5</v>
      </c>
      <c r="N1287" s="25">
        <v>30</v>
      </c>
      <c r="O1287" s="26" t="str">
        <f t="shared" si="284"/>
        <v>June</v>
      </c>
      <c r="P1287" s="25">
        <f t="shared" si="285"/>
        <v>30</v>
      </c>
      <c r="Q1287" s="27">
        <f t="shared" si="286"/>
        <v>-15</v>
      </c>
      <c r="R1287" s="26" t="b">
        <f t="shared" si="287"/>
        <v>0</v>
      </c>
      <c r="S1287" s="28" t="str">
        <f t="shared" si="288"/>
        <v>GROWTH</v>
      </c>
      <c r="T1287" s="24">
        <v>17.5</v>
      </c>
      <c r="U1287" s="29" t="str">
        <f t="shared" si="289"/>
        <v>May</v>
      </c>
      <c r="V1287" s="24">
        <f t="shared" si="290"/>
        <v>17.5</v>
      </c>
      <c r="W1287" s="30">
        <f t="shared" si="291"/>
        <v>-2.5</v>
      </c>
      <c r="X1287" s="31" t="b">
        <f t="shared" si="292"/>
        <v>0</v>
      </c>
      <c r="Y1287" s="32" t="str">
        <f t="shared" si="293"/>
        <v>GROWTH</v>
      </c>
      <c r="Z1287" s="41">
        <v>0</v>
      </c>
      <c r="AA1287" s="36"/>
      <c r="AB1287" s="36" t="s">
        <v>24</v>
      </c>
      <c r="AC1287" s="52" t="s">
        <v>848</v>
      </c>
      <c r="AD1287" s="34"/>
      <c r="AE1287" s="35">
        <f>IFERROR(INDEX([1]Last6M_AvgSales_Ref!$B$2:$B$12659,MATCH(D1287,[1]Last6M_AvgSales_Ref!$A$2:$A$12659,0)),"")</f>
        <v>15.9166666666667</v>
      </c>
    </row>
    <row r="1288" spans="1:31" ht="14.25" customHeight="1" x14ac:dyDescent="0.3">
      <c r="A1288" s="52" t="s">
        <v>848</v>
      </c>
      <c r="B1288" s="50" t="s">
        <v>1666</v>
      </c>
      <c r="C1288" s="50" t="s">
        <v>2640</v>
      </c>
      <c r="D1288" s="50">
        <v>1000004262</v>
      </c>
      <c r="E1288" s="50" t="s">
        <v>2641</v>
      </c>
      <c r="F1288" s="51">
        <v>45689</v>
      </c>
      <c r="G1288" s="22" t="str">
        <f t="shared" si="280"/>
        <v>-</v>
      </c>
      <c r="H1288" s="22"/>
      <c r="I1288" s="23">
        <v>0</v>
      </c>
      <c r="J1288" s="23">
        <f t="shared" si="281"/>
        <v>0</v>
      </c>
      <c r="K1288" s="24">
        <v>0</v>
      </c>
      <c r="L1288" s="24">
        <f t="shared" si="282"/>
        <v>0</v>
      </c>
      <c r="M1288" s="24" t="str">
        <f t="shared" si="283"/>
        <v>-</v>
      </c>
      <c r="N1288" s="25">
        <v>20</v>
      </c>
      <c r="O1288" s="26" t="str">
        <f t="shared" si="284"/>
        <v>June</v>
      </c>
      <c r="P1288" s="25">
        <f t="shared" si="285"/>
        <v>20</v>
      </c>
      <c r="Q1288" s="27">
        <f t="shared" si="286"/>
        <v>-20</v>
      </c>
      <c r="R1288" s="26" t="b">
        <f t="shared" si="287"/>
        <v>0</v>
      </c>
      <c r="S1288" s="28" t="str">
        <f t="shared" si="288"/>
        <v>GROWTH</v>
      </c>
      <c r="T1288" s="24">
        <v>0</v>
      </c>
      <c r="U1288" s="29" t="str">
        <f t="shared" si="289"/>
        <v>May</v>
      </c>
      <c r="V1288" s="24">
        <f t="shared" si="290"/>
        <v>0</v>
      </c>
      <c r="W1288" s="30">
        <f t="shared" si="291"/>
        <v>0</v>
      </c>
      <c r="X1288" s="31" t="b">
        <f t="shared" si="292"/>
        <v>0</v>
      </c>
      <c r="Y1288" s="32" t="b">
        <f t="shared" si="293"/>
        <v>0</v>
      </c>
      <c r="Z1288" s="41">
        <v>0</v>
      </c>
      <c r="AA1288" s="36"/>
      <c r="AB1288" s="36" t="s">
        <v>24</v>
      </c>
      <c r="AC1288" s="52" t="s">
        <v>848</v>
      </c>
      <c r="AD1288" s="34"/>
      <c r="AE1288" s="35">
        <f>IFERROR(INDEX([1]Last6M_AvgSales_Ref!$B$2:$B$12659,MATCH(D1288,[1]Last6M_AvgSales_Ref!$A$2:$A$12659,0)),"")</f>
        <v>4.8333333333333304</v>
      </c>
    </row>
    <row r="1289" spans="1:31" ht="14.25" customHeight="1" x14ac:dyDescent="0.3">
      <c r="A1289" s="52" t="s">
        <v>24</v>
      </c>
      <c r="B1289" s="50" t="s">
        <v>752</v>
      </c>
      <c r="C1289" s="50" t="s">
        <v>2642</v>
      </c>
      <c r="D1289" s="50">
        <v>1000004224</v>
      </c>
      <c r="E1289" s="50" t="s">
        <v>2643</v>
      </c>
      <c r="F1289" s="51">
        <v>45684</v>
      </c>
      <c r="G1289" s="22" t="str">
        <f t="shared" si="280"/>
        <v>Targeted Dealer</v>
      </c>
      <c r="H1289" s="22"/>
      <c r="I1289" s="23">
        <v>105</v>
      </c>
      <c r="J1289" s="23">
        <f t="shared" si="281"/>
        <v>105</v>
      </c>
      <c r="K1289" s="24">
        <v>0</v>
      </c>
      <c r="L1289" s="24">
        <f t="shared" si="282"/>
        <v>105</v>
      </c>
      <c r="M1289" s="24">
        <f t="shared" si="283"/>
        <v>0</v>
      </c>
      <c r="N1289" s="25">
        <v>0</v>
      </c>
      <c r="O1289" s="26" t="str">
        <f t="shared" si="284"/>
        <v>June</v>
      </c>
      <c r="P1289" s="25">
        <f t="shared" si="285"/>
        <v>0</v>
      </c>
      <c r="Q1289" s="27">
        <f t="shared" si="286"/>
        <v>0</v>
      </c>
      <c r="R1289" s="26" t="b">
        <f t="shared" si="287"/>
        <v>0</v>
      </c>
      <c r="S1289" s="28" t="b">
        <f t="shared" si="288"/>
        <v>0</v>
      </c>
      <c r="T1289" s="24">
        <v>81</v>
      </c>
      <c r="U1289" s="29" t="str">
        <f t="shared" si="289"/>
        <v>May</v>
      </c>
      <c r="V1289" s="24">
        <f t="shared" si="290"/>
        <v>81</v>
      </c>
      <c r="W1289" s="30">
        <f t="shared" si="291"/>
        <v>-81</v>
      </c>
      <c r="X1289" s="31" t="b">
        <f t="shared" si="292"/>
        <v>0</v>
      </c>
      <c r="Y1289" s="32" t="str">
        <f t="shared" si="293"/>
        <v>GROWTH</v>
      </c>
      <c r="Z1289" s="41">
        <v>0</v>
      </c>
      <c r="AA1289" s="36"/>
      <c r="AB1289" s="36" t="s">
        <v>24</v>
      </c>
      <c r="AC1289" s="52" t="s">
        <v>24</v>
      </c>
      <c r="AD1289" s="34"/>
      <c r="AE1289" s="35">
        <f>IFERROR(INDEX([1]Last6M_AvgSales_Ref!$B$2:$B$12659,MATCH(D1289,[1]Last6M_AvgSales_Ref!$A$2:$A$12659,0)),"")</f>
        <v>72.8333333333333</v>
      </c>
    </row>
    <row r="1290" spans="1:31" ht="14.25" customHeight="1" x14ac:dyDescent="0.3">
      <c r="A1290" s="52" t="s">
        <v>24</v>
      </c>
      <c r="B1290" s="37" t="s">
        <v>25</v>
      </c>
      <c r="C1290" s="50" t="s">
        <v>2644</v>
      </c>
      <c r="D1290" s="50">
        <v>1000004186</v>
      </c>
      <c r="E1290" s="50" t="s">
        <v>2645</v>
      </c>
      <c r="F1290" s="51">
        <v>45636</v>
      </c>
      <c r="G1290" s="22" t="str">
        <f t="shared" si="280"/>
        <v>-</v>
      </c>
      <c r="H1290" s="22"/>
      <c r="I1290" s="23">
        <v>0</v>
      </c>
      <c r="J1290" s="23">
        <f t="shared" si="281"/>
        <v>0</v>
      </c>
      <c r="K1290" s="24">
        <v>0</v>
      </c>
      <c r="L1290" s="24">
        <f t="shared" si="282"/>
        <v>0</v>
      </c>
      <c r="M1290" s="24" t="str">
        <f t="shared" si="283"/>
        <v>-</v>
      </c>
      <c r="N1290" s="25">
        <v>0</v>
      </c>
      <c r="O1290" s="26" t="str">
        <f t="shared" si="284"/>
        <v>June</v>
      </c>
      <c r="P1290" s="25">
        <f t="shared" si="285"/>
        <v>0</v>
      </c>
      <c r="Q1290" s="27">
        <f t="shared" si="286"/>
        <v>0</v>
      </c>
      <c r="R1290" s="26" t="b">
        <f t="shared" si="287"/>
        <v>0</v>
      </c>
      <c r="S1290" s="28" t="b">
        <f t="shared" si="288"/>
        <v>0</v>
      </c>
      <c r="T1290" s="24">
        <v>52</v>
      </c>
      <c r="U1290" s="29" t="str">
        <f t="shared" si="289"/>
        <v>May</v>
      </c>
      <c r="V1290" s="24">
        <f t="shared" si="290"/>
        <v>52</v>
      </c>
      <c r="W1290" s="30">
        <f t="shared" si="291"/>
        <v>-52</v>
      </c>
      <c r="X1290" s="31" t="b">
        <f t="shared" si="292"/>
        <v>0</v>
      </c>
      <c r="Y1290" s="32" t="str">
        <f t="shared" si="293"/>
        <v>GROWTH</v>
      </c>
      <c r="Z1290" s="41">
        <v>0</v>
      </c>
      <c r="AA1290" s="36"/>
      <c r="AB1290" s="36" t="s">
        <v>24</v>
      </c>
      <c r="AC1290" s="52" t="s">
        <v>24</v>
      </c>
      <c r="AD1290" s="34"/>
      <c r="AE1290" s="35">
        <f>IFERROR(INDEX([1]Last6M_AvgSales_Ref!$B$2:$B$12659,MATCH(D1290,[1]Last6M_AvgSales_Ref!$A$2:$A$12659,0)),"")</f>
        <v>28.1666666666667</v>
      </c>
    </row>
    <row r="1291" spans="1:31" ht="14.25" customHeight="1" x14ac:dyDescent="0.3">
      <c r="A1291" s="52" t="s">
        <v>24</v>
      </c>
      <c r="B1291" s="50" t="s">
        <v>645</v>
      </c>
      <c r="C1291" s="50" t="s">
        <v>2646</v>
      </c>
      <c r="D1291" s="50">
        <v>1000000116</v>
      </c>
      <c r="E1291" s="50" t="s">
        <v>2647</v>
      </c>
      <c r="F1291" s="51">
        <v>44738</v>
      </c>
      <c r="G1291" s="22" t="str">
        <f t="shared" si="280"/>
        <v>-</v>
      </c>
      <c r="H1291" s="22"/>
      <c r="I1291" s="23">
        <v>0</v>
      </c>
      <c r="J1291" s="23">
        <f t="shared" si="281"/>
        <v>0</v>
      </c>
      <c r="K1291" s="24">
        <v>0</v>
      </c>
      <c r="L1291" s="24">
        <f t="shared" si="282"/>
        <v>0</v>
      </c>
      <c r="M1291" s="24" t="str">
        <f t="shared" si="283"/>
        <v>-</v>
      </c>
      <c r="N1291" s="25">
        <v>0</v>
      </c>
      <c r="O1291" s="26" t="str">
        <f t="shared" si="284"/>
        <v>June</v>
      </c>
      <c r="P1291" s="25">
        <f t="shared" si="285"/>
        <v>0</v>
      </c>
      <c r="Q1291" s="27">
        <f t="shared" si="286"/>
        <v>0</v>
      </c>
      <c r="R1291" s="26" t="b">
        <f t="shared" si="287"/>
        <v>0</v>
      </c>
      <c r="S1291" s="28" t="b">
        <f t="shared" si="288"/>
        <v>0</v>
      </c>
      <c r="T1291" s="24">
        <v>10</v>
      </c>
      <c r="U1291" s="29" t="str">
        <f t="shared" si="289"/>
        <v>May</v>
      </c>
      <c r="V1291" s="24">
        <f t="shared" si="290"/>
        <v>10</v>
      </c>
      <c r="W1291" s="30">
        <f t="shared" si="291"/>
        <v>-10</v>
      </c>
      <c r="X1291" s="31" t="b">
        <f t="shared" si="292"/>
        <v>0</v>
      </c>
      <c r="Y1291" s="32" t="str">
        <f t="shared" si="293"/>
        <v>GROWTH</v>
      </c>
      <c r="Z1291" s="41">
        <v>0</v>
      </c>
      <c r="AA1291" s="36"/>
      <c r="AB1291" s="36" t="s">
        <v>24</v>
      </c>
      <c r="AC1291" s="52" t="s">
        <v>24</v>
      </c>
      <c r="AD1291" s="34"/>
      <c r="AE1291" s="35">
        <f>IFERROR(INDEX([1]Last6M_AvgSales_Ref!$B$2:$B$12659,MATCH(D1291,[1]Last6M_AvgSales_Ref!$A$2:$A$12659,0)),"")</f>
        <v>25</v>
      </c>
    </row>
    <row r="1292" spans="1:31" ht="14.25" customHeight="1" x14ac:dyDescent="0.3">
      <c r="A1292" s="52" t="s">
        <v>24</v>
      </c>
      <c r="B1292" s="50" t="s">
        <v>504</v>
      </c>
      <c r="C1292" s="50" t="s">
        <v>2648</v>
      </c>
      <c r="D1292" s="50">
        <v>1000003453</v>
      </c>
      <c r="E1292" s="50" t="s">
        <v>2649</v>
      </c>
      <c r="F1292" s="51">
        <v>45012</v>
      </c>
      <c r="G1292" s="22" t="str">
        <f t="shared" si="280"/>
        <v>Targeted Dealer</v>
      </c>
      <c r="H1292" s="22"/>
      <c r="I1292" s="23">
        <v>20</v>
      </c>
      <c r="J1292" s="23">
        <f t="shared" si="281"/>
        <v>20</v>
      </c>
      <c r="K1292" s="24">
        <v>0</v>
      </c>
      <c r="L1292" s="24">
        <f t="shared" si="282"/>
        <v>20</v>
      </c>
      <c r="M1292" s="24">
        <f t="shared" si="283"/>
        <v>0</v>
      </c>
      <c r="N1292" s="25">
        <v>20</v>
      </c>
      <c r="O1292" s="26" t="str">
        <f t="shared" si="284"/>
        <v>June</v>
      </c>
      <c r="P1292" s="25">
        <f t="shared" si="285"/>
        <v>20</v>
      </c>
      <c r="Q1292" s="27">
        <f t="shared" si="286"/>
        <v>-20</v>
      </c>
      <c r="R1292" s="26" t="b">
        <f t="shared" si="287"/>
        <v>0</v>
      </c>
      <c r="S1292" s="28" t="str">
        <f t="shared" si="288"/>
        <v>GROWTH</v>
      </c>
      <c r="T1292" s="24">
        <v>15</v>
      </c>
      <c r="U1292" s="29" t="str">
        <f t="shared" si="289"/>
        <v>May</v>
      </c>
      <c r="V1292" s="24">
        <f t="shared" si="290"/>
        <v>15</v>
      </c>
      <c r="W1292" s="30">
        <f t="shared" si="291"/>
        <v>-15</v>
      </c>
      <c r="X1292" s="31" t="b">
        <f t="shared" si="292"/>
        <v>0</v>
      </c>
      <c r="Y1292" s="32" t="str">
        <f t="shared" si="293"/>
        <v>GROWTH</v>
      </c>
      <c r="Z1292" s="41">
        <v>0</v>
      </c>
      <c r="AA1292" s="36"/>
      <c r="AB1292" s="36" t="s">
        <v>24</v>
      </c>
      <c r="AC1292" s="52" t="s">
        <v>24</v>
      </c>
      <c r="AD1292" s="34"/>
      <c r="AE1292" s="35">
        <f>IFERROR(INDEX([1]Last6M_AvgSales_Ref!$B$2:$B$12659,MATCH(D1292,[1]Last6M_AvgSales_Ref!$A$2:$A$12659,0)),"")</f>
        <v>20</v>
      </c>
    </row>
    <row r="1293" spans="1:31" ht="14.25" customHeight="1" x14ac:dyDescent="0.3">
      <c r="A1293" s="52" t="s">
        <v>24</v>
      </c>
      <c r="B1293" s="50" t="s">
        <v>2557</v>
      </c>
      <c r="C1293" s="50" t="s">
        <v>2650</v>
      </c>
      <c r="D1293" s="50">
        <v>1000003588</v>
      </c>
      <c r="E1293" s="50" t="s">
        <v>2651</v>
      </c>
      <c r="F1293" s="51">
        <v>45084</v>
      </c>
      <c r="G1293" s="22" t="str">
        <f t="shared" si="280"/>
        <v>-</v>
      </c>
      <c r="H1293" s="22"/>
      <c r="I1293" s="23">
        <v>0</v>
      </c>
      <c r="J1293" s="23">
        <f t="shared" si="281"/>
        <v>0</v>
      </c>
      <c r="K1293" s="24">
        <v>0</v>
      </c>
      <c r="L1293" s="24">
        <f t="shared" si="282"/>
        <v>0</v>
      </c>
      <c r="M1293" s="24" t="str">
        <f t="shared" si="283"/>
        <v>-</v>
      </c>
      <c r="N1293" s="25">
        <v>0</v>
      </c>
      <c r="O1293" s="26" t="str">
        <f t="shared" si="284"/>
        <v>June</v>
      </c>
      <c r="P1293" s="25">
        <f t="shared" si="285"/>
        <v>0</v>
      </c>
      <c r="Q1293" s="27">
        <f t="shared" si="286"/>
        <v>0</v>
      </c>
      <c r="R1293" s="26" t="b">
        <f t="shared" si="287"/>
        <v>0</v>
      </c>
      <c r="S1293" s="28" t="b">
        <f t="shared" si="288"/>
        <v>0</v>
      </c>
      <c r="T1293" s="24">
        <v>52.5</v>
      </c>
      <c r="U1293" s="29" t="str">
        <f t="shared" si="289"/>
        <v>May</v>
      </c>
      <c r="V1293" s="24">
        <f t="shared" si="290"/>
        <v>52.5</v>
      </c>
      <c r="W1293" s="30">
        <f t="shared" si="291"/>
        <v>-52.5</v>
      </c>
      <c r="X1293" s="31" t="b">
        <f t="shared" si="292"/>
        <v>0</v>
      </c>
      <c r="Y1293" s="32" t="str">
        <f t="shared" si="293"/>
        <v>GROWTH</v>
      </c>
      <c r="Z1293" s="41">
        <v>0</v>
      </c>
      <c r="AA1293" s="36"/>
      <c r="AB1293" s="36" t="s">
        <v>24</v>
      </c>
      <c r="AC1293" s="52" t="s">
        <v>24</v>
      </c>
      <c r="AD1293" s="34"/>
      <c r="AE1293" s="35">
        <f>IFERROR(INDEX([1]Last6M_AvgSales_Ref!$B$2:$B$12659,MATCH(D1293,[1]Last6M_AvgSales_Ref!$A$2:$A$12659,0)),"")</f>
        <v>20.8333333333333</v>
      </c>
    </row>
    <row r="1294" spans="1:31" ht="14.25" customHeight="1" x14ac:dyDescent="0.3">
      <c r="A1294" s="52" t="s">
        <v>848</v>
      </c>
      <c r="B1294" s="50" t="s">
        <v>1666</v>
      </c>
      <c r="C1294" s="50" t="s">
        <v>2652</v>
      </c>
      <c r="D1294" s="50">
        <v>1000004265</v>
      </c>
      <c r="E1294" s="50" t="s">
        <v>2653</v>
      </c>
      <c r="F1294" s="51">
        <v>45698</v>
      </c>
      <c r="G1294" s="22" t="str">
        <f t="shared" si="280"/>
        <v>Targeted Dealer</v>
      </c>
      <c r="H1294" s="22"/>
      <c r="I1294" s="23">
        <v>70</v>
      </c>
      <c r="J1294" s="23">
        <f t="shared" si="281"/>
        <v>70</v>
      </c>
      <c r="K1294" s="24">
        <v>106.35</v>
      </c>
      <c r="L1294" s="24">
        <f t="shared" si="282"/>
        <v>-36.349999999999994</v>
      </c>
      <c r="M1294" s="24">
        <f t="shared" si="283"/>
        <v>151.92857142857142</v>
      </c>
      <c r="N1294" s="25">
        <v>63.75</v>
      </c>
      <c r="O1294" s="26" t="str">
        <f t="shared" si="284"/>
        <v>June</v>
      </c>
      <c r="P1294" s="25">
        <f t="shared" si="285"/>
        <v>63.75</v>
      </c>
      <c r="Q1294" s="27">
        <f t="shared" si="286"/>
        <v>42.599999999999994</v>
      </c>
      <c r="R1294" s="26" t="b">
        <f t="shared" si="287"/>
        <v>0</v>
      </c>
      <c r="S1294" s="28" t="str">
        <f t="shared" si="288"/>
        <v>GROWTH</v>
      </c>
      <c r="T1294" s="24">
        <v>35.200000000000003</v>
      </c>
      <c r="U1294" s="29" t="str">
        <f t="shared" si="289"/>
        <v>May</v>
      </c>
      <c r="V1294" s="24">
        <f t="shared" si="290"/>
        <v>35.200000000000003</v>
      </c>
      <c r="W1294" s="30">
        <f t="shared" si="291"/>
        <v>71.149999999999991</v>
      </c>
      <c r="X1294" s="31" t="b">
        <f t="shared" si="292"/>
        <v>0</v>
      </c>
      <c r="Y1294" s="32" t="str">
        <f t="shared" si="293"/>
        <v>GROWTH</v>
      </c>
      <c r="Z1294" s="41">
        <v>0</v>
      </c>
      <c r="AA1294" s="36"/>
      <c r="AB1294" s="36" t="s">
        <v>24</v>
      </c>
      <c r="AC1294" s="52" t="s">
        <v>848</v>
      </c>
      <c r="AD1294" s="34"/>
      <c r="AE1294" s="35">
        <f>IFERROR(INDEX([1]Last6M_AvgSales_Ref!$B$2:$B$12659,MATCH(D1294,[1]Last6M_AvgSales_Ref!$A$2:$A$12659,0)),"")</f>
        <v>68.366666666666703</v>
      </c>
    </row>
    <row r="1295" spans="1:31" ht="14.25" customHeight="1" x14ac:dyDescent="0.3">
      <c r="A1295" s="52" t="s">
        <v>24</v>
      </c>
      <c r="B1295" s="50" t="s">
        <v>2557</v>
      </c>
      <c r="C1295" s="50" t="s">
        <v>2654</v>
      </c>
      <c r="D1295" s="50">
        <v>1000004252</v>
      </c>
      <c r="E1295" s="50" t="s">
        <v>1254</v>
      </c>
      <c r="F1295" s="51">
        <v>45686</v>
      </c>
      <c r="G1295" s="22" t="str">
        <f t="shared" si="280"/>
        <v>Targeted Dealer</v>
      </c>
      <c r="H1295" s="22"/>
      <c r="I1295" s="23">
        <v>110</v>
      </c>
      <c r="J1295" s="23">
        <f t="shared" si="281"/>
        <v>110</v>
      </c>
      <c r="K1295" s="24">
        <v>160</v>
      </c>
      <c r="L1295" s="24">
        <f t="shared" si="282"/>
        <v>-50</v>
      </c>
      <c r="M1295" s="24">
        <f t="shared" si="283"/>
        <v>145.45454545454544</v>
      </c>
      <c r="N1295" s="25">
        <v>97.5</v>
      </c>
      <c r="O1295" s="26" t="str">
        <f t="shared" si="284"/>
        <v>June</v>
      </c>
      <c r="P1295" s="25">
        <f t="shared" si="285"/>
        <v>97.5</v>
      </c>
      <c r="Q1295" s="27">
        <f t="shared" si="286"/>
        <v>62.5</v>
      </c>
      <c r="R1295" s="26" t="b">
        <f t="shared" si="287"/>
        <v>0</v>
      </c>
      <c r="S1295" s="28" t="str">
        <f t="shared" si="288"/>
        <v>GROWTH</v>
      </c>
      <c r="T1295" s="24">
        <v>100</v>
      </c>
      <c r="U1295" s="29" t="str">
        <f t="shared" si="289"/>
        <v>May</v>
      </c>
      <c r="V1295" s="24">
        <f t="shared" si="290"/>
        <v>100</v>
      </c>
      <c r="W1295" s="30">
        <f t="shared" si="291"/>
        <v>60</v>
      </c>
      <c r="X1295" s="31" t="b">
        <f t="shared" si="292"/>
        <v>0</v>
      </c>
      <c r="Y1295" s="32" t="str">
        <f t="shared" si="293"/>
        <v>GROWTH</v>
      </c>
      <c r="Z1295" s="41">
        <v>0</v>
      </c>
      <c r="AA1295" s="36"/>
      <c r="AB1295" s="36" t="s">
        <v>24</v>
      </c>
      <c r="AC1295" s="52" t="s">
        <v>24</v>
      </c>
      <c r="AD1295" s="34"/>
      <c r="AE1295" s="35">
        <f>IFERROR(INDEX([1]Last6M_AvgSales_Ref!$B$2:$B$12659,MATCH(D1295,[1]Last6M_AvgSales_Ref!$A$2:$A$12659,0)),"")</f>
        <v>125</v>
      </c>
    </row>
    <row r="1296" spans="1:31" ht="14.25" customHeight="1" x14ac:dyDescent="0.3">
      <c r="A1296" s="41" t="s">
        <v>2027</v>
      </c>
      <c r="B1296" s="50" t="s">
        <v>2118</v>
      </c>
      <c r="C1296" s="50" t="s">
        <v>2655</v>
      </c>
      <c r="D1296" s="50">
        <v>1000004232</v>
      </c>
      <c r="E1296" s="50" t="s">
        <v>2656</v>
      </c>
      <c r="F1296" s="51">
        <v>45679</v>
      </c>
      <c r="G1296" s="22" t="str">
        <f t="shared" si="280"/>
        <v>Targeted Dealer</v>
      </c>
      <c r="H1296" s="22"/>
      <c r="I1296" s="23">
        <v>50</v>
      </c>
      <c r="J1296" s="23">
        <f t="shared" si="281"/>
        <v>50</v>
      </c>
      <c r="K1296" s="24">
        <v>77.5</v>
      </c>
      <c r="L1296" s="24">
        <f t="shared" si="282"/>
        <v>-27.5</v>
      </c>
      <c r="M1296" s="24">
        <f t="shared" si="283"/>
        <v>155</v>
      </c>
      <c r="N1296" s="25">
        <v>63.5</v>
      </c>
      <c r="O1296" s="26" t="str">
        <f t="shared" si="284"/>
        <v>June</v>
      </c>
      <c r="P1296" s="25">
        <f t="shared" si="285"/>
        <v>63.5</v>
      </c>
      <c r="Q1296" s="27">
        <f t="shared" si="286"/>
        <v>14</v>
      </c>
      <c r="R1296" s="26" t="b">
        <f t="shared" si="287"/>
        <v>0</v>
      </c>
      <c r="S1296" s="28" t="str">
        <f t="shared" si="288"/>
        <v>GROWTH</v>
      </c>
      <c r="T1296" s="24">
        <v>55</v>
      </c>
      <c r="U1296" s="29" t="str">
        <f t="shared" si="289"/>
        <v>May</v>
      </c>
      <c r="V1296" s="24">
        <f t="shared" si="290"/>
        <v>55</v>
      </c>
      <c r="W1296" s="30">
        <f t="shared" si="291"/>
        <v>22.5</v>
      </c>
      <c r="X1296" s="31" t="b">
        <f t="shared" si="292"/>
        <v>0</v>
      </c>
      <c r="Y1296" s="32" t="str">
        <f t="shared" si="293"/>
        <v>GROWTH</v>
      </c>
      <c r="Z1296" s="41">
        <v>0</v>
      </c>
      <c r="AA1296" s="36"/>
      <c r="AB1296" s="36" t="s">
        <v>24</v>
      </c>
      <c r="AC1296" s="41" t="s">
        <v>2027</v>
      </c>
      <c r="AD1296" s="34"/>
      <c r="AE1296" s="35">
        <f>IFERROR(INDEX([1]Last6M_AvgSales_Ref!$B$2:$B$12659,MATCH(D1296,[1]Last6M_AvgSales_Ref!$A$2:$A$12659,0)),"")</f>
        <v>63.4166666666667</v>
      </c>
    </row>
    <row r="1297" spans="1:31" ht="14.25" customHeight="1" x14ac:dyDescent="0.3">
      <c r="A1297" s="52" t="s">
        <v>24</v>
      </c>
      <c r="B1297" s="37" t="s">
        <v>59</v>
      </c>
      <c r="C1297" s="50" t="s">
        <v>2657</v>
      </c>
      <c r="D1297" s="50">
        <v>1000004267</v>
      </c>
      <c r="E1297" s="50" t="s">
        <v>2658</v>
      </c>
      <c r="F1297" s="51">
        <v>45707</v>
      </c>
      <c r="G1297" s="22" t="str">
        <f t="shared" si="280"/>
        <v>Targeted Dealer</v>
      </c>
      <c r="H1297" s="22"/>
      <c r="I1297" s="23">
        <v>20</v>
      </c>
      <c r="J1297" s="23">
        <f t="shared" si="281"/>
        <v>20</v>
      </c>
      <c r="K1297" s="24">
        <v>20</v>
      </c>
      <c r="L1297" s="24">
        <f t="shared" si="282"/>
        <v>0</v>
      </c>
      <c r="M1297" s="24">
        <f t="shared" si="283"/>
        <v>100</v>
      </c>
      <c r="N1297" s="25">
        <v>40</v>
      </c>
      <c r="O1297" s="26" t="str">
        <f t="shared" si="284"/>
        <v>June</v>
      </c>
      <c r="P1297" s="25">
        <f t="shared" si="285"/>
        <v>40</v>
      </c>
      <c r="Q1297" s="27">
        <f t="shared" si="286"/>
        <v>-20</v>
      </c>
      <c r="R1297" s="26" t="b">
        <f t="shared" si="287"/>
        <v>0</v>
      </c>
      <c r="S1297" s="28" t="str">
        <f t="shared" si="288"/>
        <v>GROWTH</v>
      </c>
      <c r="T1297" s="24">
        <v>20</v>
      </c>
      <c r="U1297" s="29" t="str">
        <f t="shared" si="289"/>
        <v>May</v>
      </c>
      <c r="V1297" s="24">
        <f t="shared" si="290"/>
        <v>20</v>
      </c>
      <c r="W1297" s="30">
        <f t="shared" si="291"/>
        <v>0</v>
      </c>
      <c r="X1297" s="31" t="b">
        <f t="shared" si="292"/>
        <v>0</v>
      </c>
      <c r="Y1297" s="32" t="str">
        <f t="shared" si="293"/>
        <v>GROWTH</v>
      </c>
      <c r="Z1297" s="41">
        <v>0</v>
      </c>
      <c r="AA1297" s="36"/>
      <c r="AB1297" s="36" t="s">
        <v>24</v>
      </c>
      <c r="AC1297" s="52" t="s">
        <v>24</v>
      </c>
      <c r="AD1297" s="34"/>
      <c r="AE1297" s="35">
        <f>IFERROR(INDEX([1]Last6M_AvgSales_Ref!$B$2:$B$12659,MATCH(D1297,[1]Last6M_AvgSales_Ref!$A$2:$A$12659,0)),"")</f>
        <v>40</v>
      </c>
    </row>
    <row r="1298" spans="1:31" ht="14.25" customHeight="1" x14ac:dyDescent="0.3">
      <c r="A1298" s="52" t="s">
        <v>2185</v>
      </c>
      <c r="B1298" s="50" t="s">
        <v>2255</v>
      </c>
      <c r="C1298" s="50" t="s">
        <v>2659</v>
      </c>
      <c r="D1298" s="50">
        <v>1000002661</v>
      </c>
      <c r="E1298" s="50" t="s">
        <v>2660</v>
      </c>
      <c r="F1298" s="51">
        <v>44739</v>
      </c>
      <c r="G1298" s="22" t="str">
        <f t="shared" si="280"/>
        <v>Targeted Dealer</v>
      </c>
      <c r="H1298" s="22"/>
      <c r="I1298" s="23">
        <v>50</v>
      </c>
      <c r="J1298" s="23">
        <f t="shared" si="281"/>
        <v>50</v>
      </c>
      <c r="K1298" s="24">
        <v>75</v>
      </c>
      <c r="L1298" s="24">
        <f t="shared" si="282"/>
        <v>-25</v>
      </c>
      <c r="M1298" s="24">
        <f t="shared" si="283"/>
        <v>150</v>
      </c>
      <c r="N1298" s="25">
        <v>50</v>
      </c>
      <c r="O1298" s="26" t="str">
        <f t="shared" si="284"/>
        <v>June</v>
      </c>
      <c r="P1298" s="25">
        <f t="shared" si="285"/>
        <v>50</v>
      </c>
      <c r="Q1298" s="27">
        <f t="shared" si="286"/>
        <v>25</v>
      </c>
      <c r="R1298" s="26" t="b">
        <f t="shared" si="287"/>
        <v>0</v>
      </c>
      <c r="S1298" s="28" t="str">
        <f t="shared" si="288"/>
        <v>GROWTH</v>
      </c>
      <c r="T1298" s="24">
        <v>30</v>
      </c>
      <c r="U1298" s="29" t="str">
        <f t="shared" si="289"/>
        <v>May</v>
      </c>
      <c r="V1298" s="24">
        <f t="shared" si="290"/>
        <v>30</v>
      </c>
      <c r="W1298" s="30">
        <f t="shared" si="291"/>
        <v>45</v>
      </c>
      <c r="X1298" s="31" t="b">
        <f t="shared" si="292"/>
        <v>0</v>
      </c>
      <c r="Y1298" s="32" t="str">
        <f t="shared" si="293"/>
        <v>GROWTH</v>
      </c>
      <c r="Z1298" s="41">
        <v>0</v>
      </c>
      <c r="AA1298" s="36"/>
      <c r="AB1298" s="36" t="s">
        <v>24</v>
      </c>
      <c r="AC1298" s="52" t="s">
        <v>2185</v>
      </c>
      <c r="AD1298" s="34"/>
      <c r="AE1298" s="35">
        <f>IFERROR(INDEX([1]Last6M_AvgSales_Ref!$B$2:$B$12659,MATCH(D1298,[1]Last6M_AvgSales_Ref!$A$2:$A$12659,0)),"")</f>
        <v>79.1666666666667</v>
      </c>
    </row>
    <row r="1299" spans="1:31" ht="14.25" customHeight="1" x14ac:dyDescent="0.3">
      <c r="A1299" s="52" t="s">
        <v>24</v>
      </c>
      <c r="B1299" s="50" t="s">
        <v>2557</v>
      </c>
      <c r="C1299" s="50" t="s">
        <v>2661</v>
      </c>
      <c r="D1299" s="50">
        <v>1000004268</v>
      </c>
      <c r="E1299" s="50" t="s">
        <v>2662</v>
      </c>
      <c r="F1299" s="51">
        <v>45705</v>
      </c>
      <c r="G1299" s="22" t="str">
        <f t="shared" si="280"/>
        <v>Targeted Dealer</v>
      </c>
      <c r="H1299" s="22"/>
      <c r="I1299" s="23">
        <v>30</v>
      </c>
      <c r="J1299" s="23">
        <f t="shared" si="281"/>
        <v>30</v>
      </c>
      <c r="K1299" s="24">
        <v>15</v>
      </c>
      <c r="L1299" s="24">
        <f t="shared" si="282"/>
        <v>15</v>
      </c>
      <c r="M1299" s="24">
        <f t="shared" si="283"/>
        <v>50</v>
      </c>
      <c r="N1299" s="25">
        <v>15</v>
      </c>
      <c r="O1299" s="26" t="str">
        <f t="shared" si="284"/>
        <v>June</v>
      </c>
      <c r="P1299" s="25">
        <f t="shared" si="285"/>
        <v>15</v>
      </c>
      <c r="Q1299" s="27">
        <f t="shared" si="286"/>
        <v>0</v>
      </c>
      <c r="R1299" s="26" t="b">
        <f t="shared" si="287"/>
        <v>0</v>
      </c>
      <c r="S1299" s="28" t="str">
        <f t="shared" si="288"/>
        <v>GROWTH</v>
      </c>
      <c r="T1299" s="24">
        <v>50</v>
      </c>
      <c r="U1299" s="29" t="str">
        <f t="shared" si="289"/>
        <v>May</v>
      </c>
      <c r="V1299" s="24">
        <f t="shared" si="290"/>
        <v>50</v>
      </c>
      <c r="W1299" s="30">
        <f t="shared" si="291"/>
        <v>-35</v>
      </c>
      <c r="X1299" s="31" t="b">
        <f t="shared" si="292"/>
        <v>0</v>
      </c>
      <c r="Y1299" s="32" t="str">
        <f t="shared" si="293"/>
        <v>GROWTH</v>
      </c>
      <c r="Z1299" s="41">
        <v>0</v>
      </c>
      <c r="AA1299" s="36"/>
      <c r="AB1299" s="36" t="s">
        <v>24</v>
      </c>
      <c r="AC1299" s="52" t="s">
        <v>24</v>
      </c>
      <c r="AD1299" s="34"/>
      <c r="AE1299" s="35">
        <f>IFERROR(INDEX([1]Last6M_AvgSales_Ref!$B$2:$B$12659,MATCH(D1299,[1]Last6M_AvgSales_Ref!$A$2:$A$12659,0)),"")</f>
        <v>19.1666666666667</v>
      </c>
    </row>
    <row r="1300" spans="1:31" ht="14.25" customHeight="1" x14ac:dyDescent="0.3">
      <c r="A1300" s="52" t="s">
        <v>24</v>
      </c>
      <c r="B1300" s="37" t="s">
        <v>264</v>
      </c>
      <c r="C1300" s="50" t="s">
        <v>2663</v>
      </c>
      <c r="D1300" s="50">
        <v>1000004270</v>
      </c>
      <c r="E1300" s="50" t="s">
        <v>2664</v>
      </c>
      <c r="F1300" s="51">
        <v>45713</v>
      </c>
      <c r="G1300" s="22" t="str">
        <f t="shared" si="280"/>
        <v>Targeted Dealer</v>
      </c>
      <c r="H1300" s="22"/>
      <c r="I1300" s="23">
        <v>40</v>
      </c>
      <c r="J1300" s="23">
        <f t="shared" si="281"/>
        <v>40</v>
      </c>
      <c r="K1300" s="24">
        <v>40</v>
      </c>
      <c r="L1300" s="24">
        <f t="shared" si="282"/>
        <v>0</v>
      </c>
      <c r="M1300" s="24">
        <f t="shared" si="283"/>
        <v>100</v>
      </c>
      <c r="N1300" s="25">
        <v>20</v>
      </c>
      <c r="O1300" s="26" t="str">
        <f t="shared" si="284"/>
        <v>June</v>
      </c>
      <c r="P1300" s="25">
        <f t="shared" si="285"/>
        <v>20</v>
      </c>
      <c r="Q1300" s="27">
        <f t="shared" si="286"/>
        <v>20</v>
      </c>
      <c r="R1300" s="26" t="b">
        <f t="shared" si="287"/>
        <v>0</v>
      </c>
      <c r="S1300" s="28" t="str">
        <f t="shared" si="288"/>
        <v>GROWTH</v>
      </c>
      <c r="T1300" s="24">
        <v>40</v>
      </c>
      <c r="U1300" s="29" t="str">
        <f t="shared" si="289"/>
        <v>May</v>
      </c>
      <c r="V1300" s="24">
        <f t="shared" si="290"/>
        <v>40</v>
      </c>
      <c r="W1300" s="30">
        <f t="shared" si="291"/>
        <v>0</v>
      </c>
      <c r="X1300" s="31" t="b">
        <f t="shared" si="292"/>
        <v>0</v>
      </c>
      <c r="Y1300" s="32" t="str">
        <f t="shared" si="293"/>
        <v>GROWTH</v>
      </c>
      <c r="Z1300" s="41">
        <v>0</v>
      </c>
      <c r="AA1300" s="36"/>
      <c r="AB1300" s="36" t="s">
        <v>24</v>
      </c>
      <c r="AC1300" s="52" t="s">
        <v>24</v>
      </c>
      <c r="AD1300" s="34"/>
      <c r="AE1300" s="35">
        <f>IFERROR(INDEX([1]Last6M_AvgSales_Ref!$B$2:$B$12659,MATCH(D1300,[1]Last6M_AvgSales_Ref!$A$2:$A$12659,0)),"")</f>
        <v>18.3333333333333</v>
      </c>
    </row>
    <row r="1301" spans="1:31" ht="14.25" customHeight="1" x14ac:dyDescent="0.3">
      <c r="A1301" s="52" t="s">
        <v>24</v>
      </c>
      <c r="B1301" s="50" t="s">
        <v>399</v>
      </c>
      <c r="C1301" s="50" t="s">
        <v>2665</v>
      </c>
      <c r="D1301" s="50">
        <v>1000000112</v>
      </c>
      <c r="E1301" s="50" t="s">
        <v>2666</v>
      </c>
      <c r="F1301" s="51">
        <v>44738</v>
      </c>
      <c r="G1301" s="22" t="str">
        <f t="shared" si="280"/>
        <v>Targeted Dealer</v>
      </c>
      <c r="H1301" s="22"/>
      <c r="I1301" s="23">
        <v>90</v>
      </c>
      <c r="J1301" s="23">
        <f t="shared" si="281"/>
        <v>90</v>
      </c>
      <c r="K1301" s="24">
        <v>80</v>
      </c>
      <c r="L1301" s="24">
        <f t="shared" si="282"/>
        <v>10</v>
      </c>
      <c r="M1301" s="24">
        <f t="shared" si="283"/>
        <v>88.888888888888886</v>
      </c>
      <c r="N1301" s="25">
        <v>149</v>
      </c>
      <c r="O1301" s="26" t="str">
        <f t="shared" si="284"/>
        <v>June</v>
      </c>
      <c r="P1301" s="25">
        <f t="shared" si="285"/>
        <v>149</v>
      </c>
      <c r="Q1301" s="27">
        <f t="shared" si="286"/>
        <v>-69</v>
      </c>
      <c r="R1301" s="26" t="b">
        <f t="shared" si="287"/>
        <v>0</v>
      </c>
      <c r="S1301" s="28" t="str">
        <f t="shared" si="288"/>
        <v>GROWTH</v>
      </c>
      <c r="T1301" s="24">
        <v>79</v>
      </c>
      <c r="U1301" s="29" t="str">
        <f t="shared" si="289"/>
        <v>May</v>
      </c>
      <c r="V1301" s="24">
        <f t="shared" si="290"/>
        <v>79</v>
      </c>
      <c r="W1301" s="30">
        <f t="shared" si="291"/>
        <v>1</v>
      </c>
      <c r="X1301" s="31" t="b">
        <f t="shared" si="292"/>
        <v>0</v>
      </c>
      <c r="Y1301" s="32" t="str">
        <f t="shared" si="293"/>
        <v>GROWTH</v>
      </c>
      <c r="Z1301" s="41">
        <v>0</v>
      </c>
      <c r="AA1301" s="36"/>
      <c r="AB1301" s="36" t="s">
        <v>24</v>
      </c>
      <c r="AC1301" s="52" t="s">
        <v>24</v>
      </c>
      <c r="AD1301" s="34"/>
      <c r="AE1301" s="35">
        <f>IFERROR(INDEX([1]Last6M_AvgSales_Ref!$B$2:$B$12659,MATCH(D1301,[1]Last6M_AvgSales_Ref!$A$2:$A$12659,0)),"")</f>
        <v>127</v>
      </c>
    </row>
    <row r="1302" spans="1:31" ht="14.25" customHeight="1" x14ac:dyDescent="0.3">
      <c r="A1302" s="52" t="s">
        <v>2185</v>
      </c>
      <c r="B1302" s="50" t="s">
        <v>2287</v>
      </c>
      <c r="C1302" s="50" t="s">
        <v>2667</v>
      </c>
      <c r="D1302" s="50">
        <v>1000004226</v>
      </c>
      <c r="E1302" s="50" t="s">
        <v>2668</v>
      </c>
      <c r="F1302" s="51">
        <v>45684</v>
      </c>
      <c r="G1302" s="22" t="str">
        <f t="shared" si="280"/>
        <v>Targeted Dealer</v>
      </c>
      <c r="H1302" s="22"/>
      <c r="I1302" s="23">
        <v>25</v>
      </c>
      <c r="J1302" s="23">
        <f t="shared" si="281"/>
        <v>25</v>
      </c>
      <c r="K1302" s="24">
        <v>25</v>
      </c>
      <c r="L1302" s="24">
        <f t="shared" si="282"/>
        <v>0</v>
      </c>
      <c r="M1302" s="24">
        <f t="shared" si="283"/>
        <v>100</v>
      </c>
      <c r="N1302" s="25">
        <v>50</v>
      </c>
      <c r="O1302" s="26" t="str">
        <f t="shared" si="284"/>
        <v>June</v>
      </c>
      <c r="P1302" s="25">
        <f t="shared" si="285"/>
        <v>50</v>
      </c>
      <c r="Q1302" s="27">
        <f t="shared" si="286"/>
        <v>-25</v>
      </c>
      <c r="R1302" s="26" t="b">
        <f t="shared" si="287"/>
        <v>0</v>
      </c>
      <c r="S1302" s="28" t="str">
        <f t="shared" si="288"/>
        <v>GROWTH</v>
      </c>
      <c r="T1302" s="24">
        <v>25</v>
      </c>
      <c r="U1302" s="29" t="str">
        <f t="shared" si="289"/>
        <v>May</v>
      </c>
      <c r="V1302" s="24">
        <f t="shared" si="290"/>
        <v>25</v>
      </c>
      <c r="W1302" s="30">
        <f t="shared" si="291"/>
        <v>0</v>
      </c>
      <c r="X1302" s="31" t="b">
        <f t="shared" si="292"/>
        <v>0</v>
      </c>
      <c r="Y1302" s="32" t="str">
        <f t="shared" si="293"/>
        <v>GROWTH</v>
      </c>
      <c r="Z1302" s="41">
        <v>0</v>
      </c>
      <c r="AA1302" s="36"/>
      <c r="AB1302" s="36" t="s">
        <v>24</v>
      </c>
      <c r="AC1302" s="52" t="s">
        <v>2185</v>
      </c>
      <c r="AD1302" s="34"/>
      <c r="AE1302" s="35">
        <f>IFERROR(INDEX([1]Last6M_AvgSales_Ref!$B$2:$B$12659,MATCH(D1302,[1]Last6M_AvgSales_Ref!$A$2:$A$12659,0)),"")</f>
        <v>25</v>
      </c>
    </row>
    <row r="1303" spans="1:31" ht="14.25" customHeight="1" x14ac:dyDescent="0.3">
      <c r="A1303" s="52" t="s">
        <v>24</v>
      </c>
      <c r="B1303" s="37" t="s">
        <v>269</v>
      </c>
      <c r="C1303" s="50" t="s">
        <v>2669</v>
      </c>
      <c r="D1303" s="50">
        <v>1000004021</v>
      </c>
      <c r="E1303" s="50" t="s">
        <v>2670</v>
      </c>
      <c r="F1303" s="51">
        <v>45469</v>
      </c>
      <c r="G1303" s="22" t="str">
        <f t="shared" si="280"/>
        <v>Targeted Dealer</v>
      </c>
      <c r="H1303" s="22"/>
      <c r="I1303" s="23">
        <v>30</v>
      </c>
      <c r="J1303" s="23">
        <f t="shared" si="281"/>
        <v>30</v>
      </c>
      <c r="K1303" s="24">
        <v>0</v>
      </c>
      <c r="L1303" s="24">
        <f t="shared" si="282"/>
        <v>30</v>
      </c>
      <c r="M1303" s="24">
        <f t="shared" si="283"/>
        <v>0</v>
      </c>
      <c r="N1303" s="25">
        <v>0</v>
      </c>
      <c r="O1303" s="26" t="str">
        <f t="shared" si="284"/>
        <v>June</v>
      </c>
      <c r="P1303" s="25">
        <f t="shared" si="285"/>
        <v>0</v>
      </c>
      <c r="Q1303" s="27">
        <f t="shared" si="286"/>
        <v>0</v>
      </c>
      <c r="R1303" s="26" t="b">
        <f t="shared" si="287"/>
        <v>0</v>
      </c>
      <c r="S1303" s="28" t="b">
        <f t="shared" si="288"/>
        <v>0</v>
      </c>
      <c r="T1303" s="24">
        <v>40</v>
      </c>
      <c r="U1303" s="29" t="str">
        <f t="shared" si="289"/>
        <v>May</v>
      </c>
      <c r="V1303" s="24">
        <f t="shared" si="290"/>
        <v>40</v>
      </c>
      <c r="W1303" s="30">
        <f t="shared" si="291"/>
        <v>-40</v>
      </c>
      <c r="X1303" s="31" t="b">
        <f t="shared" si="292"/>
        <v>0</v>
      </c>
      <c r="Y1303" s="32" t="str">
        <f t="shared" si="293"/>
        <v>GROWTH</v>
      </c>
      <c r="Z1303" s="41">
        <v>0</v>
      </c>
      <c r="AA1303" s="36"/>
      <c r="AB1303" s="36" t="s">
        <v>24</v>
      </c>
      <c r="AC1303" s="52" t="s">
        <v>24</v>
      </c>
      <c r="AD1303" s="34"/>
      <c r="AE1303" s="35">
        <f>IFERROR(INDEX([1]Last6M_AvgSales_Ref!$B$2:$B$12659,MATCH(D1303,[1]Last6M_AvgSales_Ref!$A$2:$A$12659,0)),"")</f>
        <v>18.3333333333333</v>
      </c>
    </row>
    <row r="1304" spans="1:31" ht="14.25" customHeight="1" x14ac:dyDescent="0.3">
      <c r="A1304" s="52" t="s">
        <v>2185</v>
      </c>
      <c r="B1304" s="50" t="s">
        <v>2353</v>
      </c>
      <c r="C1304" s="50" t="s">
        <v>2671</v>
      </c>
      <c r="D1304" s="50">
        <v>1000002528</v>
      </c>
      <c r="E1304" s="50" t="s">
        <v>2672</v>
      </c>
      <c r="F1304" s="51">
        <v>44739</v>
      </c>
      <c r="G1304" s="22" t="str">
        <f t="shared" si="280"/>
        <v>Targeted Dealer</v>
      </c>
      <c r="H1304" s="22"/>
      <c r="I1304" s="23">
        <v>25</v>
      </c>
      <c r="J1304" s="23">
        <f t="shared" si="281"/>
        <v>25</v>
      </c>
      <c r="K1304" s="24">
        <v>0</v>
      </c>
      <c r="L1304" s="24">
        <f t="shared" si="282"/>
        <v>25</v>
      </c>
      <c r="M1304" s="24">
        <f t="shared" si="283"/>
        <v>0</v>
      </c>
      <c r="N1304" s="25">
        <v>10</v>
      </c>
      <c r="O1304" s="26" t="str">
        <f t="shared" si="284"/>
        <v>June</v>
      </c>
      <c r="P1304" s="25">
        <f t="shared" si="285"/>
        <v>10</v>
      </c>
      <c r="Q1304" s="27">
        <f t="shared" si="286"/>
        <v>-10</v>
      </c>
      <c r="R1304" s="26" t="b">
        <f t="shared" si="287"/>
        <v>0</v>
      </c>
      <c r="S1304" s="28" t="str">
        <f t="shared" si="288"/>
        <v>GROWTH</v>
      </c>
      <c r="T1304" s="24">
        <v>35</v>
      </c>
      <c r="U1304" s="29" t="str">
        <f t="shared" si="289"/>
        <v>May</v>
      </c>
      <c r="V1304" s="24">
        <f t="shared" si="290"/>
        <v>35</v>
      </c>
      <c r="W1304" s="30">
        <f t="shared" si="291"/>
        <v>-35</v>
      </c>
      <c r="X1304" s="31" t="b">
        <f t="shared" si="292"/>
        <v>0</v>
      </c>
      <c r="Y1304" s="32" t="str">
        <f t="shared" si="293"/>
        <v>GROWTH</v>
      </c>
      <c r="Z1304" s="41">
        <v>0</v>
      </c>
      <c r="AA1304" s="36"/>
      <c r="AB1304" s="36" t="s">
        <v>24</v>
      </c>
      <c r="AC1304" s="52" t="s">
        <v>2185</v>
      </c>
      <c r="AD1304" s="34"/>
      <c r="AE1304" s="35">
        <f>IFERROR(INDEX([1]Last6M_AvgSales_Ref!$B$2:$B$12659,MATCH(D1304,[1]Last6M_AvgSales_Ref!$A$2:$A$12659,0)),"")</f>
        <v>6.6666666666666696</v>
      </c>
    </row>
    <row r="1305" spans="1:31" ht="14.25" customHeight="1" x14ac:dyDescent="0.3">
      <c r="A1305" s="52" t="s">
        <v>24</v>
      </c>
      <c r="B1305" s="37" t="s">
        <v>28</v>
      </c>
      <c r="C1305" s="50" t="s">
        <v>2673</v>
      </c>
      <c r="D1305" s="50">
        <v>1000004273</v>
      </c>
      <c r="E1305" s="50" t="s">
        <v>2674</v>
      </c>
      <c r="F1305" s="51">
        <v>45721</v>
      </c>
      <c r="G1305" s="22" t="str">
        <f t="shared" si="280"/>
        <v>Targeted Dealer</v>
      </c>
      <c r="H1305" s="22"/>
      <c r="I1305" s="23">
        <v>52</v>
      </c>
      <c r="J1305" s="23">
        <f t="shared" si="281"/>
        <v>52</v>
      </c>
      <c r="K1305" s="24">
        <v>59</v>
      </c>
      <c r="L1305" s="24">
        <f t="shared" si="282"/>
        <v>-7</v>
      </c>
      <c r="M1305" s="24">
        <f t="shared" si="283"/>
        <v>113.46153846153845</v>
      </c>
      <c r="N1305" s="25">
        <v>64</v>
      </c>
      <c r="O1305" s="26" t="str">
        <f t="shared" si="284"/>
        <v>June</v>
      </c>
      <c r="P1305" s="25">
        <f t="shared" si="285"/>
        <v>64</v>
      </c>
      <c r="Q1305" s="27">
        <f t="shared" si="286"/>
        <v>-5</v>
      </c>
      <c r="R1305" s="26" t="b">
        <f t="shared" si="287"/>
        <v>0</v>
      </c>
      <c r="S1305" s="28" t="str">
        <f t="shared" si="288"/>
        <v>GROWTH</v>
      </c>
      <c r="T1305" s="24">
        <v>65</v>
      </c>
      <c r="U1305" s="29" t="str">
        <f t="shared" si="289"/>
        <v>May</v>
      </c>
      <c r="V1305" s="24">
        <f t="shared" si="290"/>
        <v>65</v>
      </c>
      <c r="W1305" s="30">
        <f t="shared" si="291"/>
        <v>-6</v>
      </c>
      <c r="X1305" s="31" t="b">
        <f t="shared" si="292"/>
        <v>0</v>
      </c>
      <c r="Y1305" s="32" t="str">
        <f t="shared" si="293"/>
        <v>GROWTH</v>
      </c>
      <c r="Z1305" s="41">
        <v>0</v>
      </c>
      <c r="AA1305" s="36"/>
      <c r="AB1305" s="36" t="s">
        <v>24</v>
      </c>
      <c r="AC1305" s="52" t="s">
        <v>24</v>
      </c>
      <c r="AD1305" s="34"/>
      <c r="AE1305" s="35">
        <f>IFERROR(INDEX([1]Last6M_AvgSales_Ref!$B$2:$B$12659,MATCH(D1305,[1]Last6M_AvgSales_Ref!$A$2:$A$12659,0)),"")</f>
        <v>70.6666666666667</v>
      </c>
    </row>
    <row r="1306" spans="1:31" ht="14.25" customHeight="1" x14ac:dyDescent="0.3">
      <c r="A1306" s="52" t="s">
        <v>24</v>
      </c>
      <c r="B1306" s="50" t="s">
        <v>399</v>
      </c>
      <c r="C1306" s="50" t="s">
        <v>2675</v>
      </c>
      <c r="D1306" s="50">
        <v>1000004276</v>
      </c>
      <c r="E1306" s="50" t="s">
        <v>2676</v>
      </c>
      <c r="F1306" s="51">
        <v>45727</v>
      </c>
      <c r="G1306" s="22" t="str">
        <f t="shared" si="280"/>
        <v>Targeted Dealer</v>
      </c>
      <c r="H1306" s="22"/>
      <c r="I1306" s="23">
        <v>20</v>
      </c>
      <c r="J1306" s="23">
        <f t="shared" si="281"/>
        <v>20</v>
      </c>
      <c r="K1306" s="24">
        <v>20</v>
      </c>
      <c r="L1306" s="24">
        <f t="shared" si="282"/>
        <v>0</v>
      </c>
      <c r="M1306" s="24">
        <f t="shared" si="283"/>
        <v>100</v>
      </c>
      <c r="N1306" s="25">
        <v>40</v>
      </c>
      <c r="O1306" s="26" t="str">
        <f t="shared" si="284"/>
        <v>June</v>
      </c>
      <c r="P1306" s="25">
        <f t="shared" si="285"/>
        <v>40</v>
      </c>
      <c r="Q1306" s="27">
        <f t="shared" si="286"/>
        <v>-20</v>
      </c>
      <c r="R1306" s="26" t="b">
        <f t="shared" si="287"/>
        <v>0</v>
      </c>
      <c r="S1306" s="28" t="str">
        <f t="shared" si="288"/>
        <v>GROWTH</v>
      </c>
      <c r="T1306" s="24">
        <v>20</v>
      </c>
      <c r="U1306" s="29" t="str">
        <f t="shared" si="289"/>
        <v>May</v>
      </c>
      <c r="V1306" s="24">
        <f t="shared" si="290"/>
        <v>20</v>
      </c>
      <c r="W1306" s="30">
        <f t="shared" si="291"/>
        <v>0</v>
      </c>
      <c r="X1306" s="31" t="b">
        <f t="shared" si="292"/>
        <v>0</v>
      </c>
      <c r="Y1306" s="32" t="str">
        <f t="shared" si="293"/>
        <v>GROWTH</v>
      </c>
      <c r="Z1306" s="41">
        <v>0</v>
      </c>
      <c r="AA1306" s="36"/>
      <c r="AB1306" s="36" t="s">
        <v>24</v>
      </c>
      <c r="AC1306" s="52" t="s">
        <v>24</v>
      </c>
      <c r="AD1306" s="34"/>
      <c r="AE1306" s="35">
        <f>IFERROR(INDEX([1]Last6M_AvgSales_Ref!$B$2:$B$12659,MATCH(D1306,[1]Last6M_AvgSales_Ref!$A$2:$A$12659,0)),"")</f>
        <v>20.8333333333333</v>
      </c>
    </row>
    <row r="1307" spans="1:31" ht="14.25" customHeight="1" x14ac:dyDescent="0.3">
      <c r="A1307" s="52" t="s">
        <v>848</v>
      </c>
      <c r="B1307" s="50" t="s">
        <v>1257</v>
      </c>
      <c r="C1307" s="50" t="s">
        <v>2677</v>
      </c>
      <c r="D1307" s="50">
        <v>1000004225</v>
      </c>
      <c r="E1307" s="50" t="s">
        <v>2678</v>
      </c>
      <c r="F1307" s="51">
        <v>45684</v>
      </c>
      <c r="G1307" s="22" t="str">
        <f t="shared" si="280"/>
        <v>-</v>
      </c>
      <c r="H1307" s="22"/>
      <c r="I1307" s="23">
        <v>0</v>
      </c>
      <c r="J1307" s="23">
        <f t="shared" si="281"/>
        <v>0</v>
      </c>
      <c r="K1307" s="24">
        <v>0</v>
      </c>
      <c r="L1307" s="24">
        <f t="shared" si="282"/>
        <v>0</v>
      </c>
      <c r="M1307" s="24" t="str">
        <f t="shared" si="283"/>
        <v>-</v>
      </c>
      <c r="N1307" s="25">
        <v>13.5</v>
      </c>
      <c r="O1307" s="26" t="str">
        <f t="shared" si="284"/>
        <v>June</v>
      </c>
      <c r="P1307" s="25">
        <f t="shared" si="285"/>
        <v>13.5</v>
      </c>
      <c r="Q1307" s="27">
        <f t="shared" si="286"/>
        <v>-13.5</v>
      </c>
      <c r="R1307" s="26" t="b">
        <f t="shared" si="287"/>
        <v>0</v>
      </c>
      <c r="S1307" s="28" t="str">
        <f t="shared" si="288"/>
        <v>GROWTH</v>
      </c>
      <c r="T1307" s="24">
        <v>13</v>
      </c>
      <c r="U1307" s="29" t="str">
        <f t="shared" si="289"/>
        <v>May</v>
      </c>
      <c r="V1307" s="24">
        <f t="shared" si="290"/>
        <v>13</v>
      </c>
      <c r="W1307" s="30">
        <f t="shared" si="291"/>
        <v>-13</v>
      </c>
      <c r="X1307" s="31" t="b">
        <f t="shared" si="292"/>
        <v>0</v>
      </c>
      <c r="Y1307" s="32" t="str">
        <f t="shared" si="293"/>
        <v>GROWTH</v>
      </c>
      <c r="Z1307" s="41">
        <v>0</v>
      </c>
      <c r="AA1307" s="36"/>
      <c r="AB1307" s="36" t="s">
        <v>24</v>
      </c>
      <c r="AC1307" s="52" t="s">
        <v>848</v>
      </c>
      <c r="AD1307" s="34"/>
      <c r="AE1307" s="35">
        <f>IFERROR(INDEX([1]Last6M_AvgSales_Ref!$B$2:$B$12659,MATCH(D1307,[1]Last6M_AvgSales_Ref!$A$2:$A$12659,0)),"")</f>
        <v>14.75</v>
      </c>
    </row>
    <row r="1308" spans="1:31" ht="14.25" customHeight="1" x14ac:dyDescent="0.3">
      <c r="A1308" s="52" t="s">
        <v>24</v>
      </c>
      <c r="B1308" s="37" t="s">
        <v>264</v>
      </c>
      <c r="C1308" s="50" t="s">
        <v>2679</v>
      </c>
      <c r="D1308" s="50">
        <v>1000004277</v>
      </c>
      <c r="E1308" s="50" t="s">
        <v>2680</v>
      </c>
      <c r="F1308" s="51">
        <v>45731</v>
      </c>
      <c r="G1308" s="22" t="str">
        <f t="shared" si="280"/>
        <v>Targeted Dealer</v>
      </c>
      <c r="H1308" s="22"/>
      <c r="I1308" s="23">
        <v>20</v>
      </c>
      <c r="J1308" s="23">
        <f t="shared" si="281"/>
        <v>20</v>
      </c>
      <c r="K1308" s="24">
        <v>20</v>
      </c>
      <c r="L1308" s="24">
        <f t="shared" si="282"/>
        <v>0</v>
      </c>
      <c r="M1308" s="24">
        <f t="shared" si="283"/>
        <v>100</v>
      </c>
      <c r="N1308" s="25">
        <v>0</v>
      </c>
      <c r="O1308" s="26" t="str">
        <f t="shared" si="284"/>
        <v>June</v>
      </c>
      <c r="P1308" s="25">
        <f t="shared" si="285"/>
        <v>0</v>
      </c>
      <c r="Q1308" s="27">
        <f t="shared" si="286"/>
        <v>20</v>
      </c>
      <c r="R1308" s="26" t="b">
        <f t="shared" si="287"/>
        <v>0</v>
      </c>
      <c r="S1308" s="28" t="b">
        <f t="shared" si="288"/>
        <v>0</v>
      </c>
      <c r="T1308" s="24">
        <v>20</v>
      </c>
      <c r="U1308" s="29" t="str">
        <f t="shared" si="289"/>
        <v>May</v>
      </c>
      <c r="V1308" s="24">
        <f t="shared" si="290"/>
        <v>20</v>
      </c>
      <c r="W1308" s="30">
        <f t="shared" si="291"/>
        <v>0</v>
      </c>
      <c r="X1308" s="31" t="b">
        <f t="shared" si="292"/>
        <v>0</v>
      </c>
      <c r="Y1308" s="32" t="str">
        <f t="shared" si="293"/>
        <v>GROWTH</v>
      </c>
      <c r="Z1308" s="41">
        <v>0</v>
      </c>
      <c r="AA1308" s="36"/>
      <c r="AB1308" s="36" t="s">
        <v>24</v>
      </c>
      <c r="AC1308" s="52" t="s">
        <v>24</v>
      </c>
      <c r="AD1308" s="34"/>
      <c r="AE1308" s="35">
        <f>IFERROR(INDEX([1]Last6M_AvgSales_Ref!$B$2:$B$12659,MATCH(D1308,[1]Last6M_AvgSales_Ref!$A$2:$A$12659,0)),"")</f>
        <v>13.3333333333333</v>
      </c>
    </row>
    <row r="1309" spans="1:31" ht="14.25" customHeight="1" x14ac:dyDescent="0.3">
      <c r="A1309" s="52" t="s">
        <v>2185</v>
      </c>
      <c r="B1309" s="50" t="s">
        <v>2388</v>
      </c>
      <c r="C1309" s="50" t="s">
        <v>2681</v>
      </c>
      <c r="D1309" s="50">
        <v>1000001466</v>
      </c>
      <c r="E1309" s="50" t="s">
        <v>2682</v>
      </c>
      <c r="F1309" s="51">
        <v>44113</v>
      </c>
      <c r="G1309" s="22" t="str">
        <f t="shared" si="280"/>
        <v>Targeted Dealer</v>
      </c>
      <c r="H1309" s="22"/>
      <c r="I1309" s="23">
        <v>25</v>
      </c>
      <c r="J1309" s="23">
        <f t="shared" si="281"/>
        <v>25</v>
      </c>
      <c r="K1309" s="24">
        <v>0</v>
      </c>
      <c r="L1309" s="24">
        <f t="shared" si="282"/>
        <v>25</v>
      </c>
      <c r="M1309" s="24">
        <f t="shared" si="283"/>
        <v>0</v>
      </c>
      <c r="N1309" s="25">
        <v>60</v>
      </c>
      <c r="O1309" s="26" t="str">
        <f t="shared" si="284"/>
        <v>June</v>
      </c>
      <c r="P1309" s="25">
        <f t="shared" si="285"/>
        <v>60</v>
      </c>
      <c r="Q1309" s="27">
        <f t="shared" si="286"/>
        <v>-60</v>
      </c>
      <c r="R1309" s="26" t="b">
        <f t="shared" si="287"/>
        <v>0</v>
      </c>
      <c r="S1309" s="28" t="str">
        <f t="shared" si="288"/>
        <v>GROWTH</v>
      </c>
      <c r="T1309" s="24">
        <v>7</v>
      </c>
      <c r="U1309" s="29" t="str">
        <f t="shared" si="289"/>
        <v>May</v>
      </c>
      <c r="V1309" s="24">
        <f t="shared" si="290"/>
        <v>7</v>
      </c>
      <c r="W1309" s="30">
        <f t="shared" si="291"/>
        <v>-7</v>
      </c>
      <c r="X1309" s="31" t="b">
        <f t="shared" si="292"/>
        <v>0</v>
      </c>
      <c r="Y1309" s="32" t="str">
        <f t="shared" si="293"/>
        <v>GROWTH</v>
      </c>
      <c r="Z1309" s="41">
        <v>0</v>
      </c>
      <c r="AA1309" s="36"/>
      <c r="AB1309" s="36" t="s">
        <v>24</v>
      </c>
      <c r="AC1309" s="52" t="s">
        <v>2185</v>
      </c>
      <c r="AD1309" s="34"/>
      <c r="AE1309" s="35">
        <f>IFERROR(INDEX([1]Last6M_AvgSales_Ref!$B$2:$B$12659,MATCH(D1309,[1]Last6M_AvgSales_Ref!$A$2:$A$12659,0)),"")</f>
        <v>33.3333333333333</v>
      </c>
    </row>
    <row r="1310" spans="1:31" ht="14.25" customHeight="1" x14ac:dyDescent="0.3">
      <c r="A1310" s="36" t="s">
        <v>1836</v>
      </c>
      <c r="B1310" s="50" t="s">
        <v>1932</v>
      </c>
      <c r="C1310" s="50" t="s">
        <v>2683</v>
      </c>
      <c r="D1310" s="50">
        <v>1000001436</v>
      </c>
      <c r="E1310" s="50" t="s">
        <v>2684</v>
      </c>
      <c r="F1310" s="51">
        <v>44739</v>
      </c>
      <c r="G1310" s="22" t="str">
        <f t="shared" si="280"/>
        <v>Targeted Dealer</v>
      </c>
      <c r="H1310" s="22"/>
      <c r="I1310" s="23">
        <v>100</v>
      </c>
      <c r="J1310" s="23">
        <f t="shared" si="281"/>
        <v>100</v>
      </c>
      <c r="K1310" s="24">
        <v>63</v>
      </c>
      <c r="L1310" s="24">
        <f t="shared" si="282"/>
        <v>37</v>
      </c>
      <c r="M1310" s="24">
        <f t="shared" si="283"/>
        <v>63</v>
      </c>
      <c r="N1310" s="25">
        <v>6</v>
      </c>
      <c r="O1310" s="26" t="str">
        <f t="shared" si="284"/>
        <v>June</v>
      </c>
      <c r="P1310" s="25">
        <f t="shared" si="285"/>
        <v>6</v>
      </c>
      <c r="Q1310" s="27">
        <f t="shared" si="286"/>
        <v>57</v>
      </c>
      <c r="R1310" s="26" t="b">
        <f t="shared" si="287"/>
        <v>0</v>
      </c>
      <c r="S1310" s="28" t="str">
        <f t="shared" si="288"/>
        <v>GROWTH</v>
      </c>
      <c r="T1310" s="24">
        <v>29</v>
      </c>
      <c r="U1310" s="29" t="str">
        <f t="shared" si="289"/>
        <v>May</v>
      </c>
      <c r="V1310" s="24">
        <f t="shared" si="290"/>
        <v>29</v>
      </c>
      <c r="W1310" s="30">
        <f t="shared" si="291"/>
        <v>34</v>
      </c>
      <c r="X1310" s="31" t="b">
        <f t="shared" si="292"/>
        <v>0</v>
      </c>
      <c r="Y1310" s="32" t="str">
        <f t="shared" si="293"/>
        <v>GROWTH</v>
      </c>
      <c r="Z1310" s="41">
        <v>0</v>
      </c>
      <c r="AA1310" s="36"/>
      <c r="AB1310" s="36" t="s">
        <v>24</v>
      </c>
      <c r="AC1310" s="36" t="s">
        <v>1836</v>
      </c>
      <c r="AD1310" s="34"/>
      <c r="AE1310" s="35">
        <f>IFERROR(INDEX([1]Last6M_AvgSales_Ref!$B$2:$B$12659,MATCH(D1310,[1]Last6M_AvgSales_Ref!$A$2:$A$12659,0)),"")</f>
        <v>70.5</v>
      </c>
    </row>
    <row r="1311" spans="1:31" ht="14.25" customHeight="1" x14ac:dyDescent="0.3">
      <c r="A1311" s="52" t="s">
        <v>24</v>
      </c>
      <c r="B1311" s="50" t="s">
        <v>752</v>
      </c>
      <c r="C1311" s="50" t="s">
        <v>2685</v>
      </c>
      <c r="D1311" s="50">
        <v>1000004282</v>
      </c>
      <c r="E1311" s="50" t="s">
        <v>2686</v>
      </c>
      <c r="F1311" s="51">
        <v>45733</v>
      </c>
      <c r="G1311" s="22" t="str">
        <f t="shared" si="280"/>
        <v>Targeted Dealer</v>
      </c>
      <c r="H1311" s="22"/>
      <c r="I1311" s="23">
        <v>50</v>
      </c>
      <c r="J1311" s="23">
        <f t="shared" si="281"/>
        <v>50</v>
      </c>
      <c r="K1311" s="24">
        <v>53</v>
      </c>
      <c r="L1311" s="24">
        <f t="shared" si="282"/>
        <v>-3</v>
      </c>
      <c r="M1311" s="24">
        <f t="shared" si="283"/>
        <v>106</v>
      </c>
      <c r="N1311" s="25">
        <v>0</v>
      </c>
      <c r="O1311" s="26" t="str">
        <f t="shared" si="284"/>
        <v>June</v>
      </c>
      <c r="P1311" s="25">
        <f t="shared" si="285"/>
        <v>0</v>
      </c>
      <c r="Q1311" s="27">
        <f t="shared" si="286"/>
        <v>53</v>
      </c>
      <c r="R1311" s="26" t="b">
        <f t="shared" si="287"/>
        <v>0</v>
      </c>
      <c r="S1311" s="28" t="b">
        <f t="shared" si="288"/>
        <v>0</v>
      </c>
      <c r="T1311" s="24">
        <v>25</v>
      </c>
      <c r="U1311" s="29" t="str">
        <f t="shared" si="289"/>
        <v>May</v>
      </c>
      <c r="V1311" s="24">
        <f t="shared" si="290"/>
        <v>25</v>
      </c>
      <c r="W1311" s="30">
        <f t="shared" si="291"/>
        <v>28</v>
      </c>
      <c r="X1311" s="31" t="b">
        <f t="shared" si="292"/>
        <v>0</v>
      </c>
      <c r="Y1311" s="32" t="str">
        <f t="shared" si="293"/>
        <v>GROWTH</v>
      </c>
      <c r="Z1311" s="41">
        <v>0</v>
      </c>
      <c r="AA1311" s="36"/>
      <c r="AB1311" s="36" t="s">
        <v>24</v>
      </c>
      <c r="AC1311" s="52" t="s">
        <v>24</v>
      </c>
      <c r="AD1311" s="34"/>
      <c r="AE1311" s="35">
        <f>IFERROR(INDEX([1]Last6M_AvgSales_Ref!$B$2:$B$12659,MATCH(D1311,[1]Last6M_AvgSales_Ref!$A$2:$A$12659,0)),"")</f>
        <v>44.8333333333333</v>
      </c>
    </row>
    <row r="1312" spans="1:31" ht="14.25" customHeight="1" x14ac:dyDescent="0.3">
      <c r="A1312" s="52" t="s">
        <v>24</v>
      </c>
      <c r="B1312" s="50" t="s">
        <v>656</v>
      </c>
      <c r="C1312" s="50" t="s">
        <v>2687</v>
      </c>
      <c r="D1312" s="50">
        <v>1000004293</v>
      </c>
      <c r="E1312" s="50" t="s">
        <v>2688</v>
      </c>
      <c r="F1312" s="51">
        <v>45737</v>
      </c>
      <c r="G1312" s="22" t="str">
        <f t="shared" si="280"/>
        <v>-</v>
      </c>
      <c r="H1312" s="22"/>
      <c r="I1312" s="23">
        <v>0</v>
      </c>
      <c r="J1312" s="23">
        <f t="shared" si="281"/>
        <v>0</v>
      </c>
      <c r="K1312" s="24">
        <v>0</v>
      </c>
      <c r="L1312" s="24">
        <f t="shared" si="282"/>
        <v>0</v>
      </c>
      <c r="M1312" s="24" t="str">
        <f t="shared" si="283"/>
        <v>-</v>
      </c>
      <c r="N1312" s="25">
        <v>0</v>
      </c>
      <c r="O1312" s="26" t="str">
        <f t="shared" si="284"/>
        <v>June</v>
      </c>
      <c r="P1312" s="25">
        <f t="shared" si="285"/>
        <v>0</v>
      </c>
      <c r="Q1312" s="27">
        <f t="shared" si="286"/>
        <v>0</v>
      </c>
      <c r="R1312" s="26" t="b">
        <f t="shared" si="287"/>
        <v>0</v>
      </c>
      <c r="S1312" s="28" t="b">
        <f t="shared" si="288"/>
        <v>0</v>
      </c>
      <c r="T1312" s="24">
        <v>0</v>
      </c>
      <c r="U1312" s="29" t="str">
        <f t="shared" si="289"/>
        <v>May</v>
      </c>
      <c r="V1312" s="24">
        <f t="shared" si="290"/>
        <v>0</v>
      </c>
      <c r="W1312" s="30">
        <f t="shared" si="291"/>
        <v>0</v>
      </c>
      <c r="X1312" s="31" t="b">
        <f t="shared" si="292"/>
        <v>0</v>
      </c>
      <c r="Y1312" s="32" t="b">
        <f t="shared" si="293"/>
        <v>0</v>
      </c>
      <c r="Z1312" s="41">
        <v>0</v>
      </c>
      <c r="AA1312" s="36"/>
      <c r="AB1312" s="36" t="s">
        <v>24</v>
      </c>
      <c r="AC1312" s="52" t="s">
        <v>24</v>
      </c>
      <c r="AD1312" s="34"/>
      <c r="AE1312" s="35">
        <f>IFERROR(INDEX([1]Last6M_AvgSales_Ref!$B$2:$B$12659,MATCH(D1312,[1]Last6M_AvgSales_Ref!$A$2:$A$12659,0)),"")</f>
        <v>16.6666666666667</v>
      </c>
    </row>
    <row r="1313" spans="1:31" ht="14.25" customHeight="1" x14ac:dyDescent="0.3">
      <c r="A1313" s="52" t="s">
        <v>24</v>
      </c>
      <c r="B1313" s="50" t="s">
        <v>645</v>
      </c>
      <c r="C1313" s="50" t="s">
        <v>2689</v>
      </c>
      <c r="D1313" s="50">
        <v>1000004272</v>
      </c>
      <c r="E1313" s="50" t="s">
        <v>2690</v>
      </c>
      <c r="F1313" s="51">
        <v>45717</v>
      </c>
      <c r="G1313" s="22" t="str">
        <f t="shared" si="280"/>
        <v>Targeted Dealer</v>
      </c>
      <c r="H1313" s="22"/>
      <c r="I1313" s="23">
        <v>40</v>
      </c>
      <c r="J1313" s="23">
        <f t="shared" si="281"/>
        <v>40</v>
      </c>
      <c r="K1313" s="24">
        <v>40</v>
      </c>
      <c r="L1313" s="24">
        <f t="shared" si="282"/>
        <v>0</v>
      </c>
      <c r="M1313" s="24">
        <f t="shared" si="283"/>
        <v>100</v>
      </c>
      <c r="N1313" s="25">
        <v>20</v>
      </c>
      <c r="O1313" s="26" t="str">
        <f t="shared" si="284"/>
        <v>June</v>
      </c>
      <c r="P1313" s="25">
        <f t="shared" si="285"/>
        <v>20</v>
      </c>
      <c r="Q1313" s="27">
        <f t="shared" si="286"/>
        <v>20</v>
      </c>
      <c r="R1313" s="26" t="b">
        <f t="shared" si="287"/>
        <v>0</v>
      </c>
      <c r="S1313" s="28" t="str">
        <f t="shared" si="288"/>
        <v>GROWTH</v>
      </c>
      <c r="T1313" s="24">
        <v>0</v>
      </c>
      <c r="U1313" s="29" t="str">
        <f t="shared" si="289"/>
        <v>May</v>
      </c>
      <c r="V1313" s="24">
        <f t="shared" si="290"/>
        <v>0</v>
      </c>
      <c r="W1313" s="30">
        <f t="shared" si="291"/>
        <v>40</v>
      </c>
      <c r="X1313" s="31" t="b">
        <f t="shared" si="292"/>
        <v>0</v>
      </c>
      <c r="Y1313" s="32" t="b">
        <f t="shared" si="293"/>
        <v>0</v>
      </c>
      <c r="Z1313" s="41">
        <v>0</v>
      </c>
      <c r="AA1313" s="36"/>
      <c r="AB1313" s="36" t="s">
        <v>24</v>
      </c>
      <c r="AC1313" s="52" t="s">
        <v>24</v>
      </c>
      <c r="AD1313" s="34"/>
      <c r="AE1313" s="35">
        <f>IFERROR(INDEX([1]Last6M_AvgSales_Ref!$B$2:$B$12659,MATCH(D1313,[1]Last6M_AvgSales_Ref!$A$2:$A$12659,0)),"")</f>
        <v>16.6666666666667</v>
      </c>
    </row>
    <row r="1314" spans="1:31" ht="14.25" customHeight="1" x14ac:dyDescent="0.3">
      <c r="A1314" s="52" t="s">
        <v>24</v>
      </c>
      <c r="B1314" s="50" t="s">
        <v>752</v>
      </c>
      <c r="C1314" s="50" t="s">
        <v>2691</v>
      </c>
      <c r="D1314" s="50">
        <v>1000000977</v>
      </c>
      <c r="E1314" s="50" t="s">
        <v>2692</v>
      </c>
      <c r="F1314" s="51">
        <v>44738</v>
      </c>
      <c r="G1314" s="22" t="str">
        <f t="shared" si="280"/>
        <v>Targeted Dealer</v>
      </c>
      <c r="H1314" s="22"/>
      <c r="I1314" s="23">
        <v>80</v>
      </c>
      <c r="J1314" s="23">
        <f t="shared" si="281"/>
        <v>80</v>
      </c>
      <c r="K1314" s="24">
        <v>0</v>
      </c>
      <c r="L1314" s="24">
        <f t="shared" si="282"/>
        <v>80</v>
      </c>
      <c r="M1314" s="24">
        <f t="shared" si="283"/>
        <v>0</v>
      </c>
      <c r="N1314" s="25">
        <v>28</v>
      </c>
      <c r="O1314" s="26" t="str">
        <f t="shared" si="284"/>
        <v>June</v>
      </c>
      <c r="P1314" s="25">
        <f t="shared" si="285"/>
        <v>28</v>
      </c>
      <c r="Q1314" s="27">
        <f t="shared" si="286"/>
        <v>-28</v>
      </c>
      <c r="R1314" s="26" t="b">
        <f t="shared" si="287"/>
        <v>0</v>
      </c>
      <c r="S1314" s="28" t="str">
        <f t="shared" si="288"/>
        <v>GROWTH</v>
      </c>
      <c r="T1314" s="24">
        <v>75</v>
      </c>
      <c r="U1314" s="29" t="str">
        <f t="shared" si="289"/>
        <v>May</v>
      </c>
      <c r="V1314" s="24">
        <f t="shared" si="290"/>
        <v>75</v>
      </c>
      <c r="W1314" s="30">
        <f t="shared" si="291"/>
        <v>-75</v>
      </c>
      <c r="X1314" s="31" t="b">
        <f t="shared" si="292"/>
        <v>0</v>
      </c>
      <c r="Y1314" s="32" t="str">
        <f t="shared" si="293"/>
        <v>GROWTH</v>
      </c>
      <c r="Z1314" s="41">
        <v>0</v>
      </c>
      <c r="AA1314" s="36"/>
      <c r="AB1314" s="36" t="s">
        <v>24</v>
      </c>
      <c r="AC1314" s="52" t="s">
        <v>24</v>
      </c>
      <c r="AD1314" s="34"/>
      <c r="AE1314" s="35">
        <f>IFERROR(INDEX([1]Last6M_AvgSales_Ref!$B$2:$B$12659,MATCH(D1314,[1]Last6M_AvgSales_Ref!$A$2:$A$12659,0)),"")</f>
        <v>31.5</v>
      </c>
    </row>
    <row r="1315" spans="1:31" ht="14.25" customHeight="1" x14ac:dyDescent="0.3">
      <c r="A1315" s="52" t="s">
        <v>24</v>
      </c>
      <c r="B1315" s="50" t="s">
        <v>645</v>
      </c>
      <c r="C1315" s="50" t="s">
        <v>2693</v>
      </c>
      <c r="D1315" s="50">
        <v>1000004314</v>
      </c>
      <c r="E1315" s="50" t="s">
        <v>2694</v>
      </c>
      <c r="F1315" s="51">
        <v>45757</v>
      </c>
      <c r="G1315" s="22" t="str">
        <f t="shared" si="280"/>
        <v>Targeted Dealer</v>
      </c>
      <c r="H1315" s="22"/>
      <c r="I1315" s="23">
        <v>390</v>
      </c>
      <c r="J1315" s="23">
        <f t="shared" si="281"/>
        <v>390</v>
      </c>
      <c r="K1315" s="24">
        <v>470.05</v>
      </c>
      <c r="L1315" s="24">
        <f t="shared" si="282"/>
        <v>-80.050000000000011</v>
      </c>
      <c r="M1315" s="24">
        <f t="shared" si="283"/>
        <v>120.52564102564104</v>
      </c>
      <c r="N1315" s="25">
        <v>412.5</v>
      </c>
      <c r="O1315" s="26" t="str">
        <f t="shared" si="284"/>
        <v>June</v>
      </c>
      <c r="P1315" s="25">
        <f t="shared" si="285"/>
        <v>412.5</v>
      </c>
      <c r="Q1315" s="27">
        <f t="shared" si="286"/>
        <v>57.550000000000011</v>
      </c>
      <c r="R1315" s="26" t="b">
        <f t="shared" si="287"/>
        <v>0</v>
      </c>
      <c r="S1315" s="28" t="str">
        <f t="shared" si="288"/>
        <v>GROWTH</v>
      </c>
      <c r="T1315" s="24">
        <v>350</v>
      </c>
      <c r="U1315" s="29" t="str">
        <f t="shared" si="289"/>
        <v>May</v>
      </c>
      <c r="V1315" s="24">
        <f t="shared" si="290"/>
        <v>350</v>
      </c>
      <c r="W1315" s="30">
        <f t="shared" si="291"/>
        <v>120.05000000000001</v>
      </c>
      <c r="X1315" s="31" t="b">
        <f t="shared" si="292"/>
        <v>0</v>
      </c>
      <c r="Y1315" s="32" t="str">
        <f t="shared" si="293"/>
        <v>GROWTH</v>
      </c>
      <c r="Z1315" s="41">
        <v>0</v>
      </c>
      <c r="AA1315" s="36"/>
      <c r="AB1315" s="36" t="s">
        <v>24</v>
      </c>
      <c r="AC1315" s="52" t="s">
        <v>24</v>
      </c>
      <c r="AD1315" s="34"/>
      <c r="AE1315" s="35">
        <f>IFERROR(INDEX([1]Last6M_AvgSales_Ref!$B$2:$B$12659,MATCH(D1315,[1]Last6M_AvgSales_Ref!$A$2:$A$12659,0)),"")</f>
        <v>468.816666666667</v>
      </c>
    </row>
    <row r="1316" spans="1:31" ht="14.25" customHeight="1" x14ac:dyDescent="0.3">
      <c r="A1316" s="52" t="s">
        <v>1836</v>
      </c>
      <c r="B1316" s="50" t="s">
        <v>2145</v>
      </c>
      <c r="C1316" s="50" t="s">
        <v>2695</v>
      </c>
      <c r="D1316" s="50">
        <v>1000004275</v>
      </c>
      <c r="E1316" s="50" t="s">
        <v>2696</v>
      </c>
      <c r="F1316" s="51">
        <v>45726</v>
      </c>
      <c r="G1316" s="22" t="str">
        <f t="shared" si="280"/>
        <v>Targeted Dealer</v>
      </c>
      <c r="H1316" s="22"/>
      <c r="I1316" s="23">
        <v>900</v>
      </c>
      <c r="J1316" s="23">
        <f t="shared" si="281"/>
        <v>900</v>
      </c>
      <c r="K1316" s="24">
        <v>1147.75</v>
      </c>
      <c r="L1316" s="24">
        <f t="shared" si="282"/>
        <v>-247.75</v>
      </c>
      <c r="M1316" s="24">
        <f t="shared" si="283"/>
        <v>127.52777777777777</v>
      </c>
      <c r="N1316" s="25">
        <v>972.8</v>
      </c>
      <c r="O1316" s="26" t="str">
        <f t="shared" si="284"/>
        <v>June</v>
      </c>
      <c r="P1316" s="25">
        <f t="shared" si="285"/>
        <v>972.8</v>
      </c>
      <c r="Q1316" s="27">
        <f t="shared" si="286"/>
        <v>174.95000000000005</v>
      </c>
      <c r="R1316" s="26" t="b">
        <f t="shared" si="287"/>
        <v>0</v>
      </c>
      <c r="S1316" s="28" t="str">
        <f t="shared" si="288"/>
        <v>GROWTH</v>
      </c>
      <c r="T1316" s="24">
        <v>782.5</v>
      </c>
      <c r="U1316" s="29" t="str">
        <f t="shared" si="289"/>
        <v>May</v>
      </c>
      <c r="V1316" s="24">
        <f t="shared" si="290"/>
        <v>782.5</v>
      </c>
      <c r="W1316" s="30">
        <f t="shared" si="291"/>
        <v>365.25</v>
      </c>
      <c r="X1316" s="31" t="b">
        <f t="shared" si="292"/>
        <v>0</v>
      </c>
      <c r="Y1316" s="32" t="str">
        <f t="shared" si="293"/>
        <v>GROWTH</v>
      </c>
      <c r="Z1316" s="41">
        <v>0</v>
      </c>
      <c r="AA1316" s="36"/>
      <c r="AB1316" s="36" t="s">
        <v>24</v>
      </c>
      <c r="AC1316" s="52" t="s">
        <v>1836</v>
      </c>
      <c r="AD1316" s="34"/>
      <c r="AE1316" s="35">
        <f>IFERROR(INDEX([1]Last6M_AvgSales_Ref!$B$2:$B$12659,MATCH(D1316,[1]Last6M_AvgSales_Ref!$A$2:$A$12659,0)),"")</f>
        <v>1269.13333333333</v>
      </c>
    </row>
    <row r="1317" spans="1:31" ht="14.25" customHeight="1" x14ac:dyDescent="0.3">
      <c r="A1317" s="52" t="s">
        <v>848</v>
      </c>
      <c r="B1317" s="50" t="s">
        <v>849</v>
      </c>
      <c r="C1317" s="50" t="s">
        <v>2697</v>
      </c>
      <c r="D1317" s="50">
        <v>1000004302</v>
      </c>
      <c r="E1317" s="50" t="s">
        <v>2698</v>
      </c>
      <c r="F1317" s="51">
        <v>45740</v>
      </c>
      <c r="G1317" s="22" t="str">
        <f t="shared" si="280"/>
        <v>Targeted Dealer</v>
      </c>
      <c r="H1317" s="22"/>
      <c r="I1317" s="23">
        <v>120</v>
      </c>
      <c r="J1317" s="23">
        <f t="shared" si="281"/>
        <v>120</v>
      </c>
      <c r="K1317" s="24">
        <v>26</v>
      </c>
      <c r="L1317" s="24">
        <f t="shared" si="282"/>
        <v>94</v>
      </c>
      <c r="M1317" s="24">
        <f t="shared" si="283"/>
        <v>21.666666666666668</v>
      </c>
      <c r="N1317" s="25">
        <v>39</v>
      </c>
      <c r="O1317" s="26" t="str">
        <f t="shared" si="284"/>
        <v>June</v>
      </c>
      <c r="P1317" s="25">
        <f t="shared" si="285"/>
        <v>39</v>
      </c>
      <c r="Q1317" s="27">
        <f t="shared" si="286"/>
        <v>-13</v>
      </c>
      <c r="R1317" s="26" t="b">
        <f t="shared" si="287"/>
        <v>0</v>
      </c>
      <c r="S1317" s="28" t="str">
        <f t="shared" si="288"/>
        <v>GROWTH</v>
      </c>
      <c r="T1317" s="24">
        <v>142</v>
      </c>
      <c r="U1317" s="29" t="str">
        <f t="shared" si="289"/>
        <v>May</v>
      </c>
      <c r="V1317" s="24">
        <f t="shared" si="290"/>
        <v>142</v>
      </c>
      <c r="W1317" s="30">
        <f t="shared" si="291"/>
        <v>-116</v>
      </c>
      <c r="X1317" s="31" t="b">
        <f t="shared" si="292"/>
        <v>0</v>
      </c>
      <c r="Y1317" s="32" t="str">
        <f t="shared" si="293"/>
        <v>GROWTH</v>
      </c>
      <c r="Z1317" s="41">
        <v>0</v>
      </c>
      <c r="AA1317" s="36"/>
      <c r="AB1317" s="36" t="s">
        <v>24</v>
      </c>
      <c r="AC1317" s="52" t="s">
        <v>848</v>
      </c>
      <c r="AD1317" s="34"/>
      <c r="AE1317" s="35">
        <f>IFERROR(INDEX([1]Last6M_AvgSales_Ref!$B$2:$B$12659,MATCH(D1317,[1]Last6M_AvgSales_Ref!$A$2:$A$12659,0)),"")</f>
        <v>61.5</v>
      </c>
    </row>
    <row r="1318" spans="1:31" ht="14.25" customHeight="1" x14ac:dyDescent="0.3">
      <c r="A1318" s="52" t="s">
        <v>24</v>
      </c>
      <c r="B1318" s="50" t="s">
        <v>741</v>
      </c>
      <c r="C1318" s="50" t="s">
        <v>2699</v>
      </c>
      <c r="D1318" s="50">
        <v>1000000386</v>
      </c>
      <c r="E1318" s="50" t="s">
        <v>2700</v>
      </c>
      <c r="F1318" s="51">
        <v>44738</v>
      </c>
      <c r="G1318" s="22" t="str">
        <f t="shared" si="280"/>
        <v>Targeted Dealer</v>
      </c>
      <c r="H1318" s="22"/>
      <c r="I1318" s="23">
        <v>100</v>
      </c>
      <c r="J1318" s="23">
        <f t="shared" si="281"/>
        <v>100</v>
      </c>
      <c r="K1318" s="24">
        <v>46</v>
      </c>
      <c r="L1318" s="24">
        <f t="shared" si="282"/>
        <v>54</v>
      </c>
      <c r="M1318" s="24">
        <f t="shared" si="283"/>
        <v>46</v>
      </c>
      <c r="N1318" s="25">
        <v>48</v>
      </c>
      <c r="O1318" s="26" t="str">
        <f t="shared" si="284"/>
        <v>June</v>
      </c>
      <c r="P1318" s="25">
        <f t="shared" si="285"/>
        <v>48</v>
      </c>
      <c r="Q1318" s="27">
        <f t="shared" si="286"/>
        <v>-2</v>
      </c>
      <c r="R1318" s="26" t="b">
        <f t="shared" si="287"/>
        <v>0</v>
      </c>
      <c r="S1318" s="28" t="str">
        <f t="shared" si="288"/>
        <v>GROWTH</v>
      </c>
      <c r="T1318" s="24">
        <v>46</v>
      </c>
      <c r="U1318" s="29" t="str">
        <f t="shared" si="289"/>
        <v>May</v>
      </c>
      <c r="V1318" s="24">
        <f t="shared" si="290"/>
        <v>46</v>
      </c>
      <c r="W1318" s="30">
        <f t="shared" si="291"/>
        <v>0</v>
      </c>
      <c r="X1318" s="31" t="b">
        <f t="shared" si="292"/>
        <v>0</v>
      </c>
      <c r="Y1318" s="32" t="str">
        <f t="shared" si="293"/>
        <v>GROWTH</v>
      </c>
      <c r="Z1318" s="41">
        <v>0</v>
      </c>
      <c r="AA1318" s="36"/>
      <c r="AB1318" s="36" t="s">
        <v>24</v>
      </c>
      <c r="AC1318" s="52" t="s">
        <v>24</v>
      </c>
      <c r="AD1318" s="34"/>
      <c r="AE1318" s="35">
        <f>IFERROR(INDEX([1]Last6M_AvgSales_Ref!$B$2:$B$12659,MATCH(D1318,[1]Last6M_AvgSales_Ref!$A$2:$A$12659,0)),"")</f>
        <v>69.8333333333333</v>
      </c>
    </row>
    <row r="1319" spans="1:31" ht="14.25" customHeight="1" x14ac:dyDescent="0.3">
      <c r="A1319" s="52" t="s">
        <v>848</v>
      </c>
      <c r="B1319" s="37" t="s">
        <v>1098</v>
      </c>
      <c r="C1319" s="50" t="s">
        <v>2701</v>
      </c>
      <c r="D1319" s="50">
        <v>1000004316</v>
      </c>
      <c r="E1319" s="50" t="s">
        <v>2702</v>
      </c>
      <c r="F1319" s="51">
        <v>45757</v>
      </c>
      <c r="G1319" s="22" t="str">
        <f t="shared" si="280"/>
        <v>Targeted Dealer</v>
      </c>
      <c r="H1319" s="22"/>
      <c r="I1319" s="23">
        <v>300</v>
      </c>
      <c r="J1319" s="23">
        <f t="shared" si="281"/>
        <v>300</v>
      </c>
      <c r="K1319" s="24">
        <v>180</v>
      </c>
      <c r="L1319" s="24">
        <f t="shared" si="282"/>
        <v>120</v>
      </c>
      <c r="M1319" s="24">
        <f t="shared" si="283"/>
        <v>60</v>
      </c>
      <c r="N1319" s="25">
        <v>180</v>
      </c>
      <c r="O1319" s="26" t="str">
        <f t="shared" si="284"/>
        <v>June</v>
      </c>
      <c r="P1319" s="25">
        <f t="shared" si="285"/>
        <v>180</v>
      </c>
      <c r="Q1319" s="27">
        <f t="shared" si="286"/>
        <v>0</v>
      </c>
      <c r="R1319" s="26" t="b">
        <f t="shared" si="287"/>
        <v>0</v>
      </c>
      <c r="S1319" s="28" t="str">
        <f t="shared" si="288"/>
        <v>GROWTH</v>
      </c>
      <c r="T1319" s="24">
        <v>125</v>
      </c>
      <c r="U1319" s="29" t="str">
        <f t="shared" si="289"/>
        <v>May</v>
      </c>
      <c r="V1319" s="24">
        <f t="shared" si="290"/>
        <v>125</v>
      </c>
      <c r="W1319" s="30">
        <f t="shared" si="291"/>
        <v>55</v>
      </c>
      <c r="X1319" s="31" t="b">
        <f t="shared" si="292"/>
        <v>0</v>
      </c>
      <c r="Y1319" s="32" t="str">
        <f t="shared" si="293"/>
        <v>GROWTH</v>
      </c>
      <c r="Z1319" s="41">
        <v>0</v>
      </c>
      <c r="AA1319" s="36"/>
      <c r="AB1319" s="36" t="s">
        <v>24</v>
      </c>
      <c r="AC1319" s="52" t="s">
        <v>848</v>
      </c>
      <c r="AD1319" s="34"/>
      <c r="AE1319" s="35">
        <f>IFERROR(INDEX([1]Last6M_AvgSales_Ref!$B$2:$B$12659,MATCH(D1319,[1]Last6M_AvgSales_Ref!$A$2:$A$12659,0)),"")</f>
        <v>183.416666666667</v>
      </c>
    </row>
    <row r="1320" spans="1:31" ht="14.25" customHeight="1" x14ac:dyDescent="0.3">
      <c r="A1320" s="52" t="s">
        <v>24</v>
      </c>
      <c r="B1320" s="50" t="s">
        <v>150</v>
      </c>
      <c r="C1320" s="50" t="s">
        <v>2703</v>
      </c>
      <c r="D1320" s="50">
        <v>1000003293</v>
      </c>
      <c r="E1320" s="50" t="s">
        <v>2704</v>
      </c>
      <c r="F1320" s="51">
        <v>44953</v>
      </c>
      <c r="G1320" s="22" t="str">
        <f t="shared" si="280"/>
        <v>Targeted Dealer</v>
      </c>
      <c r="H1320" s="22"/>
      <c r="I1320" s="23">
        <v>60</v>
      </c>
      <c r="J1320" s="23">
        <f t="shared" si="281"/>
        <v>60</v>
      </c>
      <c r="K1320" s="24">
        <v>70</v>
      </c>
      <c r="L1320" s="24">
        <f t="shared" si="282"/>
        <v>-10</v>
      </c>
      <c r="M1320" s="24">
        <f t="shared" si="283"/>
        <v>116.66666666666667</v>
      </c>
      <c r="N1320" s="25">
        <v>35</v>
      </c>
      <c r="O1320" s="26" t="str">
        <f t="shared" si="284"/>
        <v>June</v>
      </c>
      <c r="P1320" s="25">
        <f t="shared" si="285"/>
        <v>35</v>
      </c>
      <c r="Q1320" s="27">
        <f t="shared" si="286"/>
        <v>35</v>
      </c>
      <c r="R1320" s="26" t="b">
        <f t="shared" si="287"/>
        <v>0</v>
      </c>
      <c r="S1320" s="28" t="str">
        <f t="shared" si="288"/>
        <v>GROWTH</v>
      </c>
      <c r="T1320" s="24">
        <v>22</v>
      </c>
      <c r="U1320" s="29" t="str">
        <f t="shared" si="289"/>
        <v>May</v>
      </c>
      <c r="V1320" s="24">
        <f t="shared" si="290"/>
        <v>22</v>
      </c>
      <c r="W1320" s="30">
        <f t="shared" si="291"/>
        <v>48</v>
      </c>
      <c r="X1320" s="31" t="b">
        <f t="shared" si="292"/>
        <v>0</v>
      </c>
      <c r="Y1320" s="32" t="str">
        <f t="shared" si="293"/>
        <v>GROWTH</v>
      </c>
      <c r="Z1320" s="41">
        <v>0</v>
      </c>
      <c r="AA1320" s="36"/>
      <c r="AB1320" s="36" t="s">
        <v>24</v>
      </c>
      <c r="AC1320" s="52" t="s">
        <v>24</v>
      </c>
      <c r="AD1320" s="34"/>
      <c r="AE1320" s="35">
        <f>IFERROR(INDEX([1]Last6M_AvgSales_Ref!$B$2:$B$12659,MATCH(D1320,[1]Last6M_AvgSales_Ref!$A$2:$A$12659,0)),"")</f>
        <v>40.5</v>
      </c>
    </row>
    <row r="1321" spans="1:31" ht="14.25" customHeight="1" x14ac:dyDescent="0.3">
      <c r="A1321" s="52" t="s">
        <v>24</v>
      </c>
      <c r="B1321" s="37" t="s">
        <v>174</v>
      </c>
      <c r="C1321" s="50" t="s">
        <v>2705</v>
      </c>
      <c r="D1321" s="50">
        <v>1000004292</v>
      </c>
      <c r="E1321" s="50" t="s">
        <v>2706</v>
      </c>
      <c r="F1321" s="51">
        <v>45737</v>
      </c>
      <c r="G1321" s="22" t="str">
        <f t="shared" si="280"/>
        <v>Targeted Dealer</v>
      </c>
      <c r="H1321" s="22"/>
      <c r="I1321" s="23">
        <v>20</v>
      </c>
      <c r="J1321" s="23">
        <f t="shared" si="281"/>
        <v>20</v>
      </c>
      <c r="K1321" s="24">
        <v>5</v>
      </c>
      <c r="L1321" s="24">
        <f t="shared" si="282"/>
        <v>15</v>
      </c>
      <c r="M1321" s="24">
        <f t="shared" si="283"/>
        <v>25</v>
      </c>
      <c r="N1321" s="25">
        <v>11</v>
      </c>
      <c r="O1321" s="26" t="str">
        <f t="shared" si="284"/>
        <v>June</v>
      </c>
      <c r="P1321" s="25">
        <f t="shared" si="285"/>
        <v>11</v>
      </c>
      <c r="Q1321" s="27">
        <f t="shared" si="286"/>
        <v>-6</v>
      </c>
      <c r="R1321" s="26" t="b">
        <f t="shared" si="287"/>
        <v>0</v>
      </c>
      <c r="S1321" s="28" t="str">
        <f t="shared" si="288"/>
        <v>GROWTH</v>
      </c>
      <c r="T1321" s="24">
        <v>12</v>
      </c>
      <c r="U1321" s="29" t="str">
        <f t="shared" si="289"/>
        <v>May</v>
      </c>
      <c r="V1321" s="24">
        <f t="shared" si="290"/>
        <v>12</v>
      </c>
      <c r="W1321" s="30">
        <f t="shared" si="291"/>
        <v>-7</v>
      </c>
      <c r="X1321" s="31" t="b">
        <f t="shared" si="292"/>
        <v>0</v>
      </c>
      <c r="Y1321" s="32" t="str">
        <f t="shared" si="293"/>
        <v>GROWTH</v>
      </c>
      <c r="Z1321" s="41">
        <v>0</v>
      </c>
      <c r="AA1321" s="36"/>
      <c r="AB1321" s="36" t="s">
        <v>24</v>
      </c>
      <c r="AC1321" s="52" t="s">
        <v>24</v>
      </c>
      <c r="AD1321" s="34"/>
      <c r="AE1321" s="35">
        <f>IFERROR(INDEX([1]Last6M_AvgSales_Ref!$B$2:$B$12659,MATCH(D1321,[1]Last6M_AvgSales_Ref!$A$2:$A$12659,0)),"")</f>
        <v>12.9166666666667</v>
      </c>
    </row>
    <row r="1322" spans="1:31" ht="14.25" customHeight="1" x14ac:dyDescent="0.3">
      <c r="A1322" s="52" t="s">
        <v>2027</v>
      </c>
      <c r="B1322" s="50" t="s">
        <v>2028</v>
      </c>
      <c r="C1322" s="50" t="s">
        <v>2707</v>
      </c>
      <c r="D1322" s="50">
        <v>1000004315</v>
      </c>
      <c r="E1322" s="50" t="s">
        <v>2708</v>
      </c>
      <c r="F1322" s="51">
        <v>45757</v>
      </c>
      <c r="G1322" s="22" t="str">
        <f t="shared" si="280"/>
        <v>Targeted Dealer</v>
      </c>
      <c r="H1322" s="22"/>
      <c r="I1322" s="23">
        <v>125</v>
      </c>
      <c r="J1322" s="23">
        <f t="shared" si="281"/>
        <v>125.00000000000001</v>
      </c>
      <c r="K1322" s="24">
        <v>125.5</v>
      </c>
      <c r="L1322" s="24">
        <f t="shared" si="282"/>
        <v>-0.5</v>
      </c>
      <c r="M1322" s="24">
        <f t="shared" si="283"/>
        <v>100.39999999999998</v>
      </c>
      <c r="N1322" s="25">
        <v>79</v>
      </c>
      <c r="O1322" s="26" t="str">
        <f t="shared" si="284"/>
        <v>June</v>
      </c>
      <c r="P1322" s="25">
        <f t="shared" si="285"/>
        <v>79</v>
      </c>
      <c r="Q1322" s="27">
        <f t="shared" si="286"/>
        <v>46.5</v>
      </c>
      <c r="R1322" s="26" t="b">
        <f t="shared" si="287"/>
        <v>0</v>
      </c>
      <c r="S1322" s="28" t="str">
        <f t="shared" si="288"/>
        <v>GROWTH</v>
      </c>
      <c r="T1322" s="24">
        <v>76</v>
      </c>
      <c r="U1322" s="29" t="str">
        <f t="shared" si="289"/>
        <v>May</v>
      </c>
      <c r="V1322" s="24">
        <f t="shared" si="290"/>
        <v>76</v>
      </c>
      <c r="W1322" s="30">
        <f t="shared" si="291"/>
        <v>49.5</v>
      </c>
      <c r="X1322" s="31" t="b">
        <f t="shared" si="292"/>
        <v>0</v>
      </c>
      <c r="Y1322" s="32" t="str">
        <f t="shared" si="293"/>
        <v>GROWTH</v>
      </c>
      <c r="Z1322" s="41">
        <v>0</v>
      </c>
      <c r="AA1322" s="36"/>
      <c r="AB1322" s="36" t="s">
        <v>24</v>
      </c>
      <c r="AC1322" s="52" t="s">
        <v>2027</v>
      </c>
      <c r="AD1322" s="34"/>
      <c r="AE1322" s="35">
        <f>IFERROR(INDEX([1]Last6M_AvgSales_Ref!$B$2:$B$12659,MATCH(D1322,[1]Last6M_AvgSales_Ref!$A$2:$A$12659,0)),"")</f>
        <v>134.333333333333</v>
      </c>
    </row>
    <row r="1323" spans="1:31" ht="14.25" customHeight="1" x14ac:dyDescent="0.3">
      <c r="A1323" s="52" t="s">
        <v>24</v>
      </c>
      <c r="B1323" s="50" t="s">
        <v>358</v>
      </c>
      <c r="C1323" s="50" t="s">
        <v>2709</v>
      </c>
      <c r="D1323" s="50">
        <v>1000004317</v>
      </c>
      <c r="E1323" s="50" t="s">
        <v>2710</v>
      </c>
      <c r="F1323" s="51">
        <v>45763</v>
      </c>
      <c r="G1323" s="22" t="str">
        <f t="shared" si="280"/>
        <v>Targeted Dealer</v>
      </c>
      <c r="H1323" s="22"/>
      <c r="I1323" s="23">
        <v>1200</v>
      </c>
      <c r="J1323" s="23">
        <f t="shared" si="281"/>
        <v>1200</v>
      </c>
      <c r="K1323" s="24">
        <v>1221.4000000000001</v>
      </c>
      <c r="L1323" s="24">
        <f t="shared" si="282"/>
        <v>-21.400000000000091</v>
      </c>
      <c r="M1323" s="24">
        <f t="shared" si="283"/>
        <v>101.78333333333335</v>
      </c>
      <c r="N1323" s="25">
        <v>1202.5899999999999</v>
      </c>
      <c r="O1323" s="26" t="str">
        <f t="shared" si="284"/>
        <v>June</v>
      </c>
      <c r="P1323" s="25">
        <f t="shared" si="285"/>
        <v>1202.5899999999999</v>
      </c>
      <c r="Q1323" s="27">
        <f t="shared" si="286"/>
        <v>18.810000000000173</v>
      </c>
      <c r="R1323" s="26" t="b">
        <f t="shared" si="287"/>
        <v>0</v>
      </c>
      <c r="S1323" s="28" t="str">
        <f t="shared" si="288"/>
        <v>GROWTH</v>
      </c>
      <c r="T1323" s="24">
        <v>1016.55</v>
      </c>
      <c r="U1323" s="29" t="str">
        <f t="shared" si="289"/>
        <v>May</v>
      </c>
      <c r="V1323" s="24">
        <f t="shared" si="290"/>
        <v>1016.55</v>
      </c>
      <c r="W1323" s="30">
        <f t="shared" si="291"/>
        <v>204.85000000000014</v>
      </c>
      <c r="X1323" s="31" t="b">
        <f t="shared" si="292"/>
        <v>0</v>
      </c>
      <c r="Y1323" s="32" t="str">
        <f t="shared" si="293"/>
        <v>GROWTH</v>
      </c>
      <c r="Z1323" s="41">
        <v>0</v>
      </c>
      <c r="AA1323" s="36"/>
      <c r="AB1323" s="36" t="s">
        <v>24</v>
      </c>
      <c r="AC1323" s="52" t="s">
        <v>24</v>
      </c>
      <c r="AD1323" s="34"/>
      <c r="AE1323" s="35">
        <f>IFERROR(INDEX([1]Last6M_AvgSales_Ref!$B$2:$B$12659,MATCH(D1323,[1]Last6M_AvgSales_Ref!$A$2:$A$12659,0)),"")</f>
        <v>1426.4083333333299</v>
      </c>
    </row>
    <row r="1324" spans="1:31" ht="14.25" customHeight="1" x14ac:dyDescent="0.3">
      <c r="A1324" s="52" t="s">
        <v>24</v>
      </c>
      <c r="B1324" s="50" t="s">
        <v>449</v>
      </c>
      <c r="C1324" s="50" t="s">
        <v>2711</v>
      </c>
      <c r="D1324" s="50">
        <v>1000004313</v>
      </c>
      <c r="E1324" s="50" t="s">
        <v>2712</v>
      </c>
      <c r="F1324" s="51">
        <v>45755</v>
      </c>
      <c r="G1324" s="22" t="str">
        <f t="shared" si="280"/>
        <v>Targeted Dealer</v>
      </c>
      <c r="H1324" s="22"/>
      <c r="I1324" s="23">
        <v>60</v>
      </c>
      <c r="J1324" s="23">
        <f t="shared" si="281"/>
        <v>60</v>
      </c>
      <c r="K1324" s="24">
        <v>50</v>
      </c>
      <c r="L1324" s="24">
        <f t="shared" si="282"/>
        <v>10</v>
      </c>
      <c r="M1324" s="24">
        <f t="shared" si="283"/>
        <v>83.333333333333343</v>
      </c>
      <c r="N1324" s="25">
        <v>40</v>
      </c>
      <c r="O1324" s="26" t="str">
        <f t="shared" si="284"/>
        <v>June</v>
      </c>
      <c r="P1324" s="25">
        <f t="shared" si="285"/>
        <v>40</v>
      </c>
      <c r="Q1324" s="27">
        <f t="shared" si="286"/>
        <v>10</v>
      </c>
      <c r="R1324" s="26" t="b">
        <f t="shared" si="287"/>
        <v>0</v>
      </c>
      <c r="S1324" s="28" t="str">
        <f t="shared" si="288"/>
        <v>GROWTH</v>
      </c>
      <c r="T1324" s="24">
        <v>50</v>
      </c>
      <c r="U1324" s="29" t="str">
        <f t="shared" si="289"/>
        <v>May</v>
      </c>
      <c r="V1324" s="24">
        <f t="shared" si="290"/>
        <v>50</v>
      </c>
      <c r="W1324" s="30">
        <f t="shared" si="291"/>
        <v>0</v>
      </c>
      <c r="X1324" s="31" t="b">
        <f t="shared" si="292"/>
        <v>0</v>
      </c>
      <c r="Y1324" s="32" t="str">
        <f t="shared" si="293"/>
        <v>GROWTH</v>
      </c>
      <c r="Z1324" s="41">
        <v>0</v>
      </c>
      <c r="AA1324" s="36"/>
      <c r="AB1324" s="36" t="s">
        <v>24</v>
      </c>
      <c r="AC1324" s="52" t="s">
        <v>24</v>
      </c>
      <c r="AD1324" s="34"/>
      <c r="AE1324" s="35">
        <f>IFERROR(INDEX([1]Last6M_AvgSales_Ref!$B$2:$B$12659,MATCH(D1324,[1]Last6M_AvgSales_Ref!$A$2:$A$12659,0)),"")</f>
        <v>42.3333333333333</v>
      </c>
    </row>
    <row r="1325" spans="1:31" ht="14.25" customHeight="1" x14ac:dyDescent="0.3">
      <c r="A1325" s="52" t="s">
        <v>1836</v>
      </c>
      <c r="B1325" s="50" t="s">
        <v>2166</v>
      </c>
      <c r="C1325" s="50" t="s">
        <v>2713</v>
      </c>
      <c r="D1325" s="50">
        <v>1000004324</v>
      </c>
      <c r="E1325" s="50" t="s">
        <v>2714</v>
      </c>
      <c r="F1325" s="51">
        <v>45769</v>
      </c>
      <c r="G1325" s="22" t="str">
        <f t="shared" si="280"/>
        <v>Targeted Dealer</v>
      </c>
      <c r="H1325" s="22"/>
      <c r="I1325" s="23">
        <v>220</v>
      </c>
      <c r="J1325" s="23">
        <f t="shared" si="281"/>
        <v>220</v>
      </c>
      <c r="K1325" s="24">
        <v>185</v>
      </c>
      <c r="L1325" s="24">
        <f t="shared" si="282"/>
        <v>35</v>
      </c>
      <c r="M1325" s="24">
        <f t="shared" si="283"/>
        <v>84.090909090909079</v>
      </c>
      <c r="N1325" s="25">
        <v>125</v>
      </c>
      <c r="O1325" s="26" t="str">
        <f t="shared" si="284"/>
        <v>June</v>
      </c>
      <c r="P1325" s="25">
        <f t="shared" si="285"/>
        <v>125</v>
      </c>
      <c r="Q1325" s="27">
        <f t="shared" si="286"/>
        <v>60</v>
      </c>
      <c r="R1325" s="26" t="b">
        <f t="shared" si="287"/>
        <v>0</v>
      </c>
      <c r="S1325" s="28" t="str">
        <f t="shared" si="288"/>
        <v>GROWTH</v>
      </c>
      <c r="T1325" s="24">
        <v>150</v>
      </c>
      <c r="U1325" s="29" t="str">
        <f t="shared" si="289"/>
        <v>May</v>
      </c>
      <c r="V1325" s="24">
        <f t="shared" si="290"/>
        <v>150</v>
      </c>
      <c r="W1325" s="30">
        <f t="shared" si="291"/>
        <v>35</v>
      </c>
      <c r="X1325" s="31" t="b">
        <f t="shared" si="292"/>
        <v>0</v>
      </c>
      <c r="Y1325" s="32" t="str">
        <f t="shared" si="293"/>
        <v>GROWTH</v>
      </c>
      <c r="Z1325" s="41">
        <v>0</v>
      </c>
      <c r="AA1325" s="36"/>
      <c r="AB1325" s="36" t="s">
        <v>24</v>
      </c>
      <c r="AC1325" s="52" t="s">
        <v>1836</v>
      </c>
      <c r="AD1325" s="34"/>
      <c r="AE1325" s="35">
        <f>IFERROR(INDEX([1]Last6M_AvgSales_Ref!$B$2:$B$12659,MATCH(D1325,[1]Last6M_AvgSales_Ref!$A$2:$A$12659,0)),"")</f>
        <v>253.083333333333</v>
      </c>
    </row>
    <row r="1326" spans="1:31" ht="14.25" customHeight="1" x14ac:dyDescent="0.3">
      <c r="A1326" s="52" t="s">
        <v>848</v>
      </c>
      <c r="B1326" s="50" t="s">
        <v>1098</v>
      </c>
      <c r="C1326" s="50" t="s">
        <v>2715</v>
      </c>
      <c r="D1326" s="50">
        <v>1000004321</v>
      </c>
      <c r="E1326" s="50" t="s">
        <v>2716</v>
      </c>
      <c r="F1326" s="51">
        <v>45768</v>
      </c>
      <c r="G1326" s="22" t="str">
        <f t="shared" si="280"/>
        <v>Targeted Dealer</v>
      </c>
      <c r="H1326" s="22"/>
      <c r="I1326" s="23">
        <v>300</v>
      </c>
      <c r="J1326" s="23">
        <f t="shared" si="281"/>
        <v>300</v>
      </c>
      <c r="K1326" s="24">
        <v>225</v>
      </c>
      <c r="L1326" s="24">
        <f t="shared" si="282"/>
        <v>75</v>
      </c>
      <c r="M1326" s="24">
        <f t="shared" si="283"/>
        <v>75</v>
      </c>
      <c r="N1326" s="25">
        <v>200</v>
      </c>
      <c r="O1326" s="26" t="str">
        <f t="shared" si="284"/>
        <v>June</v>
      </c>
      <c r="P1326" s="25">
        <f t="shared" si="285"/>
        <v>200</v>
      </c>
      <c r="Q1326" s="27">
        <f t="shared" si="286"/>
        <v>25</v>
      </c>
      <c r="R1326" s="26" t="b">
        <f t="shared" si="287"/>
        <v>0</v>
      </c>
      <c r="S1326" s="28" t="str">
        <f t="shared" si="288"/>
        <v>GROWTH</v>
      </c>
      <c r="T1326" s="24">
        <v>150</v>
      </c>
      <c r="U1326" s="29" t="str">
        <f t="shared" si="289"/>
        <v>May</v>
      </c>
      <c r="V1326" s="24">
        <f t="shared" si="290"/>
        <v>150</v>
      </c>
      <c r="W1326" s="30">
        <f t="shared" si="291"/>
        <v>75</v>
      </c>
      <c r="X1326" s="31" t="b">
        <f t="shared" si="292"/>
        <v>0</v>
      </c>
      <c r="Y1326" s="32" t="str">
        <f t="shared" si="293"/>
        <v>GROWTH</v>
      </c>
      <c r="Z1326" s="41">
        <v>0</v>
      </c>
      <c r="AA1326" s="36"/>
      <c r="AB1326" s="36" t="s">
        <v>24</v>
      </c>
      <c r="AC1326" s="52" t="s">
        <v>848</v>
      </c>
      <c r="AD1326" s="34"/>
      <c r="AE1326" s="35">
        <f>IFERROR(INDEX([1]Last6M_AvgSales_Ref!$B$2:$B$12659,MATCH(D1326,[1]Last6M_AvgSales_Ref!$A$2:$A$12659,0)),"")</f>
        <v>239.333333333333</v>
      </c>
    </row>
    <row r="1327" spans="1:31" ht="14.25" customHeight="1" x14ac:dyDescent="0.3">
      <c r="A1327" s="52" t="s">
        <v>848</v>
      </c>
      <c r="B1327" s="50" t="s">
        <v>1098</v>
      </c>
      <c r="C1327" s="50" t="s">
        <v>2717</v>
      </c>
      <c r="D1327" s="50">
        <v>1000004331</v>
      </c>
      <c r="E1327" s="50" t="s">
        <v>2718</v>
      </c>
      <c r="F1327" s="51">
        <v>45771</v>
      </c>
      <c r="G1327" s="22" t="str">
        <f t="shared" si="280"/>
        <v>Targeted Dealer</v>
      </c>
      <c r="H1327" s="22"/>
      <c r="I1327" s="23">
        <v>40</v>
      </c>
      <c r="J1327" s="23">
        <f t="shared" si="281"/>
        <v>40</v>
      </c>
      <c r="K1327" s="24">
        <v>13</v>
      </c>
      <c r="L1327" s="24">
        <f t="shared" si="282"/>
        <v>27</v>
      </c>
      <c r="M1327" s="24">
        <f t="shared" si="283"/>
        <v>32.5</v>
      </c>
      <c r="N1327" s="25">
        <v>0</v>
      </c>
      <c r="O1327" s="26" t="str">
        <f t="shared" si="284"/>
        <v>June</v>
      </c>
      <c r="P1327" s="25">
        <f t="shared" si="285"/>
        <v>0</v>
      </c>
      <c r="Q1327" s="27">
        <f t="shared" si="286"/>
        <v>13</v>
      </c>
      <c r="R1327" s="26" t="b">
        <f t="shared" si="287"/>
        <v>0</v>
      </c>
      <c r="S1327" s="28" t="b">
        <f t="shared" si="288"/>
        <v>0</v>
      </c>
      <c r="T1327" s="24">
        <v>0</v>
      </c>
      <c r="U1327" s="29" t="str">
        <f t="shared" si="289"/>
        <v>May</v>
      </c>
      <c r="V1327" s="24">
        <f t="shared" si="290"/>
        <v>0</v>
      </c>
      <c r="W1327" s="30">
        <f t="shared" si="291"/>
        <v>13</v>
      </c>
      <c r="X1327" s="31" t="b">
        <f t="shared" si="292"/>
        <v>0</v>
      </c>
      <c r="Y1327" s="32" t="b">
        <f t="shared" si="293"/>
        <v>0</v>
      </c>
      <c r="Z1327" s="41">
        <v>0</v>
      </c>
      <c r="AA1327" s="36"/>
      <c r="AB1327" s="36" t="s">
        <v>24</v>
      </c>
      <c r="AC1327" s="52" t="s">
        <v>848</v>
      </c>
      <c r="AD1327" s="34"/>
      <c r="AE1327" s="35">
        <f>IFERROR(INDEX([1]Last6M_AvgSales_Ref!$B$2:$B$12659,MATCH(D1327,[1]Last6M_AvgSales_Ref!$A$2:$A$12659,0)),"")</f>
        <v>17.4166666666667</v>
      </c>
    </row>
    <row r="1328" spans="1:31" ht="14.25" customHeight="1" x14ac:dyDescent="0.3">
      <c r="A1328" s="52" t="s">
        <v>2027</v>
      </c>
      <c r="B1328" s="50" t="s">
        <v>2118</v>
      </c>
      <c r="C1328" s="50" t="s">
        <v>2719</v>
      </c>
      <c r="D1328" s="50">
        <v>1000004323</v>
      </c>
      <c r="E1328" s="50" t="s">
        <v>2720</v>
      </c>
      <c r="F1328" s="51">
        <v>45769</v>
      </c>
      <c r="G1328" s="22" t="str">
        <f t="shared" si="280"/>
        <v>Targeted Dealer</v>
      </c>
      <c r="H1328" s="22"/>
      <c r="I1328" s="23">
        <v>30</v>
      </c>
      <c r="J1328" s="23">
        <f t="shared" si="281"/>
        <v>30</v>
      </c>
      <c r="K1328" s="24">
        <v>55</v>
      </c>
      <c r="L1328" s="24">
        <f t="shared" si="282"/>
        <v>-25</v>
      </c>
      <c r="M1328" s="24">
        <f t="shared" si="283"/>
        <v>183.33333333333334</v>
      </c>
      <c r="N1328" s="25">
        <v>30</v>
      </c>
      <c r="O1328" s="26" t="str">
        <f t="shared" si="284"/>
        <v>June</v>
      </c>
      <c r="P1328" s="25">
        <f t="shared" si="285"/>
        <v>30</v>
      </c>
      <c r="Q1328" s="27">
        <f t="shared" si="286"/>
        <v>25</v>
      </c>
      <c r="R1328" s="26" t="b">
        <f t="shared" si="287"/>
        <v>0</v>
      </c>
      <c r="S1328" s="28" t="str">
        <f t="shared" si="288"/>
        <v>GROWTH</v>
      </c>
      <c r="T1328" s="24">
        <v>40</v>
      </c>
      <c r="U1328" s="29" t="str">
        <f t="shared" si="289"/>
        <v>May</v>
      </c>
      <c r="V1328" s="24">
        <f t="shared" si="290"/>
        <v>40</v>
      </c>
      <c r="W1328" s="30">
        <f t="shared" si="291"/>
        <v>15</v>
      </c>
      <c r="X1328" s="31" t="b">
        <f t="shared" si="292"/>
        <v>0</v>
      </c>
      <c r="Y1328" s="32" t="str">
        <f t="shared" si="293"/>
        <v>GROWTH</v>
      </c>
      <c r="Z1328" s="41">
        <v>0</v>
      </c>
      <c r="AA1328" s="36"/>
      <c r="AB1328" s="36" t="s">
        <v>24</v>
      </c>
      <c r="AC1328" s="52" t="s">
        <v>2027</v>
      </c>
      <c r="AD1328" s="34"/>
      <c r="AE1328" s="35">
        <f>IFERROR(INDEX([1]Last6M_AvgSales_Ref!$B$2:$B$12659,MATCH(D1328,[1]Last6M_AvgSales_Ref!$A$2:$A$12659,0)),"")</f>
        <v>26.8333333333333</v>
      </c>
    </row>
    <row r="1329" spans="1:31" ht="14.25" customHeight="1" x14ac:dyDescent="0.3">
      <c r="A1329" s="52" t="s">
        <v>24</v>
      </c>
      <c r="B1329" s="50" t="s">
        <v>752</v>
      </c>
      <c r="C1329" s="50" t="s">
        <v>2721</v>
      </c>
      <c r="D1329" s="50">
        <v>1000004328</v>
      </c>
      <c r="E1329" s="50" t="s">
        <v>2722</v>
      </c>
      <c r="F1329" s="51">
        <v>45770</v>
      </c>
      <c r="G1329" s="22" t="str">
        <f t="shared" si="280"/>
        <v>Targeted Dealer</v>
      </c>
      <c r="H1329" s="22"/>
      <c r="I1329" s="23">
        <v>255</v>
      </c>
      <c r="J1329" s="23">
        <f t="shared" si="281"/>
        <v>255</v>
      </c>
      <c r="K1329" s="24">
        <v>265</v>
      </c>
      <c r="L1329" s="24">
        <f t="shared" si="282"/>
        <v>-10</v>
      </c>
      <c r="M1329" s="24">
        <f t="shared" si="283"/>
        <v>103.92156862745098</v>
      </c>
      <c r="N1329" s="25">
        <v>144</v>
      </c>
      <c r="O1329" s="26" t="str">
        <f t="shared" si="284"/>
        <v>June</v>
      </c>
      <c r="P1329" s="25">
        <f t="shared" si="285"/>
        <v>144</v>
      </c>
      <c r="Q1329" s="27">
        <f t="shared" si="286"/>
        <v>121</v>
      </c>
      <c r="R1329" s="26" t="b">
        <f t="shared" si="287"/>
        <v>0</v>
      </c>
      <c r="S1329" s="28" t="str">
        <f t="shared" si="288"/>
        <v>GROWTH</v>
      </c>
      <c r="T1329" s="24">
        <v>27</v>
      </c>
      <c r="U1329" s="29" t="str">
        <f t="shared" si="289"/>
        <v>May</v>
      </c>
      <c r="V1329" s="24">
        <f t="shared" si="290"/>
        <v>27</v>
      </c>
      <c r="W1329" s="30">
        <f t="shared" si="291"/>
        <v>238</v>
      </c>
      <c r="X1329" s="31" t="b">
        <f t="shared" si="292"/>
        <v>0</v>
      </c>
      <c r="Y1329" s="32" t="str">
        <f t="shared" si="293"/>
        <v>GROWTH</v>
      </c>
      <c r="Z1329" s="41">
        <v>0</v>
      </c>
      <c r="AA1329" s="36"/>
      <c r="AB1329" s="36" t="s">
        <v>24</v>
      </c>
      <c r="AC1329" s="52" t="s">
        <v>24</v>
      </c>
      <c r="AD1329" s="34"/>
      <c r="AE1329" s="35">
        <f>IFERROR(INDEX([1]Last6M_AvgSales_Ref!$B$2:$B$12659,MATCH(D1329,[1]Last6M_AvgSales_Ref!$A$2:$A$12659,0)),"")</f>
        <v>269.52499999999998</v>
      </c>
    </row>
    <row r="1330" spans="1:31" ht="14.25" customHeight="1" x14ac:dyDescent="0.3">
      <c r="A1330" s="52" t="s">
        <v>24</v>
      </c>
      <c r="B1330" s="50" t="s">
        <v>174</v>
      </c>
      <c r="C1330" s="50" t="s">
        <v>2723</v>
      </c>
      <c r="D1330" s="50">
        <v>1000004144</v>
      </c>
      <c r="E1330" s="50" t="s">
        <v>2724</v>
      </c>
      <c r="F1330" s="51">
        <v>45565</v>
      </c>
      <c r="G1330" s="22" t="str">
        <f t="shared" si="280"/>
        <v>Targeted Dealer</v>
      </c>
      <c r="H1330" s="22"/>
      <c r="I1330" s="23">
        <v>40</v>
      </c>
      <c r="J1330" s="23">
        <f t="shared" si="281"/>
        <v>40</v>
      </c>
      <c r="K1330" s="24">
        <v>40</v>
      </c>
      <c r="L1330" s="24">
        <f t="shared" si="282"/>
        <v>0</v>
      </c>
      <c r="M1330" s="24">
        <f t="shared" si="283"/>
        <v>100</v>
      </c>
      <c r="N1330" s="25">
        <v>0</v>
      </c>
      <c r="O1330" s="26" t="str">
        <f t="shared" si="284"/>
        <v>June</v>
      </c>
      <c r="P1330" s="25">
        <f t="shared" si="285"/>
        <v>0</v>
      </c>
      <c r="Q1330" s="27">
        <f t="shared" si="286"/>
        <v>40</v>
      </c>
      <c r="R1330" s="26" t="b">
        <f t="shared" si="287"/>
        <v>0</v>
      </c>
      <c r="S1330" s="28" t="b">
        <f t="shared" si="288"/>
        <v>0</v>
      </c>
      <c r="T1330" s="24">
        <v>25</v>
      </c>
      <c r="U1330" s="29" t="str">
        <f t="shared" si="289"/>
        <v>May</v>
      </c>
      <c r="V1330" s="24">
        <f t="shared" si="290"/>
        <v>25</v>
      </c>
      <c r="W1330" s="30">
        <f t="shared" si="291"/>
        <v>15</v>
      </c>
      <c r="X1330" s="31" t="b">
        <f t="shared" si="292"/>
        <v>0</v>
      </c>
      <c r="Y1330" s="32" t="str">
        <f t="shared" si="293"/>
        <v>GROWTH</v>
      </c>
      <c r="Z1330" s="41">
        <v>0</v>
      </c>
      <c r="AA1330" s="36"/>
      <c r="AB1330" s="36" t="s">
        <v>24</v>
      </c>
      <c r="AC1330" s="52" t="s">
        <v>24</v>
      </c>
      <c r="AD1330" s="34"/>
      <c r="AE1330" s="35">
        <f>IFERROR(INDEX([1]Last6M_AvgSales_Ref!$B$2:$B$12659,MATCH(D1330,[1]Last6M_AvgSales_Ref!$A$2:$A$12659,0)),"")</f>
        <v>26.6666666666667</v>
      </c>
    </row>
    <row r="1331" spans="1:31" ht="14.25" customHeight="1" x14ac:dyDescent="0.3">
      <c r="A1331" s="52" t="s">
        <v>2027</v>
      </c>
      <c r="B1331" s="50" t="s">
        <v>2028</v>
      </c>
      <c r="C1331" s="50" t="s">
        <v>2725</v>
      </c>
      <c r="D1331" s="50">
        <v>1000004318</v>
      </c>
      <c r="E1331" s="50" t="s">
        <v>2726</v>
      </c>
      <c r="F1331" s="51">
        <v>45765</v>
      </c>
      <c r="G1331" s="22" t="str">
        <f t="shared" si="280"/>
        <v>Targeted Dealer</v>
      </c>
      <c r="H1331" s="22"/>
      <c r="I1331" s="23">
        <v>135</v>
      </c>
      <c r="J1331" s="23">
        <f t="shared" si="281"/>
        <v>135</v>
      </c>
      <c r="K1331" s="24">
        <v>155</v>
      </c>
      <c r="L1331" s="24">
        <f t="shared" si="282"/>
        <v>-20</v>
      </c>
      <c r="M1331" s="24">
        <f t="shared" si="283"/>
        <v>114.81481481481481</v>
      </c>
      <c r="N1331" s="25">
        <v>75</v>
      </c>
      <c r="O1331" s="26" t="str">
        <f t="shared" si="284"/>
        <v>June</v>
      </c>
      <c r="P1331" s="25">
        <f t="shared" si="285"/>
        <v>75</v>
      </c>
      <c r="Q1331" s="27">
        <f t="shared" si="286"/>
        <v>80</v>
      </c>
      <c r="R1331" s="26" t="b">
        <f t="shared" si="287"/>
        <v>0</v>
      </c>
      <c r="S1331" s="28" t="str">
        <f t="shared" si="288"/>
        <v>GROWTH</v>
      </c>
      <c r="T1331" s="24">
        <v>106</v>
      </c>
      <c r="U1331" s="29" t="str">
        <f t="shared" si="289"/>
        <v>May</v>
      </c>
      <c r="V1331" s="24">
        <f t="shared" si="290"/>
        <v>106</v>
      </c>
      <c r="W1331" s="30">
        <f t="shared" si="291"/>
        <v>49</v>
      </c>
      <c r="X1331" s="31" t="b">
        <f t="shared" si="292"/>
        <v>0</v>
      </c>
      <c r="Y1331" s="32" t="str">
        <f t="shared" si="293"/>
        <v>GROWTH</v>
      </c>
      <c r="Z1331" s="41">
        <v>0</v>
      </c>
      <c r="AA1331" s="36"/>
      <c r="AB1331" s="36" t="s">
        <v>24</v>
      </c>
      <c r="AC1331" s="52" t="s">
        <v>1836</v>
      </c>
      <c r="AD1331" s="34"/>
      <c r="AE1331" s="35">
        <f>IFERROR(INDEX([1]Last6M_AvgSales_Ref!$B$2:$B$12659,MATCH(D1331,[1]Last6M_AvgSales_Ref!$A$2:$A$12659,0)),"")</f>
        <v>90.4</v>
      </c>
    </row>
    <row r="1332" spans="1:31" ht="14.25" customHeight="1" x14ac:dyDescent="0.3">
      <c r="A1332" s="52" t="s">
        <v>848</v>
      </c>
      <c r="B1332" s="50" t="s">
        <v>996</v>
      </c>
      <c r="C1332" s="50" t="s">
        <v>2727</v>
      </c>
      <c r="D1332" s="50">
        <v>1000004334</v>
      </c>
      <c r="E1332" s="50" t="s">
        <v>2728</v>
      </c>
      <c r="F1332" s="51">
        <v>45775</v>
      </c>
      <c r="G1332" s="22" t="str">
        <f t="shared" si="280"/>
        <v>Targeted Dealer</v>
      </c>
      <c r="H1332" s="22"/>
      <c r="I1332" s="23">
        <v>1220</v>
      </c>
      <c r="J1332" s="23">
        <f t="shared" si="281"/>
        <v>1220</v>
      </c>
      <c r="K1332" s="24">
        <v>1074</v>
      </c>
      <c r="L1332" s="24">
        <f t="shared" si="282"/>
        <v>146</v>
      </c>
      <c r="M1332" s="24">
        <f t="shared" si="283"/>
        <v>88.032786885245912</v>
      </c>
      <c r="N1332" s="25">
        <v>999.5</v>
      </c>
      <c r="O1332" s="26" t="str">
        <f t="shared" si="284"/>
        <v>June</v>
      </c>
      <c r="P1332" s="25">
        <f t="shared" si="285"/>
        <v>999.5</v>
      </c>
      <c r="Q1332" s="27">
        <f t="shared" si="286"/>
        <v>74.5</v>
      </c>
      <c r="R1332" s="26" t="b">
        <f t="shared" si="287"/>
        <v>0</v>
      </c>
      <c r="S1332" s="28" t="str">
        <f t="shared" si="288"/>
        <v>GROWTH</v>
      </c>
      <c r="T1332" s="24">
        <v>1021.5</v>
      </c>
      <c r="U1332" s="29" t="str">
        <f t="shared" si="289"/>
        <v>May</v>
      </c>
      <c r="V1332" s="24">
        <f t="shared" si="290"/>
        <v>1021.5</v>
      </c>
      <c r="W1332" s="30">
        <f t="shared" si="291"/>
        <v>52.5</v>
      </c>
      <c r="X1332" s="31" t="b">
        <f t="shared" si="292"/>
        <v>0</v>
      </c>
      <c r="Y1332" s="32" t="str">
        <f t="shared" si="293"/>
        <v>GROWTH</v>
      </c>
      <c r="Z1332" s="41">
        <v>0</v>
      </c>
      <c r="AA1332" s="36"/>
      <c r="AB1332" s="36" t="s">
        <v>24</v>
      </c>
      <c r="AC1332" s="52" t="s">
        <v>848</v>
      </c>
      <c r="AD1332" s="34"/>
      <c r="AE1332" s="35">
        <f>IFERROR(INDEX([1]Last6M_AvgSales_Ref!$B$2:$B$12659,MATCH(D1332,[1]Last6M_AvgSales_Ref!$A$2:$A$12659,0)),"")</f>
        <v>977.58333333333303</v>
      </c>
    </row>
    <row r="1333" spans="1:31" ht="14.25" customHeight="1" x14ac:dyDescent="0.3">
      <c r="A1333" s="52" t="s">
        <v>24</v>
      </c>
      <c r="B1333" s="50" t="s">
        <v>752</v>
      </c>
      <c r="C1333" s="50" t="s">
        <v>2729</v>
      </c>
      <c r="D1333" s="50">
        <v>1000004327</v>
      </c>
      <c r="E1333" s="50" t="s">
        <v>2730</v>
      </c>
      <c r="F1333" s="51">
        <v>45770</v>
      </c>
      <c r="G1333" s="22" t="str">
        <f t="shared" si="280"/>
        <v>Targeted Dealer</v>
      </c>
      <c r="H1333" s="22"/>
      <c r="I1333" s="23">
        <v>105</v>
      </c>
      <c r="J1333" s="23">
        <f t="shared" si="281"/>
        <v>105</v>
      </c>
      <c r="K1333" s="24">
        <v>0</v>
      </c>
      <c r="L1333" s="24">
        <f t="shared" si="282"/>
        <v>105</v>
      </c>
      <c r="M1333" s="24">
        <f t="shared" si="283"/>
        <v>0</v>
      </c>
      <c r="N1333" s="25">
        <v>0</v>
      </c>
      <c r="O1333" s="26" t="str">
        <f t="shared" si="284"/>
        <v>June</v>
      </c>
      <c r="P1333" s="25">
        <f t="shared" si="285"/>
        <v>0</v>
      </c>
      <c r="Q1333" s="27">
        <f t="shared" si="286"/>
        <v>0</v>
      </c>
      <c r="R1333" s="26" t="b">
        <f t="shared" si="287"/>
        <v>0</v>
      </c>
      <c r="S1333" s="28" t="b">
        <f t="shared" si="288"/>
        <v>0</v>
      </c>
      <c r="T1333" s="24">
        <v>95</v>
      </c>
      <c r="U1333" s="29" t="str">
        <f t="shared" si="289"/>
        <v>May</v>
      </c>
      <c r="V1333" s="24">
        <f t="shared" si="290"/>
        <v>95</v>
      </c>
      <c r="W1333" s="30">
        <f t="shared" si="291"/>
        <v>-95</v>
      </c>
      <c r="X1333" s="31" t="b">
        <f t="shared" si="292"/>
        <v>0</v>
      </c>
      <c r="Y1333" s="32" t="str">
        <f t="shared" si="293"/>
        <v>GROWTH</v>
      </c>
      <c r="Z1333" s="41">
        <v>0</v>
      </c>
      <c r="AA1333" s="36"/>
      <c r="AB1333" s="36" t="s">
        <v>24</v>
      </c>
      <c r="AC1333" s="52" t="s">
        <v>24</v>
      </c>
      <c r="AD1333" s="34"/>
      <c r="AE1333" s="35">
        <f>IFERROR(INDEX([1]Last6M_AvgSales_Ref!$B$2:$B$12659,MATCH(D1333,[1]Last6M_AvgSales_Ref!$A$2:$A$12659,0)),"")</f>
        <v>193.5</v>
      </c>
    </row>
    <row r="1334" spans="1:31" ht="14.25" customHeight="1" x14ac:dyDescent="0.3">
      <c r="A1334" s="52" t="s">
        <v>24</v>
      </c>
      <c r="B1334" s="50" t="s">
        <v>25</v>
      </c>
      <c r="C1334" s="50" t="s">
        <v>2731</v>
      </c>
      <c r="D1334" s="50">
        <v>1000004333</v>
      </c>
      <c r="E1334" s="50" t="s">
        <v>2732</v>
      </c>
      <c r="F1334" s="51">
        <v>45773</v>
      </c>
      <c r="G1334" s="22" t="str">
        <f t="shared" si="280"/>
        <v>Targeted Dealer</v>
      </c>
      <c r="H1334" s="22"/>
      <c r="I1334" s="23">
        <v>39</v>
      </c>
      <c r="J1334" s="23">
        <f t="shared" si="281"/>
        <v>39</v>
      </c>
      <c r="K1334" s="24">
        <v>33</v>
      </c>
      <c r="L1334" s="24">
        <f t="shared" si="282"/>
        <v>6</v>
      </c>
      <c r="M1334" s="24">
        <f t="shared" si="283"/>
        <v>84.615384615384613</v>
      </c>
      <c r="N1334" s="25">
        <v>46</v>
      </c>
      <c r="O1334" s="26" t="str">
        <f t="shared" si="284"/>
        <v>June</v>
      </c>
      <c r="P1334" s="25">
        <f t="shared" si="285"/>
        <v>46</v>
      </c>
      <c r="Q1334" s="27">
        <f t="shared" si="286"/>
        <v>-13</v>
      </c>
      <c r="R1334" s="26" t="b">
        <f t="shared" si="287"/>
        <v>0</v>
      </c>
      <c r="S1334" s="28" t="str">
        <f t="shared" si="288"/>
        <v>GROWTH</v>
      </c>
      <c r="T1334" s="24">
        <v>72</v>
      </c>
      <c r="U1334" s="29" t="str">
        <f t="shared" si="289"/>
        <v>May</v>
      </c>
      <c r="V1334" s="24">
        <f t="shared" si="290"/>
        <v>72</v>
      </c>
      <c r="W1334" s="30">
        <f t="shared" si="291"/>
        <v>-39</v>
      </c>
      <c r="X1334" s="31" t="b">
        <f t="shared" si="292"/>
        <v>0</v>
      </c>
      <c r="Y1334" s="32" t="str">
        <f t="shared" si="293"/>
        <v>GROWTH</v>
      </c>
      <c r="Z1334" s="41">
        <v>0</v>
      </c>
      <c r="AA1334" s="36"/>
      <c r="AB1334" s="36" t="s">
        <v>24</v>
      </c>
      <c r="AC1334" s="52" t="s">
        <v>24</v>
      </c>
      <c r="AD1334" s="34"/>
      <c r="AE1334" s="35">
        <f>IFERROR(INDEX([1]Last6M_AvgSales_Ref!$B$2:$B$12659,MATCH(D1334,[1]Last6M_AvgSales_Ref!$A$2:$A$12659,0)),"")</f>
        <v>28.6666666666667</v>
      </c>
    </row>
    <row r="1335" spans="1:31" ht="14.25" customHeight="1" x14ac:dyDescent="0.3">
      <c r="A1335" s="52" t="s">
        <v>2027</v>
      </c>
      <c r="B1335" s="50" t="s">
        <v>2028</v>
      </c>
      <c r="C1335" s="50" t="s">
        <v>2733</v>
      </c>
      <c r="D1335" s="50">
        <v>1000004326</v>
      </c>
      <c r="E1335" s="50" t="s">
        <v>2734</v>
      </c>
      <c r="F1335" s="51">
        <v>45770</v>
      </c>
      <c r="G1335" s="22" t="str">
        <f t="shared" si="280"/>
        <v>Targeted Dealer</v>
      </c>
      <c r="H1335" s="22"/>
      <c r="I1335" s="23">
        <v>200</v>
      </c>
      <c r="J1335" s="23">
        <f t="shared" si="281"/>
        <v>200</v>
      </c>
      <c r="K1335" s="24">
        <v>404.75</v>
      </c>
      <c r="L1335" s="24">
        <f t="shared" si="282"/>
        <v>-204.75</v>
      </c>
      <c r="M1335" s="24">
        <f t="shared" si="283"/>
        <v>202.375</v>
      </c>
      <c r="N1335" s="25">
        <v>448</v>
      </c>
      <c r="O1335" s="26" t="str">
        <f t="shared" si="284"/>
        <v>June</v>
      </c>
      <c r="P1335" s="25">
        <f t="shared" si="285"/>
        <v>448</v>
      </c>
      <c r="Q1335" s="27">
        <f t="shared" si="286"/>
        <v>-43.25</v>
      </c>
      <c r="R1335" s="26" t="b">
        <f t="shared" si="287"/>
        <v>0</v>
      </c>
      <c r="S1335" s="28" t="str">
        <f t="shared" si="288"/>
        <v>GROWTH</v>
      </c>
      <c r="T1335" s="24">
        <v>418</v>
      </c>
      <c r="U1335" s="29" t="str">
        <f t="shared" si="289"/>
        <v>May</v>
      </c>
      <c r="V1335" s="24">
        <f t="shared" si="290"/>
        <v>418</v>
      </c>
      <c r="W1335" s="30">
        <f t="shared" si="291"/>
        <v>-13.25</v>
      </c>
      <c r="X1335" s="31" t="b">
        <f t="shared" si="292"/>
        <v>0</v>
      </c>
      <c r="Y1335" s="32" t="str">
        <f t="shared" si="293"/>
        <v>GROWTH</v>
      </c>
      <c r="Z1335" s="41">
        <v>0</v>
      </c>
      <c r="AA1335" s="36"/>
      <c r="AB1335" s="36" t="s">
        <v>24</v>
      </c>
      <c r="AC1335" s="52" t="s">
        <v>2027</v>
      </c>
      <c r="AD1335" s="34"/>
      <c r="AE1335" s="35">
        <f>IFERROR(INDEX([1]Last6M_AvgSales_Ref!$B$2:$B$12659,MATCH(D1335,[1]Last6M_AvgSales_Ref!$A$2:$A$12659,0)),"")</f>
        <v>279.41666666666703</v>
      </c>
    </row>
    <row r="1336" spans="1:31" ht="14.25" customHeight="1" x14ac:dyDescent="0.3">
      <c r="A1336" s="52" t="s">
        <v>2027</v>
      </c>
      <c r="B1336" s="50" t="s">
        <v>2028</v>
      </c>
      <c r="C1336" s="50" t="s">
        <v>2735</v>
      </c>
      <c r="D1336" s="50">
        <v>1000004330</v>
      </c>
      <c r="E1336" s="50" t="s">
        <v>2736</v>
      </c>
      <c r="F1336" s="51">
        <v>45771</v>
      </c>
      <c r="G1336" s="22" t="str">
        <f t="shared" si="280"/>
        <v>Targeted Dealer</v>
      </c>
      <c r="H1336" s="22"/>
      <c r="I1336" s="23">
        <v>125</v>
      </c>
      <c r="J1336" s="23">
        <f t="shared" si="281"/>
        <v>125.00000000000001</v>
      </c>
      <c r="K1336" s="24">
        <v>170</v>
      </c>
      <c r="L1336" s="24">
        <f t="shared" si="282"/>
        <v>-45</v>
      </c>
      <c r="M1336" s="24">
        <f t="shared" si="283"/>
        <v>135.99999999999997</v>
      </c>
      <c r="N1336" s="25">
        <v>210</v>
      </c>
      <c r="O1336" s="26" t="str">
        <f t="shared" si="284"/>
        <v>June</v>
      </c>
      <c r="P1336" s="25">
        <f t="shared" si="285"/>
        <v>210</v>
      </c>
      <c r="Q1336" s="27">
        <f t="shared" si="286"/>
        <v>-40</v>
      </c>
      <c r="R1336" s="26" t="b">
        <f t="shared" si="287"/>
        <v>0</v>
      </c>
      <c r="S1336" s="28" t="str">
        <f t="shared" si="288"/>
        <v>GROWTH</v>
      </c>
      <c r="T1336" s="24">
        <v>100</v>
      </c>
      <c r="U1336" s="29" t="str">
        <f t="shared" si="289"/>
        <v>May</v>
      </c>
      <c r="V1336" s="24">
        <f t="shared" si="290"/>
        <v>100</v>
      </c>
      <c r="W1336" s="30">
        <f t="shared" si="291"/>
        <v>70</v>
      </c>
      <c r="X1336" s="31" t="b">
        <f t="shared" si="292"/>
        <v>0</v>
      </c>
      <c r="Y1336" s="32" t="str">
        <f t="shared" si="293"/>
        <v>GROWTH</v>
      </c>
      <c r="Z1336" s="41">
        <v>0</v>
      </c>
      <c r="AA1336" s="36"/>
      <c r="AB1336" s="36" t="s">
        <v>24</v>
      </c>
      <c r="AC1336" s="52" t="s">
        <v>2027</v>
      </c>
      <c r="AD1336" s="34"/>
      <c r="AE1336" s="35">
        <f>IFERROR(INDEX([1]Last6M_AvgSales_Ref!$B$2:$B$12659,MATCH(D1336,[1]Last6M_AvgSales_Ref!$A$2:$A$12659,0)),"")</f>
        <v>156.666666666667</v>
      </c>
    </row>
    <row r="1337" spans="1:31" ht="14.25" customHeight="1" x14ac:dyDescent="0.3">
      <c r="A1337" s="52" t="s">
        <v>848</v>
      </c>
      <c r="B1337" s="50" t="s">
        <v>1098</v>
      </c>
      <c r="C1337" s="50" t="s">
        <v>2737</v>
      </c>
      <c r="D1337" s="50">
        <v>1000004353</v>
      </c>
      <c r="E1337" s="50" t="s">
        <v>2738</v>
      </c>
      <c r="F1337" s="51">
        <v>45779</v>
      </c>
      <c r="G1337" s="22" t="str">
        <f t="shared" si="280"/>
        <v>Targeted Dealer</v>
      </c>
      <c r="H1337" s="22"/>
      <c r="I1337" s="23">
        <v>1350</v>
      </c>
      <c r="J1337" s="23">
        <f t="shared" si="281"/>
        <v>1350</v>
      </c>
      <c r="K1337" s="24">
        <v>599</v>
      </c>
      <c r="L1337" s="24">
        <f t="shared" si="282"/>
        <v>751</v>
      </c>
      <c r="M1337" s="24">
        <f t="shared" si="283"/>
        <v>44.370370370370374</v>
      </c>
      <c r="N1337" s="25">
        <v>590.5</v>
      </c>
      <c r="O1337" s="26" t="str">
        <f t="shared" si="284"/>
        <v>June</v>
      </c>
      <c r="P1337" s="25">
        <f t="shared" si="285"/>
        <v>590.5</v>
      </c>
      <c r="Q1337" s="27">
        <f t="shared" si="286"/>
        <v>8.5</v>
      </c>
      <c r="R1337" s="26" t="b">
        <f t="shared" si="287"/>
        <v>0</v>
      </c>
      <c r="S1337" s="28" t="str">
        <f t="shared" si="288"/>
        <v>GROWTH</v>
      </c>
      <c r="T1337" s="24">
        <v>653</v>
      </c>
      <c r="U1337" s="29" t="str">
        <f t="shared" si="289"/>
        <v>May</v>
      </c>
      <c r="V1337" s="24">
        <f t="shared" si="290"/>
        <v>653</v>
      </c>
      <c r="W1337" s="30">
        <f t="shared" si="291"/>
        <v>-54</v>
      </c>
      <c r="X1337" s="31" t="b">
        <f t="shared" si="292"/>
        <v>0</v>
      </c>
      <c r="Y1337" s="32" t="str">
        <f t="shared" si="293"/>
        <v>GROWTH</v>
      </c>
      <c r="Z1337" s="41">
        <v>0</v>
      </c>
      <c r="AA1337" s="36"/>
      <c r="AB1337" s="36" t="s">
        <v>24</v>
      </c>
      <c r="AC1337" s="52" t="s">
        <v>848</v>
      </c>
      <c r="AD1337" s="34"/>
      <c r="AE1337" s="35">
        <f>IFERROR(INDEX([1]Last6M_AvgSales_Ref!$B$2:$B$12659,MATCH(D1337,[1]Last6M_AvgSales_Ref!$A$2:$A$12659,0)),"")</f>
        <v>647.58333333333303</v>
      </c>
    </row>
    <row r="1338" spans="1:31" ht="14.25" customHeight="1" x14ac:dyDescent="0.3">
      <c r="A1338" s="52" t="s">
        <v>848</v>
      </c>
      <c r="B1338" s="50" t="s">
        <v>917</v>
      </c>
      <c r="C1338" s="50" t="s">
        <v>2739</v>
      </c>
      <c r="D1338" s="50">
        <v>1000004348</v>
      </c>
      <c r="E1338" s="50" t="s">
        <v>2740</v>
      </c>
      <c r="F1338" s="51">
        <v>45783</v>
      </c>
      <c r="G1338" s="22" t="str">
        <f t="shared" si="280"/>
        <v>Targeted Dealer</v>
      </c>
      <c r="H1338" s="22"/>
      <c r="I1338" s="23">
        <v>52</v>
      </c>
      <c r="J1338" s="23">
        <f t="shared" si="281"/>
        <v>52</v>
      </c>
      <c r="K1338" s="24">
        <v>96</v>
      </c>
      <c r="L1338" s="24">
        <f t="shared" si="282"/>
        <v>-44</v>
      </c>
      <c r="M1338" s="24">
        <f t="shared" si="283"/>
        <v>184.61538461538461</v>
      </c>
      <c r="N1338" s="25">
        <v>51</v>
      </c>
      <c r="O1338" s="26" t="str">
        <f t="shared" si="284"/>
        <v>June</v>
      </c>
      <c r="P1338" s="25">
        <f t="shared" si="285"/>
        <v>51</v>
      </c>
      <c r="Q1338" s="27">
        <f t="shared" si="286"/>
        <v>45</v>
      </c>
      <c r="R1338" s="26" t="b">
        <f t="shared" si="287"/>
        <v>0</v>
      </c>
      <c r="S1338" s="28" t="str">
        <f t="shared" si="288"/>
        <v>GROWTH</v>
      </c>
      <c r="T1338" s="24">
        <v>22</v>
      </c>
      <c r="U1338" s="29" t="str">
        <f t="shared" si="289"/>
        <v>May</v>
      </c>
      <c r="V1338" s="24">
        <f t="shared" si="290"/>
        <v>22</v>
      </c>
      <c r="W1338" s="30">
        <f t="shared" si="291"/>
        <v>74</v>
      </c>
      <c r="X1338" s="31" t="b">
        <f t="shared" si="292"/>
        <v>0</v>
      </c>
      <c r="Y1338" s="32" t="str">
        <f t="shared" si="293"/>
        <v>GROWTH</v>
      </c>
      <c r="Z1338" s="41">
        <v>0</v>
      </c>
      <c r="AA1338" s="36"/>
      <c r="AB1338" s="36" t="s">
        <v>24</v>
      </c>
      <c r="AC1338" s="52" t="s">
        <v>848</v>
      </c>
      <c r="AD1338" s="34"/>
      <c r="AE1338" s="35">
        <f>IFERROR(INDEX([1]Last6M_AvgSales_Ref!$B$2:$B$12659,MATCH(D1338,[1]Last6M_AvgSales_Ref!$A$2:$A$12659,0)),"")</f>
        <v>70.3333333333333</v>
      </c>
    </row>
    <row r="1339" spans="1:31" ht="14.25" customHeight="1" x14ac:dyDescent="0.3">
      <c r="A1339" s="52" t="s">
        <v>848</v>
      </c>
      <c r="B1339" s="50" t="s">
        <v>1487</v>
      </c>
      <c r="C1339" s="50" t="s">
        <v>2741</v>
      </c>
      <c r="D1339" s="50">
        <v>1000004337</v>
      </c>
      <c r="E1339" s="50" t="s">
        <v>2742</v>
      </c>
      <c r="F1339" s="51">
        <v>45776</v>
      </c>
      <c r="G1339" s="22" t="str">
        <f t="shared" si="280"/>
        <v>Targeted Dealer</v>
      </c>
      <c r="H1339" s="22"/>
      <c r="I1339" s="23">
        <v>100</v>
      </c>
      <c r="J1339" s="23">
        <f t="shared" si="281"/>
        <v>100</v>
      </c>
      <c r="K1339" s="24">
        <v>50</v>
      </c>
      <c r="L1339" s="24">
        <f t="shared" si="282"/>
        <v>50</v>
      </c>
      <c r="M1339" s="24">
        <f t="shared" si="283"/>
        <v>50</v>
      </c>
      <c r="N1339" s="25">
        <v>49</v>
      </c>
      <c r="O1339" s="26" t="str">
        <f t="shared" si="284"/>
        <v>June</v>
      </c>
      <c r="P1339" s="25">
        <f t="shared" si="285"/>
        <v>49</v>
      </c>
      <c r="Q1339" s="27">
        <f t="shared" si="286"/>
        <v>1</v>
      </c>
      <c r="R1339" s="26" t="b">
        <f t="shared" si="287"/>
        <v>0</v>
      </c>
      <c r="S1339" s="28" t="str">
        <f t="shared" si="288"/>
        <v>GROWTH</v>
      </c>
      <c r="T1339" s="24">
        <v>49.5</v>
      </c>
      <c r="U1339" s="29" t="str">
        <f t="shared" si="289"/>
        <v>May</v>
      </c>
      <c r="V1339" s="24">
        <f t="shared" si="290"/>
        <v>49.5</v>
      </c>
      <c r="W1339" s="30">
        <f t="shared" si="291"/>
        <v>0.5</v>
      </c>
      <c r="X1339" s="31" t="b">
        <f t="shared" si="292"/>
        <v>0</v>
      </c>
      <c r="Y1339" s="32" t="str">
        <f t="shared" si="293"/>
        <v>GROWTH</v>
      </c>
      <c r="Z1339" s="41">
        <v>0</v>
      </c>
      <c r="AA1339" s="36"/>
      <c r="AB1339" s="36" t="s">
        <v>24</v>
      </c>
      <c r="AC1339" s="52" t="s">
        <v>848</v>
      </c>
      <c r="AD1339" s="34"/>
      <c r="AE1339" s="35">
        <f>IFERROR(INDEX([1]Last6M_AvgSales_Ref!$B$2:$B$12659,MATCH(D1339,[1]Last6M_AvgSales_Ref!$A$2:$A$12659,0)),"")</f>
        <v>53</v>
      </c>
    </row>
    <row r="1340" spans="1:31" ht="14.25" customHeight="1" x14ac:dyDescent="0.3">
      <c r="A1340" s="52" t="s">
        <v>24</v>
      </c>
      <c r="B1340" s="50" t="s">
        <v>504</v>
      </c>
      <c r="C1340" s="50" t="s">
        <v>2743</v>
      </c>
      <c r="D1340" s="50">
        <v>1000004336</v>
      </c>
      <c r="E1340" s="50" t="s">
        <v>2744</v>
      </c>
      <c r="F1340" s="51">
        <v>45776</v>
      </c>
      <c r="G1340" s="22" t="str">
        <f t="shared" si="280"/>
        <v>Targeted Dealer</v>
      </c>
      <c r="H1340" s="22"/>
      <c r="I1340" s="23">
        <v>20</v>
      </c>
      <c r="J1340" s="23">
        <f t="shared" si="281"/>
        <v>20</v>
      </c>
      <c r="K1340" s="24">
        <v>0</v>
      </c>
      <c r="L1340" s="24">
        <f t="shared" si="282"/>
        <v>20</v>
      </c>
      <c r="M1340" s="24">
        <f t="shared" si="283"/>
        <v>0</v>
      </c>
      <c r="N1340" s="25">
        <v>0</v>
      </c>
      <c r="O1340" s="26" t="str">
        <f t="shared" si="284"/>
        <v>June</v>
      </c>
      <c r="P1340" s="25">
        <f t="shared" si="285"/>
        <v>0</v>
      </c>
      <c r="Q1340" s="27">
        <f t="shared" si="286"/>
        <v>0</v>
      </c>
      <c r="R1340" s="26" t="b">
        <f t="shared" si="287"/>
        <v>0</v>
      </c>
      <c r="S1340" s="28" t="b">
        <f t="shared" si="288"/>
        <v>0</v>
      </c>
      <c r="T1340" s="24">
        <v>14</v>
      </c>
      <c r="U1340" s="29" t="str">
        <f t="shared" si="289"/>
        <v>May</v>
      </c>
      <c r="V1340" s="24">
        <f t="shared" si="290"/>
        <v>14</v>
      </c>
      <c r="W1340" s="30">
        <f t="shared" si="291"/>
        <v>-14</v>
      </c>
      <c r="X1340" s="31" t="b">
        <f t="shared" si="292"/>
        <v>0</v>
      </c>
      <c r="Y1340" s="32" t="str">
        <f t="shared" si="293"/>
        <v>GROWTH</v>
      </c>
      <c r="Z1340" s="41">
        <v>0</v>
      </c>
      <c r="AA1340" s="36"/>
      <c r="AB1340" s="36" t="s">
        <v>24</v>
      </c>
      <c r="AC1340" s="52" t="s">
        <v>24</v>
      </c>
      <c r="AD1340" s="34"/>
      <c r="AE1340" s="35">
        <f>IFERROR(INDEX([1]Last6M_AvgSales_Ref!$B$2:$B$12659,MATCH(D1340,[1]Last6M_AvgSales_Ref!$A$2:$A$12659,0)),"")</f>
        <v>15.8333333333333</v>
      </c>
    </row>
    <row r="1341" spans="1:31" ht="14.25" customHeight="1" x14ac:dyDescent="0.3">
      <c r="A1341" s="52" t="s">
        <v>2185</v>
      </c>
      <c r="B1341" s="50" t="s">
        <v>2186</v>
      </c>
      <c r="C1341" s="50" t="s">
        <v>2745</v>
      </c>
      <c r="D1341" s="50">
        <v>1000004346</v>
      </c>
      <c r="E1341" s="50" t="s">
        <v>2746</v>
      </c>
      <c r="F1341" s="51">
        <v>45777</v>
      </c>
      <c r="G1341" s="22" t="str">
        <f t="shared" si="280"/>
        <v>Targeted Dealer</v>
      </c>
      <c r="H1341" s="22"/>
      <c r="I1341" s="23">
        <v>300</v>
      </c>
      <c r="J1341" s="23">
        <f t="shared" si="281"/>
        <v>300</v>
      </c>
      <c r="K1341" s="24">
        <v>225</v>
      </c>
      <c r="L1341" s="24">
        <f t="shared" si="282"/>
        <v>75</v>
      </c>
      <c r="M1341" s="24">
        <f t="shared" si="283"/>
        <v>75</v>
      </c>
      <c r="N1341" s="25">
        <v>246</v>
      </c>
      <c r="O1341" s="26" t="str">
        <f t="shared" si="284"/>
        <v>June</v>
      </c>
      <c r="P1341" s="25">
        <f t="shared" si="285"/>
        <v>246</v>
      </c>
      <c r="Q1341" s="27">
        <f t="shared" si="286"/>
        <v>-21</v>
      </c>
      <c r="R1341" s="26" t="b">
        <f t="shared" si="287"/>
        <v>0</v>
      </c>
      <c r="S1341" s="28" t="str">
        <f t="shared" si="288"/>
        <v>GROWTH</v>
      </c>
      <c r="T1341" s="24">
        <v>110</v>
      </c>
      <c r="U1341" s="29" t="str">
        <f t="shared" si="289"/>
        <v>May</v>
      </c>
      <c r="V1341" s="24">
        <f t="shared" si="290"/>
        <v>110</v>
      </c>
      <c r="W1341" s="30">
        <f t="shared" si="291"/>
        <v>115</v>
      </c>
      <c r="X1341" s="31" t="b">
        <f t="shared" si="292"/>
        <v>0</v>
      </c>
      <c r="Y1341" s="32" t="str">
        <f t="shared" si="293"/>
        <v>GROWTH</v>
      </c>
      <c r="Z1341" s="41">
        <v>0</v>
      </c>
      <c r="AA1341" s="36"/>
      <c r="AB1341" s="36" t="s">
        <v>24</v>
      </c>
      <c r="AC1341" s="52" t="s">
        <v>2185</v>
      </c>
      <c r="AD1341" s="34"/>
      <c r="AE1341" s="35">
        <f>IFERROR(INDEX([1]Last6M_AvgSales_Ref!$B$2:$B$12659,MATCH(D1341,[1]Last6M_AvgSales_Ref!$A$2:$A$12659,0)),"")</f>
        <v>207.166666666667</v>
      </c>
    </row>
    <row r="1342" spans="1:31" ht="14.25" customHeight="1" x14ac:dyDescent="0.3">
      <c r="A1342" s="52" t="s">
        <v>24</v>
      </c>
      <c r="B1342" s="50" t="s">
        <v>25</v>
      </c>
      <c r="C1342" s="50" t="s">
        <v>2747</v>
      </c>
      <c r="D1342" s="50">
        <v>1000004354</v>
      </c>
      <c r="E1342" s="50" t="s">
        <v>2748</v>
      </c>
      <c r="F1342" s="51">
        <v>45785</v>
      </c>
      <c r="G1342" s="22" t="str">
        <f t="shared" si="280"/>
        <v>Targeted Dealer</v>
      </c>
      <c r="H1342" s="22"/>
      <c r="I1342" s="23">
        <v>72</v>
      </c>
      <c r="J1342" s="23">
        <f t="shared" si="281"/>
        <v>72</v>
      </c>
      <c r="K1342" s="24">
        <v>72</v>
      </c>
      <c r="L1342" s="24">
        <f t="shared" si="282"/>
        <v>0</v>
      </c>
      <c r="M1342" s="24">
        <f t="shared" si="283"/>
        <v>100</v>
      </c>
      <c r="N1342" s="25">
        <v>120</v>
      </c>
      <c r="O1342" s="26" t="str">
        <f t="shared" si="284"/>
        <v>June</v>
      </c>
      <c r="P1342" s="25">
        <f t="shared" si="285"/>
        <v>120</v>
      </c>
      <c r="Q1342" s="27">
        <f t="shared" si="286"/>
        <v>-48</v>
      </c>
      <c r="R1342" s="26" t="b">
        <f t="shared" si="287"/>
        <v>0</v>
      </c>
      <c r="S1342" s="28" t="str">
        <f t="shared" si="288"/>
        <v>GROWTH</v>
      </c>
      <c r="T1342" s="24">
        <v>34</v>
      </c>
      <c r="U1342" s="29" t="str">
        <f t="shared" si="289"/>
        <v>May</v>
      </c>
      <c r="V1342" s="24">
        <f t="shared" si="290"/>
        <v>34</v>
      </c>
      <c r="W1342" s="30">
        <f t="shared" si="291"/>
        <v>38</v>
      </c>
      <c r="X1342" s="31" t="b">
        <f t="shared" si="292"/>
        <v>0</v>
      </c>
      <c r="Y1342" s="32" t="str">
        <f t="shared" si="293"/>
        <v>GROWTH</v>
      </c>
      <c r="Z1342" s="41">
        <v>0</v>
      </c>
      <c r="AA1342" s="36"/>
      <c r="AB1342" s="36" t="s">
        <v>24</v>
      </c>
      <c r="AC1342" s="52" t="s">
        <v>24</v>
      </c>
      <c r="AD1342" s="34"/>
      <c r="AE1342" s="35">
        <f>IFERROR(INDEX([1]Last6M_AvgSales_Ref!$B$2:$B$12659,MATCH(D1342,[1]Last6M_AvgSales_Ref!$A$2:$A$12659,0)),"")</f>
        <v>58.8333333333333</v>
      </c>
    </row>
    <row r="1343" spans="1:31" ht="14.25" customHeight="1" x14ac:dyDescent="0.3">
      <c r="A1343" s="52" t="s">
        <v>24</v>
      </c>
      <c r="B1343" s="50" t="s">
        <v>535</v>
      </c>
      <c r="C1343" s="50" t="s">
        <v>2749</v>
      </c>
      <c r="D1343" s="50">
        <v>1000000704</v>
      </c>
      <c r="E1343" s="50" t="s">
        <v>2750</v>
      </c>
      <c r="F1343" s="51">
        <v>44738</v>
      </c>
      <c r="G1343" s="22" t="str">
        <f t="shared" si="280"/>
        <v>Targeted Dealer</v>
      </c>
      <c r="H1343" s="22"/>
      <c r="I1343" s="23">
        <v>20</v>
      </c>
      <c r="J1343" s="23">
        <f t="shared" si="281"/>
        <v>20</v>
      </c>
      <c r="K1343" s="24">
        <v>10</v>
      </c>
      <c r="L1343" s="24">
        <f t="shared" si="282"/>
        <v>10</v>
      </c>
      <c r="M1343" s="24">
        <f t="shared" si="283"/>
        <v>50</v>
      </c>
      <c r="N1343" s="25">
        <v>10</v>
      </c>
      <c r="O1343" s="26" t="str">
        <f t="shared" si="284"/>
        <v>June</v>
      </c>
      <c r="P1343" s="25">
        <f t="shared" si="285"/>
        <v>10</v>
      </c>
      <c r="Q1343" s="27">
        <f t="shared" si="286"/>
        <v>0</v>
      </c>
      <c r="R1343" s="26" t="b">
        <f t="shared" si="287"/>
        <v>0</v>
      </c>
      <c r="S1343" s="28" t="str">
        <f t="shared" si="288"/>
        <v>GROWTH</v>
      </c>
      <c r="T1343" s="24">
        <v>10</v>
      </c>
      <c r="U1343" s="29" t="str">
        <f t="shared" si="289"/>
        <v>May</v>
      </c>
      <c r="V1343" s="24">
        <f t="shared" si="290"/>
        <v>10</v>
      </c>
      <c r="W1343" s="30">
        <f t="shared" si="291"/>
        <v>0</v>
      </c>
      <c r="X1343" s="31" t="b">
        <f t="shared" si="292"/>
        <v>0</v>
      </c>
      <c r="Y1343" s="32" t="str">
        <f t="shared" si="293"/>
        <v>GROWTH</v>
      </c>
      <c r="Z1343" s="41">
        <v>0</v>
      </c>
      <c r="AA1343" s="36"/>
      <c r="AB1343" s="36" t="s">
        <v>24</v>
      </c>
      <c r="AC1343" s="52" t="s">
        <v>24</v>
      </c>
      <c r="AD1343" s="34"/>
      <c r="AE1343" s="35">
        <f>IFERROR(INDEX([1]Last6M_AvgSales_Ref!$B$2:$B$12659,MATCH(D1343,[1]Last6M_AvgSales_Ref!$A$2:$A$12659,0)),"")</f>
        <v>10.4166666666667</v>
      </c>
    </row>
    <row r="1344" spans="1:31" ht="14.25" customHeight="1" x14ac:dyDescent="0.3">
      <c r="A1344" s="52" t="s">
        <v>24</v>
      </c>
      <c r="B1344" s="50" t="s">
        <v>535</v>
      </c>
      <c r="C1344" s="50" t="s">
        <v>2751</v>
      </c>
      <c r="D1344" s="50">
        <v>1000004322</v>
      </c>
      <c r="E1344" s="50" t="s">
        <v>2752</v>
      </c>
      <c r="F1344" s="51">
        <v>45768</v>
      </c>
      <c r="G1344" s="22" t="str">
        <f t="shared" si="280"/>
        <v>Targeted Dealer</v>
      </c>
      <c r="H1344" s="22"/>
      <c r="I1344" s="23">
        <v>20</v>
      </c>
      <c r="J1344" s="23">
        <f t="shared" si="281"/>
        <v>20</v>
      </c>
      <c r="K1344" s="24">
        <v>0</v>
      </c>
      <c r="L1344" s="24">
        <f t="shared" si="282"/>
        <v>20</v>
      </c>
      <c r="M1344" s="24">
        <f t="shared" si="283"/>
        <v>0</v>
      </c>
      <c r="N1344" s="25">
        <v>0</v>
      </c>
      <c r="O1344" s="26" t="str">
        <f t="shared" si="284"/>
        <v>June</v>
      </c>
      <c r="P1344" s="25">
        <f t="shared" si="285"/>
        <v>0</v>
      </c>
      <c r="Q1344" s="27">
        <f t="shared" si="286"/>
        <v>0</v>
      </c>
      <c r="R1344" s="26" t="b">
        <f t="shared" si="287"/>
        <v>0</v>
      </c>
      <c r="S1344" s="28" t="b">
        <f t="shared" si="288"/>
        <v>0</v>
      </c>
      <c r="T1344" s="24">
        <v>20</v>
      </c>
      <c r="U1344" s="29" t="str">
        <f t="shared" si="289"/>
        <v>May</v>
      </c>
      <c r="V1344" s="24">
        <f t="shared" si="290"/>
        <v>20</v>
      </c>
      <c r="W1344" s="30">
        <f t="shared" si="291"/>
        <v>-20</v>
      </c>
      <c r="X1344" s="31" t="b">
        <f t="shared" si="292"/>
        <v>0</v>
      </c>
      <c r="Y1344" s="32" t="str">
        <f t="shared" si="293"/>
        <v>GROWTH</v>
      </c>
      <c r="Z1344" s="41">
        <v>0</v>
      </c>
      <c r="AA1344" s="36"/>
      <c r="AB1344" s="36" t="s">
        <v>24</v>
      </c>
      <c r="AC1344" s="52" t="s">
        <v>24</v>
      </c>
      <c r="AD1344" s="34"/>
      <c r="AE1344" s="35">
        <f>IFERROR(INDEX([1]Last6M_AvgSales_Ref!$B$2:$B$12659,MATCH(D1344,[1]Last6M_AvgSales_Ref!$A$2:$A$12659,0)),"")</f>
        <v>12.5</v>
      </c>
    </row>
    <row r="1345" spans="1:31" ht="14.25" customHeight="1" x14ac:dyDescent="0.3">
      <c r="A1345" s="52" t="s">
        <v>848</v>
      </c>
      <c r="B1345" s="50" t="s">
        <v>1329</v>
      </c>
      <c r="C1345" s="50" t="s">
        <v>2753</v>
      </c>
      <c r="D1345" s="50">
        <v>1000004351</v>
      </c>
      <c r="E1345" s="50" t="s">
        <v>2754</v>
      </c>
      <c r="F1345" s="51">
        <v>45786</v>
      </c>
      <c r="G1345" s="22" t="str">
        <f t="shared" si="280"/>
        <v>Targeted Dealer</v>
      </c>
      <c r="H1345" s="22"/>
      <c r="I1345" s="23">
        <v>50</v>
      </c>
      <c r="J1345" s="23">
        <f t="shared" si="281"/>
        <v>50</v>
      </c>
      <c r="K1345" s="24">
        <v>20</v>
      </c>
      <c r="L1345" s="24">
        <f t="shared" si="282"/>
        <v>30</v>
      </c>
      <c r="M1345" s="24">
        <f t="shared" si="283"/>
        <v>40</v>
      </c>
      <c r="N1345" s="25">
        <v>50</v>
      </c>
      <c r="O1345" s="26" t="str">
        <f t="shared" si="284"/>
        <v>June</v>
      </c>
      <c r="P1345" s="25">
        <f t="shared" si="285"/>
        <v>50</v>
      </c>
      <c r="Q1345" s="27">
        <f t="shared" si="286"/>
        <v>-30</v>
      </c>
      <c r="R1345" s="26" t="b">
        <f t="shared" si="287"/>
        <v>0</v>
      </c>
      <c r="S1345" s="28" t="str">
        <f t="shared" si="288"/>
        <v>GROWTH</v>
      </c>
      <c r="T1345" s="24">
        <v>0</v>
      </c>
      <c r="U1345" s="29" t="str">
        <f t="shared" si="289"/>
        <v>May</v>
      </c>
      <c r="V1345" s="24">
        <f t="shared" si="290"/>
        <v>0</v>
      </c>
      <c r="W1345" s="30">
        <f t="shared" si="291"/>
        <v>20</v>
      </c>
      <c r="X1345" s="31" t="b">
        <f t="shared" si="292"/>
        <v>0</v>
      </c>
      <c r="Y1345" s="32" t="b">
        <f t="shared" si="293"/>
        <v>0</v>
      </c>
      <c r="Z1345" s="41">
        <v>0</v>
      </c>
      <c r="AA1345" s="36"/>
      <c r="AB1345" s="36" t="s">
        <v>24</v>
      </c>
      <c r="AC1345" s="52" t="s">
        <v>848</v>
      </c>
      <c r="AD1345" s="34"/>
      <c r="AE1345" s="35">
        <f>IFERROR(INDEX([1]Last6M_AvgSales_Ref!$B$2:$B$12659,MATCH(D1345,[1]Last6M_AvgSales_Ref!$A$2:$A$12659,0)),"")</f>
        <v>36.6666666666667</v>
      </c>
    </row>
    <row r="1346" spans="1:31" ht="14.25" customHeight="1" x14ac:dyDescent="0.3">
      <c r="A1346" s="52" t="s">
        <v>1836</v>
      </c>
      <c r="B1346" s="50" t="s">
        <v>2166</v>
      </c>
      <c r="C1346" s="50" t="s">
        <v>2755</v>
      </c>
      <c r="D1346" s="50">
        <v>1000004357</v>
      </c>
      <c r="E1346" s="50" t="s">
        <v>2756</v>
      </c>
      <c r="F1346" s="51">
        <v>45792</v>
      </c>
      <c r="G1346" s="22" t="str">
        <f t="shared" si="280"/>
        <v>Targeted Dealer</v>
      </c>
      <c r="H1346" s="22"/>
      <c r="I1346" s="23">
        <v>750</v>
      </c>
      <c r="J1346" s="23">
        <f t="shared" si="281"/>
        <v>750</v>
      </c>
      <c r="K1346" s="24">
        <v>1052</v>
      </c>
      <c r="L1346" s="24">
        <f t="shared" si="282"/>
        <v>-302</v>
      </c>
      <c r="M1346" s="24">
        <f t="shared" si="283"/>
        <v>140.26666666666668</v>
      </c>
      <c r="N1346" s="25">
        <v>922.85</v>
      </c>
      <c r="O1346" s="26" t="str">
        <f t="shared" si="284"/>
        <v>June</v>
      </c>
      <c r="P1346" s="25">
        <f t="shared" si="285"/>
        <v>922.85</v>
      </c>
      <c r="Q1346" s="27">
        <f t="shared" si="286"/>
        <v>129.14999999999998</v>
      </c>
      <c r="R1346" s="26" t="b">
        <f t="shared" si="287"/>
        <v>0</v>
      </c>
      <c r="S1346" s="28" t="str">
        <f t="shared" si="288"/>
        <v>GROWTH</v>
      </c>
      <c r="T1346" s="24">
        <v>306.5</v>
      </c>
      <c r="U1346" s="29" t="str">
        <f t="shared" si="289"/>
        <v>May</v>
      </c>
      <c r="V1346" s="24">
        <f t="shared" si="290"/>
        <v>306.5</v>
      </c>
      <c r="W1346" s="30">
        <f t="shared" si="291"/>
        <v>745.5</v>
      </c>
      <c r="X1346" s="31" t="b">
        <f t="shared" si="292"/>
        <v>0</v>
      </c>
      <c r="Y1346" s="32" t="str">
        <f t="shared" si="293"/>
        <v>GROWTH</v>
      </c>
      <c r="Z1346" s="41">
        <v>0</v>
      </c>
      <c r="AA1346" s="36"/>
      <c r="AB1346" s="36" t="s">
        <v>24</v>
      </c>
      <c r="AC1346" s="52" t="s">
        <v>1836</v>
      </c>
      <c r="AD1346" s="34"/>
      <c r="AE1346" s="35">
        <f>IFERROR(INDEX([1]Last6M_AvgSales_Ref!$B$2:$B$12659,MATCH(D1346,[1]Last6M_AvgSales_Ref!$A$2:$A$12659,0)),"")</f>
        <v>687.625</v>
      </c>
    </row>
    <row r="1347" spans="1:31" ht="14.25" customHeight="1" x14ac:dyDescent="0.3">
      <c r="A1347" s="52" t="s">
        <v>24</v>
      </c>
      <c r="B1347" s="50" t="s">
        <v>741</v>
      </c>
      <c r="C1347" s="50" t="s">
        <v>2757</v>
      </c>
      <c r="D1347" s="50">
        <v>1000004359</v>
      </c>
      <c r="E1347" s="50" t="s">
        <v>2758</v>
      </c>
      <c r="F1347" s="51">
        <v>45794</v>
      </c>
      <c r="G1347" s="22" t="str">
        <f t="shared" ref="G1347:G1410" si="294">IF(I1347&gt;0,"Targeted Dealer","-")</f>
        <v>Targeted Dealer</v>
      </c>
      <c r="H1347" s="22"/>
      <c r="I1347" s="23">
        <v>450</v>
      </c>
      <c r="J1347" s="23">
        <f t="shared" ref="J1347:J1410" si="295">I1347/$J$1*($J$1-$E$1)</f>
        <v>450</v>
      </c>
      <c r="K1347" s="24">
        <v>480</v>
      </c>
      <c r="L1347" s="24">
        <f t="shared" ref="L1347:L1410" si="296">I1347-K1347</f>
        <v>-30</v>
      </c>
      <c r="M1347" s="24">
        <f t="shared" ref="M1347:M1410" si="297">IFERROR((K1347/J1347%),"-")</f>
        <v>106.66666666666667</v>
      </c>
      <c r="N1347" s="25">
        <v>271</v>
      </c>
      <c r="O1347" s="26" t="str">
        <f t="shared" ref="O1347:O1410" si="298">IF(F1347&lt;=$P$2,"June","")</f>
        <v>June</v>
      </c>
      <c r="P1347" s="25">
        <f t="shared" ref="P1347:P1410" si="299">N1347</f>
        <v>271</v>
      </c>
      <c r="Q1347" s="27">
        <f t="shared" ref="Q1347:Q1410" si="300">K1347-P1347</f>
        <v>209</v>
      </c>
      <c r="R1347" s="26" t="b">
        <f t="shared" ref="R1347:R1410" si="301">IFERROR(IF(O1347="May",(K1347/P1347-1))," ")</f>
        <v>0</v>
      </c>
      <c r="S1347" s="28" t="str">
        <f t="shared" ref="S1347:S1410" si="302">IF(N1347&gt;0,IF(O1347="","-",IF(R1347&lt;0%,"DEGROWTH","GROWTH")))</f>
        <v>GROWTH</v>
      </c>
      <c r="T1347" s="24">
        <v>393</v>
      </c>
      <c r="U1347" s="29" t="str">
        <f t="shared" ref="U1347:U1410" si="303">IF(F1347&lt;=$V$2,"May","")</f>
        <v>May</v>
      </c>
      <c r="V1347" s="24">
        <f t="shared" ref="V1347:V1410" si="304">T1347</f>
        <v>393</v>
      </c>
      <c r="W1347" s="30">
        <f t="shared" ref="W1347:W1410" si="305">K1347-V1347</f>
        <v>87</v>
      </c>
      <c r="X1347" s="31" t="b">
        <f t="shared" ref="X1347:X1410" si="306">IFERROR(IF(U1347="June",(K1347/V1347-1)),0)</f>
        <v>0</v>
      </c>
      <c r="Y1347" s="32" t="str">
        <f t="shared" ref="Y1347:Y1410" si="307">IF(T1347&gt;0,IF(U1347="","-",IF(X1347&lt;0%,"DEGROWTH","GROWTH")))</f>
        <v>GROWTH</v>
      </c>
      <c r="Z1347" s="41">
        <v>0</v>
      </c>
      <c r="AA1347" s="36"/>
      <c r="AB1347" s="36" t="s">
        <v>24</v>
      </c>
      <c r="AC1347" s="52" t="s">
        <v>24</v>
      </c>
      <c r="AD1347" s="34"/>
      <c r="AE1347" s="35">
        <f>IFERROR(INDEX([1]Last6M_AvgSales_Ref!$B$2:$B$12659,MATCH(D1347,[1]Last6M_AvgSales_Ref!$A$2:$A$12659,0)),"")</f>
        <v>574.83333333333303</v>
      </c>
    </row>
    <row r="1348" spans="1:31" ht="14.25" customHeight="1" x14ac:dyDescent="0.3">
      <c r="A1348" s="52" t="s">
        <v>1836</v>
      </c>
      <c r="B1348" s="50" t="s">
        <v>1932</v>
      </c>
      <c r="C1348" s="50" t="s">
        <v>2759</v>
      </c>
      <c r="D1348" s="50">
        <v>1000004356</v>
      </c>
      <c r="E1348" s="50" t="s">
        <v>2760</v>
      </c>
      <c r="F1348" s="51">
        <v>45792</v>
      </c>
      <c r="G1348" s="22" t="str">
        <f t="shared" si="294"/>
        <v>Targeted Dealer</v>
      </c>
      <c r="H1348" s="22"/>
      <c r="I1348" s="23">
        <v>100</v>
      </c>
      <c r="J1348" s="23">
        <f t="shared" si="295"/>
        <v>100</v>
      </c>
      <c r="K1348" s="24">
        <v>84</v>
      </c>
      <c r="L1348" s="24">
        <f t="shared" si="296"/>
        <v>16</v>
      </c>
      <c r="M1348" s="24">
        <f t="shared" si="297"/>
        <v>84</v>
      </c>
      <c r="N1348" s="25">
        <v>53</v>
      </c>
      <c r="O1348" s="26" t="str">
        <f t="shared" si="298"/>
        <v>June</v>
      </c>
      <c r="P1348" s="25">
        <f t="shared" si="299"/>
        <v>53</v>
      </c>
      <c r="Q1348" s="27">
        <f t="shared" si="300"/>
        <v>31</v>
      </c>
      <c r="R1348" s="26" t="b">
        <f t="shared" si="301"/>
        <v>0</v>
      </c>
      <c r="S1348" s="28" t="str">
        <f t="shared" si="302"/>
        <v>GROWTH</v>
      </c>
      <c r="T1348" s="24">
        <v>60</v>
      </c>
      <c r="U1348" s="29" t="str">
        <f t="shared" si="303"/>
        <v>May</v>
      </c>
      <c r="V1348" s="24">
        <f t="shared" si="304"/>
        <v>60</v>
      </c>
      <c r="W1348" s="30">
        <f t="shared" si="305"/>
        <v>24</v>
      </c>
      <c r="X1348" s="31" t="b">
        <f t="shared" si="306"/>
        <v>0</v>
      </c>
      <c r="Y1348" s="32" t="str">
        <f t="shared" si="307"/>
        <v>GROWTH</v>
      </c>
      <c r="Z1348" s="41">
        <v>0</v>
      </c>
      <c r="AA1348" s="36"/>
      <c r="AB1348" s="36" t="s">
        <v>24</v>
      </c>
      <c r="AC1348" s="52" t="s">
        <v>1836</v>
      </c>
      <c r="AD1348" s="34"/>
      <c r="AE1348" s="35">
        <f>IFERROR(INDEX([1]Last6M_AvgSales_Ref!$B$2:$B$12659,MATCH(D1348,[1]Last6M_AvgSales_Ref!$A$2:$A$12659,0)),"")</f>
        <v>73.9166666666667</v>
      </c>
    </row>
    <row r="1349" spans="1:31" ht="14.25" customHeight="1" x14ac:dyDescent="0.3">
      <c r="A1349" s="52" t="s">
        <v>2185</v>
      </c>
      <c r="B1349" s="50" t="s">
        <v>2186</v>
      </c>
      <c r="C1349" s="50" t="s">
        <v>2761</v>
      </c>
      <c r="D1349" s="50">
        <v>1000004363</v>
      </c>
      <c r="E1349" s="50" t="s">
        <v>2762</v>
      </c>
      <c r="F1349" s="51">
        <v>45793</v>
      </c>
      <c r="G1349" s="22" t="str">
        <f t="shared" si="294"/>
        <v>Targeted Dealer</v>
      </c>
      <c r="H1349" s="22"/>
      <c r="I1349" s="23">
        <v>350</v>
      </c>
      <c r="J1349" s="23">
        <f t="shared" si="295"/>
        <v>350</v>
      </c>
      <c r="K1349" s="24">
        <v>390</v>
      </c>
      <c r="L1349" s="24">
        <f t="shared" si="296"/>
        <v>-40</v>
      </c>
      <c r="M1349" s="24">
        <f t="shared" si="297"/>
        <v>111.42857142857143</v>
      </c>
      <c r="N1349" s="25">
        <v>350</v>
      </c>
      <c r="O1349" s="26" t="str">
        <f t="shared" si="298"/>
        <v>June</v>
      </c>
      <c r="P1349" s="25">
        <f t="shared" si="299"/>
        <v>350</v>
      </c>
      <c r="Q1349" s="27">
        <f t="shared" si="300"/>
        <v>40</v>
      </c>
      <c r="R1349" s="26" t="b">
        <f t="shared" si="301"/>
        <v>0</v>
      </c>
      <c r="S1349" s="28" t="str">
        <f t="shared" si="302"/>
        <v>GROWTH</v>
      </c>
      <c r="T1349" s="24">
        <v>205</v>
      </c>
      <c r="U1349" s="29" t="str">
        <f t="shared" si="303"/>
        <v>May</v>
      </c>
      <c r="V1349" s="24">
        <f t="shared" si="304"/>
        <v>205</v>
      </c>
      <c r="W1349" s="30">
        <f t="shared" si="305"/>
        <v>185</v>
      </c>
      <c r="X1349" s="31" t="b">
        <f t="shared" si="306"/>
        <v>0</v>
      </c>
      <c r="Y1349" s="32" t="str">
        <f t="shared" si="307"/>
        <v>GROWTH</v>
      </c>
      <c r="Z1349" s="41">
        <v>0</v>
      </c>
      <c r="AA1349" s="36"/>
      <c r="AB1349" s="36" t="s">
        <v>24</v>
      </c>
      <c r="AC1349" s="52" t="s">
        <v>2185</v>
      </c>
      <c r="AD1349" s="34"/>
      <c r="AE1349" s="35">
        <f>IFERROR(INDEX([1]Last6M_AvgSales_Ref!$B$2:$B$12659,MATCH(D1349,[1]Last6M_AvgSales_Ref!$A$2:$A$12659,0)),"")</f>
        <v>325</v>
      </c>
    </row>
    <row r="1350" spans="1:31" ht="14.25" customHeight="1" x14ac:dyDescent="0.3">
      <c r="A1350" s="52" t="s">
        <v>2185</v>
      </c>
      <c r="B1350" s="50" t="s">
        <v>2353</v>
      </c>
      <c r="C1350" s="50" t="s">
        <v>2763</v>
      </c>
      <c r="D1350" s="50">
        <v>1000004355</v>
      </c>
      <c r="E1350" s="50" t="s">
        <v>2764</v>
      </c>
      <c r="F1350" s="51">
        <v>45792</v>
      </c>
      <c r="G1350" s="22" t="str">
        <f t="shared" si="294"/>
        <v>Targeted Dealer</v>
      </c>
      <c r="H1350" s="22"/>
      <c r="I1350" s="23">
        <v>45</v>
      </c>
      <c r="J1350" s="23">
        <f t="shared" si="295"/>
        <v>45</v>
      </c>
      <c r="K1350" s="24">
        <v>50</v>
      </c>
      <c r="L1350" s="24">
        <f t="shared" si="296"/>
        <v>-5</v>
      </c>
      <c r="M1350" s="24">
        <f t="shared" si="297"/>
        <v>111.11111111111111</v>
      </c>
      <c r="N1350" s="25">
        <v>65</v>
      </c>
      <c r="O1350" s="26" t="str">
        <f t="shared" si="298"/>
        <v>June</v>
      </c>
      <c r="P1350" s="25">
        <f t="shared" si="299"/>
        <v>65</v>
      </c>
      <c r="Q1350" s="27">
        <f t="shared" si="300"/>
        <v>-15</v>
      </c>
      <c r="R1350" s="26" t="b">
        <f t="shared" si="301"/>
        <v>0</v>
      </c>
      <c r="S1350" s="28" t="str">
        <f t="shared" si="302"/>
        <v>GROWTH</v>
      </c>
      <c r="T1350" s="24">
        <v>55</v>
      </c>
      <c r="U1350" s="29" t="str">
        <f t="shared" si="303"/>
        <v>May</v>
      </c>
      <c r="V1350" s="24">
        <f t="shared" si="304"/>
        <v>55</v>
      </c>
      <c r="W1350" s="30">
        <f t="shared" si="305"/>
        <v>-5</v>
      </c>
      <c r="X1350" s="31" t="b">
        <f t="shared" si="306"/>
        <v>0</v>
      </c>
      <c r="Y1350" s="32" t="str">
        <f t="shared" si="307"/>
        <v>GROWTH</v>
      </c>
      <c r="Z1350" s="41">
        <v>0</v>
      </c>
      <c r="AA1350" s="36"/>
      <c r="AB1350" s="36" t="s">
        <v>24</v>
      </c>
      <c r="AC1350" s="52" t="s">
        <v>2185</v>
      </c>
      <c r="AD1350" s="34"/>
      <c r="AE1350" s="35">
        <f>IFERROR(INDEX([1]Last6M_AvgSales_Ref!$B$2:$B$12659,MATCH(D1350,[1]Last6M_AvgSales_Ref!$A$2:$A$12659,0)),"")</f>
        <v>48.3333333333333</v>
      </c>
    </row>
    <row r="1351" spans="1:31" ht="14.25" customHeight="1" x14ac:dyDescent="0.3">
      <c r="A1351" s="52" t="s">
        <v>2185</v>
      </c>
      <c r="B1351" s="50" t="s">
        <v>2353</v>
      </c>
      <c r="C1351" s="50" t="s">
        <v>2765</v>
      </c>
      <c r="D1351" s="50">
        <v>1000004335</v>
      </c>
      <c r="E1351" s="50" t="s">
        <v>2766</v>
      </c>
      <c r="F1351" s="51">
        <v>45775</v>
      </c>
      <c r="G1351" s="22" t="str">
        <f t="shared" si="294"/>
        <v>Targeted Dealer</v>
      </c>
      <c r="H1351" s="22"/>
      <c r="I1351" s="23">
        <v>50</v>
      </c>
      <c r="J1351" s="23">
        <f t="shared" si="295"/>
        <v>50</v>
      </c>
      <c r="K1351" s="24">
        <v>0</v>
      </c>
      <c r="L1351" s="24">
        <f t="shared" si="296"/>
        <v>50</v>
      </c>
      <c r="M1351" s="24">
        <f t="shared" si="297"/>
        <v>0</v>
      </c>
      <c r="N1351" s="25">
        <v>25</v>
      </c>
      <c r="O1351" s="26" t="str">
        <f t="shared" si="298"/>
        <v>June</v>
      </c>
      <c r="P1351" s="25">
        <f t="shared" si="299"/>
        <v>25</v>
      </c>
      <c r="Q1351" s="27">
        <f t="shared" si="300"/>
        <v>-25</v>
      </c>
      <c r="R1351" s="26" t="b">
        <f t="shared" si="301"/>
        <v>0</v>
      </c>
      <c r="S1351" s="28" t="str">
        <f t="shared" si="302"/>
        <v>GROWTH</v>
      </c>
      <c r="T1351" s="24">
        <v>25</v>
      </c>
      <c r="U1351" s="29" t="str">
        <f t="shared" si="303"/>
        <v>May</v>
      </c>
      <c r="V1351" s="24">
        <f t="shared" si="304"/>
        <v>25</v>
      </c>
      <c r="W1351" s="30">
        <f t="shared" si="305"/>
        <v>-25</v>
      </c>
      <c r="X1351" s="31" t="b">
        <f t="shared" si="306"/>
        <v>0</v>
      </c>
      <c r="Y1351" s="32" t="str">
        <f t="shared" si="307"/>
        <v>GROWTH</v>
      </c>
      <c r="Z1351" s="41">
        <v>0</v>
      </c>
      <c r="AA1351" s="36"/>
      <c r="AB1351" s="36" t="s">
        <v>24</v>
      </c>
      <c r="AC1351" s="52" t="s">
        <v>2185</v>
      </c>
      <c r="AD1351" s="34"/>
      <c r="AE1351" s="35">
        <f>IFERROR(INDEX([1]Last6M_AvgSales_Ref!$B$2:$B$12659,MATCH(D1351,[1]Last6M_AvgSales_Ref!$A$2:$A$12659,0)),"")</f>
        <v>39.5833333333333</v>
      </c>
    </row>
    <row r="1352" spans="1:31" ht="14.25" customHeight="1" x14ac:dyDescent="0.3">
      <c r="A1352" s="52" t="s">
        <v>2027</v>
      </c>
      <c r="B1352" s="50" t="s">
        <v>2028</v>
      </c>
      <c r="C1352" s="50" t="s">
        <v>2767</v>
      </c>
      <c r="D1352" s="50">
        <v>1000004358</v>
      </c>
      <c r="E1352" s="50" t="s">
        <v>2768</v>
      </c>
      <c r="F1352" s="51">
        <v>45794</v>
      </c>
      <c r="G1352" s="22" t="str">
        <f t="shared" si="294"/>
        <v>Targeted Dealer</v>
      </c>
      <c r="H1352" s="22"/>
      <c r="I1352" s="23">
        <v>40</v>
      </c>
      <c r="J1352" s="23">
        <f t="shared" si="295"/>
        <v>40</v>
      </c>
      <c r="K1352" s="24">
        <v>30.5</v>
      </c>
      <c r="L1352" s="24">
        <f t="shared" si="296"/>
        <v>9.5</v>
      </c>
      <c r="M1352" s="24">
        <f t="shared" si="297"/>
        <v>76.25</v>
      </c>
      <c r="N1352" s="25">
        <v>53</v>
      </c>
      <c r="O1352" s="26" t="str">
        <f t="shared" si="298"/>
        <v>June</v>
      </c>
      <c r="P1352" s="25">
        <f t="shared" si="299"/>
        <v>53</v>
      </c>
      <c r="Q1352" s="27">
        <f t="shared" si="300"/>
        <v>-22.5</v>
      </c>
      <c r="R1352" s="26" t="b">
        <f t="shared" si="301"/>
        <v>0</v>
      </c>
      <c r="S1352" s="28" t="str">
        <f t="shared" si="302"/>
        <v>GROWTH</v>
      </c>
      <c r="T1352" s="24">
        <v>30</v>
      </c>
      <c r="U1352" s="29" t="str">
        <f t="shared" si="303"/>
        <v>May</v>
      </c>
      <c r="V1352" s="24">
        <f t="shared" si="304"/>
        <v>30</v>
      </c>
      <c r="W1352" s="30">
        <f t="shared" si="305"/>
        <v>0.5</v>
      </c>
      <c r="X1352" s="31" t="b">
        <f t="shared" si="306"/>
        <v>0</v>
      </c>
      <c r="Y1352" s="32" t="str">
        <f t="shared" si="307"/>
        <v>GROWTH</v>
      </c>
      <c r="Z1352" s="41">
        <v>0</v>
      </c>
      <c r="AA1352" s="36"/>
      <c r="AB1352" s="36" t="s">
        <v>24</v>
      </c>
      <c r="AC1352" s="52" t="s">
        <v>2027</v>
      </c>
      <c r="AD1352" s="34"/>
      <c r="AE1352" s="35">
        <f>IFERROR(INDEX([1]Last6M_AvgSales_Ref!$B$2:$B$12659,MATCH(D1352,[1]Last6M_AvgSales_Ref!$A$2:$A$12659,0)),"")</f>
        <v>31.6666666666667</v>
      </c>
    </row>
    <row r="1353" spans="1:31" ht="14.25" customHeight="1" x14ac:dyDescent="0.3">
      <c r="A1353" s="52" t="s">
        <v>848</v>
      </c>
      <c r="B1353" s="50" t="s">
        <v>1329</v>
      </c>
      <c r="C1353" s="50" t="s">
        <v>2769</v>
      </c>
      <c r="D1353" s="50">
        <v>1000004369</v>
      </c>
      <c r="E1353" s="50" t="s">
        <v>2770</v>
      </c>
      <c r="F1353" s="51">
        <v>45799</v>
      </c>
      <c r="G1353" s="22" t="str">
        <f t="shared" si="294"/>
        <v>Targeted Dealer</v>
      </c>
      <c r="H1353" s="22"/>
      <c r="I1353" s="23">
        <v>200</v>
      </c>
      <c r="J1353" s="23">
        <f t="shared" si="295"/>
        <v>200</v>
      </c>
      <c r="K1353" s="24">
        <v>72.900000000000006</v>
      </c>
      <c r="L1353" s="24">
        <f t="shared" si="296"/>
        <v>127.1</v>
      </c>
      <c r="M1353" s="24">
        <f t="shared" si="297"/>
        <v>36.450000000000003</v>
      </c>
      <c r="N1353" s="25">
        <v>102</v>
      </c>
      <c r="O1353" s="26" t="str">
        <f t="shared" si="298"/>
        <v>June</v>
      </c>
      <c r="P1353" s="25">
        <f t="shared" si="299"/>
        <v>102</v>
      </c>
      <c r="Q1353" s="27">
        <f t="shared" si="300"/>
        <v>-29.099999999999994</v>
      </c>
      <c r="R1353" s="26" t="b">
        <f t="shared" si="301"/>
        <v>0</v>
      </c>
      <c r="S1353" s="28" t="str">
        <f t="shared" si="302"/>
        <v>GROWTH</v>
      </c>
      <c r="T1353" s="24">
        <v>80</v>
      </c>
      <c r="U1353" s="29" t="str">
        <f t="shared" si="303"/>
        <v>May</v>
      </c>
      <c r="V1353" s="24">
        <f t="shared" si="304"/>
        <v>80</v>
      </c>
      <c r="W1353" s="30">
        <f t="shared" si="305"/>
        <v>-7.0999999999999943</v>
      </c>
      <c r="X1353" s="31" t="b">
        <f t="shared" si="306"/>
        <v>0</v>
      </c>
      <c r="Y1353" s="32" t="str">
        <f t="shared" si="307"/>
        <v>GROWTH</v>
      </c>
      <c r="Z1353" s="41">
        <v>0</v>
      </c>
      <c r="AA1353" s="36"/>
      <c r="AB1353" s="36" t="s">
        <v>24</v>
      </c>
      <c r="AC1353" s="52" t="s">
        <v>848</v>
      </c>
      <c r="AD1353" s="34"/>
      <c r="AE1353" s="35">
        <f>IFERROR(INDEX([1]Last6M_AvgSales_Ref!$B$2:$B$12659,MATCH(D1353,[1]Last6M_AvgSales_Ref!$A$2:$A$12659,0)),"")</f>
        <v>99.308333333333294</v>
      </c>
    </row>
    <row r="1354" spans="1:31" ht="14.25" customHeight="1" x14ac:dyDescent="0.3">
      <c r="A1354" s="52" t="s">
        <v>848</v>
      </c>
      <c r="B1354" s="50" t="s">
        <v>1702</v>
      </c>
      <c r="C1354" s="50" t="s">
        <v>2771</v>
      </c>
      <c r="D1354" s="50">
        <v>1000004367</v>
      </c>
      <c r="E1354" s="50" t="s">
        <v>2772</v>
      </c>
      <c r="F1354" s="51">
        <v>45799</v>
      </c>
      <c r="G1354" s="22" t="str">
        <f t="shared" si="294"/>
        <v>Targeted Dealer</v>
      </c>
      <c r="H1354" s="22"/>
      <c r="I1354" s="23">
        <v>1100</v>
      </c>
      <c r="J1354" s="23">
        <f t="shared" si="295"/>
        <v>1100</v>
      </c>
      <c r="K1354" s="24">
        <v>1078.4000000000001</v>
      </c>
      <c r="L1354" s="24">
        <f t="shared" si="296"/>
        <v>21.599999999999909</v>
      </c>
      <c r="M1354" s="24">
        <f t="shared" si="297"/>
        <v>98.036363636363646</v>
      </c>
      <c r="N1354" s="25">
        <v>689</v>
      </c>
      <c r="O1354" s="26" t="str">
        <f t="shared" si="298"/>
        <v>June</v>
      </c>
      <c r="P1354" s="25">
        <f t="shared" si="299"/>
        <v>689</v>
      </c>
      <c r="Q1354" s="27">
        <f t="shared" si="300"/>
        <v>389.40000000000009</v>
      </c>
      <c r="R1354" s="26" t="b">
        <f t="shared" si="301"/>
        <v>0</v>
      </c>
      <c r="S1354" s="28" t="str">
        <f t="shared" si="302"/>
        <v>GROWTH</v>
      </c>
      <c r="T1354" s="24">
        <v>204.55</v>
      </c>
      <c r="U1354" s="29" t="str">
        <f t="shared" si="303"/>
        <v>May</v>
      </c>
      <c r="V1354" s="24">
        <f t="shared" si="304"/>
        <v>204.55</v>
      </c>
      <c r="W1354" s="30">
        <f t="shared" si="305"/>
        <v>873.85000000000014</v>
      </c>
      <c r="X1354" s="31" t="b">
        <f t="shared" si="306"/>
        <v>0</v>
      </c>
      <c r="Y1354" s="32" t="str">
        <f t="shared" si="307"/>
        <v>GROWTH</v>
      </c>
      <c r="Z1354" s="41">
        <v>0</v>
      </c>
      <c r="AA1354" s="36"/>
      <c r="AB1354" s="36" t="s">
        <v>24</v>
      </c>
      <c r="AC1354" s="52" t="s">
        <v>848</v>
      </c>
      <c r="AD1354" s="34"/>
      <c r="AE1354" s="35">
        <f>IFERROR(INDEX([1]Last6M_AvgSales_Ref!$B$2:$B$12659,MATCH(D1354,[1]Last6M_AvgSales_Ref!$A$2:$A$12659,0)),"")</f>
        <v>675.4</v>
      </c>
    </row>
    <row r="1355" spans="1:31" ht="14.25" customHeight="1" x14ac:dyDescent="0.3">
      <c r="A1355" s="52" t="s">
        <v>848</v>
      </c>
      <c r="B1355" s="50" t="s">
        <v>1098</v>
      </c>
      <c r="C1355" s="50" t="s">
        <v>2773</v>
      </c>
      <c r="D1355" s="50">
        <v>1000004370</v>
      </c>
      <c r="E1355" s="50" t="s">
        <v>2774</v>
      </c>
      <c r="F1355" s="51">
        <v>45803</v>
      </c>
      <c r="G1355" s="22" t="str">
        <f t="shared" si="294"/>
        <v>Targeted Dealer</v>
      </c>
      <c r="H1355" s="22"/>
      <c r="I1355" s="23">
        <v>200</v>
      </c>
      <c r="J1355" s="23">
        <f t="shared" si="295"/>
        <v>200</v>
      </c>
      <c r="K1355" s="24">
        <v>75</v>
      </c>
      <c r="L1355" s="24">
        <f t="shared" si="296"/>
        <v>125</v>
      </c>
      <c r="M1355" s="24">
        <f t="shared" si="297"/>
        <v>37.5</v>
      </c>
      <c r="N1355" s="25">
        <v>75</v>
      </c>
      <c r="O1355" s="26" t="str">
        <f t="shared" si="298"/>
        <v>June</v>
      </c>
      <c r="P1355" s="25">
        <f t="shared" si="299"/>
        <v>75</v>
      </c>
      <c r="Q1355" s="27">
        <f t="shared" si="300"/>
        <v>0</v>
      </c>
      <c r="R1355" s="26" t="b">
        <f t="shared" si="301"/>
        <v>0</v>
      </c>
      <c r="S1355" s="28" t="str">
        <f t="shared" si="302"/>
        <v>GROWTH</v>
      </c>
      <c r="T1355" s="24">
        <v>75</v>
      </c>
      <c r="U1355" s="29" t="str">
        <f t="shared" si="303"/>
        <v>May</v>
      </c>
      <c r="V1355" s="24">
        <f t="shared" si="304"/>
        <v>75</v>
      </c>
      <c r="W1355" s="30">
        <f t="shared" si="305"/>
        <v>0</v>
      </c>
      <c r="X1355" s="31" t="b">
        <f t="shared" si="306"/>
        <v>0</v>
      </c>
      <c r="Y1355" s="32" t="str">
        <f t="shared" si="307"/>
        <v>GROWTH</v>
      </c>
      <c r="Z1355" s="41">
        <v>0</v>
      </c>
      <c r="AA1355" s="36"/>
      <c r="AB1355" s="36" t="s">
        <v>24</v>
      </c>
      <c r="AC1355" s="52" t="s">
        <v>848</v>
      </c>
      <c r="AD1355" s="34"/>
      <c r="AE1355" s="35">
        <f>IFERROR(INDEX([1]Last6M_AvgSales_Ref!$B$2:$B$12659,MATCH(D1355,[1]Last6M_AvgSales_Ref!$A$2:$A$12659,0)),"")</f>
        <v>87.5</v>
      </c>
    </row>
    <row r="1356" spans="1:31" ht="14.25" customHeight="1" x14ac:dyDescent="0.3">
      <c r="A1356" s="52" t="s">
        <v>24</v>
      </c>
      <c r="B1356" s="50" t="s">
        <v>801</v>
      </c>
      <c r="C1356" s="50" t="s">
        <v>2775</v>
      </c>
      <c r="D1356" s="50">
        <v>1000004283</v>
      </c>
      <c r="E1356" s="50" t="s">
        <v>2776</v>
      </c>
      <c r="F1356" s="51">
        <v>45735</v>
      </c>
      <c r="G1356" s="22" t="str">
        <f t="shared" si="294"/>
        <v>Targeted Dealer</v>
      </c>
      <c r="H1356" s="22"/>
      <c r="I1356" s="23">
        <v>70</v>
      </c>
      <c r="J1356" s="23">
        <f t="shared" si="295"/>
        <v>70</v>
      </c>
      <c r="K1356" s="24">
        <v>35</v>
      </c>
      <c r="L1356" s="24">
        <f t="shared" si="296"/>
        <v>35</v>
      </c>
      <c r="M1356" s="24">
        <f t="shared" si="297"/>
        <v>50</v>
      </c>
      <c r="N1356" s="25">
        <v>35</v>
      </c>
      <c r="O1356" s="26" t="str">
        <f t="shared" si="298"/>
        <v>June</v>
      </c>
      <c r="P1356" s="25">
        <f t="shared" si="299"/>
        <v>35</v>
      </c>
      <c r="Q1356" s="27">
        <f t="shared" si="300"/>
        <v>0</v>
      </c>
      <c r="R1356" s="26" t="b">
        <f t="shared" si="301"/>
        <v>0</v>
      </c>
      <c r="S1356" s="28" t="str">
        <f t="shared" si="302"/>
        <v>GROWTH</v>
      </c>
      <c r="T1356" s="24">
        <v>70</v>
      </c>
      <c r="U1356" s="29" t="str">
        <f t="shared" si="303"/>
        <v>May</v>
      </c>
      <c r="V1356" s="24">
        <f t="shared" si="304"/>
        <v>70</v>
      </c>
      <c r="W1356" s="30">
        <f t="shared" si="305"/>
        <v>-35</v>
      </c>
      <c r="X1356" s="31" t="b">
        <f t="shared" si="306"/>
        <v>0</v>
      </c>
      <c r="Y1356" s="32" t="str">
        <f t="shared" si="307"/>
        <v>GROWTH</v>
      </c>
      <c r="Z1356" s="41">
        <v>0</v>
      </c>
      <c r="AA1356" s="36"/>
      <c r="AB1356" s="36" t="s">
        <v>24</v>
      </c>
      <c r="AC1356" s="52" t="s">
        <v>24</v>
      </c>
      <c r="AD1356" s="34"/>
      <c r="AE1356" s="35">
        <f>IFERROR(INDEX([1]Last6M_AvgSales_Ref!$B$2:$B$12659,MATCH(D1356,[1]Last6M_AvgSales_Ref!$A$2:$A$12659,0)),"")</f>
        <v>17.5</v>
      </c>
    </row>
    <row r="1357" spans="1:31" ht="14.25" customHeight="1" x14ac:dyDescent="0.3">
      <c r="A1357" s="52" t="s">
        <v>24</v>
      </c>
      <c r="B1357" s="50" t="s">
        <v>264</v>
      </c>
      <c r="C1357" s="50" t="s">
        <v>2777</v>
      </c>
      <c r="D1357" s="50">
        <v>1000002739</v>
      </c>
      <c r="E1357" s="50" t="s">
        <v>2778</v>
      </c>
      <c r="F1357" s="51">
        <v>44739</v>
      </c>
      <c r="G1357" s="22" t="str">
        <f t="shared" si="294"/>
        <v>Targeted Dealer</v>
      </c>
      <c r="H1357" s="22"/>
      <c r="I1357" s="23">
        <v>115</v>
      </c>
      <c r="J1357" s="23">
        <f t="shared" si="295"/>
        <v>115</v>
      </c>
      <c r="K1357" s="24">
        <v>45</v>
      </c>
      <c r="L1357" s="24">
        <f t="shared" si="296"/>
        <v>70</v>
      </c>
      <c r="M1357" s="24">
        <f t="shared" si="297"/>
        <v>39.130434782608695</v>
      </c>
      <c r="N1357" s="25">
        <v>50</v>
      </c>
      <c r="O1357" s="26" t="str">
        <f t="shared" si="298"/>
        <v>June</v>
      </c>
      <c r="P1357" s="25">
        <f t="shared" si="299"/>
        <v>50</v>
      </c>
      <c r="Q1357" s="27">
        <f t="shared" si="300"/>
        <v>-5</v>
      </c>
      <c r="R1357" s="26" t="b">
        <f t="shared" si="301"/>
        <v>0</v>
      </c>
      <c r="S1357" s="28" t="str">
        <f t="shared" si="302"/>
        <v>GROWTH</v>
      </c>
      <c r="T1357" s="24">
        <v>104</v>
      </c>
      <c r="U1357" s="29" t="str">
        <f t="shared" si="303"/>
        <v>May</v>
      </c>
      <c r="V1357" s="24">
        <f t="shared" si="304"/>
        <v>104</v>
      </c>
      <c r="W1357" s="30">
        <f t="shared" si="305"/>
        <v>-59</v>
      </c>
      <c r="X1357" s="31" t="b">
        <f t="shared" si="306"/>
        <v>0</v>
      </c>
      <c r="Y1357" s="32" t="str">
        <f t="shared" si="307"/>
        <v>GROWTH</v>
      </c>
      <c r="Z1357" s="41">
        <v>0</v>
      </c>
      <c r="AA1357" s="36"/>
      <c r="AB1357" s="36" t="s">
        <v>24</v>
      </c>
      <c r="AC1357" s="52" t="s">
        <v>24</v>
      </c>
      <c r="AD1357" s="34"/>
      <c r="AE1357" s="35">
        <f>IFERROR(INDEX([1]Last6M_AvgSales_Ref!$B$2:$B$12659,MATCH(D1357,[1]Last6M_AvgSales_Ref!$A$2:$A$12659,0)),"")</f>
        <v>53.3333333333333</v>
      </c>
    </row>
    <row r="1358" spans="1:31" ht="14.25" customHeight="1" x14ac:dyDescent="0.3">
      <c r="A1358" s="52" t="s">
        <v>1836</v>
      </c>
      <c r="B1358" s="50" t="s">
        <v>1837</v>
      </c>
      <c r="C1358" s="50" t="s">
        <v>2779</v>
      </c>
      <c r="D1358" s="50">
        <v>1000004347</v>
      </c>
      <c r="E1358" s="50" t="s">
        <v>2780</v>
      </c>
      <c r="F1358" s="51">
        <v>45782</v>
      </c>
      <c r="G1358" s="22" t="str">
        <f t="shared" si="294"/>
        <v>Targeted Dealer</v>
      </c>
      <c r="H1358" s="22"/>
      <c r="I1358" s="23">
        <v>45</v>
      </c>
      <c r="J1358" s="23">
        <f t="shared" si="295"/>
        <v>45</v>
      </c>
      <c r="K1358" s="24">
        <v>121</v>
      </c>
      <c r="L1358" s="24">
        <f t="shared" si="296"/>
        <v>-76</v>
      </c>
      <c r="M1358" s="24">
        <f t="shared" si="297"/>
        <v>268.88888888888886</v>
      </c>
      <c r="N1358" s="25">
        <v>61</v>
      </c>
      <c r="O1358" s="26" t="str">
        <f t="shared" si="298"/>
        <v>June</v>
      </c>
      <c r="P1358" s="25">
        <f t="shared" si="299"/>
        <v>61</v>
      </c>
      <c r="Q1358" s="27">
        <f t="shared" si="300"/>
        <v>60</v>
      </c>
      <c r="R1358" s="26" t="b">
        <f t="shared" si="301"/>
        <v>0</v>
      </c>
      <c r="S1358" s="28" t="str">
        <f t="shared" si="302"/>
        <v>GROWTH</v>
      </c>
      <c r="T1358" s="24">
        <v>42</v>
      </c>
      <c r="U1358" s="29" t="str">
        <f t="shared" si="303"/>
        <v>May</v>
      </c>
      <c r="V1358" s="24">
        <f t="shared" si="304"/>
        <v>42</v>
      </c>
      <c r="W1358" s="30">
        <f t="shared" si="305"/>
        <v>79</v>
      </c>
      <c r="X1358" s="31" t="b">
        <f t="shared" si="306"/>
        <v>0</v>
      </c>
      <c r="Y1358" s="32" t="str">
        <f t="shared" si="307"/>
        <v>GROWTH</v>
      </c>
      <c r="Z1358" s="41">
        <v>0</v>
      </c>
      <c r="AA1358" s="36"/>
      <c r="AB1358" s="36" t="s">
        <v>24</v>
      </c>
      <c r="AC1358" s="52" t="s">
        <v>1836</v>
      </c>
      <c r="AD1358" s="34"/>
      <c r="AE1358" s="35">
        <f>IFERROR(INDEX([1]Last6M_AvgSales_Ref!$B$2:$B$12659,MATCH(D1358,[1]Last6M_AvgSales_Ref!$A$2:$A$12659,0)),"")</f>
        <v>163.833333333333</v>
      </c>
    </row>
    <row r="1359" spans="1:31" ht="14.25" customHeight="1" x14ac:dyDescent="0.3">
      <c r="A1359" s="52" t="s">
        <v>24</v>
      </c>
      <c r="B1359" s="50" t="s">
        <v>698</v>
      </c>
      <c r="C1359" s="50" t="s">
        <v>2781</v>
      </c>
      <c r="D1359" s="50">
        <v>1000004361</v>
      </c>
      <c r="E1359" s="50" t="s">
        <v>2782</v>
      </c>
      <c r="F1359" s="51">
        <v>45804</v>
      </c>
      <c r="G1359" s="22" t="str">
        <f t="shared" si="294"/>
        <v>Targeted Dealer</v>
      </c>
      <c r="H1359" s="22"/>
      <c r="I1359" s="23">
        <v>150</v>
      </c>
      <c r="J1359" s="23">
        <f t="shared" si="295"/>
        <v>150</v>
      </c>
      <c r="K1359" s="24">
        <v>215</v>
      </c>
      <c r="L1359" s="24">
        <f t="shared" si="296"/>
        <v>-65</v>
      </c>
      <c r="M1359" s="24">
        <f t="shared" si="297"/>
        <v>143.33333333333334</v>
      </c>
      <c r="N1359" s="25">
        <v>202</v>
      </c>
      <c r="O1359" s="26" t="str">
        <f t="shared" si="298"/>
        <v>June</v>
      </c>
      <c r="P1359" s="25">
        <f t="shared" si="299"/>
        <v>202</v>
      </c>
      <c r="Q1359" s="27">
        <f t="shared" si="300"/>
        <v>13</v>
      </c>
      <c r="R1359" s="26" t="b">
        <f t="shared" si="301"/>
        <v>0</v>
      </c>
      <c r="S1359" s="28" t="str">
        <f t="shared" si="302"/>
        <v>GROWTH</v>
      </c>
      <c r="T1359" s="24">
        <v>35</v>
      </c>
      <c r="U1359" s="29" t="str">
        <f t="shared" si="303"/>
        <v>May</v>
      </c>
      <c r="V1359" s="24">
        <f t="shared" si="304"/>
        <v>35</v>
      </c>
      <c r="W1359" s="30">
        <f t="shared" si="305"/>
        <v>180</v>
      </c>
      <c r="X1359" s="31" t="b">
        <f t="shared" si="306"/>
        <v>0</v>
      </c>
      <c r="Y1359" s="32" t="str">
        <f t="shared" si="307"/>
        <v>GROWTH</v>
      </c>
      <c r="Z1359" s="41">
        <v>0</v>
      </c>
      <c r="AA1359" s="36"/>
      <c r="AB1359" s="36" t="s">
        <v>24</v>
      </c>
      <c r="AC1359" s="52" t="s">
        <v>24</v>
      </c>
      <c r="AD1359" s="34"/>
      <c r="AE1359" s="35">
        <f>IFERROR(INDEX([1]Last6M_AvgSales_Ref!$B$2:$B$12659,MATCH(D1359,[1]Last6M_AvgSales_Ref!$A$2:$A$12659,0)),"")</f>
        <v>206</v>
      </c>
    </row>
    <row r="1360" spans="1:31" ht="14.25" customHeight="1" x14ac:dyDescent="0.3">
      <c r="A1360" s="52" t="s">
        <v>24</v>
      </c>
      <c r="B1360" s="50" t="s">
        <v>698</v>
      </c>
      <c r="C1360" s="50" t="s">
        <v>2783</v>
      </c>
      <c r="D1360" s="50">
        <v>1000004365</v>
      </c>
      <c r="E1360" s="50" t="s">
        <v>2784</v>
      </c>
      <c r="F1360" s="51">
        <v>45796</v>
      </c>
      <c r="G1360" s="22" t="str">
        <f t="shared" si="294"/>
        <v>Targeted Dealer</v>
      </c>
      <c r="H1360" s="22"/>
      <c r="I1360" s="23">
        <v>50</v>
      </c>
      <c r="J1360" s="23">
        <f t="shared" si="295"/>
        <v>50</v>
      </c>
      <c r="K1360" s="24">
        <v>127</v>
      </c>
      <c r="L1360" s="24">
        <f t="shared" si="296"/>
        <v>-77</v>
      </c>
      <c r="M1360" s="24">
        <f t="shared" si="297"/>
        <v>254</v>
      </c>
      <c r="N1360" s="25">
        <v>76</v>
      </c>
      <c r="O1360" s="26" t="str">
        <f t="shared" si="298"/>
        <v>June</v>
      </c>
      <c r="P1360" s="25">
        <f t="shared" si="299"/>
        <v>76</v>
      </c>
      <c r="Q1360" s="27">
        <f t="shared" si="300"/>
        <v>51</v>
      </c>
      <c r="R1360" s="26" t="b">
        <f t="shared" si="301"/>
        <v>0</v>
      </c>
      <c r="S1360" s="28" t="str">
        <f t="shared" si="302"/>
        <v>GROWTH</v>
      </c>
      <c r="T1360" s="24">
        <v>23</v>
      </c>
      <c r="U1360" s="29" t="str">
        <f t="shared" si="303"/>
        <v>May</v>
      </c>
      <c r="V1360" s="24">
        <f t="shared" si="304"/>
        <v>23</v>
      </c>
      <c r="W1360" s="30">
        <f t="shared" si="305"/>
        <v>104</v>
      </c>
      <c r="X1360" s="31" t="b">
        <f t="shared" si="306"/>
        <v>0</v>
      </c>
      <c r="Y1360" s="32" t="str">
        <f t="shared" si="307"/>
        <v>GROWTH</v>
      </c>
      <c r="Z1360" s="41">
        <v>0</v>
      </c>
      <c r="AA1360" s="36"/>
      <c r="AB1360" s="36" t="s">
        <v>24</v>
      </c>
      <c r="AC1360" s="52" t="s">
        <v>24</v>
      </c>
      <c r="AD1360" s="34"/>
      <c r="AE1360" s="35">
        <f>IFERROR(INDEX([1]Last6M_AvgSales_Ref!$B$2:$B$12659,MATCH(D1360,[1]Last6M_AvgSales_Ref!$A$2:$A$12659,0)),"")</f>
        <v>155</v>
      </c>
    </row>
    <row r="1361" spans="1:31" ht="14.25" customHeight="1" x14ac:dyDescent="0.3">
      <c r="A1361" s="52" t="s">
        <v>848</v>
      </c>
      <c r="B1361" s="50" t="s">
        <v>1558</v>
      </c>
      <c r="C1361" s="50" t="s">
        <v>2785</v>
      </c>
      <c r="D1361" s="50">
        <v>1000004368</v>
      </c>
      <c r="E1361" s="50" t="s">
        <v>2786</v>
      </c>
      <c r="F1361" s="51">
        <v>45800</v>
      </c>
      <c r="G1361" s="22" t="str">
        <f t="shared" si="294"/>
        <v>Targeted Dealer</v>
      </c>
      <c r="H1361" s="22"/>
      <c r="I1361" s="23">
        <v>100</v>
      </c>
      <c r="J1361" s="23">
        <f t="shared" si="295"/>
        <v>100</v>
      </c>
      <c r="K1361" s="24">
        <v>30</v>
      </c>
      <c r="L1361" s="24">
        <f t="shared" si="296"/>
        <v>70</v>
      </c>
      <c r="M1361" s="24">
        <f t="shared" si="297"/>
        <v>30</v>
      </c>
      <c r="N1361" s="25">
        <v>70</v>
      </c>
      <c r="O1361" s="26" t="str">
        <f t="shared" si="298"/>
        <v>June</v>
      </c>
      <c r="P1361" s="25">
        <f t="shared" si="299"/>
        <v>70</v>
      </c>
      <c r="Q1361" s="27">
        <f t="shared" si="300"/>
        <v>-40</v>
      </c>
      <c r="R1361" s="26" t="b">
        <f t="shared" si="301"/>
        <v>0</v>
      </c>
      <c r="S1361" s="28" t="str">
        <f t="shared" si="302"/>
        <v>GROWTH</v>
      </c>
      <c r="T1361" s="24">
        <v>25</v>
      </c>
      <c r="U1361" s="29" t="str">
        <f t="shared" si="303"/>
        <v>May</v>
      </c>
      <c r="V1361" s="24">
        <f t="shared" si="304"/>
        <v>25</v>
      </c>
      <c r="W1361" s="30">
        <f t="shared" si="305"/>
        <v>5</v>
      </c>
      <c r="X1361" s="31" t="b">
        <f t="shared" si="306"/>
        <v>0</v>
      </c>
      <c r="Y1361" s="32" t="str">
        <f t="shared" si="307"/>
        <v>GROWTH</v>
      </c>
      <c r="Z1361" s="41">
        <v>0</v>
      </c>
      <c r="AA1361" s="36"/>
      <c r="AB1361" s="36" t="s">
        <v>24</v>
      </c>
      <c r="AC1361" s="52" t="s">
        <v>848</v>
      </c>
      <c r="AD1361" s="34"/>
      <c r="AE1361" s="35">
        <f>IFERROR(INDEX([1]Last6M_AvgSales_Ref!$B$2:$B$12659,MATCH(D1361,[1]Last6M_AvgSales_Ref!$A$2:$A$12659,0)),"")</f>
        <v>73.75</v>
      </c>
    </row>
    <row r="1362" spans="1:31" ht="14.25" customHeight="1" x14ac:dyDescent="0.3">
      <c r="A1362" s="52" t="s">
        <v>24</v>
      </c>
      <c r="B1362" s="50" t="s">
        <v>656</v>
      </c>
      <c r="C1362" s="50" t="s">
        <v>2787</v>
      </c>
      <c r="D1362" s="50">
        <v>1000004372</v>
      </c>
      <c r="E1362" s="50" t="s">
        <v>2788</v>
      </c>
      <c r="F1362" s="51">
        <v>45806</v>
      </c>
      <c r="G1362" s="22" t="str">
        <f t="shared" si="294"/>
        <v>Targeted Dealer</v>
      </c>
      <c r="H1362" s="22"/>
      <c r="I1362" s="23">
        <v>250</v>
      </c>
      <c r="J1362" s="23">
        <f t="shared" si="295"/>
        <v>250.00000000000003</v>
      </c>
      <c r="K1362" s="24">
        <v>314.5</v>
      </c>
      <c r="L1362" s="24">
        <f t="shared" si="296"/>
        <v>-64.5</v>
      </c>
      <c r="M1362" s="24">
        <f t="shared" si="297"/>
        <v>125.79999999999998</v>
      </c>
      <c r="N1362" s="25">
        <v>310</v>
      </c>
      <c r="O1362" s="26" t="str">
        <f t="shared" si="298"/>
        <v>June</v>
      </c>
      <c r="P1362" s="25">
        <f t="shared" si="299"/>
        <v>310</v>
      </c>
      <c r="Q1362" s="27">
        <f t="shared" si="300"/>
        <v>4.5</v>
      </c>
      <c r="R1362" s="26" t="b">
        <f t="shared" si="301"/>
        <v>0</v>
      </c>
      <c r="S1362" s="28" t="str">
        <f t="shared" si="302"/>
        <v>GROWTH</v>
      </c>
      <c r="T1362" s="24">
        <v>85</v>
      </c>
      <c r="U1362" s="29" t="str">
        <f t="shared" si="303"/>
        <v>May</v>
      </c>
      <c r="V1362" s="24">
        <f t="shared" si="304"/>
        <v>85</v>
      </c>
      <c r="W1362" s="30">
        <f t="shared" si="305"/>
        <v>229.5</v>
      </c>
      <c r="X1362" s="31" t="b">
        <f t="shared" si="306"/>
        <v>0</v>
      </c>
      <c r="Y1362" s="32" t="str">
        <f t="shared" si="307"/>
        <v>GROWTH</v>
      </c>
      <c r="Z1362" s="41">
        <v>0</v>
      </c>
      <c r="AA1362" s="36"/>
      <c r="AB1362" s="36" t="s">
        <v>24</v>
      </c>
      <c r="AC1362" s="52" t="s">
        <v>24</v>
      </c>
      <c r="AD1362" s="34"/>
      <c r="AE1362" s="35">
        <f>IFERROR(INDEX([1]Last6M_AvgSales_Ref!$B$2:$B$12659,MATCH(D1362,[1]Last6M_AvgSales_Ref!$A$2:$A$12659,0)),"")</f>
        <v>294.90833333333302</v>
      </c>
    </row>
    <row r="1363" spans="1:31" ht="14.25" customHeight="1" x14ac:dyDescent="0.3">
      <c r="A1363" s="52" t="s">
        <v>848</v>
      </c>
      <c r="B1363" s="50" t="s">
        <v>1558</v>
      </c>
      <c r="C1363" s="50" t="s">
        <v>2789</v>
      </c>
      <c r="D1363" s="50">
        <v>1000004373</v>
      </c>
      <c r="E1363" s="50" t="s">
        <v>2790</v>
      </c>
      <c r="F1363" s="51">
        <v>45808</v>
      </c>
      <c r="G1363" s="22" t="str">
        <f t="shared" si="294"/>
        <v>Targeted Dealer</v>
      </c>
      <c r="H1363" s="22"/>
      <c r="I1363" s="23">
        <v>200</v>
      </c>
      <c r="J1363" s="23">
        <f t="shared" si="295"/>
        <v>200</v>
      </c>
      <c r="K1363" s="24">
        <v>82</v>
      </c>
      <c r="L1363" s="24">
        <f t="shared" si="296"/>
        <v>118</v>
      </c>
      <c r="M1363" s="24">
        <f t="shared" si="297"/>
        <v>41</v>
      </c>
      <c r="N1363" s="25">
        <v>68</v>
      </c>
      <c r="O1363" s="26" t="str">
        <f t="shared" si="298"/>
        <v>June</v>
      </c>
      <c r="P1363" s="25">
        <f t="shared" si="299"/>
        <v>68</v>
      </c>
      <c r="Q1363" s="27">
        <f t="shared" si="300"/>
        <v>14</v>
      </c>
      <c r="R1363" s="26" t="b">
        <f t="shared" si="301"/>
        <v>0</v>
      </c>
      <c r="S1363" s="28" t="str">
        <f t="shared" si="302"/>
        <v>GROWTH</v>
      </c>
      <c r="T1363" s="24">
        <v>86.25</v>
      </c>
      <c r="U1363" s="29" t="str">
        <f t="shared" si="303"/>
        <v>May</v>
      </c>
      <c r="V1363" s="24">
        <f t="shared" si="304"/>
        <v>86.25</v>
      </c>
      <c r="W1363" s="30">
        <f t="shared" si="305"/>
        <v>-4.25</v>
      </c>
      <c r="X1363" s="31" t="b">
        <f t="shared" si="306"/>
        <v>0</v>
      </c>
      <c r="Y1363" s="32" t="str">
        <f t="shared" si="307"/>
        <v>GROWTH</v>
      </c>
      <c r="Z1363" s="41">
        <v>0</v>
      </c>
      <c r="AA1363" s="36"/>
      <c r="AB1363" s="36" t="s">
        <v>24</v>
      </c>
      <c r="AC1363" s="52" t="s">
        <v>848</v>
      </c>
      <c r="AD1363" s="34"/>
      <c r="AE1363" s="35">
        <f>IFERROR(INDEX([1]Last6M_AvgSales_Ref!$B$2:$B$12659,MATCH(D1363,[1]Last6M_AvgSales_Ref!$A$2:$A$12659,0)),"")</f>
        <v>68.3333333333333</v>
      </c>
    </row>
    <row r="1364" spans="1:31" ht="14.25" customHeight="1" x14ac:dyDescent="0.3">
      <c r="A1364" s="52" t="s">
        <v>848</v>
      </c>
      <c r="B1364" s="50" t="s">
        <v>1257</v>
      </c>
      <c r="C1364" s="50" t="s">
        <v>2791</v>
      </c>
      <c r="D1364" s="50">
        <v>1000004374</v>
      </c>
      <c r="E1364" s="50" t="s">
        <v>2792</v>
      </c>
      <c r="F1364" s="51">
        <v>45811</v>
      </c>
      <c r="G1364" s="22" t="str">
        <f t="shared" si="294"/>
        <v>Targeted Dealer</v>
      </c>
      <c r="H1364" s="22"/>
      <c r="I1364" s="23">
        <v>78</v>
      </c>
      <c r="J1364" s="23">
        <f t="shared" si="295"/>
        <v>78</v>
      </c>
      <c r="K1364" s="24">
        <v>26</v>
      </c>
      <c r="L1364" s="24">
        <f t="shared" si="296"/>
        <v>52</v>
      </c>
      <c r="M1364" s="24">
        <f t="shared" si="297"/>
        <v>33.333333333333336</v>
      </c>
      <c r="N1364" s="25">
        <v>26</v>
      </c>
      <c r="O1364" s="26" t="str">
        <f t="shared" si="298"/>
        <v>June</v>
      </c>
      <c r="P1364" s="25">
        <f t="shared" si="299"/>
        <v>26</v>
      </c>
      <c r="Q1364" s="27">
        <f t="shared" si="300"/>
        <v>0</v>
      </c>
      <c r="R1364" s="26" t="b">
        <f t="shared" si="301"/>
        <v>0</v>
      </c>
      <c r="S1364" s="28" t="str">
        <f t="shared" si="302"/>
        <v>GROWTH</v>
      </c>
      <c r="T1364" s="24">
        <v>64.5</v>
      </c>
      <c r="U1364" s="29" t="str">
        <f t="shared" si="303"/>
        <v>May</v>
      </c>
      <c r="V1364" s="24">
        <f t="shared" si="304"/>
        <v>64.5</v>
      </c>
      <c r="W1364" s="30">
        <f t="shared" si="305"/>
        <v>-38.5</v>
      </c>
      <c r="X1364" s="31" t="b">
        <f t="shared" si="306"/>
        <v>0</v>
      </c>
      <c r="Y1364" s="32" t="str">
        <f t="shared" si="307"/>
        <v>GROWTH</v>
      </c>
      <c r="Z1364" s="41">
        <v>0</v>
      </c>
      <c r="AA1364" s="36"/>
      <c r="AB1364" s="36" t="s">
        <v>24</v>
      </c>
      <c r="AC1364" s="52" t="s">
        <v>848</v>
      </c>
      <c r="AD1364" s="34"/>
      <c r="AE1364" s="35">
        <f>IFERROR(INDEX([1]Last6M_AvgSales_Ref!$B$2:$B$12659,MATCH(D1364,[1]Last6M_AvgSales_Ref!$A$2:$A$12659,0)),"")</f>
        <v>34.25</v>
      </c>
    </row>
    <row r="1365" spans="1:31" ht="14.25" customHeight="1" x14ac:dyDescent="0.3">
      <c r="A1365" s="52" t="s">
        <v>848</v>
      </c>
      <c r="B1365" s="50" t="s">
        <v>1257</v>
      </c>
      <c r="C1365" s="50" t="s">
        <v>2793</v>
      </c>
      <c r="D1365" s="50">
        <v>1000004375</v>
      </c>
      <c r="E1365" s="50" t="s">
        <v>2794</v>
      </c>
      <c r="F1365" s="51">
        <v>45813</v>
      </c>
      <c r="G1365" s="22" t="str">
        <f t="shared" si="294"/>
        <v>Targeted Dealer</v>
      </c>
      <c r="H1365" s="22"/>
      <c r="I1365" s="23">
        <v>26</v>
      </c>
      <c r="J1365" s="23">
        <f t="shared" si="295"/>
        <v>26</v>
      </c>
      <c r="K1365" s="24">
        <v>0</v>
      </c>
      <c r="L1365" s="24">
        <f t="shared" si="296"/>
        <v>26</v>
      </c>
      <c r="M1365" s="24">
        <f t="shared" si="297"/>
        <v>0</v>
      </c>
      <c r="N1365" s="25">
        <v>0</v>
      </c>
      <c r="O1365" s="26" t="str">
        <f t="shared" si="298"/>
        <v>June</v>
      </c>
      <c r="P1365" s="25">
        <f t="shared" si="299"/>
        <v>0</v>
      </c>
      <c r="Q1365" s="27">
        <f t="shared" si="300"/>
        <v>0</v>
      </c>
      <c r="R1365" s="26" t="b">
        <f t="shared" si="301"/>
        <v>0</v>
      </c>
      <c r="S1365" s="28" t="b">
        <f t="shared" si="302"/>
        <v>0</v>
      </c>
      <c r="T1365" s="24">
        <v>26</v>
      </c>
      <c r="U1365" s="29" t="str">
        <f t="shared" si="303"/>
        <v>May</v>
      </c>
      <c r="V1365" s="24">
        <f t="shared" si="304"/>
        <v>26</v>
      </c>
      <c r="W1365" s="30">
        <f t="shared" si="305"/>
        <v>-26</v>
      </c>
      <c r="X1365" s="31" t="b">
        <f t="shared" si="306"/>
        <v>0</v>
      </c>
      <c r="Y1365" s="32" t="str">
        <f t="shared" si="307"/>
        <v>GROWTH</v>
      </c>
      <c r="Z1365" s="41">
        <v>0</v>
      </c>
      <c r="AA1365" s="36"/>
      <c r="AB1365" s="36" t="s">
        <v>24</v>
      </c>
      <c r="AC1365" s="52" t="s">
        <v>848</v>
      </c>
      <c r="AD1365" s="34"/>
      <c r="AE1365" s="35">
        <f>IFERROR(INDEX([1]Last6M_AvgSales_Ref!$B$2:$B$12659,MATCH(D1365,[1]Last6M_AvgSales_Ref!$A$2:$A$12659,0)),"")</f>
        <v>14.6666666666667</v>
      </c>
    </row>
    <row r="1366" spans="1:31" ht="14.25" customHeight="1" x14ac:dyDescent="0.3">
      <c r="A1366" s="52" t="s">
        <v>24</v>
      </c>
      <c r="B1366" s="50" t="s">
        <v>59</v>
      </c>
      <c r="C1366" s="50" t="s">
        <v>2795</v>
      </c>
      <c r="D1366" s="50">
        <v>1000004377</v>
      </c>
      <c r="E1366" s="50" t="s">
        <v>2796</v>
      </c>
      <c r="F1366" s="51">
        <v>45817</v>
      </c>
      <c r="G1366" s="22" t="str">
        <f t="shared" si="294"/>
        <v>Targeted Dealer</v>
      </c>
      <c r="H1366" s="22"/>
      <c r="I1366" s="23">
        <v>580</v>
      </c>
      <c r="J1366" s="23">
        <f t="shared" si="295"/>
        <v>580</v>
      </c>
      <c r="K1366" s="24">
        <v>600</v>
      </c>
      <c r="L1366" s="24">
        <f t="shared" si="296"/>
        <v>-20</v>
      </c>
      <c r="M1366" s="24">
        <f t="shared" si="297"/>
        <v>103.44827586206897</v>
      </c>
      <c r="N1366" s="25">
        <v>250</v>
      </c>
      <c r="O1366" s="26" t="str">
        <f t="shared" si="298"/>
        <v>June</v>
      </c>
      <c r="P1366" s="25">
        <f t="shared" si="299"/>
        <v>250</v>
      </c>
      <c r="Q1366" s="27">
        <f t="shared" si="300"/>
        <v>350</v>
      </c>
      <c r="R1366" s="26" t="b">
        <f t="shared" si="301"/>
        <v>0</v>
      </c>
      <c r="S1366" s="28" t="str">
        <f t="shared" si="302"/>
        <v>GROWTH</v>
      </c>
      <c r="T1366" s="24">
        <v>530</v>
      </c>
      <c r="U1366" s="29" t="str">
        <f t="shared" si="303"/>
        <v>May</v>
      </c>
      <c r="V1366" s="24">
        <f t="shared" si="304"/>
        <v>530</v>
      </c>
      <c r="W1366" s="30">
        <f t="shared" si="305"/>
        <v>70</v>
      </c>
      <c r="X1366" s="31" t="b">
        <f t="shared" si="306"/>
        <v>0</v>
      </c>
      <c r="Y1366" s="32" t="str">
        <f t="shared" si="307"/>
        <v>GROWTH</v>
      </c>
      <c r="Z1366" s="41">
        <v>0</v>
      </c>
      <c r="AA1366" s="36"/>
      <c r="AB1366" s="36" t="s">
        <v>24</v>
      </c>
      <c r="AC1366" s="52" t="s">
        <v>24</v>
      </c>
      <c r="AD1366" s="34"/>
      <c r="AE1366" s="35">
        <f>IFERROR(INDEX([1]Last6M_AvgSales_Ref!$B$2:$B$12659,MATCH(D1366,[1]Last6M_AvgSales_Ref!$A$2:$A$12659,0)),"")</f>
        <v>498.33333333333297</v>
      </c>
    </row>
    <row r="1367" spans="1:31" ht="14.25" customHeight="1" x14ac:dyDescent="0.3">
      <c r="A1367" s="52" t="s">
        <v>848</v>
      </c>
      <c r="B1367" s="50" t="s">
        <v>1257</v>
      </c>
      <c r="C1367" s="50" t="s">
        <v>2797</v>
      </c>
      <c r="D1367" s="50">
        <v>1000004378</v>
      </c>
      <c r="E1367" s="50" t="s">
        <v>2798</v>
      </c>
      <c r="F1367" s="51">
        <v>45820</v>
      </c>
      <c r="G1367" s="22" t="str">
        <f t="shared" si="294"/>
        <v>Targeted Dealer</v>
      </c>
      <c r="H1367" s="22"/>
      <c r="I1367" s="23">
        <v>78</v>
      </c>
      <c r="J1367" s="23">
        <f t="shared" si="295"/>
        <v>78</v>
      </c>
      <c r="K1367" s="24">
        <v>49.5</v>
      </c>
      <c r="L1367" s="24">
        <f t="shared" si="296"/>
        <v>28.5</v>
      </c>
      <c r="M1367" s="24">
        <f t="shared" si="297"/>
        <v>63.46153846153846</v>
      </c>
      <c r="N1367" s="25">
        <v>50</v>
      </c>
      <c r="O1367" s="26" t="str">
        <f t="shared" si="298"/>
        <v>June</v>
      </c>
      <c r="P1367" s="25">
        <f t="shared" si="299"/>
        <v>50</v>
      </c>
      <c r="Q1367" s="27">
        <f t="shared" si="300"/>
        <v>-0.5</v>
      </c>
      <c r="R1367" s="26" t="b">
        <f t="shared" si="301"/>
        <v>0</v>
      </c>
      <c r="S1367" s="28" t="str">
        <f t="shared" si="302"/>
        <v>GROWTH</v>
      </c>
      <c r="T1367" s="24">
        <v>26</v>
      </c>
      <c r="U1367" s="29" t="str">
        <f t="shared" si="303"/>
        <v>May</v>
      </c>
      <c r="V1367" s="24">
        <f t="shared" si="304"/>
        <v>26</v>
      </c>
      <c r="W1367" s="30">
        <f t="shared" si="305"/>
        <v>23.5</v>
      </c>
      <c r="X1367" s="31" t="b">
        <f t="shared" si="306"/>
        <v>0</v>
      </c>
      <c r="Y1367" s="32" t="str">
        <f t="shared" si="307"/>
        <v>GROWTH</v>
      </c>
      <c r="Z1367" s="41">
        <v>0</v>
      </c>
      <c r="AA1367" s="36"/>
      <c r="AB1367" s="36" t="s">
        <v>24</v>
      </c>
      <c r="AC1367" s="52" t="s">
        <v>848</v>
      </c>
      <c r="AD1367" s="34"/>
      <c r="AE1367" s="35">
        <f>IFERROR(INDEX([1]Last6M_AvgSales_Ref!$B$2:$B$12659,MATCH(D1367,[1]Last6M_AvgSales_Ref!$A$2:$A$12659,0)),"")</f>
        <v>26.1666666666667</v>
      </c>
    </row>
    <row r="1368" spans="1:31" ht="14.25" customHeight="1" x14ac:dyDescent="0.3">
      <c r="A1368" s="52" t="s">
        <v>1836</v>
      </c>
      <c r="B1368" s="50" t="s">
        <v>1932</v>
      </c>
      <c r="C1368" s="50" t="s">
        <v>2799</v>
      </c>
      <c r="D1368" s="50">
        <v>1000004380</v>
      </c>
      <c r="E1368" s="50" t="s">
        <v>2800</v>
      </c>
      <c r="F1368" s="51">
        <v>45821</v>
      </c>
      <c r="G1368" s="22" t="str">
        <f t="shared" si="294"/>
        <v>Targeted Dealer</v>
      </c>
      <c r="H1368" s="22"/>
      <c r="I1368" s="23">
        <v>300</v>
      </c>
      <c r="J1368" s="23">
        <f t="shared" si="295"/>
        <v>300</v>
      </c>
      <c r="K1368" s="24">
        <v>236</v>
      </c>
      <c r="L1368" s="24">
        <f t="shared" si="296"/>
        <v>64</v>
      </c>
      <c r="M1368" s="24">
        <f t="shared" si="297"/>
        <v>78.666666666666671</v>
      </c>
      <c r="N1368" s="25">
        <v>340</v>
      </c>
      <c r="O1368" s="26" t="str">
        <f t="shared" si="298"/>
        <v>June</v>
      </c>
      <c r="P1368" s="25">
        <f t="shared" si="299"/>
        <v>340</v>
      </c>
      <c r="Q1368" s="27">
        <f t="shared" si="300"/>
        <v>-104</v>
      </c>
      <c r="R1368" s="26" t="b">
        <f t="shared" si="301"/>
        <v>0</v>
      </c>
      <c r="S1368" s="28" t="str">
        <f t="shared" si="302"/>
        <v>GROWTH</v>
      </c>
      <c r="T1368" s="24">
        <v>212</v>
      </c>
      <c r="U1368" s="29" t="str">
        <f t="shared" si="303"/>
        <v>May</v>
      </c>
      <c r="V1368" s="24">
        <f t="shared" si="304"/>
        <v>212</v>
      </c>
      <c r="W1368" s="30">
        <f t="shared" si="305"/>
        <v>24</v>
      </c>
      <c r="X1368" s="31" t="b">
        <f t="shared" si="306"/>
        <v>0</v>
      </c>
      <c r="Y1368" s="32" t="str">
        <f t="shared" si="307"/>
        <v>GROWTH</v>
      </c>
      <c r="Z1368" s="41">
        <v>0</v>
      </c>
      <c r="AA1368" s="36"/>
      <c r="AB1368" s="36" t="s">
        <v>24</v>
      </c>
      <c r="AC1368" s="52" t="s">
        <v>1836</v>
      </c>
      <c r="AD1368" s="34"/>
      <c r="AE1368" s="35">
        <f>IFERROR(INDEX([1]Last6M_AvgSales_Ref!$B$2:$B$12659,MATCH(D1368,[1]Last6M_AvgSales_Ref!$A$2:$A$12659,0)),"")</f>
        <v>694.33333333333303</v>
      </c>
    </row>
    <row r="1369" spans="1:31" ht="14.25" customHeight="1" x14ac:dyDescent="0.3">
      <c r="A1369" s="52" t="s">
        <v>24</v>
      </c>
      <c r="B1369" s="50" t="s">
        <v>150</v>
      </c>
      <c r="C1369" s="50" t="s">
        <v>2801</v>
      </c>
      <c r="D1369" s="50">
        <v>1000004384</v>
      </c>
      <c r="E1369" s="50" t="s">
        <v>2802</v>
      </c>
      <c r="F1369" s="51">
        <v>45817</v>
      </c>
      <c r="G1369" s="22" t="str">
        <f t="shared" si="294"/>
        <v>Targeted Dealer</v>
      </c>
      <c r="H1369" s="22"/>
      <c r="I1369" s="23">
        <v>300</v>
      </c>
      <c r="J1369" s="23">
        <f t="shared" si="295"/>
        <v>300</v>
      </c>
      <c r="K1369" s="24">
        <v>400</v>
      </c>
      <c r="L1369" s="24">
        <f t="shared" si="296"/>
        <v>-100</v>
      </c>
      <c r="M1369" s="24">
        <f t="shared" si="297"/>
        <v>133.33333333333334</v>
      </c>
      <c r="N1369" s="25">
        <v>360</v>
      </c>
      <c r="O1369" s="26" t="str">
        <f t="shared" si="298"/>
        <v>June</v>
      </c>
      <c r="P1369" s="25">
        <f t="shared" si="299"/>
        <v>360</v>
      </c>
      <c r="Q1369" s="27">
        <f t="shared" si="300"/>
        <v>40</v>
      </c>
      <c r="R1369" s="26" t="b">
        <f t="shared" si="301"/>
        <v>0</v>
      </c>
      <c r="S1369" s="28" t="str">
        <f t="shared" si="302"/>
        <v>GROWTH</v>
      </c>
      <c r="T1369" s="24">
        <v>220</v>
      </c>
      <c r="U1369" s="29" t="str">
        <f t="shared" si="303"/>
        <v>May</v>
      </c>
      <c r="V1369" s="24">
        <f t="shared" si="304"/>
        <v>220</v>
      </c>
      <c r="W1369" s="30">
        <f t="shared" si="305"/>
        <v>180</v>
      </c>
      <c r="X1369" s="31" t="b">
        <f t="shared" si="306"/>
        <v>0</v>
      </c>
      <c r="Y1369" s="32" t="str">
        <f t="shared" si="307"/>
        <v>GROWTH</v>
      </c>
      <c r="Z1369" s="41">
        <v>0</v>
      </c>
      <c r="AA1369" s="36"/>
      <c r="AB1369" s="36" t="s">
        <v>24</v>
      </c>
      <c r="AC1369" s="52" t="s">
        <v>24</v>
      </c>
      <c r="AD1369" s="34"/>
      <c r="AE1369" s="35">
        <f>IFERROR(INDEX([1]Last6M_AvgSales_Ref!$B$2:$B$12659,MATCH(D1369,[1]Last6M_AvgSales_Ref!$A$2:$A$12659,0)),"")</f>
        <v>410</v>
      </c>
    </row>
    <row r="1370" spans="1:31" ht="14.25" customHeight="1" x14ac:dyDescent="0.3">
      <c r="A1370" s="52" t="s">
        <v>848</v>
      </c>
      <c r="B1370" s="50" t="s">
        <v>1558</v>
      </c>
      <c r="C1370" s="50" t="s">
        <v>2803</v>
      </c>
      <c r="D1370" s="50">
        <v>1000004379</v>
      </c>
      <c r="E1370" s="50" t="s">
        <v>107</v>
      </c>
      <c r="F1370" s="51">
        <v>45821</v>
      </c>
      <c r="G1370" s="22" t="str">
        <f t="shared" si="294"/>
        <v>Targeted Dealer</v>
      </c>
      <c r="H1370" s="22"/>
      <c r="I1370" s="23">
        <v>50</v>
      </c>
      <c r="J1370" s="23">
        <f t="shared" si="295"/>
        <v>50</v>
      </c>
      <c r="K1370" s="24">
        <v>28</v>
      </c>
      <c r="L1370" s="24">
        <f t="shared" si="296"/>
        <v>22</v>
      </c>
      <c r="M1370" s="24">
        <f t="shared" si="297"/>
        <v>56</v>
      </c>
      <c r="N1370" s="25">
        <v>20</v>
      </c>
      <c r="O1370" s="26" t="str">
        <f t="shared" si="298"/>
        <v>June</v>
      </c>
      <c r="P1370" s="25">
        <f t="shared" si="299"/>
        <v>20</v>
      </c>
      <c r="Q1370" s="27">
        <f t="shared" si="300"/>
        <v>8</v>
      </c>
      <c r="R1370" s="26" t="b">
        <f t="shared" si="301"/>
        <v>0</v>
      </c>
      <c r="S1370" s="28" t="str">
        <f t="shared" si="302"/>
        <v>GROWTH</v>
      </c>
      <c r="T1370" s="24">
        <v>20</v>
      </c>
      <c r="U1370" s="29" t="str">
        <f t="shared" si="303"/>
        <v>May</v>
      </c>
      <c r="V1370" s="24">
        <f t="shared" si="304"/>
        <v>20</v>
      </c>
      <c r="W1370" s="30">
        <f t="shared" si="305"/>
        <v>8</v>
      </c>
      <c r="X1370" s="31" t="b">
        <f t="shared" si="306"/>
        <v>0</v>
      </c>
      <c r="Y1370" s="32" t="str">
        <f t="shared" si="307"/>
        <v>GROWTH</v>
      </c>
      <c r="Z1370" s="41">
        <v>0</v>
      </c>
      <c r="AA1370" s="36"/>
      <c r="AB1370" s="36" t="s">
        <v>24</v>
      </c>
      <c r="AC1370" s="52" t="s">
        <v>848</v>
      </c>
      <c r="AD1370" s="34"/>
      <c r="AE1370" s="35">
        <f>IFERROR(INDEX([1]Last6M_AvgSales_Ref!$B$2:$B$12659,MATCH(D1370,[1]Last6M_AvgSales_Ref!$A$2:$A$12659,0)),"")</f>
        <v>35.5</v>
      </c>
    </row>
    <row r="1371" spans="1:31" ht="14.25" customHeight="1" x14ac:dyDescent="0.3">
      <c r="A1371" s="52" t="s">
        <v>848</v>
      </c>
      <c r="B1371" s="50" t="s">
        <v>1101</v>
      </c>
      <c r="C1371" s="50" t="s">
        <v>2804</v>
      </c>
      <c r="D1371" s="50">
        <v>1000004391</v>
      </c>
      <c r="E1371" s="50" t="s">
        <v>2805</v>
      </c>
      <c r="F1371" s="51">
        <v>45820</v>
      </c>
      <c r="G1371" s="22" t="str">
        <f t="shared" si="294"/>
        <v>Targeted Dealer</v>
      </c>
      <c r="H1371" s="22"/>
      <c r="I1371" s="23">
        <v>100</v>
      </c>
      <c r="J1371" s="23">
        <f t="shared" si="295"/>
        <v>100</v>
      </c>
      <c r="K1371" s="24">
        <v>52</v>
      </c>
      <c r="L1371" s="24">
        <f t="shared" si="296"/>
        <v>48</v>
      </c>
      <c r="M1371" s="24">
        <f t="shared" si="297"/>
        <v>52</v>
      </c>
      <c r="N1371" s="25">
        <v>26</v>
      </c>
      <c r="O1371" s="26" t="str">
        <f t="shared" si="298"/>
        <v>June</v>
      </c>
      <c r="P1371" s="25">
        <f t="shared" si="299"/>
        <v>26</v>
      </c>
      <c r="Q1371" s="27">
        <f t="shared" si="300"/>
        <v>26</v>
      </c>
      <c r="R1371" s="26" t="b">
        <f t="shared" si="301"/>
        <v>0</v>
      </c>
      <c r="S1371" s="28" t="str">
        <f t="shared" si="302"/>
        <v>GROWTH</v>
      </c>
      <c r="T1371" s="24">
        <v>39</v>
      </c>
      <c r="U1371" s="29" t="str">
        <f t="shared" si="303"/>
        <v>May</v>
      </c>
      <c r="V1371" s="24">
        <f t="shared" si="304"/>
        <v>39</v>
      </c>
      <c r="W1371" s="30">
        <f t="shared" si="305"/>
        <v>13</v>
      </c>
      <c r="X1371" s="31" t="b">
        <f t="shared" si="306"/>
        <v>0</v>
      </c>
      <c r="Y1371" s="32" t="str">
        <f t="shared" si="307"/>
        <v>GROWTH</v>
      </c>
      <c r="Z1371" s="41">
        <v>0</v>
      </c>
      <c r="AA1371" s="36"/>
      <c r="AB1371" s="36" t="s">
        <v>24</v>
      </c>
      <c r="AC1371" s="52" t="s">
        <v>848</v>
      </c>
      <c r="AD1371" s="34"/>
      <c r="AE1371" s="35">
        <f>IFERROR(INDEX([1]Last6M_AvgSales_Ref!$B$2:$B$12659,MATCH(D1371,[1]Last6M_AvgSales_Ref!$A$2:$A$12659,0)),"")</f>
        <v>54.1666666666667</v>
      </c>
    </row>
    <row r="1372" spans="1:31" ht="14.25" customHeight="1" x14ac:dyDescent="0.3">
      <c r="A1372" s="52" t="s">
        <v>24</v>
      </c>
      <c r="B1372" s="50" t="s">
        <v>504</v>
      </c>
      <c r="C1372" s="50" t="s">
        <v>2806</v>
      </c>
      <c r="D1372" s="50">
        <v>1000004392</v>
      </c>
      <c r="E1372" s="50" t="s">
        <v>2807</v>
      </c>
      <c r="F1372" s="51">
        <v>45819</v>
      </c>
      <c r="G1372" s="22" t="str">
        <f t="shared" si="294"/>
        <v>Targeted Dealer</v>
      </c>
      <c r="H1372" s="22"/>
      <c r="I1372" s="23">
        <v>30</v>
      </c>
      <c r="J1372" s="23">
        <f t="shared" si="295"/>
        <v>30</v>
      </c>
      <c r="K1372" s="24">
        <v>25</v>
      </c>
      <c r="L1372" s="24">
        <f t="shared" si="296"/>
        <v>5</v>
      </c>
      <c r="M1372" s="24">
        <f t="shared" si="297"/>
        <v>83.333333333333343</v>
      </c>
      <c r="N1372" s="25">
        <v>40</v>
      </c>
      <c r="O1372" s="26" t="str">
        <f t="shared" si="298"/>
        <v>June</v>
      </c>
      <c r="P1372" s="25">
        <f t="shared" si="299"/>
        <v>40</v>
      </c>
      <c r="Q1372" s="27">
        <f t="shared" si="300"/>
        <v>-15</v>
      </c>
      <c r="R1372" s="26" t="b">
        <f t="shared" si="301"/>
        <v>0</v>
      </c>
      <c r="S1372" s="28" t="str">
        <f t="shared" si="302"/>
        <v>GROWTH</v>
      </c>
      <c r="T1372" s="24">
        <v>20</v>
      </c>
      <c r="U1372" s="29" t="str">
        <f t="shared" si="303"/>
        <v>May</v>
      </c>
      <c r="V1372" s="24">
        <f t="shared" si="304"/>
        <v>20</v>
      </c>
      <c r="W1372" s="30">
        <f t="shared" si="305"/>
        <v>5</v>
      </c>
      <c r="X1372" s="31" t="b">
        <f t="shared" si="306"/>
        <v>0</v>
      </c>
      <c r="Y1372" s="32" t="str">
        <f t="shared" si="307"/>
        <v>GROWTH</v>
      </c>
      <c r="Z1372" s="41">
        <v>0</v>
      </c>
      <c r="AA1372" s="36"/>
      <c r="AB1372" s="36" t="s">
        <v>24</v>
      </c>
      <c r="AC1372" s="52" t="s">
        <v>24</v>
      </c>
      <c r="AD1372" s="34"/>
      <c r="AE1372" s="35">
        <f>IFERROR(INDEX([1]Last6M_AvgSales_Ref!$B$2:$B$12659,MATCH(D1372,[1]Last6M_AvgSales_Ref!$A$2:$A$12659,0)),"")</f>
        <v>21.6666666666667</v>
      </c>
    </row>
    <row r="1373" spans="1:31" ht="14.25" customHeight="1" x14ac:dyDescent="0.3">
      <c r="A1373" s="52" t="s">
        <v>24</v>
      </c>
      <c r="B1373" s="50" t="s">
        <v>535</v>
      </c>
      <c r="C1373" s="50" t="s">
        <v>2808</v>
      </c>
      <c r="D1373" s="50">
        <v>1000004388</v>
      </c>
      <c r="E1373" s="50" t="s">
        <v>2809</v>
      </c>
      <c r="F1373" s="51">
        <v>45820</v>
      </c>
      <c r="G1373" s="22" t="str">
        <f t="shared" si="294"/>
        <v>Targeted Dealer</v>
      </c>
      <c r="H1373" s="22"/>
      <c r="I1373" s="23">
        <v>30</v>
      </c>
      <c r="J1373" s="23">
        <f t="shared" si="295"/>
        <v>30</v>
      </c>
      <c r="K1373" s="24">
        <v>37.5</v>
      </c>
      <c r="L1373" s="24">
        <f t="shared" si="296"/>
        <v>-7.5</v>
      </c>
      <c r="M1373" s="24">
        <f t="shared" si="297"/>
        <v>125</v>
      </c>
      <c r="N1373" s="25">
        <v>17.5</v>
      </c>
      <c r="O1373" s="26" t="str">
        <f t="shared" si="298"/>
        <v>June</v>
      </c>
      <c r="P1373" s="25">
        <f t="shared" si="299"/>
        <v>17.5</v>
      </c>
      <c r="Q1373" s="27">
        <f t="shared" si="300"/>
        <v>20</v>
      </c>
      <c r="R1373" s="26" t="b">
        <f t="shared" si="301"/>
        <v>0</v>
      </c>
      <c r="S1373" s="28" t="str">
        <f t="shared" si="302"/>
        <v>GROWTH</v>
      </c>
      <c r="T1373" s="24">
        <v>27</v>
      </c>
      <c r="U1373" s="29" t="str">
        <f t="shared" si="303"/>
        <v>May</v>
      </c>
      <c r="V1373" s="24">
        <f t="shared" si="304"/>
        <v>27</v>
      </c>
      <c r="W1373" s="30">
        <f t="shared" si="305"/>
        <v>10.5</v>
      </c>
      <c r="X1373" s="31" t="b">
        <f t="shared" si="306"/>
        <v>0</v>
      </c>
      <c r="Y1373" s="32" t="str">
        <f t="shared" si="307"/>
        <v>GROWTH</v>
      </c>
      <c r="Z1373" s="41">
        <v>0</v>
      </c>
      <c r="AA1373" s="36"/>
      <c r="AB1373" s="36" t="s">
        <v>24</v>
      </c>
      <c r="AC1373" s="52" t="s">
        <v>24</v>
      </c>
      <c r="AD1373" s="34"/>
      <c r="AE1373" s="35">
        <f>IFERROR(INDEX([1]Last6M_AvgSales_Ref!$B$2:$B$12659,MATCH(D1373,[1]Last6M_AvgSales_Ref!$A$2:$A$12659,0)),"")</f>
        <v>44.1666666666667</v>
      </c>
    </row>
    <row r="1374" spans="1:31" ht="14.25" customHeight="1" x14ac:dyDescent="0.3">
      <c r="A1374" s="52" t="s">
        <v>848</v>
      </c>
      <c r="B1374" s="50" t="s">
        <v>1702</v>
      </c>
      <c r="C1374" s="50" t="s">
        <v>2810</v>
      </c>
      <c r="D1374" s="50">
        <v>1000004371</v>
      </c>
      <c r="E1374" s="50" t="s">
        <v>2811</v>
      </c>
      <c r="F1374" s="51">
        <v>45804</v>
      </c>
      <c r="G1374" s="22" t="str">
        <f t="shared" si="294"/>
        <v>Targeted Dealer</v>
      </c>
      <c r="H1374" s="22"/>
      <c r="I1374" s="23">
        <v>200</v>
      </c>
      <c r="J1374" s="23">
        <f t="shared" si="295"/>
        <v>200</v>
      </c>
      <c r="K1374" s="24">
        <v>85.25</v>
      </c>
      <c r="L1374" s="24">
        <f t="shared" si="296"/>
        <v>114.75</v>
      </c>
      <c r="M1374" s="24">
        <f t="shared" si="297"/>
        <v>42.625</v>
      </c>
      <c r="N1374" s="25">
        <v>65</v>
      </c>
      <c r="O1374" s="26" t="str">
        <f t="shared" si="298"/>
        <v>June</v>
      </c>
      <c r="P1374" s="25">
        <f t="shared" si="299"/>
        <v>65</v>
      </c>
      <c r="Q1374" s="27">
        <f t="shared" si="300"/>
        <v>20.25</v>
      </c>
      <c r="R1374" s="26" t="b">
        <f t="shared" si="301"/>
        <v>0</v>
      </c>
      <c r="S1374" s="28" t="str">
        <f t="shared" si="302"/>
        <v>GROWTH</v>
      </c>
      <c r="T1374" s="24">
        <v>22.5</v>
      </c>
      <c r="U1374" s="29" t="str">
        <f t="shared" si="303"/>
        <v>May</v>
      </c>
      <c r="V1374" s="24">
        <f t="shared" si="304"/>
        <v>22.5</v>
      </c>
      <c r="W1374" s="30">
        <f t="shared" si="305"/>
        <v>62.75</v>
      </c>
      <c r="X1374" s="31" t="b">
        <f t="shared" si="306"/>
        <v>0</v>
      </c>
      <c r="Y1374" s="32" t="str">
        <f t="shared" si="307"/>
        <v>GROWTH</v>
      </c>
      <c r="Z1374" s="41">
        <v>0</v>
      </c>
      <c r="AA1374" s="36"/>
      <c r="AB1374" s="36" t="s">
        <v>24</v>
      </c>
      <c r="AC1374" s="52" t="s">
        <v>848</v>
      </c>
      <c r="AD1374" s="34"/>
      <c r="AE1374" s="35">
        <f>IFERROR(INDEX([1]Last6M_AvgSales_Ref!$B$2:$B$12659,MATCH(D1374,[1]Last6M_AvgSales_Ref!$A$2:$A$12659,0)),"")</f>
        <v>88.733333333333306</v>
      </c>
    </row>
    <row r="1375" spans="1:31" ht="14.25" customHeight="1" x14ac:dyDescent="0.3">
      <c r="A1375" s="52" t="s">
        <v>848</v>
      </c>
      <c r="B1375" s="50" t="s">
        <v>1702</v>
      </c>
      <c r="C1375" s="50" t="s">
        <v>2812</v>
      </c>
      <c r="D1375" s="50">
        <v>1000004390</v>
      </c>
      <c r="E1375" s="50" t="s">
        <v>2813</v>
      </c>
      <c r="F1375" s="51">
        <v>45821</v>
      </c>
      <c r="G1375" s="22" t="str">
        <f t="shared" si="294"/>
        <v>Targeted Dealer</v>
      </c>
      <c r="H1375" s="22"/>
      <c r="I1375" s="23">
        <v>200</v>
      </c>
      <c r="J1375" s="23">
        <f t="shared" si="295"/>
        <v>200</v>
      </c>
      <c r="K1375" s="24">
        <v>109</v>
      </c>
      <c r="L1375" s="24">
        <f t="shared" si="296"/>
        <v>91</v>
      </c>
      <c r="M1375" s="24">
        <f t="shared" si="297"/>
        <v>54.5</v>
      </c>
      <c r="N1375" s="25">
        <v>86</v>
      </c>
      <c r="O1375" s="26" t="str">
        <f t="shared" si="298"/>
        <v>June</v>
      </c>
      <c r="P1375" s="25">
        <f t="shared" si="299"/>
        <v>86</v>
      </c>
      <c r="Q1375" s="27">
        <f t="shared" si="300"/>
        <v>23</v>
      </c>
      <c r="R1375" s="26" t="b">
        <f t="shared" si="301"/>
        <v>0</v>
      </c>
      <c r="S1375" s="28" t="str">
        <f t="shared" si="302"/>
        <v>GROWTH</v>
      </c>
      <c r="T1375" s="24">
        <v>25</v>
      </c>
      <c r="U1375" s="29" t="str">
        <f t="shared" si="303"/>
        <v>May</v>
      </c>
      <c r="V1375" s="24">
        <f t="shared" si="304"/>
        <v>25</v>
      </c>
      <c r="W1375" s="30">
        <f t="shared" si="305"/>
        <v>84</v>
      </c>
      <c r="X1375" s="31" t="b">
        <f t="shared" si="306"/>
        <v>0</v>
      </c>
      <c r="Y1375" s="32" t="str">
        <f t="shared" si="307"/>
        <v>GROWTH</v>
      </c>
      <c r="Z1375" s="41">
        <v>0</v>
      </c>
      <c r="AA1375" s="36"/>
      <c r="AB1375" s="36" t="s">
        <v>24</v>
      </c>
      <c r="AC1375" s="52" t="s">
        <v>848</v>
      </c>
      <c r="AD1375" s="34"/>
      <c r="AE1375" s="35">
        <f>IFERROR(INDEX([1]Last6M_AvgSales_Ref!$B$2:$B$12659,MATCH(D1375,[1]Last6M_AvgSales_Ref!$A$2:$A$12659,0)),"")</f>
        <v>79.5</v>
      </c>
    </row>
    <row r="1376" spans="1:31" ht="14.25" customHeight="1" x14ac:dyDescent="0.3">
      <c r="A1376" s="52" t="s">
        <v>24</v>
      </c>
      <c r="B1376" s="50" t="s">
        <v>570</v>
      </c>
      <c r="C1376" s="50" t="s">
        <v>2814</v>
      </c>
      <c r="D1376" s="50">
        <v>1000004395</v>
      </c>
      <c r="E1376" s="50" t="s">
        <v>2815</v>
      </c>
      <c r="F1376" s="51">
        <v>45827</v>
      </c>
      <c r="G1376" s="22" t="str">
        <f t="shared" si="294"/>
        <v>-</v>
      </c>
      <c r="H1376" s="22"/>
      <c r="I1376" s="23">
        <v>0</v>
      </c>
      <c r="J1376" s="23">
        <f t="shared" si="295"/>
        <v>0</v>
      </c>
      <c r="K1376" s="24">
        <v>0</v>
      </c>
      <c r="L1376" s="24">
        <f t="shared" si="296"/>
        <v>0</v>
      </c>
      <c r="M1376" s="24" t="str">
        <f t="shared" si="297"/>
        <v>-</v>
      </c>
      <c r="N1376" s="25">
        <v>0</v>
      </c>
      <c r="O1376" s="26" t="str">
        <f t="shared" si="298"/>
        <v>June</v>
      </c>
      <c r="P1376" s="25">
        <f t="shared" si="299"/>
        <v>0</v>
      </c>
      <c r="Q1376" s="27">
        <f t="shared" si="300"/>
        <v>0</v>
      </c>
      <c r="R1376" s="26" t="b">
        <f t="shared" si="301"/>
        <v>0</v>
      </c>
      <c r="S1376" s="28" t="b">
        <f t="shared" si="302"/>
        <v>0</v>
      </c>
      <c r="T1376" s="24">
        <v>10</v>
      </c>
      <c r="U1376" s="29" t="str">
        <f t="shared" si="303"/>
        <v>May</v>
      </c>
      <c r="V1376" s="24">
        <f t="shared" si="304"/>
        <v>10</v>
      </c>
      <c r="W1376" s="30">
        <f t="shared" si="305"/>
        <v>-10</v>
      </c>
      <c r="X1376" s="31" t="b">
        <f t="shared" si="306"/>
        <v>0</v>
      </c>
      <c r="Y1376" s="32" t="str">
        <f t="shared" si="307"/>
        <v>GROWTH</v>
      </c>
      <c r="Z1376" s="41">
        <v>0</v>
      </c>
      <c r="AA1376" s="36"/>
      <c r="AB1376" s="36" t="s">
        <v>24</v>
      </c>
      <c r="AC1376" s="52" t="s">
        <v>24</v>
      </c>
      <c r="AD1376" s="34"/>
      <c r="AE1376" s="35">
        <f>IFERROR(INDEX([1]Last6M_AvgSales_Ref!$B$2:$B$12659,MATCH(D1376,[1]Last6M_AvgSales_Ref!$A$2:$A$12659,0)),"")</f>
        <v>9.8333333333333304</v>
      </c>
    </row>
    <row r="1377" spans="1:31" ht="14.25" customHeight="1" x14ac:dyDescent="0.3">
      <c r="A1377" s="36" t="s">
        <v>1836</v>
      </c>
      <c r="B1377" s="50" t="s">
        <v>1932</v>
      </c>
      <c r="C1377" s="50" t="s">
        <v>2816</v>
      </c>
      <c r="D1377" s="50">
        <v>1000004398</v>
      </c>
      <c r="E1377" s="50" t="s">
        <v>2817</v>
      </c>
      <c r="F1377" s="51">
        <v>45834</v>
      </c>
      <c r="G1377" s="22" t="str">
        <f t="shared" si="294"/>
        <v>Targeted Dealer</v>
      </c>
      <c r="H1377" s="22"/>
      <c r="I1377" s="23">
        <v>150</v>
      </c>
      <c r="J1377" s="23">
        <f t="shared" si="295"/>
        <v>150</v>
      </c>
      <c r="K1377" s="24">
        <v>180</v>
      </c>
      <c r="L1377" s="24">
        <f t="shared" si="296"/>
        <v>-30</v>
      </c>
      <c r="M1377" s="24">
        <f t="shared" si="297"/>
        <v>120</v>
      </c>
      <c r="N1377" s="25">
        <v>73</v>
      </c>
      <c r="O1377" s="26" t="str">
        <f t="shared" si="298"/>
        <v>June</v>
      </c>
      <c r="P1377" s="25">
        <f t="shared" si="299"/>
        <v>73</v>
      </c>
      <c r="Q1377" s="27">
        <f t="shared" si="300"/>
        <v>107</v>
      </c>
      <c r="R1377" s="26" t="b">
        <f t="shared" si="301"/>
        <v>0</v>
      </c>
      <c r="S1377" s="28" t="str">
        <f t="shared" si="302"/>
        <v>GROWTH</v>
      </c>
      <c r="T1377" s="24">
        <v>32</v>
      </c>
      <c r="U1377" s="29" t="str">
        <f t="shared" si="303"/>
        <v>May</v>
      </c>
      <c r="V1377" s="24">
        <f t="shared" si="304"/>
        <v>32</v>
      </c>
      <c r="W1377" s="30">
        <f t="shared" si="305"/>
        <v>148</v>
      </c>
      <c r="X1377" s="31" t="b">
        <f t="shared" si="306"/>
        <v>0</v>
      </c>
      <c r="Y1377" s="32" t="str">
        <f t="shared" si="307"/>
        <v>GROWTH</v>
      </c>
      <c r="Z1377" s="41">
        <v>0</v>
      </c>
      <c r="AA1377" s="36"/>
      <c r="AB1377" s="36" t="s">
        <v>24</v>
      </c>
      <c r="AC1377" s="36" t="s">
        <v>1836</v>
      </c>
      <c r="AD1377" s="34"/>
      <c r="AE1377" s="35">
        <f>IFERROR(INDEX([1]Last6M_AvgSales_Ref!$B$2:$B$12659,MATCH(D1377,[1]Last6M_AvgSales_Ref!$A$2:$A$12659,0)),"")</f>
        <v>384.16666666666703</v>
      </c>
    </row>
    <row r="1378" spans="1:31" ht="14.25" customHeight="1" x14ac:dyDescent="0.3">
      <c r="A1378" s="52" t="s">
        <v>24</v>
      </c>
      <c r="B1378" s="50" t="s">
        <v>645</v>
      </c>
      <c r="C1378" s="50" t="s">
        <v>2818</v>
      </c>
      <c r="D1378" s="50">
        <v>1000004404</v>
      </c>
      <c r="E1378" s="50" t="s">
        <v>2819</v>
      </c>
      <c r="F1378" s="51">
        <v>45831</v>
      </c>
      <c r="G1378" s="22" t="str">
        <f t="shared" si="294"/>
        <v>-</v>
      </c>
      <c r="H1378" s="22"/>
      <c r="I1378" s="23">
        <v>0</v>
      </c>
      <c r="J1378" s="23">
        <f t="shared" si="295"/>
        <v>0</v>
      </c>
      <c r="K1378" s="24">
        <v>30</v>
      </c>
      <c r="L1378" s="24">
        <f t="shared" si="296"/>
        <v>-30</v>
      </c>
      <c r="M1378" s="24" t="str">
        <f t="shared" si="297"/>
        <v>-</v>
      </c>
      <c r="N1378" s="25">
        <v>0</v>
      </c>
      <c r="O1378" s="26" t="str">
        <f t="shared" si="298"/>
        <v>June</v>
      </c>
      <c r="P1378" s="25">
        <f t="shared" si="299"/>
        <v>0</v>
      </c>
      <c r="Q1378" s="27">
        <f t="shared" si="300"/>
        <v>30</v>
      </c>
      <c r="R1378" s="26" t="b">
        <f t="shared" si="301"/>
        <v>0</v>
      </c>
      <c r="S1378" s="28" t="b">
        <f t="shared" si="302"/>
        <v>0</v>
      </c>
      <c r="T1378" s="24">
        <v>20</v>
      </c>
      <c r="U1378" s="29" t="str">
        <f t="shared" si="303"/>
        <v>May</v>
      </c>
      <c r="V1378" s="24">
        <f t="shared" si="304"/>
        <v>20</v>
      </c>
      <c r="W1378" s="30">
        <f t="shared" si="305"/>
        <v>10</v>
      </c>
      <c r="X1378" s="31" t="b">
        <f t="shared" si="306"/>
        <v>0</v>
      </c>
      <c r="Y1378" s="32" t="str">
        <f t="shared" si="307"/>
        <v>GROWTH</v>
      </c>
      <c r="Z1378" s="41">
        <v>0</v>
      </c>
      <c r="AA1378" s="36"/>
      <c r="AB1378" s="36" t="s">
        <v>24</v>
      </c>
      <c r="AC1378" s="52" t="s">
        <v>24</v>
      </c>
      <c r="AD1378" s="34"/>
      <c r="AE1378" s="35">
        <f>IFERROR(INDEX([1]Last6M_AvgSales_Ref!$B$2:$B$12659,MATCH(D1378,[1]Last6M_AvgSales_Ref!$A$2:$A$12659,0)),"")</f>
        <v>14.1666666666667</v>
      </c>
    </row>
    <row r="1379" spans="1:31" ht="14.25" customHeight="1" x14ac:dyDescent="0.3">
      <c r="A1379" s="52" t="s">
        <v>24</v>
      </c>
      <c r="B1379" s="50" t="s">
        <v>399</v>
      </c>
      <c r="C1379" s="50" t="s">
        <v>2820</v>
      </c>
      <c r="D1379" s="50">
        <v>1000004405</v>
      </c>
      <c r="E1379" s="50" t="s">
        <v>2821</v>
      </c>
      <c r="F1379" s="51">
        <v>45833</v>
      </c>
      <c r="G1379" s="22" t="str">
        <f t="shared" si="294"/>
        <v>Targeted Dealer</v>
      </c>
      <c r="H1379" s="22"/>
      <c r="I1379" s="23">
        <v>240</v>
      </c>
      <c r="J1379" s="23">
        <f t="shared" si="295"/>
        <v>240</v>
      </c>
      <c r="K1379" s="24">
        <v>486.55</v>
      </c>
      <c r="L1379" s="24">
        <f t="shared" si="296"/>
        <v>-246.55</v>
      </c>
      <c r="M1379" s="24">
        <f t="shared" si="297"/>
        <v>202.72916666666669</v>
      </c>
      <c r="N1379" s="25">
        <v>237.65</v>
      </c>
      <c r="O1379" s="26" t="str">
        <f t="shared" si="298"/>
        <v>June</v>
      </c>
      <c r="P1379" s="25">
        <f t="shared" si="299"/>
        <v>237.65</v>
      </c>
      <c r="Q1379" s="27">
        <f t="shared" si="300"/>
        <v>248.9</v>
      </c>
      <c r="R1379" s="26" t="b">
        <f t="shared" si="301"/>
        <v>0</v>
      </c>
      <c r="S1379" s="28" t="str">
        <f t="shared" si="302"/>
        <v>GROWTH</v>
      </c>
      <c r="T1379" s="24">
        <v>16</v>
      </c>
      <c r="U1379" s="29" t="str">
        <f t="shared" si="303"/>
        <v>May</v>
      </c>
      <c r="V1379" s="24">
        <f t="shared" si="304"/>
        <v>16</v>
      </c>
      <c r="W1379" s="30">
        <f t="shared" si="305"/>
        <v>470.55</v>
      </c>
      <c r="X1379" s="31" t="b">
        <f t="shared" si="306"/>
        <v>0</v>
      </c>
      <c r="Y1379" s="32" t="str">
        <f t="shared" si="307"/>
        <v>GROWTH</v>
      </c>
      <c r="Z1379" s="41">
        <v>0</v>
      </c>
      <c r="AA1379" s="36"/>
      <c r="AB1379" s="36" t="s">
        <v>24</v>
      </c>
      <c r="AC1379" s="52" t="s">
        <v>24</v>
      </c>
      <c r="AD1379" s="34"/>
      <c r="AE1379" s="35">
        <f>IFERROR(INDEX([1]Last6M_AvgSales_Ref!$B$2:$B$12659,MATCH(D1379,[1]Last6M_AvgSales_Ref!$A$2:$A$12659,0)),"")</f>
        <v>340.35833333333301</v>
      </c>
    </row>
    <row r="1380" spans="1:31" ht="14.25" customHeight="1" x14ac:dyDescent="0.3">
      <c r="A1380" s="52" t="s">
        <v>848</v>
      </c>
      <c r="B1380" s="50" t="s">
        <v>1101</v>
      </c>
      <c r="C1380" s="50" t="s">
        <v>2822</v>
      </c>
      <c r="D1380" s="50">
        <v>1000004400</v>
      </c>
      <c r="E1380" s="50" t="s">
        <v>2823</v>
      </c>
      <c r="F1380" s="51">
        <v>45838</v>
      </c>
      <c r="G1380" s="22" t="str">
        <f t="shared" si="294"/>
        <v>Targeted Dealer</v>
      </c>
      <c r="H1380" s="22"/>
      <c r="I1380" s="23">
        <v>100</v>
      </c>
      <c r="J1380" s="23">
        <f t="shared" si="295"/>
        <v>100</v>
      </c>
      <c r="K1380" s="24">
        <v>48</v>
      </c>
      <c r="L1380" s="24">
        <f t="shared" si="296"/>
        <v>52</v>
      </c>
      <c r="M1380" s="24">
        <f t="shared" si="297"/>
        <v>48</v>
      </c>
      <c r="N1380" s="25">
        <v>50</v>
      </c>
      <c r="O1380" s="26" t="str">
        <f t="shared" si="298"/>
        <v>June</v>
      </c>
      <c r="P1380" s="25">
        <f t="shared" si="299"/>
        <v>50</v>
      </c>
      <c r="Q1380" s="27">
        <f t="shared" si="300"/>
        <v>-2</v>
      </c>
      <c r="R1380" s="26" t="b">
        <f t="shared" si="301"/>
        <v>0</v>
      </c>
      <c r="S1380" s="28" t="str">
        <f t="shared" si="302"/>
        <v>GROWTH</v>
      </c>
      <c r="T1380" s="24">
        <v>0</v>
      </c>
      <c r="U1380" s="29" t="str">
        <f t="shared" si="303"/>
        <v>May</v>
      </c>
      <c r="V1380" s="24">
        <f t="shared" si="304"/>
        <v>0</v>
      </c>
      <c r="W1380" s="30">
        <f t="shared" si="305"/>
        <v>48</v>
      </c>
      <c r="X1380" s="31" t="b">
        <f t="shared" si="306"/>
        <v>0</v>
      </c>
      <c r="Y1380" s="32" t="b">
        <f t="shared" si="307"/>
        <v>0</v>
      </c>
      <c r="Z1380" s="41">
        <v>0</v>
      </c>
      <c r="AA1380" s="36"/>
      <c r="AB1380" s="36" t="s">
        <v>24</v>
      </c>
      <c r="AC1380" s="52" t="s">
        <v>848</v>
      </c>
      <c r="AD1380" s="34"/>
      <c r="AE1380" s="35">
        <f>IFERROR(INDEX([1]Last6M_AvgSales_Ref!$B$2:$B$12659,MATCH(D1380,[1]Last6M_AvgSales_Ref!$A$2:$A$12659,0)),"")</f>
        <v>45.8333333333333</v>
      </c>
    </row>
    <row r="1381" spans="1:31" ht="14.25" customHeight="1" x14ac:dyDescent="0.3">
      <c r="A1381" s="36" t="s">
        <v>1836</v>
      </c>
      <c r="B1381" s="50" t="s">
        <v>2145</v>
      </c>
      <c r="C1381" s="50" t="s">
        <v>2824</v>
      </c>
      <c r="D1381" s="50">
        <v>1000004407</v>
      </c>
      <c r="E1381" s="50" t="s">
        <v>2825</v>
      </c>
      <c r="F1381" s="51">
        <v>45838</v>
      </c>
      <c r="G1381" s="22" t="str">
        <f t="shared" si="294"/>
        <v>Targeted Dealer</v>
      </c>
      <c r="H1381" s="22"/>
      <c r="I1381" s="23">
        <v>100</v>
      </c>
      <c r="J1381" s="23">
        <f t="shared" si="295"/>
        <v>100</v>
      </c>
      <c r="K1381" s="24">
        <v>215.3</v>
      </c>
      <c r="L1381" s="24">
        <f t="shared" si="296"/>
        <v>-115.30000000000001</v>
      </c>
      <c r="M1381" s="24">
        <f t="shared" si="297"/>
        <v>215.3</v>
      </c>
      <c r="N1381" s="25">
        <v>248.75</v>
      </c>
      <c r="O1381" s="26" t="str">
        <f t="shared" si="298"/>
        <v>June</v>
      </c>
      <c r="P1381" s="25">
        <f t="shared" si="299"/>
        <v>248.75</v>
      </c>
      <c r="Q1381" s="27">
        <f t="shared" si="300"/>
        <v>-33.449999999999989</v>
      </c>
      <c r="R1381" s="26" t="b">
        <f t="shared" si="301"/>
        <v>0</v>
      </c>
      <c r="S1381" s="28" t="str">
        <f t="shared" si="302"/>
        <v>GROWTH</v>
      </c>
      <c r="T1381" s="24">
        <v>0</v>
      </c>
      <c r="U1381" s="29" t="str">
        <f t="shared" si="303"/>
        <v>May</v>
      </c>
      <c r="V1381" s="24">
        <f t="shared" si="304"/>
        <v>0</v>
      </c>
      <c r="W1381" s="30">
        <f t="shared" si="305"/>
        <v>215.3</v>
      </c>
      <c r="X1381" s="31" t="b">
        <f t="shared" si="306"/>
        <v>0</v>
      </c>
      <c r="Y1381" s="32" t="b">
        <f t="shared" si="307"/>
        <v>0</v>
      </c>
      <c r="Z1381" s="41">
        <v>0</v>
      </c>
      <c r="AA1381" s="36"/>
      <c r="AB1381" s="36" t="s">
        <v>24</v>
      </c>
      <c r="AC1381" s="36" t="s">
        <v>1836</v>
      </c>
      <c r="AD1381" s="34"/>
      <c r="AE1381" s="35">
        <f>IFERROR(INDEX([1]Last6M_AvgSales_Ref!$B$2:$B$12659,MATCH(D1381,[1]Last6M_AvgSales_Ref!$A$2:$A$12659,0)),"")</f>
        <v>123.041666666667</v>
      </c>
    </row>
    <row r="1382" spans="1:31" ht="14.25" customHeight="1" x14ac:dyDescent="0.3">
      <c r="A1382" s="36" t="s">
        <v>1836</v>
      </c>
      <c r="B1382" s="50" t="s">
        <v>2004</v>
      </c>
      <c r="C1382" s="50" t="s">
        <v>2826</v>
      </c>
      <c r="D1382" s="50">
        <v>1000004394</v>
      </c>
      <c r="E1382" s="50" t="s">
        <v>2827</v>
      </c>
      <c r="F1382" s="51">
        <v>45827</v>
      </c>
      <c r="G1382" s="22" t="str">
        <f t="shared" si="294"/>
        <v>Targeted Dealer</v>
      </c>
      <c r="H1382" s="22"/>
      <c r="I1382" s="23">
        <v>50</v>
      </c>
      <c r="J1382" s="23">
        <f t="shared" si="295"/>
        <v>50</v>
      </c>
      <c r="K1382" s="24">
        <v>35.5</v>
      </c>
      <c r="L1382" s="24">
        <f t="shared" si="296"/>
        <v>14.5</v>
      </c>
      <c r="M1382" s="24">
        <f t="shared" si="297"/>
        <v>71</v>
      </c>
      <c r="N1382" s="25">
        <v>23</v>
      </c>
      <c r="O1382" s="26" t="str">
        <f t="shared" si="298"/>
        <v>June</v>
      </c>
      <c r="P1382" s="25">
        <f t="shared" si="299"/>
        <v>23</v>
      </c>
      <c r="Q1382" s="27">
        <f t="shared" si="300"/>
        <v>12.5</v>
      </c>
      <c r="R1382" s="26" t="b">
        <f t="shared" si="301"/>
        <v>0</v>
      </c>
      <c r="S1382" s="28" t="str">
        <f t="shared" si="302"/>
        <v>GROWTH</v>
      </c>
      <c r="T1382" s="24">
        <v>0</v>
      </c>
      <c r="U1382" s="29" t="str">
        <f t="shared" si="303"/>
        <v>May</v>
      </c>
      <c r="V1382" s="24">
        <f t="shared" si="304"/>
        <v>0</v>
      </c>
      <c r="W1382" s="30">
        <f t="shared" si="305"/>
        <v>35.5</v>
      </c>
      <c r="X1382" s="31" t="b">
        <f t="shared" si="306"/>
        <v>0</v>
      </c>
      <c r="Y1382" s="32" t="b">
        <f t="shared" si="307"/>
        <v>0</v>
      </c>
      <c r="Z1382" s="41">
        <v>0</v>
      </c>
      <c r="AA1382" s="36"/>
      <c r="AB1382" s="36" t="s">
        <v>24</v>
      </c>
      <c r="AC1382" s="36" t="s">
        <v>1836</v>
      </c>
      <c r="AD1382" s="34"/>
      <c r="AE1382" s="35">
        <f>IFERROR(INDEX([1]Last6M_AvgSales_Ref!$B$2:$B$12659,MATCH(D1382,[1]Last6M_AvgSales_Ref!$A$2:$A$12659,0)),"")</f>
        <v>12.9166666666667</v>
      </c>
    </row>
    <row r="1383" spans="1:31" ht="14.25" customHeight="1" x14ac:dyDescent="0.3">
      <c r="A1383" s="52" t="s">
        <v>24</v>
      </c>
      <c r="B1383" s="50" t="s">
        <v>645</v>
      </c>
      <c r="C1383" s="50" t="s">
        <v>2828</v>
      </c>
      <c r="D1383" s="50">
        <v>1000004399</v>
      </c>
      <c r="E1383" s="50" t="s">
        <v>2829</v>
      </c>
      <c r="F1383" s="51">
        <v>45836</v>
      </c>
      <c r="G1383" s="22" t="str">
        <f t="shared" si="294"/>
        <v>Targeted Dealer</v>
      </c>
      <c r="H1383" s="22"/>
      <c r="I1383" s="23">
        <v>125</v>
      </c>
      <c r="J1383" s="23">
        <f t="shared" si="295"/>
        <v>125.00000000000001</v>
      </c>
      <c r="K1383" s="24">
        <v>140</v>
      </c>
      <c r="L1383" s="24">
        <f t="shared" si="296"/>
        <v>-15</v>
      </c>
      <c r="M1383" s="24">
        <f t="shared" si="297"/>
        <v>111.99999999999999</v>
      </c>
      <c r="N1383" s="25">
        <v>90</v>
      </c>
      <c r="O1383" s="26" t="str">
        <f t="shared" si="298"/>
        <v>June</v>
      </c>
      <c r="P1383" s="25">
        <f t="shared" si="299"/>
        <v>90</v>
      </c>
      <c r="Q1383" s="27">
        <f t="shared" si="300"/>
        <v>50</v>
      </c>
      <c r="R1383" s="26" t="b">
        <f t="shared" si="301"/>
        <v>0</v>
      </c>
      <c r="S1383" s="28" t="str">
        <f t="shared" si="302"/>
        <v>GROWTH</v>
      </c>
      <c r="T1383" s="24">
        <v>0</v>
      </c>
      <c r="U1383" s="29" t="str">
        <f t="shared" si="303"/>
        <v>May</v>
      </c>
      <c r="V1383" s="24">
        <f t="shared" si="304"/>
        <v>0</v>
      </c>
      <c r="W1383" s="30">
        <f t="shared" si="305"/>
        <v>140</v>
      </c>
      <c r="X1383" s="31" t="b">
        <f t="shared" si="306"/>
        <v>0</v>
      </c>
      <c r="Y1383" s="32" t="b">
        <f t="shared" si="307"/>
        <v>0</v>
      </c>
      <c r="Z1383" s="41">
        <v>0</v>
      </c>
      <c r="AA1383" s="36"/>
      <c r="AB1383" s="36" t="s">
        <v>24</v>
      </c>
      <c r="AC1383" s="52" t="s">
        <v>24</v>
      </c>
      <c r="AD1383" s="34"/>
      <c r="AE1383" s="35">
        <f>IFERROR(INDEX([1]Last6M_AvgSales_Ref!$B$2:$B$12659,MATCH(D1383,[1]Last6M_AvgSales_Ref!$A$2:$A$12659,0)),"")</f>
        <v>69.1666666666667</v>
      </c>
    </row>
    <row r="1384" spans="1:31" ht="14.25" customHeight="1" x14ac:dyDescent="0.3">
      <c r="A1384" s="52" t="s">
        <v>848</v>
      </c>
      <c r="B1384" s="50" t="s">
        <v>1098</v>
      </c>
      <c r="C1384" s="50" t="s">
        <v>2830</v>
      </c>
      <c r="D1384" s="50">
        <v>1000004385</v>
      </c>
      <c r="E1384" s="50" t="s">
        <v>2831</v>
      </c>
      <c r="F1384" s="51">
        <v>45818</v>
      </c>
      <c r="G1384" s="22" t="str">
        <f t="shared" si="294"/>
        <v>Targeted Dealer</v>
      </c>
      <c r="H1384" s="22"/>
      <c r="I1384" s="23">
        <v>600</v>
      </c>
      <c r="J1384" s="23">
        <f t="shared" si="295"/>
        <v>600</v>
      </c>
      <c r="K1384" s="24">
        <v>283</v>
      </c>
      <c r="L1384" s="24">
        <f t="shared" si="296"/>
        <v>317</v>
      </c>
      <c r="M1384" s="24">
        <f t="shared" si="297"/>
        <v>47.166666666666664</v>
      </c>
      <c r="N1384" s="25">
        <v>141.5</v>
      </c>
      <c r="O1384" s="26" t="str">
        <f t="shared" si="298"/>
        <v>June</v>
      </c>
      <c r="P1384" s="25">
        <f t="shared" si="299"/>
        <v>141.5</v>
      </c>
      <c r="Q1384" s="27">
        <f t="shared" si="300"/>
        <v>141.5</v>
      </c>
      <c r="R1384" s="26" t="b">
        <f t="shared" si="301"/>
        <v>0</v>
      </c>
      <c r="S1384" s="28" t="str">
        <f t="shared" si="302"/>
        <v>GROWTH</v>
      </c>
      <c r="T1384" s="24">
        <v>0</v>
      </c>
      <c r="U1384" s="29" t="str">
        <f t="shared" si="303"/>
        <v>May</v>
      </c>
      <c r="V1384" s="24">
        <f t="shared" si="304"/>
        <v>0</v>
      </c>
      <c r="W1384" s="30">
        <f t="shared" si="305"/>
        <v>283</v>
      </c>
      <c r="X1384" s="31" t="b">
        <f t="shared" si="306"/>
        <v>0</v>
      </c>
      <c r="Y1384" s="32" t="b">
        <f t="shared" si="307"/>
        <v>0</v>
      </c>
      <c r="Z1384" s="41">
        <v>0</v>
      </c>
      <c r="AA1384" s="36"/>
      <c r="AB1384" s="36" t="s">
        <v>24</v>
      </c>
      <c r="AC1384" s="52" t="s">
        <v>848</v>
      </c>
      <c r="AD1384" s="34"/>
      <c r="AE1384" s="35">
        <f>IFERROR(INDEX([1]Last6M_AvgSales_Ref!$B$2:$B$12659,MATCH(D1384,[1]Last6M_AvgSales_Ref!$A$2:$A$12659,0)),"")</f>
        <v>240.75</v>
      </c>
    </row>
    <row r="1385" spans="1:31" ht="14.25" customHeight="1" x14ac:dyDescent="0.3">
      <c r="A1385" s="52" t="s">
        <v>24</v>
      </c>
      <c r="B1385" s="50" t="s">
        <v>28</v>
      </c>
      <c r="C1385" s="50" t="s">
        <v>2832</v>
      </c>
      <c r="D1385" s="50">
        <v>1000004415</v>
      </c>
      <c r="E1385" s="50" t="s">
        <v>1426</v>
      </c>
      <c r="F1385" s="51">
        <v>45842</v>
      </c>
      <c r="G1385" s="22" t="str">
        <f t="shared" si="294"/>
        <v>Targeted Dealer</v>
      </c>
      <c r="H1385" s="22"/>
      <c r="I1385" s="23">
        <v>80</v>
      </c>
      <c r="J1385" s="23">
        <f t="shared" si="295"/>
        <v>80</v>
      </c>
      <c r="K1385" s="24">
        <v>80</v>
      </c>
      <c r="L1385" s="24">
        <f t="shared" si="296"/>
        <v>0</v>
      </c>
      <c r="M1385" s="24">
        <f t="shared" si="297"/>
        <v>100</v>
      </c>
      <c r="N1385" s="25">
        <v>45</v>
      </c>
      <c r="O1385" s="26" t="str">
        <f t="shared" si="298"/>
        <v>June</v>
      </c>
      <c r="P1385" s="25">
        <f t="shared" si="299"/>
        <v>45</v>
      </c>
      <c r="Q1385" s="27">
        <f t="shared" si="300"/>
        <v>35</v>
      </c>
      <c r="R1385" s="26" t="b">
        <f t="shared" si="301"/>
        <v>0</v>
      </c>
      <c r="S1385" s="28" t="str">
        <f t="shared" si="302"/>
        <v>GROWTH</v>
      </c>
      <c r="T1385" s="24">
        <v>0</v>
      </c>
      <c r="U1385" s="29" t="str">
        <f t="shared" si="303"/>
        <v>May</v>
      </c>
      <c r="V1385" s="24">
        <f t="shared" si="304"/>
        <v>0</v>
      </c>
      <c r="W1385" s="30">
        <f t="shared" si="305"/>
        <v>80</v>
      </c>
      <c r="X1385" s="31" t="b">
        <f t="shared" si="306"/>
        <v>0</v>
      </c>
      <c r="Y1385" s="32" t="b">
        <f t="shared" si="307"/>
        <v>0</v>
      </c>
      <c r="Z1385" s="41">
        <v>0</v>
      </c>
      <c r="AA1385" s="36"/>
      <c r="AB1385" s="36" t="s">
        <v>24</v>
      </c>
      <c r="AC1385" s="52" t="s">
        <v>24</v>
      </c>
      <c r="AD1385" s="34"/>
      <c r="AE1385" s="35">
        <f>IFERROR(INDEX([1]Last6M_AvgSales_Ref!$B$2:$B$12659,MATCH(D1385,[1]Last6M_AvgSales_Ref!$A$2:$A$12659,0)),"")</f>
        <v>64.5833333333333</v>
      </c>
    </row>
    <row r="1386" spans="1:31" ht="14.25" customHeight="1" x14ac:dyDescent="0.3">
      <c r="A1386" s="52" t="s">
        <v>24</v>
      </c>
      <c r="B1386" s="50" t="s">
        <v>570</v>
      </c>
      <c r="C1386" s="50" t="s">
        <v>2833</v>
      </c>
      <c r="D1386" s="50">
        <v>1000004414</v>
      </c>
      <c r="E1386" s="50" t="s">
        <v>2834</v>
      </c>
      <c r="F1386" s="51">
        <v>45841</v>
      </c>
      <c r="G1386" s="22" t="str">
        <f t="shared" si="294"/>
        <v>Targeted Dealer</v>
      </c>
      <c r="H1386" s="22"/>
      <c r="I1386" s="23">
        <v>60</v>
      </c>
      <c r="J1386" s="23">
        <f t="shared" si="295"/>
        <v>60</v>
      </c>
      <c r="K1386" s="24">
        <v>28</v>
      </c>
      <c r="L1386" s="24">
        <f t="shared" si="296"/>
        <v>32</v>
      </c>
      <c r="M1386" s="24">
        <f t="shared" si="297"/>
        <v>46.666666666666671</v>
      </c>
      <c r="N1386" s="25">
        <v>65</v>
      </c>
      <c r="O1386" s="26" t="str">
        <f t="shared" si="298"/>
        <v>June</v>
      </c>
      <c r="P1386" s="25">
        <f t="shared" si="299"/>
        <v>65</v>
      </c>
      <c r="Q1386" s="27">
        <f t="shared" si="300"/>
        <v>-37</v>
      </c>
      <c r="R1386" s="26" t="b">
        <f t="shared" si="301"/>
        <v>0</v>
      </c>
      <c r="S1386" s="28" t="str">
        <f t="shared" si="302"/>
        <v>GROWTH</v>
      </c>
      <c r="T1386" s="24">
        <v>0</v>
      </c>
      <c r="U1386" s="29" t="str">
        <f t="shared" si="303"/>
        <v>May</v>
      </c>
      <c r="V1386" s="24">
        <f t="shared" si="304"/>
        <v>0</v>
      </c>
      <c r="W1386" s="30">
        <f t="shared" si="305"/>
        <v>28</v>
      </c>
      <c r="X1386" s="31" t="b">
        <f t="shared" si="306"/>
        <v>0</v>
      </c>
      <c r="Y1386" s="32" t="b">
        <f t="shared" si="307"/>
        <v>0</v>
      </c>
      <c r="Z1386" s="41">
        <v>0</v>
      </c>
      <c r="AA1386" s="36"/>
      <c r="AB1386" s="36" t="s">
        <v>24</v>
      </c>
      <c r="AC1386" s="52" t="s">
        <v>24</v>
      </c>
      <c r="AD1386" s="34"/>
      <c r="AE1386" s="35">
        <f>IFERROR(INDEX([1]Last6M_AvgSales_Ref!$B$2:$B$12659,MATCH(D1386,[1]Last6M_AvgSales_Ref!$A$2:$A$12659,0)),"")</f>
        <v>86.858333333333306</v>
      </c>
    </row>
    <row r="1387" spans="1:31" ht="14.25" customHeight="1" x14ac:dyDescent="0.3">
      <c r="A1387" s="52" t="s">
        <v>24</v>
      </c>
      <c r="B1387" s="50" t="s">
        <v>174</v>
      </c>
      <c r="C1387" s="50" t="s">
        <v>2835</v>
      </c>
      <c r="D1387" s="50">
        <v>1000004401</v>
      </c>
      <c r="E1387" s="50" t="s">
        <v>2836</v>
      </c>
      <c r="F1387" s="51">
        <v>45839</v>
      </c>
      <c r="G1387" s="22" t="str">
        <f t="shared" si="294"/>
        <v>Targeted Dealer</v>
      </c>
      <c r="H1387" s="22"/>
      <c r="I1387" s="23">
        <v>20</v>
      </c>
      <c r="J1387" s="23">
        <f t="shared" si="295"/>
        <v>20</v>
      </c>
      <c r="K1387" s="24">
        <v>19</v>
      </c>
      <c r="L1387" s="24">
        <f t="shared" si="296"/>
        <v>1</v>
      </c>
      <c r="M1387" s="24">
        <f t="shared" si="297"/>
        <v>95</v>
      </c>
      <c r="N1387" s="25">
        <v>12.5</v>
      </c>
      <c r="O1387" s="26" t="str">
        <f t="shared" si="298"/>
        <v>June</v>
      </c>
      <c r="P1387" s="25">
        <f t="shared" si="299"/>
        <v>12.5</v>
      </c>
      <c r="Q1387" s="27">
        <f t="shared" si="300"/>
        <v>6.5</v>
      </c>
      <c r="R1387" s="26" t="b">
        <f t="shared" si="301"/>
        <v>0</v>
      </c>
      <c r="S1387" s="28" t="str">
        <f t="shared" si="302"/>
        <v>GROWTH</v>
      </c>
      <c r="T1387" s="24">
        <v>0</v>
      </c>
      <c r="U1387" s="29" t="str">
        <f t="shared" si="303"/>
        <v>May</v>
      </c>
      <c r="V1387" s="24">
        <f t="shared" si="304"/>
        <v>0</v>
      </c>
      <c r="W1387" s="30">
        <f t="shared" si="305"/>
        <v>19</v>
      </c>
      <c r="X1387" s="31" t="b">
        <f t="shared" si="306"/>
        <v>0</v>
      </c>
      <c r="Y1387" s="32" t="b">
        <f t="shared" si="307"/>
        <v>0</v>
      </c>
      <c r="Z1387" s="41">
        <v>0</v>
      </c>
      <c r="AA1387" s="36"/>
      <c r="AB1387" s="36" t="s">
        <v>24</v>
      </c>
      <c r="AC1387" s="52" t="s">
        <v>24</v>
      </c>
      <c r="AD1387" s="34"/>
      <c r="AE1387" s="35">
        <f>IFERROR(INDEX([1]Last6M_AvgSales_Ref!$B$2:$B$12659,MATCH(D1387,[1]Last6M_AvgSales_Ref!$A$2:$A$12659,0)),"")</f>
        <v>12.5833333333333</v>
      </c>
    </row>
    <row r="1388" spans="1:31" ht="14.25" customHeight="1" x14ac:dyDescent="0.3">
      <c r="A1388" s="52" t="s">
        <v>848</v>
      </c>
      <c r="B1388" s="50" t="s">
        <v>1329</v>
      </c>
      <c r="C1388" s="50" t="s">
        <v>2837</v>
      </c>
      <c r="D1388" s="50">
        <v>1000004412</v>
      </c>
      <c r="E1388" s="50" t="s">
        <v>2838</v>
      </c>
      <c r="F1388" s="51">
        <v>45840</v>
      </c>
      <c r="G1388" s="22" t="str">
        <f t="shared" si="294"/>
        <v>Targeted Dealer</v>
      </c>
      <c r="H1388" s="22"/>
      <c r="I1388" s="23">
        <v>100</v>
      </c>
      <c r="J1388" s="23">
        <f t="shared" si="295"/>
        <v>100</v>
      </c>
      <c r="K1388" s="24">
        <v>26</v>
      </c>
      <c r="L1388" s="24">
        <f t="shared" si="296"/>
        <v>74</v>
      </c>
      <c r="M1388" s="24">
        <f t="shared" si="297"/>
        <v>26</v>
      </c>
      <c r="N1388" s="25">
        <v>0</v>
      </c>
      <c r="O1388" s="26" t="str">
        <f t="shared" si="298"/>
        <v>June</v>
      </c>
      <c r="P1388" s="25">
        <f t="shared" si="299"/>
        <v>0</v>
      </c>
      <c r="Q1388" s="27">
        <f t="shared" si="300"/>
        <v>26</v>
      </c>
      <c r="R1388" s="26" t="b">
        <f t="shared" si="301"/>
        <v>0</v>
      </c>
      <c r="S1388" s="28" t="b">
        <f t="shared" si="302"/>
        <v>0</v>
      </c>
      <c r="T1388" s="24">
        <v>0</v>
      </c>
      <c r="U1388" s="29" t="str">
        <f t="shared" si="303"/>
        <v>May</v>
      </c>
      <c r="V1388" s="24">
        <f t="shared" si="304"/>
        <v>0</v>
      </c>
      <c r="W1388" s="30">
        <f t="shared" si="305"/>
        <v>26</v>
      </c>
      <c r="X1388" s="31" t="b">
        <f t="shared" si="306"/>
        <v>0</v>
      </c>
      <c r="Y1388" s="32" t="b">
        <f t="shared" si="307"/>
        <v>0</v>
      </c>
      <c r="Z1388" s="41">
        <v>0</v>
      </c>
      <c r="AA1388" s="36"/>
      <c r="AB1388" s="36" t="s">
        <v>24</v>
      </c>
      <c r="AC1388" s="52" t="s">
        <v>848</v>
      </c>
      <c r="AD1388" s="34"/>
      <c r="AE1388" s="35">
        <f>IFERROR(INDEX([1]Last6M_AvgSales_Ref!$B$2:$B$12659,MATCH(D1388,[1]Last6M_AvgSales_Ref!$A$2:$A$12659,0)),"")</f>
        <v>83.491666666666703</v>
      </c>
    </row>
    <row r="1389" spans="1:31" ht="14.25" customHeight="1" x14ac:dyDescent="0.3">
      <c r="A1389" s="52" t="s">
        <v>2185</v>
      </c>
      <c r="B1389" s="50" t="s">
        <v>2425</v>
      </c>
      <c r="C1389" s="50" t="s">
        <v>2839</v>
      </c>
      <c r="D1389" s="50">
        <v>1000004411</v>
      </c>
      <c r="E1389" s="50" t="s">
        <v>2840</v>
      </c>
      <c r="F1389" s="51">
        <v>45848</v>
      </c>
      <c r="G1389" s="22" t="str">
        <f t="shared" si="294"/>
        <v>Targeted Dealer</v>
      </c>
      <c r="H1389" s="22"/>
      <c r="I1389" s="23">
        <v>30</v>
      </c>
      <c r="J1389" s="23">
        <f t="shared" si="295"/>
        <v>30</v>
      </c>
      <c r="K1389" s="24">
        <v>6</v>
      </c>
      <c r="L1389" s="24">
        <f t="shared" si="296"/>
        <v>24</v>
      </c>
      <c r="M1389" s="24">
        <f t="shared" si="297"/>
        <v>20</v>
      </c>
      <c r="N1389" s="25">
        <v>12.5</v>
      </c>
      <c r="O1389" s="26" t="str">
        <f t="shared" si="298"/>
        <v>June</v>
      </c>
      <c r="P1389" s="25">
        <f t="shared" si="299"/>
        <v>12.5</v>
      </c>
      <c r="Q1389" s="27">
        <f t="shared" si="300"/>
        <v>-6.5</v>
      </c>
      <c r="R1389" s="26" t="b">
        <f t="shared" si="301"/>
        <v>0</v>
      </c>
      <c r="S1389" s="28" t="str">
        <f t="shared" si="302"/>
        <v>GROWTH</v>
      </c>
      <c r="T1389" s="24">
        <v>0</v>
      </c>
      <c r="U1389" s="29" t="str">
        <f t="shared" si="303"/>
        <v>May</v>
      </c>
      <c r="V1389" s="24">
        <f t="shared" si="304"/>
        <v>0</v>
      </c>
      <c r="W1389" s="30">
        <f t="shared" si="305"/>
        <v>6</v>
      </c>
      <c r="X1389" s="31" t="b">
        <f t="shared" si="306"/>
        <v>0</v>
      </c>
      <c r="Y1389" s="32" t="b">
        <f t="shared" si="307"/>
        <v>0</v>
      </c>
      <c r="Z1389" s="41">
        <v>0</v>
      </c>
      <c r="AA1389" s="36"/>
      <c r="AB1389" s="36" t="s">
        <v>24</v>
      </c>
      <c r="AC1389" s="52" t="s">
        <v>2185</v>
      </c>
      <c r="AD1389" s="34"/>
      <c r="AE1389" s="35">
        <f>IFERROR(INDEX([1]Last6M_AvgSales_Ref!$B$2:$B$12659,MATCH(D1389,[1]Last6M_AvgSales_Ref!$A$2:$A$12659,0)),"")</f>
        <v>26.3333333333333</v>
      </c>
    </row>
    <row r="1390" spans="1:31" ht="14.25" customHeight="1" x14ac:dyDescent="0.3">
      <c r="A1390" s="52" t="s">
        <v>24</v>
      </c>
      <c r="B1390" s="50" t="s">
        <v>174</v>
      </c>
      <c r="C1390" s="50" t="s">
        <v>2841</v>
      </c>
      <c r="D1390" s="50">
        <v>1000004410</v>
      </c>
      <c r="E1390" s="50" t="s">
        <v>2842</v>
      </c>
      <c r="F1390" s="51">
        <v>45848</v>
      </c>
      <c r="G1390" s="22" t="str">
        <f t="shared" si="294"/>
        <v>Targeted Dealer</v>
      </c>
      <c r="H1390" s="22"/>
      <c r="I1390" s="23">
        <v>80</v>
      </c>
      <c r="J1390" s="23">
        <f t="shared" si="295"/>
        <v>80</v>
      </c>
      <c r="K1390" s="24">
        <v>87</v>
      </c>
      <c r="L1390" s="24">
        <f t="shared" si="296"/>
        <v>-7</v>
      </c>
      <c r="M1390" s="24">
        <f t="shared" si="297"/>
        <v>108.75</v>
      </c>
      <c r="N1390" s="25">
        <v>80</v>
      </c>
      <c r="O1390" s="26" t="str">
        <f t="shared" si="298"/>
        <v>June</v>
      </c>
      <c r="P1390" s="25">
        <f t="shared" si="299"/>
        <v>80</v>
      </c>
      <c r="Q1390" s="27">
        <f t="shared" si="300"/>
        <v>7</v>
      </c>
      <c r="R1390" s="26" t="b">
        <f t="shared" si="301"/>
        <v>0</v>
      </c>
      <c r="S1390" s="28" t="str">
        <f t="shared" si="302"/>
        <v>GROWTH</v>
      </c>
      <c r="T1390" s="24">
        <v>0</v>
      </c>
      <c r="U1390" s="29" t="str">
        <f t="shared" si="303"/>
        <v>May</v>
      </c>
      <c r="V1390" s="24">
        <f t="shared" si="304"/>
        <v>0</v>
      </c>
      <c r="W1390" s="30">
        <f t="shared" si="305"/>
        <v>87</v>
      </c>
      <c r="X1390" s="31" t="b">
        <f t="shared" si="306"/>
        <v>0</v>
      </c>
      <c r="Y1390" s="32" t="b">
        <f t="shared" si="307"/>
        <v>0</v>
      </c>
      <c r="Z1390" s="41">
        <v>0</v>
      </c>
      <c r="AA1390" s="36"/>
      <c r="AB1390" s="36" t="s">
        <v>24</v>
      </c>
      <c r="AC1390" s="52" t="s">
        <v>24</v>
      </c>
      <c r="AD1390" s="34"/>
      <c r="AE1390" s="35">
        <f>IFERROR(INDEX([1]Last6M_AvgSales_Ref!$B$2:$B$12659,MATCH(D1390,[1]Last6M_AvgSales_Ref!$A$2:$A$12659,0)),"")</f>
        <v>71.9166666666667</v>
      </c>
    </row>
    <row r="1391" spans="1:31" ht="14.25" customHeight="1" x14ac:dyDescent="0.3">
      <c r="A1391" s="52" t="s">
        <v>24</v>
      </c>
      <c r="B1391" s="50" t="s">
        <v>25</v>
      </c>
      <c r="C1391" s="50" t="s">
        <v>2843</v>
      </c>
      <c r="D1391" s="50">
        <v>1000004424</v>
      </c>
      <c r="E1391" s="50" t="s">
        <v>2844</v>
      </c>
      <c r="F1391" s="51">
        <v>45850</v>
      </c>
      <c r="G1391" s="22" t="str">
        <f t="shared" si="294"/>
        <v>Targeted Dealer</v>
      </c>
      <c r="H1391" s="22"/>
      <c r="I1391" s="23">
        <v>78</v>
      </c>
      <c r="J1391" s="23">
        <f t="shared" si="295"/>
        <v>78</v>
      </c>
      <c r="K1391" s="24">
        <v>78</v>
      </c>
      <c r="L1391" s="24">
        <f t="shared" si="296"/>
        <v>0</v>
      </c>
      <c r="M1391" s="24">
        <f t="shared" si="297"/>
        <v>100</v>
      </c>
      <c r="N1391" s="25">
        <v>104</v>
      </c>
      <c r="O1391" s="26" t="str">
        <f t="shared" si="298"/>
        <v>June</v>
      </c>
      <c r="P1391" s="25">
        <f t="shared" si="299"/>
        <v>104</v>
      </c>
      <c r="Q1391" s="27">
        <f t="shared" si="300"/>
        <v>-26</v>
      </c>
      <c r="R1391" s="26" t="b">
        <f t="shared" si="301"/>
        <v>0</v>
      </c>
      <c r="S1391" s="28" t="str">
        <f t="shared" si="302"/>
        <v>GROWTH</v>
      </c>
      <c r="T1391" s="24">
        <v>0</v>
      </c>
      <c r="U1391" s="29" t="str">
        <f t="shared" si="303"/>
        <v>May</v>
      </c>
      <c r="V1391" s="24">
        <f t="shared" si="304"/>
        <v>0</v>
      </c>
      <c r="W1391" s="30">
        <f t="shared" si="305"/>
        <v>78</v>
      </c>
      <c r="X1391" s="31" t="b">
        <f t="shared" si="306"/>
        <v>0</v>
      </c>
      <c r="Y1391" s="32" t="b">
        <f t="shared" si="307"/>
        <v>0</v>
      </c>
      <c r="Z1391" s="41">
        <v>0</v>
      </c>
      <c r="AA1391" s="36"/>
      <c r="AB1391" s="36" t="s">
        <v>24</v>
      </c>
      <c r="AC1391" s="52" t="s">
        <v>24</v>
      </c>
      <c r="AD1391" s="34"/>
      <c r="AE1391" s="35">
        <f>IFERROR(INDEX([1]Last6M_AvgSales_Ref!$B$2:$B$12659,MATCH(D1391,[1]Last6M_AvgSales_Ref!$A$2:$A$12659,0)),"")</f>
        <v>70.0833333333333</v>
      </c>
    </row>
    <row r="1392" spans="1:31" ht="14.25" customHeight="1" x14ac:dyDescent="0.3">
      <c r="A1392" s="36" t="s">
        <v>1836</v>
      </c>
      <c r="B1392" s="50" t="s">
        <v>2004</v>
      </c>
      <c r="C1392" s="50" t="s">
        <v>2845</v>
      </c>
      <c r="D1392" s="50">
        <v>1000004422</v>
      </c>
      <c r="E1392" s="50" t="s">
        <v>2846</v>
      </c>
      <c r="F1392" s="51">
        <v>45849</v>
      </c>
      <c r="G1392" s="22" t="str">
        <f t="shared" si="294"/>
        <v>Targeted Dealer</v>
      </c>
      <c r="H1392" s="22"/>
      <c r="I1392" s="23">
        <v>30</v>
      </c>
      <c r="J1392" s="23">
        <f t="shared" si="295"/>
        <v>30</v>
      </c>
      <c r="K1392" s="24">
        <v>3.5</v>
      </c>
      <c r="L1392" s="24">
        <f t="shared" si="296"/>
        <v>26.5</v>
      </c>
      <c r="M1392" s="24">
        <f t="shared" si="297"/>
        <v>11.666666666666668</v>
      </c>
      <c r="N1392" s="25">
        <v>0</v>
      </c>
      <c r="O1392" s="26" t="str">
        <f t="shared" si="298"/>
        <v>June</v>
      </c>
      <c r="P1392" s="25">
        <f t="shared" si="299"/>
        <v>0</v>
      </c>
      <c r="Q1392" s="27">
        <f t="shared" si="300"/>
        <v>3.5</v>
      </c>
      <c r="R1392" s="26" t="b">
        <f t="shared" si="301"/>
        <v>0</v>
      </c>
      <c r="S1392" s="28" t="b">
        <f t="shared" si="302"/>
        <v>0</v>
      </c>
      <c r="T1392" s="24">
        <v>0</v>
      </c>
      <c r="U1392" s="29" t="str">
        <f t="shared" si="303"/>
        <v>May</v>
      </c>
      <c r="V1392" s="24">
        <f t="shared" si="304"/>
        <v>0</v>
      </c>
      <c r="W1392" s="30">
        <f t="shared" si="305"/>
        <v>3.5</v>
      </c>
      <c r="X1392" s="31" t="b">
        <f t="shared" si="306"/>
        <v>0</v>
      </c>
      <c r="Y1392" s="32" t="b">
        <f t="shared" si="307"/>
        <v>0</v>
      </c>
      <c r="Z1392" s="41">
        <v>0</v>
      </c>
      <c r="AA1392" s="36"/>
      <c r="AB1392" s="36" t="s">
        <v>24</v>
      </c>
      <c r="AC1392" s="36" t="s">
        <v>1836</v>
      </c>
      <c r="AD1392" s="34"/>
      <c r="AE1392" s="35">
        <f>IFERROR(INDEX([1]Last6M_AvgSales_Ref!$B$2:$B$12659,MATCH(D1392,[1]Last6M_AvgSales_Ref!$A$2:$A$12659,0)),"")</f>
        <v>12.75</v>
      </c>
    </row>
    <row r="1393" spans="1:31" ht="14.25" customHeight="1" x14ac:dyDescent="0.3">
      <c r="A1393" s="52" t="s">
        <v>2185</v>
      </c>
      <c r="B1393" s="50" t="s">
        <v>2316</v>
      </c>
      <c r="C1393" s="50" t="s">
        <v>2847</v>
      </c>
      <c r="D1393" s="50">
        <v>1000001182</v>
      </c>
      <c r="E1393" s="50" t="s">
        <v>2848</v>
      </c>
      <c r="F1393" s="51">
        <v>44739</v>
      </c>
      <c r="G1393" s="22" t="str">
        <f t="shared" si="294"/>
        <v>Targeted Dealer</v>
      </c>
      <c r="H1393" s="22"/>
      <c r="I1393" s="23">
        <v>25</v>
      </c>
      <c r="J1393" s="23">
        <f t="shared" si="295"/>
        <v>25</v>
      </c>
      <c r="K1393" s="24">
        <v>55</v>
      </c>
      <c r="L1393" s="24">
        <f t="shared" si="296"/>
        <v>-30</v>
      </c>
      <c r="M1393" s="24">
        <f t="shared" si="297"/>
        <v>220</v>
      </c>
      <c r="N1393" s="25">
        <v>25</v>
      </c>
      <c r="O1393" s="26" t="str">
        <f t="shared" si="298"/>
        <v>June</v>
      </c>
      <c r="P1393" s="25">
        <f t="shared" si="299"/>
        <v>25</v>
      </c>
      <c r="Q1393" s="27">
        <f t="shared" si="300"/>
        <v>30</v>
      </c>
      <c r="R1393" s="26" t="b">
        <f t="shared" si="301"/>
        <v>0</v>
      </c>
      <c r="S1393" s="28" t="str">
        <f t="shared" si="302"/>
        <v>GROWTH</v>
      </c>
      <c r="T1393" s="24">
        <v>0</v>
      </c>
      <c r="U1393" s="29" t="str">
        <f t="shared" si="303"/>
        <v>May</v>
      </c>
      <c r="V1393" s="24">
        <f t="shared" si="304"/>
        <v>0</v>
      </c>
      <c r="W1393" s="30">
        <f t="shared" si="305"/>
        <v>55</v>
      </c>
      <c r="X1393" s="31" t="b">
        <f t="shared" si="306"/>
        <v>0</v>
      </c>
      <c r="Y1393" s="32" t="b">
        <f t="shared" si="307"/>
        <v>0</v>
      </c>
      <c r="Z1393" s="41">
        <v>0</v>
      </c>
      <c r="AA1393" s="36"/>
      <c r="AB1393" s="36" t="s">
        <v>24</v>
      </c>
      <c r="AC1393" s="52" t="s">
        <v>2185</v>
      </c>
      <c r="AD1393" s="34"/>
      <c r="AE1393" s="35">
        <f>IFERROR(INDEX([1]Last6M_AvgSales_Ref!$B$2:$B$12659,MATCH(D1393,[1]Last6M_AvgSales_Ref!$A$2:$A$12659,0)),"")</f>
        <v>41.6666666666667</v>
      </c>
    </row>
    <row r="1394" spans="1:31" ht="14.25" customHeight="1" x14ac:dyDescent="0.3">
      <c r="A1394" s="52" t="s">
        <v>2185</v>
      </c>
      <c r="B1394" s="50" t="s">
        <v>2353</v>
      </c>
      <c r="C1394" s="50" t="s">
        <v>2849</v>
      </c>
      <c r="D1394" s="50">
        <v>1000004416</v>
      </c>
      <c r="E1394" s="50" t="s">
        <v>2850</v>
      </c>
      <c r="F1394" s="51">
        <v>45843</v>
      </c>
      <c r="G1394" s="22" t="str">
        <f t="shared" si="294"/>
        <v>Targeted Dealer</v>
      </c>
      <c r="H1394" s="22"/>
      <c r="I1394" s="23">
        <v>25</v>
      </c>
      <c r="J1394" s="23">
        <f t="shared" si="295"/>
        <v>25</v>
      </c>
      <c r="K1394" s="24">
        <v>10</v>
      </c>
      <c r="L1394" s="24">
        <f t="shared" si="296"/>
        <v>15</v>
      </c>
      <c r="M1394" s="24">
        <f t="shared" si="297"/>
        <v>40</v>
      </c>
      <c r="N1394" s="25">
        <v>0</v>
      </c>
      <c r="O1394" s="26" t="str">
        <f t="shared" si="298"/>
        <v>June</v>
      </c>
      <c r="P1394" s="25">
        <f t="shared" si="299"/>
        <v>0</v>
      </c>
      <c r="Q1394" s="27">
        <f t="shared" si="300"/>
        <v>10</v>
      </c>
      <c r="R1394" s="26" t="b">
        <f t="shared" si="301"/>
        <v>0</v>
      </c>
      <c r="S1394" s="28" t="b">
        <f t="shared" si="302"/>
        <v>0</v>
      </c>
      <c r="T1394" s="24">
        <v>0</v>
      </c>
      <c r="U1394" s="29" t="str">
        <f t="shared" si="303"/>
        <v>May</v>
      </c>
      <c r="V1394" s="24">
        <f t="shared" si="304"/>
        <v>0</v>
      </c>
      <c r="W1394" s="30">
        <f t="shared" si="305"/>
        <v>10</v>
      </c>
      <c r="X1394" s="31" t="b">
        <f t="shared" si="306"/>
        <v>0</v>
      </c>
      <c r="Y1394" s="32" t="b">
        <f t="shared" si="307"/>
        <v>0</v>
      </c>
      <c r="Z1394" s="41">
        <v>0</v>
      </c>
      <c r="AA1394" s="36"/>
      <c r="AB1394" s="36" t="s">
        <v>24</v>
      </c>
      <c r="AC1394" s="52" t="s">
        <v>2185</v>
      </c>
      <c r="AD1394" s="34"/>
      <c r="AE1394" s="35">
        <f>IFERROR(INDEX([1]Last6M_AvgSales_Ref!$B$2:$B$12659,MATCH(D1394,[1]Last6M_AvgSales_Ref!$A$2:$A$12659,0)),"")</f>
        <v>6.25</v>
      </c>
    </row>
    <row r="1395" spans="1:31" ht="14.25" customHeight="1" x14ac:dyDescent="0.3">
      <c r="A1395" s="52" t="s">
        <v>2185</v>
      </c>
      <c r="B1395" s="50" t="s">
        <v>2287</v>
      </c>
      <c r="C1395" s="50" t="s">
        <v>2851</v>
      </c>
      <c r="D1395" s="50">
        <v>1000004402</v>
      </c>
      <c r="E1395" s="50" t="s">
        <v>2852</v>
      </c>
      <c r="F1395" s="51">
        <v>45827</v>
      </c>
      <c r="G1395" s="22" t="str">
        <f t="shared" si="294"/>
        <v>Targeted Dealer</v>
      </c>
      <c r="H1395" s="22"/>
      <c r="I1395" s="23">
        <v>50</v>
      </c>
      <c r="J1395" s="23">
        <f t="shared" si="295"/>
        <v>50</v>
      </c>
      <c r="K1395" s="24">
        <v>75</v>
      </c>
      <c r="L1395" s="24">
        <f t="shared" si="296"/>
        <v>-25</v>
      </c>
      <c r="M1395" s="24">
        <f t="shared" si="297"/>
        <v>150</v>
      </c>
      <c r="N1395" s="25">
        <v>110</v>
      </c>
      <c r="O1395" s="26" t="str">
        <f t="shared" si="298"/>
        <v>June</v>
      </c>
      <c r="P1395" s="25">
        <f t="shared" si="299"/>
        <v>110</v>
      </c>
      <c r="Q1395" s="27">
        <f t="shared" si="300"/>
        <v>-35</v>
      </c>
      <c r="R1395" s="26" t="b">
        <f t="shared" si="301"/>
        <v>0</v>
      </c>
      <c r="S1395" s="28" t="str">
        <f t="shared" si="302"/>
        <v>GROWTH</v>
      </c>
      <c r="T1395" s="24">
        <v>0</v>
      </c>
      <c r="U1395" s="29" t="str">
        <f t="shared" si="303"/>
        <v>May</v>
      </c>
      <c r="V1395" s="24">
        <f t="shared" si="304"/>
        <v>0</v>
      </c>
      <c r="W1395" s="30">
        <f t="shared" si="305"/>
        <v>75</v>
      </c>
      <c r="X1395" s="31" t="b">
        <f t="shared" si="306"/>
        <v>0</v>
      </c>
      <c r="Y1395" s="32" t="b">
        <f t="shared" si="307"/>
        <v>0</v>
      </c>
      <c r="Z1395" s="41">
        <v>0</v>
      </c>
      <c r="AA1395" s="36"/>
      <c r="AB1395" s="36" t="s">
        <v>24</v>
      </c>
      <c r="AC1395" s="52" t="s">
        <v>2185</v>
      </c>
      <c r="AD1395" s="34"/>
      <c r="AE1395" s="35">
        <f>IFERROR(INDEX([1]Last6M_AvgSales_Ref!$B$2:$B$12659,MATCH(D1395,[1]Last6M_AvgSales_Ref!$A$2:$A$12659,0)),"")</f>
        <v>64.1666666666667</v>
      </c>
    </row>
    <row r="1396" spans="1:31" ht="14.25" customHeight="1" x14ac:dyDescent="0.3">
      <c r="A1396" s="52" t="s">
        <v>24</v>
      </c>
      <c r="B1396" s="50" t="s">
        <v>504</v>
      </c>
      <c r="C1396" s="50" t="s">
        <v>2853</v>
      </c>
      <c r="D1396" s="50">
        <v>1000004433</v>
      </c>
      <c r="E1396" s="50" t="s">
        <v>2854</v>
      </c>
      <c r="F1396" s="51">
        <v>45856</v>
      </c>
      <c r="G1396" s="22" t="str">
        <f t="shared" si="294"/>
        <v>Targeted Dealer</v>
      </c>
      <c r="H1396" s="22"/>
      <c r="I1396" s="23">
        <v>70</v>
      </c>
      <c r="J1396" s="23">
        <f t="shared" si="295"/>
        <v>70</v>
      </c>
      <c r="K1396" s="24">
        <v>70</v>
      </c>
      <c r="L1396" s="24">
        <f t="shared" si="296"/>
        <v>0</v>
      </c>
      <c r="M1396" s="24">
        <f t="shared" si="297"/>
        <v>100</v>
      </c>
      <c r="N1396" s="25">
        <v>15</v>
      </c>
      <c r="O1396" s="26" t="str">
        <f t="shared" si="298"/>
        <v>June</v>
      </c>
      <c r="P1396" s="25">
        <f t="shared" si="299"/>
        <v>15</v>
      </c>
      <c r="Q1396" s="27">
        <f t="shared" si="300"/>
        <v>55</v>
      </c>
      <c r="R1396" s="26" t="b">
        <f t="shared" si="301"/>
        <v>0</v>
      </c>
      <c r="S1396" s="28" t="str">
        <f t="shared" si="302"/>
        <v>GROWTH</v>
      </c>
      <c r="T1396" s="24">
        <v>0</v>
      </c>
      <c r="U1396" s="29" t="str">
        <f t="shared" si="303"/>
        <v>May</v>
      </c>
      <c r="V1396" s="24">
        <f t="shared" si="304"/>
        <v>0</v>
      </c>
      <c r="W1396" s="30">
        <f t="shared" si="305"/>
        <v>70</v>
      </c>
      <c r="X1396" s="31" t="b">
        <f t="shared" si="306"/>
        <v>0</v>
      </c>
      <c r="Y1396" s="32" t="b">
        <f t="shared" si="307"/>
        <v>0</v>
      </c>
      <c r="Z1396" s="41">
        <v>0</v>
      </c>
      <c r="AA1396" s="36"/>
      <c r="AB1396" s="36" t="s">
        <v>24</v>
      </c>
      <c r="AC1396" s="52" t="s">
        <v>24</v>
      </c>
      <c r="AD1396" s="34"/>
      <c r="AE1396" s="35">
        <f>IFERROR(INDEX([1]Last6M_AvgSales_Ref!$B$2:$B$12659,MATCH(D1396,[1]Last6M_AvgSales_Ref!$A$2:$A$12659,0)),"")</f>
        <v>51.6666666666667</v>
      </c>
    </row>
    <row r="1397" spans="1:31" ht="14.25" customHeight="1" x14ac:dyDescent="0.3">
      <c r="A1397" s="52" t="s">
        <v>2185</v>
      </c>
      <c r="B1397" s="50" t="s">
        <v>2186</v>
      </c>
      <c r="C1397" s="50" t="s">
        <v>2855</v>
      </c>
      <c r="D1397" s="50">
        <v>1000004419</v>
      </c>
      <c r="E1397" s="50" t="s">
        <v>2856</v>
      </c>
      <c r="F1397" s="51">
        <v>45856</v>
      </c>
      <c r="G1397" s="22" t="str">
        <f t="shared" si="294"/>
        <v>Targeted Dealer</v>
      </c>
      <c r="H1397" s="22"/>
      <c r="I1397" s="23">
        <v>300</v>
      </c>
      <c r="J1397" s="23">
        <f t="shared" si="295"/>
        <v>300</v>
      </c>
      <c r="K1397" s="24">
        <v>250</v>
      </c>
      <c r="L1397" s="24">
        <f t="shared" si="296"/>
        <v>50</v>
      </c>
      <c r="M1397" s="24">
        <f t="shared" si="297"/>
        <v>83.333333333333329</v>
      </c>
      <c r="N1397" s="25">
        <v>233.95</v>
      </c>
      <c r="O1397" s="26" t="str">
        <f t="shared" si="298"/>
        <v>June</v>
      </c>
      <c r="P1397" s="25">
        <f t="shared" si="299"/>
        <v>233.95</v>
      </c>
      <c r="Q1397" s="27">
        <f t="shared" si="300"/>
        <v>16.050000000000011</v>
      </c>
      <c r="R1397" s="26" t="b">
        <f t="shared" si="301"/>
        <v>0</v>
      </c>
      <c r="S1397" s="28" t="str">
        <f t="shared" si="302"/>
        <v>GROWTH</v>
      </c>
      <c r="T1397" s="24">
        <v>0</v>
      </c>
      <c r="U1397" s="29" t="str">
        <f t="shared" si="303"/>
        <v>May</v>
      </c>
      <c r="V1397" s="24">
        <f t="shared" si="304"/>
        <v>0</v>
      </c>
      <c r="W1397" s="30">
        <f t="shared" si="305"/>
        <v>250</v>
      </c>
      <c r="X1397" s="31" t="b">
        <f t="shared" si="306"/>
        <v>0</v>
      </c>
      <c r="Y1397" s="32" t="b">
        <f t="shared" si="307"/>
        <v>0</v>
      </c>
      <c r="Z1397" s="41">
        <v>0</v>
      </c>
      <c r="AA1397" s="36"/>
      <c r="AB1397" s="36" t="s">
        <v>24</v>
      </c>
      <c r="AC1397" s="52" t="s">
        <v>2185</v>
      </c>
      <c r="AD1397" s="34"/>
      <c r="AE1397" s="35">
        <f>IFERROR(INDEX([1]Last6M_AvgSales_Ref!$B$2:$B$12659,MATCH(D1397,[1]Last6M_AvgSales_Ref!$A$2:$A$12659,0)),"")</f>
        <v>206.833333333333</v>
      </c>
    </row>
    <row r="1398" spans="1:31" ht="14.25" customHeight="1" x14ac:dyDescent="0.3">
      <c r="A1398" s="52" t="s">
        <v>2185</v>
      </c>
      <c r="B1398" s="50" t="s">
        <v>2857</v>
      </c>
      <c r="C1398" s="50" t="s">
        <v>2858</v>
      </c>
      <c r="D1398" s="50">
        <v>1000004413</v>
      </c>
      <c r="E1398" s="50" t="s">
        <v>2859</v>
      </c>
      <c r="F1398" s="51">
        <v>45841</v>
      </c>
      <c r="G1398" s="22" t="str">
        <f t="shared" si="294"/>
        <v>Targeted Dealer</v>
      </c>
      <c r="H1398" s="22"/>
      <c r="I1398" s="23">
        <v>25</v>
      </c>
      <c r="J1398" s="23">
        <f t="shared" si="295"/>
        <v>25</v>
      </c>
      <c r="K1398" s="24">
        <v>50</v>
      </c>
      <c r="L1398" s="24">
        <f t="shared" si="296"/>
        <v>-25</v>
      </c>
      <c r="M1398" s="24">
        <f t="shared" si="297"/>
        <v>200</v>
      </c>
      <c r="N1398" s="25">
        <v>30</v>
      </c>
      <c r="O1398" s="26" t="str">
        <f t="shared" si="298"/>
        <v>June</v>
      </c>
      <c r="P1398" s="25">
        <f t="shared" si="299"/>
        <v>30</v>
      </c>
      <c r="Q1398" s="27">
        <f t="shared" si="300"/>
        <v>20</v>
      </c>
      <c r="R1398" s="26" t="b">
        <f t="shared" si="301"/>
        <v>0</v>
      </c>
      <c r="S1398" s="28" t="str">
        <f t="shared" si="302"/>
        <v>GROWTH</v>
      </c>
      <c r="T1398" s="24">
        <v>0</v>
      </c>
      <c r="U1398" s="29" t="str">
        <f t="shared" si="303"/>
        <v>May</v>
      </c>
      <c r="V1398" s="24">
        <f t="shared" si="304"/>
        <v>0</v>
      </c>
      <c r="W1398" s="30">
        <f t="shared" si="305"/>
        <v>50</v>
      </c>
      <c r="X1398" s="31" t="b">
        <f t="shared" si="306"/>
        <v>0</v>
      </c>
      <c r="Y1398" s="32" t="b">
        <f t="shared" si="307"/>
        <v>0</v>
      </c>
      <c r="Z1398" s="41">
        <v>0</v>
      </c>
      <c r="AA1398" s="36"/>
      <c r="AB1398" s="36" t="s">
        <v>24</v>
      </c>
      <c r="AC1398" s="52" t="s">
        <v>2185</v>
      </c>
      <c r="AD1398" s="34"/>
      <c r="AE1398" s="35">
        <f>IFERROR(INDEX([1]Last6M_AvgSales_Ref!$B$2:$B$12659,MATCH(D1398,[1]Last6M_AvgSales_Ref!$A$2:$A$12659,0)),"")</f>
        <v>25</v>
      </c>
    </row>
    <row r="1399" spans="1:31" ht="14.25" customHeight="1" x14ac:dyDescent="0.3">
      <c r="A1399" s="36" t="s">
        <v>1836</v>
      </c>
      <c r="B1399" s="50" t="s">
        <v>2004</v>
      </c>
      <c r="C1399" s="50" t="s">
        <v>2860</v>
      </c>
      <c r="D1399" s="50">
        <v>1000004418</v>
      </c>
      <c r="E1399" s="50" t="s">
        <v>2861</v>
      </c>
      <c r="F1399" s="51">
        <v>45849</v>
      </c>
      <c r="G1399" s="22" t="str">
        <f t="shared" si="294"/>
        <v>Targeted Dealer</v>
      </c>
      <c r="H1399" s="22"/>
      <c r="I1399" s="23">
        <v>60</v>
      </c>
      <c r="J1399" s="23">
        <f t="shared" si="295"/>
        <v>60</v>
      </c>
      <c r="K1399" s="24">
        <v>47</v>
      </c>
      <c r="L1399" s="24">
        <f t="shared" si="296"/>
        <v>13</v>
      </c>
      <c r="M1399" s="24">
        <f t="shared" si="297"/>
        <v>78.333333333333343</v>
      </c>
      <c r="N1399" s="25">
        <v>56</v>
      </c>
      <c r="O1399" s="26" t="str">
        <f t="shared" si="298"/>
        <v>June</v>
      </c>
      <c r="P1399" s="25">
        <f t="shared" si="299"/>
        <v>56</v>
      </c>
      <c r="Q1399" s="27">
        <f t="shared" si="300"/>
        <v>-9</v>
      </c>
      <c r="R1399" s="26" t="b">
        <f t="shared" si="301"/>
        <v>0</v>
      </c>
      <c r="S1399" s="28" t="str">
        <f t="shared" si="302"/>
        <v>GROWTH</v>
      </c>
      <c r="T1399" s="24">
        <v>0</v>
      </c>
      <c r="U1399" s="29" t="str">
        <f t="shared" si="303"/>
        <v>May</v>
      </c>
      <c r="V1399" s="24">
        <f t="shared" si="304"/>
        <v>0</v>
      </c>
      <c r="W1399" s="30">
        <f t="shared" si="305"/>
        <v>47</v>
      </c>
      <c r="X1399" s="31" t="b">
        <f t="shared" si="306"/>
        <v>0</v>
      </c>
      <c r="Y1399" s="32" t="b">
        <f t="shared" si="307"/>
        <v>0</v>
      </c>
      <c r="Z1399" s="41">
        <v>0</v>
      </c>
      <c r="AA1399" s="36"/>
      <c r="AB1399" s="36" t="s">
        <v>24</v>
      </c>
      <c r="AC1399" s="36" t="s">
        <v>1836</v>
      </c>
      <c r="AD1399" s="34"/>
      <c r="AE1399" s="35">
        <f>IFERROR(INDEX([1]Last6M_AvgSales_Ref!$B$2:$B$12659,MATCH(D1399,[1]Last6M_AvgSales_Ref!$A$2:$A$12659,0)),"")</f>
        <v>32</v>
      </c>
    </row>
    <row r="1400" spans="1:31" ht="14.25" customHeight="1" x14ac:dyDescent="0.3">
      <c r="A1400" s="52" t="s">
        <v>24</v>
      </c>
      <c r="B1400" s="50" t="s">
        <v>358</v>
      </c>
      <c r="C1400" s="50" t="s">
        <v>2862</v>
      </c>
      <c r="D1400" s="50">
        <v>1000004434</v>
      </c>
      <c r="E1400" s="50" t="s">
        <v>2863</v>
      </c>
      <c r="F1400" s="51">
        <v>45857</v>
      </c>
      <c r="G1400" s="22" t="str">
        <f t="shared" si="294"/>
        <v>Targeted Dealer</v>
      </c>
      <c r="H1400" s="22"/>
      <c r="I1400" s="23">
        <v>80</v>
      </c>
      <c r="J1400" s="23">
        <f t="shared" si="295"/>
        <v>80</v>
      </c>
      <c r="K1400" s="24">
        <v>80</v>
      </c>
      <c r="L1400" s="24">
        <f t="shared" si="296"/>
        <v>0</v>
      </c>
      <c r="M1400" s="24">
        <f t="shared" si="297"/>
        <v>100</v>
      </c>
      <c r="N1400" s="25">
        <v>40</v>
      </c>
      <c r="O1400" s="26" t="str">
        <f t="shared" si="298"/>
        <v>June</v>
      </c>
      <c r="P1400" s="25">
        <f t="shared" si="299"/>
        <v>40</v>
      </c>
      <c r="Q1400" s="27">
        <f t="shared" si="300"/>
        <v>40</v>
      </c>
      <c r="R1400" s="26" t="b">
        <f t="shared" si="301"/>
        <v>0</v>
      </c>
      <c r="S1400" s="28" t="str">
        <f t="shared" si="302"/>
        <v>GROWTH</v>
      </c>
      <c r="T1400" s="24">
        <v>0</v>
      </c>
      <c r="U1400" s="29" t="str">
        <f t="shared" si="303"/>
        <v>May</v>
      </c>
      <c r="V1400" s="24">
        <f t="shared" si="304"/>
        <v>0</v>
      </c>
      <c r="W1400" s="30">
        <f t="shared" si="305"/>
        <v>80</v>
      </c>
      <c r="X1400" s="31" t="b">
        <f t="shared" si="306"/>
        <v>0</v>
      </c>
      <c r="Y1400" s="32" t="b">
        <f t="shared" si="307"/>
        <v>0</v>
      </c>
      <c r="Z1400" s="41">
        <v>0</v>
      </c>
      <c r="AA1400" s="36"/>
      <c r="AB1400" s="36" t="s">
        <v>24</v>
      </c>
      <c r="AC1400" s="52" t="s">
        <v>24</v>
      </c>
      <c r="AD1400" s="34"/>
      <c r="AE1400" s="35">
        <f>IFERROR(INDEX([1]Last6M_AvgSales_Ref!$B$2:$B$12659,MATCH(D1400,[1]Last6M_AvgSales_Ref!$A$2:$A$12659,0)),"")</f>
        <v>86.6666666666667</v>
      </c>
    </row>
    <row r="1401" spans="1:31" ht="14.25" customHeight="1" x14ac:dyDescent="0.3">
      <c r="A1401" s="52" t="s">
        <v>848</v>
      </c>
      <c r="B1401" s="50" t="s">
        <v>1257</v>
      </c>
      <c r="C1401" s="50" t="s">
        <v>2864</v>
      </c>
      <c r="D1401" s="50">
        <v>1000004420</v>
      </c>
      <c r="E1401" s="50" t="s">
        <v>2865</v>
      </c>
      <c r="F1401" s="51">
        <v>45856</v>
      </c>
      <c r="G1401" s="22" t="str">
        <f t="shared" si="294"/>
        <v>Targeted Dealer</v>
      </c>
      <c r="H1401" s="22"/>
      <c r="I1401" s="23">
        <v>52</v>
      </c>
      <c r="J1401" s="23">
        <f t="shared" si="295"/>
        <v>52</v>
      </c>
      <c r="K1401" s="24">
        <v>58</v>
      </c>
      <c r="L1401" s="24">
        <f t="shared" si="296"/>
        <v>-6</v>
      </c>
      <c r="M1401" s="24">
        <f t="shared" si="297"/>
        <v>111.53846153846153</v>
      </c>
      <c r="N1401" s="25">
        <v>39</v>
      </c>
      <c r="O1401" s="26" t="str">
        <f t="shared" si="298"/>
        <v>June</v>
      </c>
      <c r="P1401" s="25">
        <f t="shared" si="299"/>
        <v>39</v>
      </c>
      <c r="Q1401" s="27">
        <f t="shared" si="300"/>
        <v>19</v>
      </c>
      <c r="R1401" s="26" t="b">
        <f t="shared" si="301"/>
        <v>0</v>
      </c>
      <c r="S1401" s="28" t="str">
        <f t="shared" si="302"/>
        <v>GROWTH</v>
      </c>
      <c r="T1401" s="24">
        <v>0</v>
      </c>
      <c r="U1401" s="29" t="str">
        <f t="shared" si="303"/>
        <v>May</v>
      </c>
      <c r="V1401" s="24">
        <f t="shared" si="304"/>
        <v>0</v>
      </c>
      <c r="W1401" s="30">
        <f t="shared" si="305"/>
        <v>58</v>
      </c>
      <c r="X1401" s="31" t="b">
        <f t="shared" si="306"/>
        <v>0</v>
      </c>
      <c r="Y1401" s="32" t="b">
        <f t="shared" si="307"/>
        <v>0</v>
      </c>
      <c r="Z1401" s="41">
        <v>0</v>
      </c>
      <c r="AA1401" s="36"/>
      <c r="AB1401" s="36" t="s">
        <v>24</v>
      </c>
      <c r="AC1401" s="52" t="s">
        <v>848</v>
      </c>
      <c r="AD1401" s="34"/>
      <c r="AE1401" s="35">
        <f>IFERROR(INDEX([1]Last6M_AvgSales_Ref!$B$2:$B$12659,MATCH(D1401,[1]Last6M_AvgSales_Ref!$A$2:$A$12659,0)),"")</f>
        <v>49.933333333333302</v>
      </c>
    </row>
    <row r="1402" spans="1:31" ht="14.25" customHeight="1" x14ac:dyDescent="0.3">
      <c r="A1402" s="41" t="s">
        <v>2027</v>
      </c>
      <c r="B1402" s="50" t="s">
        <v>2118</v>
      </c>
      <c r="C1402" s="50" t="s">
        <v>2866</v>
      </c>
      <c r="D1402" s="50">
        <v>1000002018</v>
      </c>
      <c r="E1402" s="50" t="s">
        <v>2867</v>
      </c>
      <c r="F1402" s="51">
        <v>44739</v>
      </c>
      <c r="G1402" s="22" t="str">
        <f t="shared" si="294"/>
        <v>Targeted Dealer</v>
      </c>
      <c r="H1402" s="22"/>
      <c r="I1402" s="23">
        <v>290</v>
      </c>
      <c r="J1402" s="23">
        <f t="shared" si="295"/>
        <v>290</v>
      </c>
      <c r="K1402" s="24">
        <v>310.5</v>
      </c>
      <c r="L1402" s="24">
        <f t="shared" si="296"/>
        <v>-20.5</v>
      </c>
      <c r="M1402" s="24">
        <f t="shared" si="297"/>
        <v>107.06896551724138</v>
      </c>
      <c r="N1402" s="25">
        <v>290</v>
      </c>
      <c r="O1402" s="26" t="str">
        <f t="shared" si="298"/>
        <v>June</v>
      </c>
      <c r="P1402" s="25">
        <f t="shared" si="299"/>
        <v>290</v>
      </c>
      <c r="Q1402" s="27">
        <f t="shared" si="300"/>
        <v>20.5</v>
      </c>
      <c r="R1402" s="26" t="b">
        <f t="shared" si="301"/>
        <v>0</v>
      </c>
      <c r="S1402" s="28" t="str">
        <f t="shared" si="302"/>
        <v>GROWTH</v>
      </c>
      <c r="T1402" s="24">
        <v>0</v>
      </c>
      <c r="U1402" s="29" t="str">
        <f t="shared" si="303"/>
        <v>May</v>
      </c>
      <c r="V1402" s="24">
        <f t="shared" si="304"/>
        <v>0</v>
      </c>
      <c r="W1402" s="30">
        <f t="shared" si="305"/>
        <v>310.5</v>
      </c>
      <c r="X1402" s="31" t="b">
        <f t="shared" si="306"/>
        <v>0</v>
      </c>
      <c r="Y1402" s="32" t="b">
        <f t="shared" si="307"/>
        <v>0</v>
      </c>
      <c r="Z1402" s="41">
        <v>0</v>
      </c>
      <c r="AA1402" s="36"/>
      <c r="AB1402" s="36" t="s">
        <v>24</v>
      </c>
      <c r="AC1402" s="41" t="s">
        <v>2027</v>
      </c>
      <c r="AD1402" s="34"/>
      <c r="AE1402" s="35">
        <f>IFERROR(INDEX([1]Last6M_AvgSales_Ref!$B$2:$B$12659,MATCH(D1402,[1]Last6M_AvgSales_Ref!$A$2:$A$12659,0)),"")</f>
        <v>213.25</v>
      </c>
    </row>
    <row r="1403" spans="1:31" ht="14.25" customHeight="1" x14ac:dyDescent="0.3">
      <c r="A1403" s="52" t="s">
        <v>2185</v>
      </c>
      <c r="B1403" s="50" t="s">
        <v>2316</v>
      </c>
      <c r="C1403" s="50" t="s">
        <v>2868</v>
      </c>
      <c r="D1403" s="50">
        <v>1000004436</v>
      </c>
      <c r="E1403" s="50" t="s">
        <v>2869</v>
      </c>
      <c r="F1403" s="51">
        <v>45866</v>
      </c>
      <c r="G1403" s="22" t="str">
        <f t="shared" si="294"/>
        <v>Targeted Dealer</v>
      </c>
      <c r="H1403" s="22"/>
      <c r="I1403" s="23">
        <v>25</v>
      </c>
      <c r="J1403" s="23">
        <f t="shared" si="295"/>
        <v>25</v>
      </c>
      <c r="K1403" s="24">
        <v>25</v>
      </c>
      <c r="L1403" s="24">
        <f t="shared" si="296"/>
        <v>0</v>
      </c>
      <c r="M1403" s="24">
        <f t="shared" si="297"/>
        <v>100</v>
      </c>
      <c r="N1403" s="25">
        <v>25</v>
      </c>
      <c r="O1403" s="26" t="str">
        <f t="shared" si="298"/>
        <v>June</v>
      </c>
      <c r="P1403" s="25">
        <f t="shared" si="299"/>
        <v>25</v>
      </c>
      <c r="Q1403" s="27">
        <f t="shared" si="300"/>
        <v>0</v>
      </c>
      <c r="R1403" s="26" t="b">
        <f t="shared" si="301"/>
        <v>0</v>
      </c>
      <c r="S1403" s="28" t="str">
        <f t="shared" si="302"/>
        <v>GROWTH</v>
      </c>
      <c r="T1403" s="24">
        <v>0</v>
      </c>
      <c r="U1403" s="29" t="str">
        <f t="shared" si="303"/>
        <v>May</v>
      </c>
      <c r="V1403" s="24">
        <f t="shared" si="304"/>
        <v>0</v>
      </c>
      <c r="W1403" s="30">
        <f t="shared" si="305"/>
        <v>25</v>
      </c>
      <c r="X1403" s="31" t="b">
        <f t="shared" si="306"/>
        <v>0</v>
      </c>
      <c r="Y1403" s="32" t="b">
        <f t="shared" si="307"/>
        <v>0</v>
      </c>
      <c r="Z1403" s="41">
        <v>0</v>
      </c>
      <c r="AA1403" s="36"/>
      <c r="AB1403" s="36" t="s">
        <v>24</v>
      </c>
      <c r="AC1403" s="52" t="s">
        <v>2185</v>
      </c>
      <c r="AD1403" s="34"/>
      <c r="AE1403" s="35">
        <f>IFERROR(INDEX([1]Last6M_AvgSales_Ref!$B$2:$B$12659,MATCH(D1403,[1]Last6M_AvgSales_Ref!$A$2:$A$12659,0)),"")</f>
        <v>38.3333333333333</v>
      </c>
    </row>
    <row r="1404" spans="1:31" ht="14.25" customHeight="1" x14ac:dyDescent="0.3">
      <c r="A1404" s="52" t="s">
        <v>848</v>
      </c>
      <c r="B1404" s="50" t="s">
        <v>849</v>
      </c>
      <c r="C1404" s="50" t="s">
        <v>2870</v>
      </c>
      <c r="D1404" s="50">
        <v>1000004439</v>
      </c>
      <c r="E1404" s="50" t="s">
        <v>1871</v>
      </c>
      <c r="F1404" s="51">
        <v>45869</v>
      </c>
      <c r="G1404" s="22" t="str">
        <f t="shared" si="294"/>
        <v>Targeted Dealer</v>
      </c>
      <c r="H1404" s="22"/>
      <c r="I1404" s="23">
        <v>140</v>
      </c>
      <c r="J1404" s="23">
        <f t="shared" si="295"/>
        <v>140</v>
      </c>
      <c r="K1404" s="24">
        <v>102</v>
      </c>
      <c r="L1404" s="24">
        <f t="shared" si="296"/>
        <v>38</v>
      </c>
      <c r="M1404" s="24">
        <f t="shared" si="297"/>
        <v>72.857142857142861</v>
      </c>
      <c r="N1404" s="25">
        <v>125</v>
      </c>
      <c r="O1404" s="26" t="str">
        <f t="shared" si="298"/>
        <v>June</v>
      </c>
      <c r="P1404" s="25">
        <f t="shared" si="299"/>
        <v>125</v>
      </c>
      <c r="Q1404" s="27">
        <f t="shared" si="300"/>
        <v>-23</v>
      </c>
      <c r="R1404" s="26" t="b">
        <f t="shared" si="301"/>
        <v>0</v>
      </c>
      <c r="S1404" s="28" t="str">
        <f t="shared" si="302"/>
        <v>GROWTH</v>
      </c>
      <c r="T1404" s="24">
        <v>0</v>
      </c>
      <c r="U1404" s="29" t="str">
        <f t="shared" si="303"/>
        <v>May</v>
      </c>
      <c r="V1404" s="24">
        <f t="shared" si="304"/>
        <v>0</v>
      </c>
      <c r="W1404" s="30">
        <f t="shared" si="305"/>
        <v>102</v>
      </c>
      <c r="X1404" s="31" t="b">
        <f t="shared" si="306"/>
        <v>0</v>
      </c>
      <c r="Y1404" s="32" t="b">
        <f t="shared" si="307"/>
        <v>0</v>
      </c>
      <c r="Z1404" s="41">
        <v>0</v>
      </c>
      <c r="AA1404" s="36"/>
      <c r="AB1404" s="36" t="s">
        <v>24</v>
      </c>
      <c r="AC1404" s="52" t="s">
        <v>848</v>
      </c>
      <c r="AD1404" s="34"/>
      <c r="AE1404" s="35">
        <f>IFERROR(INDEX([1]Last6M_AvgSales_Ref!$B$2:$B$12659,MATCH(D1404,[1]Last6M_AvgSales_Ref!$A$2:$A$12659,0)),"")</f>
        <v>128.333333333333</v>
      </c>
    </row>
    <row r="1405" spans="1:31" ht="14.25" customHeight="1" x14ac:dyDescent="0.3">
      <c r="A1405" s="52" t="s">
        <v>2185</v>
      </c>
      <c r="B1405" s="50" t="s">
        <v>1666</v>
      </c>
      <c r="C1405" s="50" t="s">
        <v>2871</v>
      </c>
      <c r="D1405" s="50">
        <v>1000004423</v>
      </c>
      <c r="E1405" s="50" t="s">
        <v>2872</v>
      </c>
      <c r="F1405" s="51">
        <v>45850</v>
      </c>
      <c r="G1405" s="22" t="str">
        <f t="shared" si="294"/>
        <v>Targeted Dealer</v>
      </c>
      <c r="H1405" s="22"/>
      <c r="I1405" s="23">
        <v>40</v>
      </c>
      <c r="J1405" s="23">
        <f t="shared" si="295"/>
        <v>40</v>
      </c>
      <c r="K1405" s="24">
        <v>30</v>
      </c>
      <c r="L1405" s="24">
        <f t="shared" si="296"/>
        <v>10</v>
      </c>
      <c r="M1405" s="24">
        <f t="shared" si="297"/>
        <v>75</v>
      </c>
      <c r="N1405" s="25">
        <v>20</v>
      </c>
      <c r="O1405" s="26" t="str">
        <f t="shared" si="298"/>
        <v>June</v>
      </c>
      <c r="P1405" s="25">
        <f t="shared" si="299"/>
        <v>20</v>
      </c>
      <c r="Q1405" s="27">
        <f t="shared" si="300"/>
        <v>10</v>
      </c>
      <c r="R1405" s="26" t="b">
        <f t="shared" si="301"/>
        <v>0</v>
      </c>
      <c r="S1405" s="28" t="str">
        <f t="shared" si="302"/>
        <v>GROWTH</v>
      </c>
      <c r="T1405" s="24">
        <v>0</v>
      </c>
      <c r="U1405" s="29" t="str">
        <f t="shared" si="303"/>
        <v>May</v>
      </c>
      <c r="V1405" s="24">
        <f t="shared" si="304"/>
        <v>0</v>
      </c>
      <c r="W1405" s="30">
        <f t="shared" si="305"/>
        <v>30</v>
      </c>
      <c r="X1405" s="31" t="b">
        <f t="shared" si="306"/>
        <v>0</v>
      </c>
      <c r="Y1405" s="32" t="b">
        <f t="shared" si="307"/>
        <v>0</v>
      </c>
      <c r="Z1405" s="41">
        <v>0</v>
      </c>
      <c r="AA1405" s="36"/>
      <c r="AB1405" s="36" t="s">
        <v>24</v>
      </c>
      <c r="AC1405" s="52" t="s">
        <v>2185</v>
      </c>
      <c r="AD1405" s="34"/>
      <c r="AE1405" s="35">
        <f>IFERROR(INDEX([1]Last6M_AvgSales_Ref!$B$2:$B$12659,MATCH(D1405,[1]Last6M_AvgSales_Ref!$A$2:$A$12659,0)),"")</f>
        <v>4</v>
      </c>
    </row>
    <row r="1406" spans="1:31" ht="14.25" customHeight="1" x14ac:dyDescent="0.3">
      <c r="A1406" s="52" t="s">
        <v>24</v>
      </c>
      <c r="B1406" s="50" t="s">
        <v>752</v>
      </c>
      <c r="C1406" s="50" t="s">
        <v>2873</v>
      </c>
      <c r="D1406" s="50">
        <v>1000004444</v>
      </c>
      <c r="E1406" s="50" t="s">
        <v>2874</v>
      </c>
      <c r="F1406" s="51">
        <v>45869</v>
      </c>
      <c r="G1406" s="22" t="str">
        <f t="shared" si="294"/>
        <v>Targeted Dealer</v>
      </c>
      <c r="H1406" s="22"/>
      <c r="I1406" s="23">
        <v>30</v>
      </c>
      <c r="J1406" s="23">
        <f t="shared" si="295"/>
        <v>30</v>
      </c>
      <c r="K1406" s="24">
        <v>0</v>
      </c>
      <c r="L1406" s="24">
        <f t="shared" si="296"/>
        <v>30</v>
      </c>
      <c r="M1406" s="24">
        <f t="shared" si="297"/>
        <v>0</v>
      </c>
      <c r="N1406" s="25">
        <v>0</v>
      </c>
      <c r="O1406" s="26" t="str">
        <f t="shared" si="298"/>
        <v>June</v>
      </c>
      <c r="P1406" s="25">
        <f t="shared" si="299"/>
        <v>0</v>
      </c>
      <c r="Q1406" s="27">
        <f t="shared" si="300"/>
        <v>0</v>
      </c>
      <c r="R1406" s="26" t="b">
        <f t="shared" si="301"/>
        <v>0</v>
      </c>
      <c r="S1406" s="28" t="b">
        <f t="shared" si="302"/>
        <v>0</v>
      </c>
      <c r="T1406" s="24">
        <v>0</v>
      </c>
      <c r="U1406" s="29" t="str">
        <f t="shared" si="303"/>
        <v>May</v>
      </c>
      <c r="V1406" s="24">
        <f t="shared" si="304"/>
        <v>0</v>
      </c>
      <c r="W1406" s="30">
        <f t="shared" si="305"/>
        <v>0</v>
      </c>
      <c r="X1406" s="31" t="b">
        <f t="shared" si="306"/>
        <v>0</v>
      </c>
      <c r="Y1406" s="32" t="b">
        <f t="shared" si="307"/>
        <v>0</v>
      </c>
      <c r="Z1406" s="41">
        <v>0</v>
      </c>
      <c r="AA1406" s="36"/>
      <c r="AB1406" s="36" t="s">
        <v>24</v>
      </c>
      <c r="AC1406" s="52" t="s">
        <v>24</v>
      </c>
      <c r="AD1406" s="34"/>
      <c r="AE1406" s="35">
        <f>IFERROR(INDEX([1]Last6M_AvgSales_Ref!$B$2:$B$12659,MATCH(D1406,[1]Last6M_AvgSales_Ref!$A$2:$A$12659,0)),"")</f>
        <v>27.2083333333333</v>
      </c>
    </row>
    <row r="1407" spans="1:31" ht="14.25" customHeight="1" x14ac:dyDescent="0.3">
      <c r="A1407" s="52" t="s">
        <v>848</v>
      </c>
      <c r="B1407" s="50" t="s">
        <v>1702</v>
      </c>
      <c r="C1407" s="50" t="s">
        <v>2875</v>
      </c>
      <c r="D1407" s="50">
        <v>1000004438</v>
      </c>
      <c r="E1407" s="50" t="s">
        <v>2876</v>
      </c>
      <c r="F1407" s="51">
        <v>45868</v>
      </c>
      <c r="G1407" s="22" t="str">
        <f t="shared" si="294"/>
        <v>Targeted Dealer</v>
      </c>
      <c r="H1407" s="22"/>
      <c r="I1407" s="23">
        <v>120</v>
      </c>
      <c r="J1407" s="23">
        <f t="shared" si="295"/>
        <v>120</v>
      </c>
      <c r="K1407" s="24">
        <v>55</v>
      </c>
      <c r="L1407" s="24">
        <f t="shared" si="296"/>
        <v>65</v>
      </c>
      <c r="M1407" s="24">
        <f t="shared" si="297"/>
        <v>45.833333333333336</v>
      </c>
      <c r="N1407" s="25">
        <v>77</v>
      </c>
      <c r="O1407" s="26" t="str">
        <f t="shared" si="298"/>
        <v>June</v>
      </c>
      <c r="P1407" s="25">
        <f t="shared" si="299"/>
        <v>77</v>
      </c>
      <c r="Q1407" s="27">
        <f t="shared" si="300"/>
        <v>-22</v>
      </c>
      <c r="R1407" s="26" t="b">
        <f t="shared" si="301"/>
        <v>0</v>
      </c>
      <c r="S1407" s="28" t="str">
        <f t="shared" si="302"/>
        <v>GROWTH</v>
      </c>
      <c r="T1407" s="24">
        <v>0</v>
      </c>
      <c r="U1407" s="29" t="str">
        <f t="shared" si="303"/>
        <v>May</v>
      </c>
      <c r="V1407" s="24">
        <f t="shared" si="304"/>
        <v>0</v>
      </c>
      <c r="W1407" s="30">
        <f t="shared" si="305"/>
        <v>55</v>
      </c>
      <c r="X1407" s="31" t="b">
        <f t="shared" si="306"/>
        <v>0</v>
      </c>
      <c r="Y1407" s="32" t="b">
        <f t="shared" si="307"/>
        <v>0</v>
      </c>
      <c r="Z1407" s="41">
        <v>0</v>
      </c>
      <c r="AA1407" s="36"/>
      <c r="AB1407" s="36" t="s">
        <v>24</v>
      </c>
      <c r="AC1407" s="52" t="s">
        <v>848</v>
      </c>
      <c r="AD1407" s="34"/>
      <c r="AE1407" s="35">
        <f>IFERROR(INDEX([1]Last6M_AvgSales_Ref!$B$2:$B$12659,MATCH(D1407,[1]Last6M_AvgSales_Ref!$A$2:$A$12659,0)),"")</f>
        <v>49.8333333333333</v>
      </c>
    </row>
    <row r="1408" spans="1:31" ht="14.25" customHeight="1" x14ac:dyDescent="0.3">
      <c r="A1408" s="52" t="s">
        <v>848</v>
      </c>
      <c r="B1408" s="50" t="s">
        <v>1702</v>
      </c>
      <c r="C1408" s="50" t="s">
        <v>2877</v>
      </c>
      <c r="D1408" s="50">
        <v>1000000992</v>
      </c>
      <c r="E1408" s="50" t="s">
        <v>2878</v>
      </c>
      <c r="F1408" s="51">
        <v>44738</v>
      </c>
      <c r="G1408" s="22" t="str">
        <f t="shared" si="294"/>
        <v>Targeted Dealer</v>
      </c>
      <c r="H1408" s="22"/>
      <c r="I1408" s="23">
        <v>40</v>
      </c>
      <c r="J1408" s="23">
        <f t="shared" si="295"/>
        <v>40</v>
      </c>
      <c r="K1408" s="24">
        <v>33</v>
      </c>
      <c r="L1408" s="24">
        <f t="shared" si="296"/>
        <v>7</v>
      </c>
      <c r="M1408" s="24">
        <f t="shared" si="297"/>
        <v>82.5</v>
      </c>
      <c r="N1408" s="25">
        <v>64.599999999999994</v>
      </c>
      <c r="O1408" s="26" t="str">
        <f t="shared" si="298"/>
        <v>June</v>
      </c>
      <c r="P1408" s="25">
        <f t="shared" si="299"/>
        <v>64.599999999999994</v>
      </c>
      <c r="Q1408" s="27">
        <f t="shared" si="300"/>
        <v>-31.599999999999994</v>
      </c>
      <c r="R1408" s="26" t="b">
        <f t="shared" si="301"/>
        <v>0</v>
      </c>
      <c r="S1408" s="28" t="str">
        <f t="shared" si="302"/>
        <v>GROWTH</v>
      </c>
      <c r="T1408" s="24">
        <v>0</v>
      </c>
      <c r="U1408" s="29" t="str">
        <f t="shared" si="303"/>
        <v>May</v>
      </c>
      <c r="V1408" s="24">
        <f t="shared" si="304"/>
        <v>0</v>
      </c>
      <c r="W1408" s="30">
        <f t="shared" si="305"/>
        <v>33</v>
      </c>
      <c r="X1408" s="31" t="b">
        <f t="shared" si="306"/>
        <v>0</v>
      </c>
      <c r="Y1408" s="32" t="b">
        <f t="shared" si="307"/>
        <v>0</v>
      </c>
      <c r="Z1408" s="41">
        <v>0</v>
      </c>
      <c r="AA1408" s="36"/>
      <c r="AB1408" s="36" t="s">
        <v>24</v>
      </c>
      <c r="AC1408" s="52" t="s">
        <v>848</v>
      </c>
      <c r="AD1408" s="34"/>
      <c r="AE1408" s="35">
        <f>IFERROR(INDEX([1]Last6M_AvgSales_Ref!$B$2:$B$12659,MATCH(D1408,[1]Last6M_AvgSales_Ref!$A$2:$A$12659,0)),"")</f>
        <v>36.6666666666667</v>
      </c>
    </row>
    <row r="1409" spans="1:31" ht="14.25" customHeight="1" x14ac:dyDescent="0.3">
      <c r="A1409" s="52" t="s">
        <v>848</v>
      </c>
      <c r="B1409" s="50" t="s">
        <v>1702</v>
      </c>
      <c r="C1409" s="50" t="s">
        <v>2879</v>
      </c>
      <c r="D1409" s="50">
        <v>1000000590</v>
      </c>
      <c r="E1409" s="50" t="s">
        <v>2880</v>
      </c>
      <c r="F1409" s="51">
        <v>44738</v>
      </c>
      <c r="G1409" s="22" t="str">
        <f t="shared" si="294"/>
        <v>Targeted Dealer</v>
      </c>
      <c r="H1409" s="22"/>
      <c r="I1409" s="23">
        <v>40</v>
      </c>
      <c r="J1409" s="23">
        <f t="shared" si="295"/>
        <v>40</v>
      </c>
      <c r="K1409" s="24">
        <v>17.399999999999999</v>
      </c>
      <c r="L1409" s="24">
        <f t="shared" si="296"/>
        <v>22.6</v>
      </c>
      <c r="M1409" s="24">
        <f t="shared" si="297"/>
        <v>43.499999999999993</v>
      </c>
      <c r="N1409" s="25">
        <v>2</v>
      </c>
      <c r="O1409" s="26" t="str">
        <f t="shared" si="298"/>
        <v>June</v>
      </c>
      <c r="P1409" s="25">
        <f t="shared" si="299"/>
        <v>2</v>
      </c>
      <c r="Q1409" s="27">
        <f t="shared" si="300"/>
        <v>15.399999999999999</v>
      </c>
      <c r="R1409" s="26" t="b">
        <f t="shared" si="301"/>
        <v>0</v>
      </c>
      <c r="S1409" s="28" t="str">
        <f t="shared" si="302"/>
        <v>GROWTH</v>
      </c>
      <c r="T1409" s="24">
        <v>0</v>
      </c>
      <c r="U1409" s="29" t="str">
        <f t="shared" si="303"/>
        <v>May</v>
      </c>
      <c r="V1409" s="24">
        <f t="shared" si="304"/>
        <v>0</v>
      </c>
      <c r="W1409" s="30">
        <f t="shared" si="305"/>
        <v>17.399999999999999</v>
      </c>
      <c r="X1409" s="31" t="b">
        <f t="shared" si="306"/>
        <v>0</v>
      </c>
      <c r="Y1409" s="32" t="b">
        <f t="shared" si="307"/>
        <v>0</v>
      </c>
      <c r="Z1409" s="41">
        <v>0</v>
      </c>
      <c r="AA1409" s="36"/>
      <c r="AB1409" s="36" t="s">
        <v>24</v>
      </c>
      <c r="AC1409" s="52" t="s">
        <v>848</v>
      </c>
      <c r="AD1409" s="34"/>
      <c r="AE1409" s="35">
        <f>IFERROR(INDEX([1]Last6M_AvgSales_Ref!$B$2:$B$12659,MATCH(D1409,[1]Last6M_AvgSales_Ref!$A$2:$A$12659,0)),"")</f>
        <v>19</v>
      </c>
    </row>
    <row r="1410" spans="1:31" ht="14.25" customHeight="1" x14ac:dyDescent="0.3">
      <c r="A1410" s="52" t="s">
        <v>24</v>
      </c>
      <c r="B1410" s="50" t="s">
        <v>698</v>
      </c>
      <c r="C1410" s="50" t="s">
        <v>2881</v>
      </c>
      <c r="D1410" s="50">
        <v>1000000677</v>
      </c>
      <c r="E1410" s="50" t="s">
        <v>2882</v>
      </c>
      <c r="F1410" s="51">
        <v>44738</v>
      </c>
      <c r="G1410" s="22" t="str">
        <f t="shared" si="294"/>
        <v>Targeted Dealer</v>
      </c>
      <c r="H1410" s="22"/>
      <c r="I1410" s="23">
        <v>100</v>
      </c>
      <c r="J1410" s="23">
        <f t="shared" si="295"/>
        <v>100</v>
      </c>
      <c r="K1410" s="24">
        <v>103</v>
      </c>
      <c r="L1410" s="24">
        <f t="shared" si="296"/>
        <v>-3</v>
      </c>
      <c r="M1410" s="24">
        <f t="shared" si="297"/>
        <v>103</v>
      </c>
      <c r="N1410" s="25">
        <v>52</v>
      </c>
      <c r="O1410" s="26" t="str">
        <f t="shared" si="298"/>
        <v>June</v>
      </c>
      <c r="P1410" s="25">
        <f t="shared" si="299"/>
        <v>52</v>
      </c>
      <c r="Q1410" s="27">
        <f t="shared" si="300"/>
        <v>51</v>
      </c>
      <c r="R1410" s="26" t="b">
        <f t="shared" si="301"/>
        <v>0</v>
      </c>
      <c r="S1410" s="28" t="str">
        <f t="shared" si="302"/>
        <v>GROWTH</v>
      </c>
      <c r="T1410" s="24">
        <v>0</v>
      </c>
      <c r="U1410" s="29" t="str">
        <f t="shared" si="303"/>
        <v>May</v>
      </c>
      <c r="V1410" s="24">
        <f t="shared" si="304"/>
        <v>0</v>
      </c>
      <c r="W1410" s="30">
        <f t="shared" si="305"/>
        <v>103</v>
      </c>
      <c r="X1410" s="31" t="b">
        <f t="shared" si="306"/>
        <v>0</v>
      </c>
      <c r="Y1410" s="32" t="b">
        <f t="shared" si="307"/>
        <v>0</v>
      </c>
      <c r="Z1410" s="41">
        <v>0</v>
      </c>
      <c r="AA1410" s="36"/>
      <c r="AB1410" s="36" t="s">
        <v>24</v>
      </c>
      <c r="AC1410" s="52" t="s">
        <v>24</v>
      </c>
      <c r="AD1410" s="34"/>
      <c r="AE1410" s="35">
        <f>IFERROR(INDEX([1]Last6M_AvgSales_Ref!$B$2:$B$12659,MATCH(D1410,[1]Last6M_AvgSales_Ref!$A$2:$A$12659,0)),"")</f>
        <v>110.333333333333</v>
      </c>
    </row>
    <row r="1411" spans="1:31" ht="14.25" customHeight="1" x14ac:dyDescent="0.3">
      <c r="A1411" s="52" t="s">
        <v>24</v>
      </c>
      <c r="B1411" s="50" t="s">
        <v>698</v>
      </c>
      <c r="C1411" s="50" t="s">
        <v>2883</v>
      </c>
      <c r="D1411" s="50">
        <v>1000000684</v>
      </c>
      <c r="E1411" s="50" t="s">
        <v>2884</v>
      </c>
      <c r="F1411" s="51">
        <v>44738</v>
      </c>
      <c r="G1411" s="22" t="str">
        <f t="shared" ref="G1411:G1474" si="308">IF(I1411&gt;0,"Targeted Dealer","-")</f>
        <v>Targeted Dealer</v>
      </c>
      <c r="H1411" s="22"/>
      <c r="I1411" s="23">
        <v>23</v>
      </c>
      <c r="J1411" s="23">
        <f t="shared" ref="J1411:J1474" si="309">I1411/$J$1*($J$1-$E$1)</f>
        <v>23</v>
      </c>
      <c r="K1411" s="24">
        <v>0</v>
      </c>
      <c r="L1411" s="24">
        <f t="shared" ref="L1411:L1474" si="310">I1411-K1411</f>
        <v>23</v>
      </c>
      <c r="M1411" s="24">
        <f t="shared" ref="M1411:M1474" si="311">IFERROR((K1411/J1411%),"-")</f>
        <v>0</v>
      </c>
      <c r="N1411" s="25">
        <v>32</v>
      </c>
      <c r="O1411" s="26" t="str">
        <f t="shared" ref="O1411:O1474" si="312">IF(F1411&lt;=$P$2,"June","")</f>
        <v>June</v>
      </c>
      <c r="P1411" s="25">
        <f t="shared" ref="P1411:P1474" si="313">N1411</f>
        <v>32</v>
      </c>
      <c r="Q1411" s="27">
        <f t="shared" ref="Q1411:Q1474" si="314">K1411-P1411</f>
        <v>-32</v>
      </c>
      <c r="R1411" s="26" t="b">
        <f t="shared" ref="R1411:R1474" si="315">IFERROR(IF(O1411="May",(K1411/P1411-1))," ")</f>
        <v>0</v>
      </c>
      <c r="S1411" s="28" t="str">
        <f t="shared" ref="S1411:S1474" si="316">IF(N1411&gt;0,IF(O1411="","-",IF(R1411&lt;0%,"DEGROWTH","GROWTH")))</f>
        <v>GROWTH</v>
      </c>
      <c r="T1411" s="24">
        <v>0</v>
      </c>
      <c r="U1411" s="29" t="str">
        <f t="shared" ref="U1411:U1474" si="317">IF(F1411&lt;=$V$2,"May","")</f>
        <v>May</v>
      </c>
      <c r="V1411" s="24">
        <f t="shared" ref="V1411:V1474" si="318">T1411</f>
        <v>0</v>
      </c>
      <c r="W1411" s="30">
        <f t="shared" ref="W1411:W1474" si="319">K1411-V1411</f>
        <v>0</v>
      </c>
      <c r="X1411" s="31" t="b">
        <f t="shared" ref="X1411:X1474" si="320">IFERROR(IF(U1411="June",(K1411/V1411-1)),0)</f>
        <v>0</v>
      </c>
      <c r="Y1411" s="32" t="b">
        <f t="shared" ref="Y1411:Y1474" si="321">IF(T1411&gt;0,IF(U1411="","-",IF(X1411&lt;0%,"DEGROWTH","GROWTH")))</f>
        <v>0</v>
      </c>
      <c r="Z1411" s="41">
        <v>0</v>
      </c>
      <c r="AA1411" s="36"/>
      <c r="AB1411" s="36" t="s">
        <v>24</v>
      </c>
      <c r="AC1411" s="52" t="s">
        <v>24</v>
      </c>
      <c r="AD1411" s="34"/>
      <c r="AE1411" s="35">
        <f>IFERROR(INDEX([1]Last6M_AvgSales_Ref!$B$2:$B$12659,MATCH(D1411,[1]Last6M_AvgSales_Ref!$A$2:$A$12659,0)),"")</f>
        <v>19.3333333333333</v>
      </c>
    </row>
    <row r="1412" spans="1:31" ht="14.25" customHeight="1" x14ac:dyDescent="0.3">
      <c r="A1412" s="52" t="s">
        <v>24</v>
      </c>
      <c r="B1412" s="50" t="s">
        <v>698</v>
      </c>
      <c r="C1412" s="50" t="s">
        <v>2885</v>
      </c>
      <c r="D1412" s="50">
        <v>1000004430</v>
      </c>
      <c r="E1412" s="50" t="s">
        <v>2886</v>
      </c>
      <c r="F1412" s="51">
        <v>45881</v>
      </c>
      <c r="G1412" s="22" t="str">
        <f t="shared" si="308"/>
        <v>Targeted Dealer</v>
      </c>
      <c r="H1412" s="22"/>
      <c r="I1412" s="23">
        <v>50</v>
      </c>
      <c r="J1412" s="23">
        <f t="shared" si="309"/>
        <v>50</v>
      </c>
      <c r="K1412" s="24">
        <v>0</v>
      </c>
      <c r="L1412" s="24">
        <f t="shared" si="310"/>
        <v>50</v>
      </c>
      <c r="M1412" s="24">
        <f t="shared" si="311"/>
        <v>0</v>
      </c>
      <c r="N1412" s="25">
        <v>0</v>
      </c>
      <c r="O1412" s="26" t="str">
        <f t="shared" si="312"/>
        <v>June</v>
      </c>
      <c r="P1412" s="25">
        <f t="shared" si="313"/>
        <v>0</v>
      </c>
      <c r="Q1412" s="27">
        <f t="shared" si="314"/>
        <v>0</v>
      </c>
      <c r="R1412" s="26" t="b">
        <f t="shared" si="315"/>
        <v>0</v>
      </c>
      <c r="S1412" s="28" t="b">
        <f t="shared" si="316"/>
        <v>0</v>
      </c>
      <c r="T1412" s="24">
        <v>0</v>
      </c>
      <c r="U1412" s="29" t="str">
        <f t="shared" si="317"/>
        <v>May</v>
      </c>
      <c r="V1412" s="24">
        <f t="shared" si="318"/>
        <v>0</v>
      </c>
      <c r="W1412" s="30">
        <f t="shared" si="319"/>
        <v>0</v>
      </c>
      <c r="X1412" s="31" t="b">
        <f t="shared" si="320"/>
        <v>0</v>
      </c>
      <c r="Y1412" s="32" t="b">
        <f t="shared" si="321"/>
        <v>0</v>
      </c>
      <c r="Z1412" s="41">
        <v>0</v>
      </c>
      <c r="AA1412" s="36"/>
      <c r="AB1412" s="36" t="s">
        <v>24</v>
      </c>
      <c r="AC1412" s="52" t="s">
        <v>24</v>
      </c>
      <c r="AD1412" s="34"/>
      <c r="AE1412" s="35">
        <f>IFERROR(INDEX([1]Last6M_AvgSales_Ref!$B$2:$B$12659,MATCH(D1412,[1]Last6M_AvgSales_Ref!$A$2:$A$12659,0)),"")</f>
        <v>83</v>
      </c>
    </row>
    <row r="1413" spans="1:31" ht="14.25" customHeight="1" x14ac:dyDescent="0.3">
      <c r="A1413" s="36" t="s">
        <v>1836</v>
      </c>
      <c r="B1413" s="50" t="s">
        <v>2004</v>
      </c>
      <c r="C1413" s="50" t="s">
        <v>2887</v>
      </c>
      <c r="D1413" s="50">
        <v>1000004440</v>
      </c>
      <c r="E1413" s="50" t="s">
        <v>2888</v>
      </c>
      <c r="F1413" s="51">
        <v>45873</v>
      </c>
      <c r="G1413" s="22" t="str">
        <f t="shared" si="308"/>
        <v>Targeted Dealer</v>
      </c>
      <c r="H1413" s="22"/>
      <c r="I1413" s="23">
        <v>30</v>
      </c>
      <c r="J1413" s="23">
        <f t="shared" si="309"/>
        <v>30</v>
      </c>
      <c r="K1413" s="24">
        <v>0</v>
      </c>
      <c r="L1413" s="24">
        <f t="shared" si="310"/>
        <v>30</v>
      </c>
      <c r="M1413" s="24">
        <f t="shared" si="311"/>
        <v>0</v>
      </c>
      <c r="N1413" s="25">
        <v>14.5</v>
      </c>
      <c r="O1413" s="26" t="str">
        <f t="shared" si="312"/>
        <v>June</v>
      </c>
      <c r="P1413" s="25">
        <f t="shared" si="313"/>
        <v>14.5</v>
      </c>
      <c r="Q1413" s="27">
        <f t="shared" si="314"/>
        <v>-14.5</v>
      </c>
      <c r="R1413" s="26" t="b">
        <f t="shared" si="315"/>
        <v>0</v>
      </c>
      <c r="S1413" s="28" t="str">
        <f t="shared" si="316"/>
        <v>GROWTH</v>
      </c>
      <c r="T1413" s="24">
        <v>0</v>
      </c>
      <c r="U1413" s="29" t="str">
        <f t="shared" si="317"/>
        <v>May</v>
      </c>
      <c r="V1413" s="24">
        <f t="shared" si="318"/>
        <v>0</v>
      </c>
      <c r="W1413" s="30">
        <f t="shared" si="319"/>
        <v>0</v>
      </c>
      <c r="X1413" s="31" t="b">
        <f t="shared" si="320"/>
        <v>0</v>
      </c>
      <c r="Y1413" s="32" t="b">
        <f t="shared" si="321"/>
        <v>0</v>
      </c>
      <c r="Z1413" s="41">
        <v>0</v>
      </c>
      <c r="AA1413" s="36"/>
      <c r="AB1413" s="36" t="s">
        <v>24</v>
      </c>
      <c r="AC1413" s="36" t="s">
        <v>1836</v>
      </c>
      <c r="AD1413" s="34"/>
      <c r="AE1413" s="35">
        <f>IFERROR(INDEX([1]Last6M_AvgSales_Ref!$B$2:$B$12659,MATCH(D1413,[1]Last6M_AvgSales_Ref!$A$2:$A$12659,0)),"")</f>
        <v>15.5833333333333</v>
      </c>
    </row>
    <row r="1414" spans="1:31" ht="14.25" customHeight="1" x14ac:dyDescent="0.3">
      <c r="A1414" s="52" t="s">
        <v>24</v>
      </c>
      <c r="B1414" s="50" t="s">
        <v>656</v>
      </c>
      <c r="C1414" s="50" t="s">
        <v>2889</v>
      </c>
      <c r="D1414" s="50">
        <v>1000004397</v>
      </c>
      <c r="E1414" s="50" t="s">
        <v>2890</v>
      </c>
      <c r="F1414" s="51">
        <v>45832</v>
      </c>
      <c r="G1414" s="22" t="str">
        <f t="shared" si="308"/>
        <v>-</v>
      </c>
      <c r="H1414" s="22"/>
      <c r="I1414" s="23">
        <v>0</v>
      </c>
      <c r="J1414" s="23">
        <f t="shared" si="309"/>
        <v>0</v>
      </c>
      <c r="K1414" s="24">
        <v>0</v>
      </c>
      <c r="L1414" s="24">
        <f t="shared" si="310"/>
        <v>0</v>
      </c>
      <c r="M1414" s="24" t="str">
        <f t="shared" si="311"/>
        <v>-</v>
      </c>
      <c r="N1414" s="25">
        <v>0</v>
      </c>
      <c r="O1414" s="26" t="str">
        <f t="shared" si="312"/>
        <v>June</v>
      </c>
      <c r="P1414" s="25">
        <f t="shared" si="313"/>
        <v>0</v>
      </c>
      <c r="Q1414" s="27">
        <f t="shared" si="314"/>
        <v>0</v>
      </c>
      <c r="R1414" s="26" t="b">
        <f t="shared" si="315"/>
        <v>0</v>
      </c>
      <c r="S1414" s="28" t="b">
        <f t="shared" si="316"/>
        <v>0</v>
      </c>
      <c r="T1414" s="24">
        <v>0</v>
      </c>
      <c r="U1414" s="29" t="str">
        <f t="shared" si="317"/>
        <v>May</v>
      </c>
      <c r="V1414" s="24">
        <f t="shared" si="318"/>
        <v>0</v>
      </c>
      <c r="W1414" s="30">
        <f t="shared" si="319"/>
        <v>0</v>
      </c>
      <c r="X1414" s="31" t="b">
        <f t="shared" si="320"/>
        <v>0</v>
      </c>
      <c r="Y1414" s="32" t="b">
        <f t="shared" si="321"/>
        <v>0</v>
      </c>
      <c r="Z1414" s="41">
        <v>0</v>
      </c>
      <c r="AA1414" s="36"/>
      <c r="AB1414" s="36" t="s">
        <v>24</v>
      </c>
      <c r="AC1414" s="52" t="s">
        <v>24</v>
      </c>
      <c r="AD1414" s="34"/>
      <c r="AE1414" s="35">
        <f>IFERROR(INDEX([1]Last6M_AvgSales_Ref!$B$2:$B$12659,MATCH(D1414,[1]Last6M_AvgSales_Ref!$A$2:$A$12659,0)),"")</f>
        <v>1.9166666666666701</v>
      </c>
    </row>
    <row r="1415" spans="1:31" ht="14.25" customHeight="1" x14ac:dyDescent="0.3">
      <c r="A1415" s="52" t="s">
        <v>848</v>
      </c>
      <c r="B1415" s="50" t="s">
        <v>996</v>
      </c>
      <c r="C1415" s="50" t="s">
        <v>2891</v>
      </c>
      <c r="D1415" s="50">
        <v>1000004452</v>
      </c>
      <c r="E1415" s="50" t="s">
        <v>2892</v>
      </c>
      <c r="F1415" s="51">
        <v>45887</v>
      </c>
      <c r="G1415" s="22" t="str">
        <f t="shared" si="308"/>
        <v>-</v>
      </c>
      <c r="H1415" s="22"/>
      <c r="I1415" s="23">
        <v>0</v>
      </c>
      <c r="J1415" s="23">
        <f t="shared" si="309"/>
        <v>0</v>
      </c>
      <c r="K1415" s="24">
        <v>0</v>
      </c>
      <c r="L1415" s="24">
        <f t="shared" si="310"/>
        <v>0</v>
      </c>
      <c r="M1415" s="24" t="str">
        <f t="shared" si="311"/>
        <v>-</v>
      </c>
      <c r="N1415" s="25">
        <v>0</v>
      </c>
      <c r="O1415" s="26" t="str">
        <f t="shared" si="312"/>
        <v>June</v>
      </c>
      <c r="P1415" s="25">
        <f t="shared" si="313"/>
        <v>0</v>
      </c>
      <c r="Q1415" s="27">
        <f t="shared" si="314"/>
        <v>0</v>
      </c>
      <c r="R1415" s="26" t="b">
        <f t="shared" si="315"/>
        <v>0</v>
      </c>
      <c r="S1415" s="28" t="b">
        <f t="shared" si="316"/>
        <v>0</v>
      </c>
      <c r="T1415" s="24">
        <v>0</v>
      </c>
      <c r="U1415" s="29" t="str">
        <f t="shared" si="317"/>
        <v>May</v>
      </c>
      <c r="V1415" s="24">
        <f t="shared" si="318"/>
        <v>0</v>
      </c>
      <c r="W1415" s="30">
        <f t="shared" si="319"/>
        <v>0</v>
      </c>
      <c r="X1415" s="31" t="b">
        <f t="shared" si="320"/>
        <v>0</v>
      </c>
      <c r="Y1415" s="32" t="b">
        <f t="shared" si="321"/>
        <v>0</v>
      </c>
      <c r="Z1415" s="41">
        <v>0</v>
      </c>
      <c r="AA1415" s="36"/>
      <c r="AB1415" s="36" t="s">
        <v>24</v>
      </c>
      <c r="AC1415" s="52" t="s">
        <v>848</v>
      </c>
      <c r="AD1415" s="34"/>
      <c r="AE1415" s="35">
        <f>IFERROR(INDEX([1]Last6M_AvgSales_Ref!$B$2:$B$12659,MATCH(D1415,[1]Last6M_AvgSales_Ref!$A$2:$A$12659,0)),"")</f>
        <v>16.4166666666667</v>
      </c>
    </row>
    <row r="1416" spans="1:31" ht="14.25" customHeight="1" x14ac:dyDescent="0.3">
      <c r="A1416" s="52" t="s">
        <v>848</v>
      </c>
      <c r="B1416" s="50" t="s">
        <v>917</v>
      </c>
      <c r="C1416" s="50" t="s">
        <v>2893</v>
      </c>
      <c r="D1416" s="50">
        <v>1000004431</v>
      </c>
      <c r="E1416" s="50" t="s">
        <v>2894</v>
      </c>
      <c r="F1416" s="51">
        <v>45884</v>
      </c>
      <c r="G1416" s="22" t="str">
        <f t="shared" si="308"/>
        <v>Targeted Dealer</v>
      </c>
      <c r="H1416" s="22"/>
      <c r="I1416" s="23">
        <v>24</v>
      </c>
      <c r="J1416" s="23">
        <f t="shared" si="309"/>
        <v>24</v>
      </c>
      <c r="K1416" s="24">
        <v>12.5</v>
      </c>
      <c r="L1416" s="24">
        <f t="shared" si="310"/>
        <v>11.5</v>
      </c>
      <c r="M1416" s="24">
        <f t="shared" si="311"/>
        <v>52.083333333333336</v>
      </c>
      <c r="N1416" s="25">
        <v>26</v>
      </c>
      <c r="O1416" s="26" t="str">
        <f t="shared" si="312"/>
        <v>June</v>
      </c>
      <c r="P1416" s="25">
        <f t="shared" si="313"/>
        <v>26</v>
      </c>
      <c r="Q1416" s="27">
        <f t="shared" si="314"/>
        <v>-13.5</v>
      </c>
      <c r="R1416" s="26" t="b">
        <f t="shared" si="315"/>
        <v>0</v>
      </c>
      <c r="S1416" s="28" t="str">
        <f t="shared" si="316"/>
        <v>GROWTH</v>
      </c>
      <c r="T1416" s="24">
        <v>0</v>
      </c>
      <c r="U1416" s="29" t="str">
        <f t="shared" si="317"/>
        <v>May</v>
      </c>
      <c r="V1416" s="24">
        <f t="shared" si="318"/>
        <v>0</v>
      </c>
      <c r="W1416" s="30">
        <f t="shared" si="319"/>
        <v>12.5</v>
      </c>
      <c r="X1416" s="31" t="b">
        <f t="shared" si="320"/>
        <v>0</v>
      </c>
      <c r="Y1416" s="32" t="b">
        <f t="shared" si="321"/>
        <v>0</v>
      </c>
      <c r="Z1416" s="41">
        <v>0</v>
      </c>
      <c r="AA1416" s="36"/>
      <c r="AB1416" s="36" t="s">
        <v>24</v>
      </c>
      <c r="AC1416" s="52" t="s">
        <v>848</v>
      </c>
      <c r="AD1416" s="34"/>
      <c r="AE1416" s="35">
        <f>IFERROR(INDEX([1]Last6M_AvgSales_Ref!$B$2:$B$12659,MATCH(D1416,[1]Last6M_AvgSales_Ref!$A$2:$A$12659,0)),"")</f>
        <v>18.9166666666667</v>
      </c>
    </row>
    <row r="1417" spans="1:31" ht="14.25" customHeight="1" x14ac:dyDescent="0.3">
      <c r="A1417" s="52" t="s">
        <v>24</v>
      </c>
      <c r="B1417" s="50" t="s">
        <v>269</v>
      </c>
      <c r="C1417" s="50" t="s">
        <v>2895</v>
      </c>
      <c r="D1417" s="50">
        <v>1000004453</v>
      </c>
      <c r="E1417" s="50" t="s">
        <v>2896</v>
      </c>
      <c r="F1417" s="51">
        <v>45891</v>
      </c>
      <c r="G1417" s="22" t="str">
        <f t="shared" si="308"/>
        <v>Targeted Dealer</v>
      </c>
      <c r="H1417" s="22"/>
      <c r="I1417" s="23">
        <v>40</v>
      </c>
      <c r="J1417" s="23">
        <f t="shared" si="309"/>
        <v>40</v>
      </c>
      <c r="K1417" s="24">
        <v>79.5</v>
      </c>
      <c r="L1417" s="24">
        <f t="shared" si="310"/>
        <v>-39.5</v>
      </c>
      <c r="M1417" s="24">
        <f t="shared" si="311"/>
        <v>198.75</v>
      </c>
      <c r="N1417" s="25">
        <v>34</v>
      </c>
      <c r="O1417" s="26" t="str">
        <f t="shared" si="312"/>
        <v>June</v>
      </c>
      <c r="P1417" s="25">
        <f t="shared" si="313"/>
        <v>34</v>
      </c>
      <c r="Q1417" s="27">
        <f t="shared" si="314"/>
        <v>45.5</v>
      </c>
      <c r="R1417" s="26" t="b">
        <f t="shared" si="315"/>
        <v>0</v>
      </c>
      <c r="S1417" s="28" t="str">
        <f t="shared" si="316"/>
        <v>GROWTH</v>
      </c>
      <c r="T1417" s="24">
        <v>0</v>
      </c>
      <c r="U1417" s="29" t="str">
        <f t="shared" si="317"/>
        <v>May</v>
      </c>
      <c r="V1417" s="24">
        <f t="shared" si="318"/>
        <v>0</v>
      </c>
      <c r="W1417" s="30">
        <f t="shared" si="319"/>
        <v>79.5</v>
      </c>
      <c r="X1417" s="31" t="b">
        <f t="shared" si="320"/>
        <v>0</v>
      </c>
      <c r="Y1417" s="32" t="b">
        <f t="shared" si="321"/>
        <v>0</v>
      </c>
      <c r="Z1417" s="41">
        <v>0</v>
      </c>
      <c r="AA1417" s="36"/>
      <c r="AB1417" s="36" t="s">
        <v>24</v>
      </c>
      <c r="AC1417" s="52" t="s">
        <v>24</v>
      </c>
      <c r="AD1417" s="34"/>
      <c r="AE1417" s="35">
        <f>IFERROR(INDEX([1]Last6M_AvgSales_Ref!$B$2:$B$12659,MATCH(D1417,[1]Last6M_AvgSales_Ref!$A$2:$A$12659,0)),"")</f>
        <v>78.766666666666694</v>
      </c>
    </row>
    <row r="1418" spans="1:31" ht="14.25" customHeight="1" x14ac:dyDescent="0.3">
      <c r="A1418" s="52" t="s">
        <v>24</v>
      </c>
      <c r="B1418" s="50" t="s">
        <v>570</v>
      </c>
      <c r="C1418" s="50" t="s">
        <v>2897</v>
      </c>
      <c r="D1418" s="50">
        <v>1000004454</v>
      </c>
      <c r="E1418" s="50" t="s">
        <v>861</v>
      </c>
      <c r="F1418" s="51">
        <v>45896</v>
      </c>
      <c r="G1418" s="22" t="str">
        <f t="shared" si="308"/>
        <v>Targeted Dealer</v>
      </c>
      <c r="H1418" s="22"/>
      <c r="I1418" s="23">
        <v>100</v>
      </c>
      <c r="J1418" s="23">
        <f t="shared" si="309"/>
        <v>100</v>
      </c>
      <c r="K1418" s="24">
        <v>120</v>
      </c>
      <c r="L1418" s="24">
        <f t="shared" si="310"/>
        <v>-20</v>
      </c>
      <c r="M1418" s="24">
        <f t="shared" si="311"/>
        <v>120</v>
      </c>
      <c r="N1418" s="25">
        <v>85</v>
      </c>
      <c r="O1418" s="26" t="str">
        <f t="shared" si="312"/>
        <v>June</v>
      </c>
      <c r="P1418" s="25">
        <f t="shared" si="313"/>
        <v>85</v>
      </c>
      <c r="Q1418" s="27">
        <f t="shared" si="314"/>
        <v>35</v>
      </c>
      <c r="R1418" s="26" t="b">
        <f t="shared" si="315"/>
        <v>0</v>
      </c>
      <c r="S1418" s="28" t="str">
        <f t="shared" si="316"/>
        <v>GROWTH</v>
      </c>
      <c r="T1418" s="24">
        <v>0</v>
      </c>
      <c r="U1418" s="29" t="str">
        <f t="shared" si="317"/>
        <v>May</v>
      </c>
      <c r="V1418" s="24">
        <f t="shared" si="318"/>
        <v>0</v>
      </c>
      <c r="W1418" s="30">
        <f t="shared" si="319"/>
        <v>120</v>
      </c>
      <c r="X1418" s="31" t="b">
        <f t="shared" si="320"/>
        <v>0</v>
      </c>
      <c r="Y1418" s="32" t="b">
        <f t="shared" si="321"/>
        <v>0</v>
      </c>
      <c r="Z1418" s="41">
        <v>0</v>
      </c>
      <c r="AA1418" s="36"/>
      <c r="AB1418" s="36" t="s">
        <v>24</v>
      </c>
      <c r="AC1418" s="52" t="s">
        <v>24</v>
      </c>
      <c r="AD1418" s="34"/>
      <c r="AE1418" s="35">
        <f>IFERROR(INDEX([1]Last6M_AvgSales_Ref!$B$2:$B$12659,MATCH(D1418,[1]Last6M_AvgSales_Ref!$A$2:$A$12659,0)),"")</f>
        <v>105.416666666667</v>
      </c>
    </row>
    <row r="1419" spans="1:31" ht="14.25" customHeight="1" x14ac:dyDescent="0.3">
      <c r="A1419" s="52" t="s">
        <v>24</v>
      </c>
      <c r="B1419" s="50" t="s">
        <v>449</v>
      </c>
      <c r="C1419" s="50" t="s">
        <v>2898</v>
      </c>
      <c r="D1419" s="50">
        <v>1000004464</v>
      </c>
      <c r="E1419" s="50" t="s">
        <v>2899</v>
      </c>
      <c r="F1419" s="51">
        <v>45896</v>
      </c>
      <c r="G1419" s="22" t="str">
        <f t="shared" si="308"/>
        <v>Targeted Dealer</v>
      </c>
      <c r="H1419" s="22"/>
      <c r="I1419" s="23">
        <v>70</v>
      </c>
      <c r="J1419" s="23">
        <f t="shared" si="309"/>
        <v>70</v>
      </c>
      <c r="K1419" s="24">
        <v>58.5</v>
      </c>
      <c r="L1419" s="24">
        <f t="shared" si="310"/>
        <v>11.5</v>
      </c>
      <c r="M1419" s="24">
        <f t="shared" si="311"/>
        <v>83.571428571428584</v>
      </c>
      <c r="N1419" s="25">
        <v>62.5</v>
      </c>
      <c r="O1419" s="26" t="str">
        <f t="shared" si="312"/>
        <v>June</v>
      </c>
      <c r="P1419" s="25">
        <f t="shared" si="313"/>
        <v>62.5</v>
      </c>
      <c r="Q1419" s="27">
        <f t="shared" si="314"/>
        <v>-4</v>
      </c>
      <c r="R1419" s="26" t="b">
        <f t="shared" si="315"/>
        <v>0</v>
      </c>
      <c r="S1419" s="28" t="str">
        <f t="shared" si="316"/>
        <v>GROWTH</v>
      </c>
      <c r="T1419" s="24">
        <v>0</v>
      </c>
      <c r="U1419" s="29" t="str">
        <f t="shared" si="317"/>
        <v>May</v>
      </c>
      <c r="V1419" s="24">
        <f t="shared" si="318"/>
        <v>0</v>
      </c>
      <c r="W1419" s="30">
        <f t="shared" si="319"/>
        <v>58.5</v>
      </c>
      <c r="X1419" s="31" t="b">
        <f t="shared" si="320"/>
        <v>0</v>
      </c>
      <c r="Y1419" s="32" t="b">
        <f t="shared" si="321"/>
        <v>0</v>
      </c>
      <c r="Z1419" s="41">
        <v>0</v>
      </c>
      <c r="AA1419" s="36"/>
      <c r="AB1419" s="36" t="s">
        <v>24</v>
      </c>
      <c r="AC1419" s="52" t="s">
        <v>24</v>
      </c>
      <c r="AD1419" s="34"/>
      <c r="AE1419" s="35">
        <f>IFERROR(INDEX([1]Last6M_AvgSales_Ref!$B$2:$B$12659,MATCH(D1419,[1]Last6M_AvgSales_Ref!$A$2:$A$12659,0)),"")</f>
        <v>62.6666666666667</v>
      </c>
    </row>
    <row r="1420" spans="1:31" ht="14.25" customHeight="1" x14ac:dyDescent="0.3">
      <c r="A1420" s="52" t="s">
        <v>1836</v>
      </c>
      <c r="B1420" s="50" t="s">
        <v>2004</v>
      </c>
      <c r="C1420" s="50" t="s">
        <v>2900</v>
      </c>
      <c r="D1420" s="50">
        <v>1000004435</v>
      </c>
      <c r="E1420" s="50" t="s">
        <v>2901</v>
      </c>
      <c r="F1420" s="51">
        <v>45863</v>
      </c>
      <c r="G1420" s="22" t="str">
        <f t="shared" si="308"/>
        <v>Targeted Dealer</v>
      </c>
      <c r="H1420" s="22"/>
      <c r="I1420" s="23">
        <v>30</v>
      </c>
      <c r="J1420" s="23">
        <f t="shared" si="309"/>
        <v>30</v>
      </c>
      <c r="K1420" s="24">
        <v>12</v>
      </c>
      <c r="L1420" s="24">
        <f t="shared" si="310"/>
        <v>18</v>
      </c>
      <c r="M1420" s="24">
        <f t="shared" si="311"/>
        <v>40</v>
      </c>
      <c r="N1420" s="25">
        <v>20.5</v>
      </c>
      <c r="O1420" s="26" t="str">
        <f t="shared" si="312"/>
        <v>June</v>
      </c>
      <c r="P1420" s="25">
        <f t="shared" si="313"/>
        <v>20.5</v>
      </c>
      <c r="Q1420" s="27">
        <f t="shared" si="314"/>
        <v>-8.5</v>
      </c>
      <c r="R1420" s="26" t="b">
        <f t="shared" si="315"/>
        <v>0</v>
      </c>
      <c r="S1420" s="28" t="str">
        <f t="shared" si="316"/>
        <v>GROWTH</v>
      </c>
      <c r="T1420" s="24">
        <v>0</v>
      </c>
      <c r="U1420" s="29" t="str">
        <f t="shared" si="317"/>
        <v>May</v>
      </c>
      <c r="V1420" s="24">
        <f t="shared" si="318"/>
        <v>0</v>
      </c>
      <c r="W1420" s="30">
        <f t="shared" si="319"/>
        <v>12</v>
      </c>
      <c r="X1420" s="31" t="b">
        <f t="shared" si="320"/>
        <v>0</v>
      </c>
      <c r="Y1420" s="32" t="b">
        <f t="shared" si="321"/>
        <v>0</v>
      </c>
      <c r="Z1420" s="41">
        <v>0</v>
      </c>
      <c r="AA1420" s="36"/>
      <c r="AB1420" s="36" t="s">
        <v>24</v>
      </c>
      <c r="AC1420" s="52" t="s">
        <v>1836</v>
      </c>
      <c r="AD1420" s="34"/>
      <c r="AE1420" s="35">
        <f>IFERROR(INDEX([1]Last6M_AvgSales_Ref!$B$2:$B$12659,MATCH(D1420,[1]Last6M_AvgSales_Ref!$A$2:$A$12659,0)),"")</f>
        <v>9.1666666666666696</v>
      </c>
    </row>
    <row r="1421" spans="1:31" ht="14.25" customHeight="1" x14ac:dyDescent="0.3">
      <c r="A1421" s="52" t="s">
        <v>848</v>
      </c>
      <c r="B1421" s="50" t="s">
        <v>1769</v>
      </c>
      <c r="C1421" s="50" t="s">
        <v>2902</v>
      </c>
      <c r="D1421" s="50">
        <v>1000004462</v>
      </c>
      <c r="E1421" s="50" t="s">
        <v>2903</v>
      </c>
      <c r="F1421" s="51">
        <v>45891</v>
      </c>
      <c r="G1421" s="22" t="str">
        <f t="shared" si="308"/>
        <v>-</v>
      </c>
      <c r="H1421" s="22"/>
      <c r="I1421" s="23">
        <v>0</v>
      </c>
      <c r="J1421" s="23">
        <f t="shared" si="309"/>
        <v>0</v>
      </c>
      <c r="K1421" s="24">
        <v>0</v>
      </c>
      <c r="L1421" s="24">
        <f t="shared" si="310"/>
        <v>0</v>
      </c>
      <c r="M1421" s="24" t="str">
        <f t="shared" si="311"/>
        <v>-</v>
      </c>
      <c r="N1421" s="25">
        <v>0</v>
      </c>
      <c r="O1421" s="26" t="str">
        <f t="shared" si="312"/>
        <v>June</v>
      </c>
      <c r="P1421" s="25">
        <f t="shared" si="313"/>
        <v>0</v>
      </c>
      <c r="Q1421" s="27">
        <f t="shared" si="314"/>
        <v>0</v>
      </c>
      <c r="R1421" s="26" t="b">
        <f t="shared" si="315"/>
        <v>0</v>
      </c>
      <c r="S1421" s="28" t="b">
        <f t="shared" si="316"/>
        <v>0</v>
      </c>
      <c r="T1421" s="24">
        <v>0</v>
      </c>
      <c r="U1421" s="29" t="str">
        <f t="shared" si="317"/>
        <v>May</v>
      </c>
      <c r="V1421" s="24">
        <f t="shared" si="318"/>
        <v>0</v>
      </c>
      <c r="W1421" s="30">
        <f t="shared" si="319"/>
        <v>0</v>
      </c>
      <c r="X1421" s="31" t="b">
        <f t="shared" si="320"/>
        <v>0</v>
      </c>
      <c r="Y1421" s="32" t="b">
        <f t="shared" si="321"/>
        <v>0</v>
      </c>
      <c r="Z1421" s="41">
        <v>0</v>
      </c>
      <c r="AA1421" s="36"/>
      <c r="AB1421" s="36" t="s">
        <v>24</v>
      </c>
      <c r="AC1421" s="52" t="s">
        <v>848</v>
      </c>
      <c r="AD1421" s="34"/>
      <c r="AE1421" s="35">
        <f>IFERROR(INDEX([1]Last6M_AvgSales_Ref!$B$2:$B$12659,MATCH(D1421,[1]Last6M_AvgSales_Ref!$A$2:$A$12659,0)),"")</f>
        <v>0.83333333333333304</v>
      </c>
    </row>
    <row r="1422" spans="1:31" ht="14.25" customHeight="1" x14ac:dyDescent="0.3">
      <c r="A1422" s="52" t="s">
        <v>24</v>
      </c>
      <c r="B1422" s="50" t="s">
        <v>399</v>
      </c>
      <c r="C1422" s="50" t="s">
        <v>2904</v>
      </c>
      <c r="D1422" s="50">
        <v>1000000105</v>
      </c>
      <c r="E1422" s="50" t="s">
        <v>2905</v>
      </c>
      <c r="F1422" s="51">
        <v>44738</v>
      </c>
      <c r="G1422" s="22" t="str">
        <f t="shared" si="308"/>
        <v>Targeted Dealer</v>
      </c>
      <c r="H1422" s="22"/>
      <c r="I1422" s="23">
        <v>40</v>
      </c>
      <c r="J1422" s="23">
        <f t="shared" si="309"/>
        <v>40</v>
      </c>
      <c r="K1422" s="24">
        <v>20</v>
      </c>
      <c r="L1422" s="24">
        <f t="shared" si="310"/>
        <v>20</v>
      </c>
      <c r="M1422" s="24">
        <f t="shared" si="311"/>
        <v>50</v>
      </c>
      <c r="N1422" s="25">
        <v>20</v>
      </c>
      <c r="O1422" s="26" t="str">
        <f t="shared" si="312"/>
        <v>June</v>
      </c>
      <c r="P1422" s="25">
        <f t="shared" si="313"/>
        <v>20</v>
      </c>
      <c r="Q1422" s="27">
        <f t="shared" si="314"/>
        <v>0</v>
      </c>
      <c r="R1422" s="26" t="b">
        <f t="shared" si="315"/>
        <v>0</v>
      </c>
      <c r="S1422" s="28" t="str">
        <f t="shared" si="316"/>
        <v>GROWTH</v>
      </c>
      <c r="T1422" s="24">
        <v>0</v>
      </c>
      <c r="U1422" s="29" t="str">
        <f t="shared" si="317"/>
        <v>May</v>
      </c>
      <c r="V1422" s="24">
        <f t="shared" si="318"/>
        <v>0</v>
      </c>
      <c r="W1422" s="30">
        <f t="shared" si="319"/>
        <v>20</v>
      </c>
      <c r="X1422" s="31" t="b">
        <f t="shared" si="320"/>
        <v>0</v>
      </c>
      <c r="Y1422" s="32" t="b">
        <f t="shared" si="321"/>
        <v>0</v>
      </c>
      <c r="Z1422" s="41">
        <v>0</v>
      </c>
      <c r="AA1422" s="36"/>
      <c r="AB1422" s="36" t="s">
        <v>24</v>
      </c>
      <c r="AC1422" s="52" t="s">
        <v>24</v>
      </c>
      <c r="AD1422" s="34"/>
      <c r="AE1422" s="35">
        <f>IFERROR(INDEX([1]Last6M_AvgSales_Ref!$B$2:$B$12659,MATCH(D1422,[1]Last6M_AvgSales_Ref!$A$2:$A$12659,0)),"")</f>
        <v>8.3333333333333304</v>
      </c>
    </row>
    <row r="1423" spans="1:31" ht="14.25" customHeight="1" x14ac:dyDescent="0.3">
      <c r="A1423" s="52" t="s">
        <v>848</v>
      </c>
      <c r="B1423" s="50" t="s">
        <v>1329</v>
      </c>
      <c r="C1423" s="50" t="s">
        <v>2906</v>
      </c>
      <c r="D1423" s="50">
        <v>1000004455</v>
      </c>
      <c r="E1423" s="50" t="s">
        <v>2907</v>
      </c>
      <c r="F1423" s="51">
        <v>45898</v>
      </c>
      <c r="G1423" s="22" t="str">
        <f t="shared" si="308"/>
        <v>Targeted Dealer</v>
      </c>
      <c r="H1423" s="22"/>
      <c r="I1423" s="23">
        <v>140</v>
      </c>
      <c r="J1423" s="23">
        <f t="shared" si="309"/>
        <v>140</v>
      </c>
      <c r="K1423" s="24">
        <v>55</v>
      </c>
      <c r="L1423" s="24">
        <f t="shared" si="310"/>
        <v>85</v>
      </c>
      <c r="M1423" s="24">
        <f t="shared" si="311"/>
        <v>39.285714285714285</v>
      </c>
      <c r="N1423" s="25">
        <v>60</v>
      </c>
      <c r="O1423" s="26" t="str">
        <f t="shared" si="312"/>
        <v>June</v>
      </c>
      <c r="P1423" s="25">
        <f t="shared" si="313"/>
        <v>60</v>
      </c>
      <c r="Q1423" s="27">
        <f t="shared" si="314"/>
        <v>-5</v>
      </c>
      <c r="R1423" s="26" t="b">
        <f t="shared" si="315"/>
        <v>0</v>
      </c>
      <c r="S1423" s="28" t="str">
        <f t="shared" si="316"/>
        <v>GROWTH</v>
      </c>
      <c r="T1423" s="24">
        <v>0</v>
      </c>
      <c r="U1423" s="29" t="str">
        <f t="shared" si="317"/>
        <v>May</v>
      </c>
      <c r="V1423" s="24">
        <f t="shared" si="318"/>
        <v>0</v>
      </c>
      <c r="W1423" s="30">
        <f t="shared" si="319"/>
        <v>55</v>
      </c>
      <c r="X1423" s="31" t="b">
        <f t="shared" si="320"/>
        <v>0</v>
      </c>
      <c r="Y1423" s="32" t="b">
        <f t="shared" si="321"/>
        <v>0</v>
      </c>
      <c r="Z1423" s="41">
        <v>0</v>
      </c>
      <c r="AA1423" s="36"/>
      <c r="AB1423" s="36" t="s">
        <v>24</v>
      </c>
      <c r="AC1423" s="52" t="s">
        <v>848</v>
      </c>
      <c r="AD1423" s="34"/>
      <c r="AE1423" s="35">
        <f>IFERROR(INDEX([1]Last6M_AvgSales_Ref!$B$2:$B$12659,MATCH(D1423,[1]Last6M_AvgSales_Ref!$A$2:$A$12659,0)),"")</f>
        <v>77</v>
      </c>
    </row>
    <row r="1424" spans="1:31" ht="14.25" customHeight="1" x14ac:dyDescent="0.3">
      <c r="A1424" s="52" t="s">
        <v>24</v>
      </c>
      <c r="B1424" s="50" t="s">
        <v>399</v>
      </c>
      <c r="C1424" s="50" t="s">
        <v>2908</v>
      </c>
      <c r="D1424" s="50">
        <v>1000004470</v>
      </c>
      <c r="E1424" s="50" t="s">
        <v>2909</v>
      </c>
      <c r="F1424" s="51">
        <v>45916</v>
      </c>
      <c r="G1424" s="22" t="str">
        <f t="shared" si="308"/>
        <v>-</v>
      </c>
      <c r="H1424" s="22"/>
      <c r="I1424" s="23">
        <v>0</v>
      </c>
      <c r="J1424" s="23">
        <f t="shared" si="309"/>
        <v>0</v>
      </c>
      <c r="K1424" s="24">
        <v>0</v>
      </c>
      <c r="L1424" s="24">
        <f t="shared" si="310"/>
        <v>0</v>
      </c>
      <c r="M1424" s="24" t="str">
        <f t="shared" si="311"/>
        <v>-</v>
      </c>
      <c r="N1424" s="25">
        <v>0</v>
      </c>
      <c r="O1424" s="26" t="str">
        <f t="shared" si="312"/>
        <v>June</v>
      </c>
      <c r="P1424" s="25">
        <f t="shared" si="313"/>
        <v>0</v>
      </c>
      <c r="Q1424" s="27">
        <f t="shared" si="314"/>
        <v>0</v>
      </c>
      <c r="R1424" s="26" t="b">
        <f t="shared" si="315"/>
        <v>0</v>
      </c>
      <c r="S1424" s="28" t="b">
        <f t="shared" si="316"/>
        <v>0</v>
      </c>
      <c r="T1424" s="24">
        <v>0</v>
      </c>
      <c r="U1424" s="29" t="str">
        <f t="shared" si="317"/>
        <v>May</v>
      </c>
      <c r="V1424" s="24">
        <f t="shared" si="318"/>
        <v>0</v>
      </c>
      <c r="W1424" s="30">
        <f t="shared" si="319"/>
        <v>0</v>
      </c>
      <c r="X1424" s="31" t="b">
        <f t="shared" si="320"/>
        <v>0</v>
      </c>
      <c r="Y1424" s="32" t="b">
        <f t="shared" si="321"/>
        <v>0</v>
      </c>
      <c r="Z1424" s="41">
        <v>0</v>
      </c>
      <c r="AA1424" s="36"/>
      <c r="AB1424" s="36" t="s">
        <v>24</v>
      </c>
      <c r="AC1424" s="52" t="s">
        <v>24</v>
      </c>
      <c r="AD1424" s="34"/>
      <c r="AE1424" s="35">
        <f>IFERROR(INDEX([1]Last6M_AvgSales_Ref!$B$2:$B$12659,MATCH(D1424,[1]Last6M_AvgSales_Ref!$A$2:$A$12659,0)),"")</f>
        <v>25.25</v>
      </c>
    </row>
    <row r="1425" spans="1:31" ht="14.25" customHeight="1" x14ac:dyDescent="0.3">
      <c r="A1425" s="52" t="s">
        <v>24</v>
      </c>
      <c r="B1425" s="50" t="s">
        <v>177</v>
      </c>
      <c r="C1425" s="50" t="s">
        <v>2910</v>
      </c>
      <c r="D1425" s="50">
        <v>1000004437</v>
      </c>
      <c r="E1425" s="50" t="s">
        <v>2911</v>
      </c>
      <c r="F1425" s="51">
        <v>45867</v>
      </c>
      <c r="G1425" s="22" t="str">
        <f t="shared" si="308"/>
        <v>Targeted Dealer</v>
      </c>
      <c r="H1425" s="22"/>
      <c r="I1425" s="23">
        <v>20</v>
      </c>
      <c r="J1425" s="23">
        <f t="shared" si="309"/>
        <v>20</v>
      </c>
      <c r="K1425" s="24">
        <v>20</v>
      </c>
      <c r="L1425" s="24">
        <f t="shared" si="310"/>
        <v>0</v>
      </c>
      <c r="M1425" s="24">
        <f t="shared" si="311"/>
        <v>100</v>
      </c>
      <c r="N1425" s="25">
        <v>20</v>
      </c>
      <c r="O1425" s="26" t="str">
        <f t="shared" si="312"/>
        <v>June</v>
      </c>
      <c r="P1425" s="25">
        <f t="shared" si="313"/>
        <v>20</v>
      </c>
      <c r="Q1425" s="27">
        <f t="shared" si="314"/>
        <v>0</v>
      </c>
      <c r="R1425" s="26" t="b">
        <f t="shared" si="315"/>
        <v>0</v>
      </c>
      <c r="S1425" s="28" t="str">
        <f t="shared" si="316"/>
        <v>GROWTH</v>
      </c>
      <c r="T1425" s="24">
        <v>0</v>
      </c>
      <c r="U1425" s="29" t="str">
        <f t="shared" si="317"/>
        <v>May</v>
      </c>
      <c r="V1425" s="24">
        <f t="shared" si="318"/>
        <v>0</v>
      </c>
      <c r="W1425" s="30">
        <f t="shared" si="319"/>
        <v>20</v>
      </c>
      <c r="X1425" s="31" t="b">
        <f t="shared" si="320"/>
        <v>0</v>
      </c>
      <c r="Y1425" s="32" t="b">
        <f t="shared" si="321"/>
        <v>0</v>
      </c>
      <c r="Z1425" s="41">
        <v>0</v>
      </c>
      <c r="AA1425" s="36"/>
      <c r="AB1425" s="36" t="s">
        <v>24</v>
      </c>
      <c r="AC1425" s="52" t="s">
        <v>24</v>
      </c>
      <c r="AD1425" s="34"/>
      <c r="AE1425" s="35">
        <f>IFERROR(INDEX([1]Last6M_AvgSales_Ref!$B$2:$B$12659,MATCH(D1425,[1]Last6M_AvgSales_Ref!$A$2:$A$12659,0)),"")</f>
        <v>16.6666666666667</v>
      </c>
    </row>
    <row r="1426" spans="1:31" ht="14.25" customHeight="1" x14ac:dyDescent="0.3">
      <c r="A1426" s="52" t="s">
        <v>24</v>
      </c>
      <c r="B1426" s="50" t="s">
        <v>570</v>
      </c>
      <c r="C1426" s="50" t="s">
        <v>2912</v>
      </c>
      <c r="D1426" s="50">
        <v>1000003412</v>
      </c>
      <c r="E1426" s="50" t="s">
        <v>2913</v>
      </c>
      <c r="F1426" s="51">
        <v>44988</v>
      </c>
      <c r="G1426" s="22" t="str">
        <f t="shared" si="308"/>
        <v>Targeted Dealer</v>
      </c>
      <c r="H1426" s="22"/>
      <c r="I1426" s="23">
        <v>20</v>
      </c>
      <c r="J1426" s="23">
        <f t="shared" si="309"/>
        <v>20</v>
      </c>
      <c r="K1426" s="24">
        <v>0</v>
      </c>
      <c r="L1426" s="24">
        <f t="shared" si="310"/>
        <v>20</v>
      </c>
      <c r="M1426" s="24">
        <f t="shared" si="311"/>
        <v>0</v>
      </c>
      <c r="N1426" s="25">
        <v>0</v>
      </c>
      <c r="O1426" s="26" t="str">
        <f t="shared" si="312"/>
        <v>June</v>
      </c>
      <c r="P1426" s="25">
        <f t="shared" si="313"/>
        <v>0</v>
      </c>
      <c r="Q1426" s="27">
        <f t="shared" si="314"/>
        <v>0</v>
      </c>
      <c r="R1426" s="26" t="b">
        <f t="shared" si="315"/>
        <v>0</v>
      </c>
      <c r="S1426" s="28" t="b">
        <f t="shared" si="316"/>
        <v>0</v>
      </c>
      <c r="T1426" s="24">
        <v>0</v>
      </c>
      <c r="U1426" s="29" t="str">
        <f t="shared" si="317"/>
        <v>May</v>
      </c>
      <c r="V1426" s="24">
        <f t="shared" si="318"/>
        <v>0</v>
      </c>
      <c r="W1426" s="30">
        <f t="shared" si="319"/>
        <v>0</v>
      </c>
      <c r="X1426" s="31" t="b">
        <f t="shared" si="320"/>
        <v>0</v>
      </c>
      <c r="Y1426" s="32" t="b">
        <f t="shared" si="321"/>
        <v>0</v>
      </c>
      <c r="Z1426" s="41">
        <v>0</v>
      </c>
      <c r="AA1426" s="36"/>
      <c r="AB1426" s="36" t="s">
        <v>24</v>
      </c>
      <c r="AC1426" s="52" t="s">
        <v>24</v>
      </c>
      <c r="AD1426" s="34"/>
      <c r="AE1426" s="35">
        <f>IFERROR(INDEX([1]Last6M_AvgSales_Ref!$B$2:$B$12659,MATCH(D1426,[1]Last6M_AvgSales_Ref!$A$2:$A$12659,0)),"")</f>
        <v>15.5833333333333</v>
      </c>
    </row>
    <row r="1427" spans="1:31" ht="14.25" customHeight="1" x14ac:dyDescent="0.3">
      <c r="A1427" s="52" t="s">
        <v>848</v>
      </c>
      <c r="B1427" s="50" t="s">
        <v>849</v>
      </c>
      <c r="C1427" s="50" t="s">
        <v>2914</v>
      </c>
      <c r="D1427" s="50">
        <v>1000004458</v>
      </c>
      <c r="E1427" s="50" t="s">
        <v>2915</v>
      </c>
      <c r="F1427" s="51">
        <v>45906</v>
      </c>
      <c r="G1427" s="22" t="str">
        <f t="shared" si="308"/>
        <v>Targeted Dealer</v>
      </c>
      <c r="H1427" s="22"/>
      <c r="I1427" s="23">
        <v>160</v>
      </c>
      <c r="J1427" s="23">
        <f t="shared" si="309"/>
        <v>160</v>
      </c>
      <c r="K1427" s="24">
        <v>130</v>
      </c>
      <c r="L1427" s="24">
        <f t="shared" si="310"/>
        <v>30</v>
      </c>
      <c r="M1427" s="24">
        <f t="shared" si="311"/>
        <v>81.25</v>
      </c>
      <c r="N1427" s="25">
        <v>117</v>
      </c>
      <c r="O1427" s="26" t="str">
        <f t="shared" si="312"/>
        <v>June</v>
      </c>
      <c r="P1427" s="25">
        <f t="shared" si="313"/>
        <v>117</v>
      </c>
      <c r="Q1427" s="27">
        <f t="shared" si="314"/>
        <v>13</v>
      </c>
      <c r="R1427" s="26" t="b">
        <f t="shared" si="315"/>
        <v>0</v>
      </c>
      <c r="S1427" s="28" t="str">
        <f t="shared" si="316"/>
        <v>GROWTH</v>
      </c>
      <c r="T1427" s="24">
        <v>0</v>
      </c>
      <c r="U1427" s="29" t="str">
        <f t="shared" si="317"/>
        <v>May</v>
      </c>
      <c r="V1427" s="24">
        <f t="shared" si="318"/>
        <v>0</v>
      </c>
      <c r="W1427" s="30">
        <f t="shared" si="319"/>
        <v>130</v>
      </c>
      <c r="X1427" s="31" t="b">
        <f t="shared" si="320"/>
        <v>0</v>
      </c>
      <c r="Y1427" s="32" t="b">
        <f t="shared" si="321"/>
        <v>0</v>
      </c>
      <c r="Z1427" s="41">
        <v>0</v>
      </c>
      <c r="AA1427" s="36"/>
      <c r="AB1427" s="36" t="s">
        <v>24</v>
      </c>
      <c r="AC1427" s="52" t="s">
        <v>848</v>
      </c>
      <c r="AD1427" s="34"/>
      <c r="AE1427" s="35">
        <f>IFERROR(INDEX([1]Last6M_AvgSales_Ref!$B$2:$B$12659,MATCH(D1427,[1]Last6M_AvgSales_Ref!$A$2:$A$12659,0)),"")</f>
        <v>143</v>
      </c>
    </row>
    <row r="1428" spans="1:31" ht="14.25" customHeight="1" x14ac:dyDescent="0.3">
      <c r="A1428" s="52" t="s">
        <v>848</v>
      </c>
      <c r="B1428" s="50" t="s">
        <v>1666</v>
      </c>
      <c r="C1428" s="50" t="s">
        <v>2916</v>
      </c>
      <c r="D1428" s="50">
        <v>1000004474</v>
      </c>
      <c r="E1428" s="50" t="s">
        <v>2917</v>
      </c>
      <c r="F1428" s="51">
        <v>45922</v>
      </c>
      <c r="G1428" s="22" t="str">
        <f t="shared" si="308"/>
        <v>Targeted Dealer</v>
      </c>
      <c r="H1428" s="22"/>
      <c r="I1428" s="23">
        <v>40</v>
      </c>
      <c r="J1428" s="23">
        <f t="shared" si="309"/>
        <v>40</v>
      </c>
      <c r="K1428" s="24">
        <v>21</v>
      </c>
      <c r="L1428" s="24">
        <f t="shared" si="310"/>
        <v>19</v>
      </c>
      <c r="M1428" s="24">
        <f t="shared" si="311"/>
        <v>52.5</v>
      </c>
      <c r="N1428" s="25">
        <v>24.5</v>
      </c>
      <c r="O1428" s="26" t="str">
        <f t="shared" si="312"/>
        <v>June</v>
      </c>
      <c r="P1428" s="25">
        <f t="shared" si="313"/>
        <v>24.5</v>
      </c>
      <c r="Q1428" s="27">
        <f t="shared" si="314"/>
        <v>-3.5</v>
      </c>
      <c r="R1428" s="26" t="b">
        <f t="shared" si="315"/>
        <v>0</v>
      </c>
      <c r="S1428" s="28" t="str">
        <f t="shared" si="316"/>
        <v>GROWTH</v>
      </c>
      <c r="T1428" s="24">
        <v>0</v>
      </c>
      <c r="U1428" s="29" t="str">
        <f t="shared" si="317"/>
        <v>May</v>
      </c>
      <c r="V1428" s="24">
        <f t="shared" si="318"/>
        <v>0</v>
      </c>
      <c r="W1428" s="30">
        <f t="shared" si="319"/>
        <v>21</v>
      </c>
      <c r="X1428" s="31" t="b">
        <f t="shared" si="320"/>
        <v>0</v>
      </c>
      <c r="Y1428" s="32" t="b">
        <f t="shared" si="321"/>
        <v>0</v>
      </c>
      <c r="Z1428" s="41">
        <v>0</v>
      </c>
      <c r="AA1428" s="36"/>
      <c r="AB1428" s="36" t="s">
        <v>24</v>
      </c>
      <c r="AC1428" s="52" t="s">
        <v>848</v>
      </c>
      <c r="AD1428" s="34"/>
      <c r="AE1428" s="35">
        <f>IFERROR(INDEX([1]Last6M_AvgSales_Ref!$B$2:$B$12659,MATCH(D1428,[1]Last6M_AvgSales_Ref!$A$2:$A$12659,0)),"")</f>
        <v>27.191666666666698</v>
      </c>
    </row>
    <row r="1429" spans="1:31" ht="14.25" customHeight="1" x14ac:dyDescent="0.3">
      <c r="A1429" s="52" t="s">
        <v>848</v>
      </c>
      <c r="B1429" s="50" t="s">
        <v>1098</v>
      </c>
      <c r="C1429" s="50" t="s">
        <v>2918</v>
      </c>
      <c r="D1429" s="50">
        <v>1000004465</v>
      </c>
      <c r="E1429" s="50" t="s">
        <v>2919</v>
      </c>
      <c r="F1429" s="51">
        <v>45896</v>
      </c>
      <c r="G1429" s="22" t="str">
        <f t="shared" si="308"/>
        <v>Targeted Dealer</v>
      </c>
      <c r="H1429" s="22"/>
      <c r="I1429" s="23">
        <v>200</v>
      </c>
      <c r="J1429" s="23">
        <f t="shared" si="309"/>
        <v>200</v>
      </c>
      <c r="K1429" s="24">
        <v>150</v>
      </c>
      <c r="L1429" s="24">
        <f t="shared" si="310"/>
        <v>50</v>
      </c>
      <c r="M1429" s="24">
        <f t="shared" si="311"/>
        <v>75</v>
      </c>
      <c r="N1429" s="25">
        <v>150</v>
      </c>
      <c r="O1429" s="26" t="str">
        <f t="shared" si="312"/>
        <v>June</v>
      </c>
      <c r="P1429" s="25">
        <f t="shared" si="313"/>
        <v>150</v>
      </c>
      <c r="Q1429" s="27">
        <f t="shared" si="314"/>
        <v>0</v>
      </c>
      <c r="R1429" s="26" t="b">
        <f t="shared" si="315"/>
        <v>0</v>
      </c>
      <c r="S1429" s="28" t="str">
        <f t="shared" si="316"/>
        <v>GROWTH</v>
      </c>
      <c r="T1429" s="24">
        <v>0</v>
      </c>
      <c r="U1429" s="29" t="str">
        <f t="shared" si="317"/>
        <v>May</v>
      </c>
      <c r="V1429" s="24">
        <f t="shared" si="318"/>
        <v>0</v>
      </c>
      <c r="W1429" s="30">
        <f t="shared" si="319"/>
        <v>150</v>
      </c>
      <c r="X1429" s="31" t="b">
        <f t="shared" si="320"/>
        <v>0</v>
      </c>
      <c r="Y1429" s="32" t="b">
        <f t="shared" si="321"/>
        <v>0</v>
      </c>
      <c r="Z1429" s="41">
        <v>0</v>
      </c>
      <c r="AA1429" s="36"/>
      <c r="AB1429" s="36" t="s">
        <v>24</v>
      </c>
      <c r="AC1429" s="52" t="s">
        <v>848</v>
      </c>
      <c r="AD1429" s="34"/>
      <c r="AE1429" s="35">
        <f>IFERROR(INDEX([1]Last6M_AvgSales_Ref!$B$2:$B$12659,MATCH(D1429,[1]Last6M_AvgSales_Ref!$A$2:$A$12659,0)),"")</f>
        <v>149.666666666667</v>
      </c>
    </row>
    <row r="1430" spans="1:31" ht="14.25" customHeight="1" x14ac:dyDescent="0.3">
      <c r="A1430" s="52" t="s">
        <v>2027</v>
      </c>
      <c r="B1430" s="50" t="s">
        <v>2118</v>
      </c>
      <c r="C1430" s="50" t="s">
        <v>2920</v>
      </c>
      <c r="D1430" s="50">
        <v>1000004459</v>
      </c>
      <c r="E1430" s="50" t="s">
        <v>2921</v>
      </c>
      <c r="F1430" s="51">
        <v>45908</v>
      </c>
      <c r="G1430" s="22" t="str">
        <f t="shared" si="308"/>
        <v>Targeted Dealer</v>
      </c>
      <c r="H1430" s="22"/>
      <c r="I1430" s="23">
        <v>220</v>
      </c>
      <c r="J1430" s="23">
        <f t="shared" si="309"/>
        <v>220</v>
      </c>
      <c r="K1430" s="24">
        <v>205</v>
      </c>
      <c r="L1430" s="24">
        <f t="shared" si="310"/>
        <v>15</v>
      </c>
      <c r="M1430" s="24">
        <f t="shared" si="311"/>
        <v>93.181818181818173</v>
      </c>
      <c r="N1430" s="25">
        <v>220</v>
      </c>
      <c r="O1430" s="26" t="str">
        <f t="shared" si="312"/>
        <v>June</v>
      </c>
      <c r="P1430" s="25">
        <f t="shared" si="313"/>
        <v>220</v>
      </c>
      <c r="Q1430" s="27">
        <f t="shared" si="314"/>
        <v>-15</v>
      </c>
      <c r="R1430" s="26" t="b">
        <f t="shared" si="315"/>
        <v>0</v>
      </c>
      <c r="S1430" s="28" t="str">
        <f t="shared" si="316"/>
        <v>GROWTH</v>
      </c>
      <c r="T1430" s="24">
        <v>0</v>
      </c>
      <c r="U1430" s="29" t="str">
        <f t="shared" si="317"/>
        <v>May</v>
      </c>
      <c r="V1430" s="24">
        <f t="shared" si="318"/>
        <v>0</v>
      </c>
      <c r="W1430" s="30">
        <f t="shared" si="319"/>
        <v>205</v>
      </c>
      <c r="X1430" s="31" t="b">
        <f t="shared" si="320"/>
        <v>0</v>
      </c>
      <c r="Y1430" s="32" t="b">
        <f t="shared" si="321"/>
        <v>0</v>
      </c>
      <c r="Z1430" s="41">
        <v>0</v>
      </c>
      <c r="AA1430" s="36"/>
      <c r="AB1430" s="36" t="s">
        <v>24</v>
      </c>
      <c r="AC1430" s="52" t="s">
        <v>1836</v>
      </c>
      <c r="AD1430" s="34"/>
      <c r="AE1430" s="35">
        <f>IFERROR(INDEX([1]Last6M_AvgSales_Ref!$B$2:$B$12659,MATCH(D1430,[1]Last6M_AvgSales_Ref!$A$2:$A$12659,0)),"")</f>
        <v>124.25</v>
      </c>
    </row>
    <row r="1431" spans="1:31" ht="14.25" customHeight="1" x14ac:dyDescent="0.3">
      <c r="A1431" s="52" t="s">
        <v>24</v>
      </c>
      <c r="B1431" s="50" t="s">
        <v>752</v>
      </c>
      <c r="C1431" s="50" t="s">
        <v>2922</v>
      </c>
      <c r="D1431" s="50">
        <v>1000002970</v>
      </c>
      <c r="E1431" s="50" t="s">
        <v>2923</v>
      </c>
      <c r="F1431" s="51">
        <v>44820</v>
      </c>
      <c r="G1431" s="22" t="str">
        <f t="shared" si="308"/>
        <v>-</v>
      </c>
      <c r="H1431" s="22"/>
      <c r="I1431" s="23">
        <v>0</v>
      </c>
      <c r="J1431" s="23">
        <f t="shared" si="309"/>
        <v>0</v>
      </c>
      <c r="K1431" s="24">
        <v>0</v>
      </c>
      <c r="L1431" s="24">
        <f t="shared" si="310"/>
        <v>0</v>
      </c>
      <c r="M1431" s="24" t="str">
        <f t="shared" si="311"/>
        <v>-</v>
      </c>
      <c r="N1431" s="25">
        <v>0</v>
      </c>
      <c r="O1431" s="26" t="str">
        <f t="shared" si="312"/>
        <v>June</v>
      </c>
      <c r="P1431" s="25">
        <f t="shared" si="313"/>
        <v>0</v>
      </c>
      <c r="Q1431" s="27">
        <f t="shared" si="314"/>
        <v>0</v>
      </c>
      <c r="R1431" s="26" t="b">
        <f t="shared" si="315"/>
        <v>0</v>
      </c>
      <c r="S1431" s="28" t="b">
        <f t="shared" si="316"/>
        <v>0</v>
      </c>
      <c r="T1431" s="24">
        <v>0</v>
      </c>
      <c r="U1431" s="29" t="str">
        <f t="shared" si="317"/>
        <v>May</v>
      </c>
      <c r="V1431" s="24">
        <f t="shared" si="318"/>
        <v>0</v>
      </c>
      <c r="W1431" s="30">
        <f t="shared" si="319"/>
        <v>0</v>
      </c>
      <c r="X1431" s="31" t="b">
        <f t="shared" si="320"/>
        <v>0</v>
      </c>
      <c r="Y1431" s="32" t="b">
        <f t="shared" si="321"/>
        <v>0</v>
      </c>
      <c r="Z1431" s="41">
        <v>0</v>
      </c>
      <c r="AA1431" s="36"/>
      <c r="AB1431" s="36" t="s">
        <v>24</v>
      </c>
      <c r="AC1431" s="52" t="s">
        <v>24</v>
      </c>
      <c r="AD1431" s="34"/>
      <c r="AE1431" s="35">
        <f>IFERROR(INDEX([1]Last6M_AvgSales_Ref!$B$2:$B$12659,MATCH(D1431,[1]Last6M_AvgSales_Ref!$A$2:$A$12659,0)),"")</f>
        <v>16.3333333333333</v>
      </c>
    </row>
    <row r="1432" spans="1:31" ht="14.25" customHeight="1" x14ac:dyDescent="0.3">
      <c r="A1432" s="52" t="s">
        <v>848</v>
      </c>
      <c r="B1432" s="50" t="s">
        <v>1065</v>
      </c>
      <c r="C1432" s="50" t="s">
        <v>2924</v>
      </c>
      <c r="D1432" s="50">
        <v>1000004425</v>
      </c>
      <c r="E1432" s="50" t="s">
        <v>2925</v>
      </c>
      <c r="F1432" s="51">
        <v>45861</v>
      </c>
      <c r="G1432" s="22" t="str">
        <f t="shared" si="308"/>
        <v>-</v>
      </c>
      <c r="H1432" s="22"/>
      <c r="I1432" s="23">
        <v>0</v>
      </c>
      <c r="J1432" s="23">
        <f t="shared" si="309"/>
        <v>0</v>
      </c>
      <c r="K1432" s="24">
        <v>0</v>
      </c>
      <c r="L1432" s="24">
        <f t="shared" si="310"/>
        <v>0</v>
      </c>
      <c r="M1432" s="24" t="str">
        <f t="shared" si="311"/>
        <v>-</v>
      </c>
      <c r="N1432" s="25">
        <v>0</v>
      </c>
      <c r="O1432" s="26" t="str">
        <f t="shared" si="312"/>
        <v>June</v>
      </c>
      <c r="P1432" s="25">
        <f t="shared" si="313"/>
        <v>0</v>
      </c>
      <c r="Q1432" s="27">
        <f t="shared" si="314"/>
        <v>0</v>
      </c>
      <c r="R1432" s="26" t="b">
        <f t="shared" si="315"/>
        <v>0</v>
      </c>
      <c r="S1432" s="28" t="b">
        <f t="shared" si="316"/>
        <v>0</v>
      </c>
      <c r="T1432" s="24">
        <v>0</v>
      </c>
      <c r="U1432" s="29" t="str">
        <f t="shared" si="317"/>
        <v>May</v>
      </c>
      <c r="V1432" s="24">
        <f t="shared" si="318"/>
        <v>0</v>
      </c>
      <c r="W1432" s="30">
        <f t="shared" si="319"/>
        <v>0</v>
      </c>
      <c r="X1432" s="31" t="b">
        <f t="shared" si="320"/>
        <v>0</v>
      </c>
      <c r="Y1432" s="32" t="b">
        <f t="shared" si="321"/>
        <v>0</v>
      </c>
      <c r="Z1432" s="41">
        <v>0</v>
      </c>
      <c r="AA1432" s="36"/>
      <c r="AB1432" s="36" t="s">
        <v>24</v>
      </c>
      <c r="AC1432" s="52" t="s">
        <v>848</v>
      </c>
      <c r="AD1432" s="34"/>
      <c r="AE1432" s="35">
        <f>IFERROR(INDEX([1]Last6M_AvgSales_Ref!$B$2:$B$12659,MATCH(D1432,[1]Last6M_AvgSales_Ref!$A$2:$A$12659,0)),"")</f>
        <v>19.8333333333333</v>
      </c>
    </row>
    <row r="1433" spans="1:31" ht="14.25" customHeight="1" x14ac:dyDescent="0.3">
      <c r="A1433" s="52" t="s">
        <v>2185</v>
      </c>
      <c r="B1433" s="50" t="s">
        <v>2425</v>
      </c>
      <c r="C1433" s="50" t="s">
        <v>2926</v>
      </c>
      <c r="D1433" s="50">
        <v>1000004467</v>
      </c>
      <c r="E1433" s="50" t="s">
        <v>2927</v>
      </c>
      <c r="F1433" s="51">
        <v>45899</v>
      </c>
      <c r="G1433" s="22" t="str">
        <f t="shared" si="308"/>
        <v>Targeted Dealer</v>
      </c>
      <c r="H1433" s="22"/>
      <c r="I1433" s="23">
        <v>30</v>
      </c>
      <c r="J1433" s="23">
        <f t="shared" si="309"/>
        <v>30</v>
      </c>
      <c r="K1433" s="24">
        <v>16</v>
      </c>
      <c r="L1433" s="24">
        <f t="shared" si="310"/>
        <v>14</v>
      </c>
      <c r="M1433" s="24">
        <f t="shared" si="311"/>
        <v>53.333333333333336</v>
      </c>
      <c r="N1433" s="25">
        <v>11.5</v>
      </c>
      <c r="O1433" s="26" t="str">
        <f t="shared" si="312"/>
        <v>June</v>
      </c>
      <c r="P1433" s="25">
        <f t="shared" si="313"/>
        <v>11.5</v>
      </c>
      <c r="Q1433" s="27">
        <f t="shared" si="314"/>
        <v>4.5</v>
      </c>
      <c r="R1433" s="26" t="b">
        <f t="shared" si="315"/>
        <v>0</v>
      </c>
      <c r="S1433" s="28" t="str">
        <f t="shared" si="316"/>
        <v>GROWTH</v>
      </c>
      <c r="T1433" s="24">
        <v>0</v>
      </c>
      <c r="U1433" s="29" t="str">
        <f t="shared" si="317"/>
        <v>May</v>
      </c>
      <c r="V1433" s="24">
        <f t="shared" si="318"/>
        <v>0</v>
      </c>
      <c r="W1433" s="30">
        <f t="shared" si="319"/>
        <v>16</v>
      </c>
      <c r="X1433" s="31" t="b">
        <f t="shared" si="320"/>
        <v>0</v>
      </c>
      <c r="Y1433" s="32" t="b">
        <f t="shared" si="321"/>
        <v>0</v>
      </c>
      <c r="Z1433" s="41">
        <v>0</v>
      </c>
      <c r="AA1433" s="36"/>
      <c r="AB1433" s="36" t="s">
        <v>24</v>
      </c>
      <c r="AC1433" s="52" t="s">
        <v>2185</v>
      </c>
      <c r="AD1433" s="34"/>
      <c r="AE1433" s="35">
        <f>IFERROR(INDEX([1]Last6M_AvgSales_Ref!$B$2:$B$12659,MATCH(D1433,[1]Last6M_AvgSales_Ref!$A$2:$A$12659,0)),"")</f>
        <v>18.8333333333333</v>
      </c>
    </row>
    <row r="1434" spans="1:31" ht="14.25" customHeight="1" x14ac:dyDescent="0.3">
      <c r="A1434" s="52" t="s">
        <v>2185</v>
      </c>
      <c r="B1434" s="50" t="s">
        <v>2857</v>
      </c>
      <c r="C1434" s="50" t="s">
        <v>2928</v>
      </c>
      <c r="D1434" s="50">
        <v>1000004468</v>
      </c>
      <c r="E1434" s="50" t="s">
        <v>2929</v>
      </c>
      <c r="F1434" s="51">
        <v>45908</v>
      </c>
      <c r="G1434" s="22" t="str">
        <f t="shared" si="308"/>
        <v>Targeted Dealer</v>
      </c>
      <c r="H1434" s="22"/>
      <c r="I1434" s="23">
        <v>25</v>
      </c>
      <c r="J1434" s="23">
        <f t="shared" si="309"/>
        <v>25</v>
      </c>
      <c r="K1434" s="24">
        <v>55</v>
      </c>
      <c r="L1434" s="24">
        <f t="shared" si="310"/>
        <v>-30</v>
      </c>
      <c r="M1434" s="24">
        <f t="shared" si="311"/>
        <v>220</v>
      </c>
      <c r="N1434" s="25">
        <v>30</v>
      </c>
      <c r="O1434" s="26" t="str">
        <f t="shared" si="312"/>
        <v>June</v>
      </c>
      <c r="P1434" s="25">
        <f t="shared" si="313"/>
        <v>30</v>
      </c>
      <c r="Q1434" s="27">
        <f t="shared" si="314"/>
        <v>25</v>
      </c>
      <c r="R1434" s="26" t="b">
        <f t="shared" si="315"/>
        <v>0</v>
      </c>
      <c r="S1434" s="28" t="str">
        <f t="shared" si="316"/>
        <v>GROWTH</v>
      </c>
      <c r="T1434" s="24">
        <v>0</v>
      </c>
      <c r="U1434" s="29" t="str">
        <f t="shared" si="317"/>
        <v>May</v>
      </c>
      <c r="V1434" s="24">
        <f t="shared" si="318"/>
        <v>0</v>
      </c>
      <c r="W1434" s="30">
        <f t="shared" si="319"/>
        <v>55</v>
      </c>
      <c r="X1434" s="31" t="b">
        <f t="shared" si="320"/>
        <v>0</v>
      </c>
      <c r="Y1434" s="32" t="b">
        <f t="shared" si="321"/>
        <v>0</v>
      </c>
      <c r="Z1434" s="41">
        <v>0</v>
      </c>
      <c r="AA1434" s="36"/>
      <c r="AB1434" s="36" t="s">
        <v>24</v>
      </c>
      <c r="AC1434" s="52" t="s">
        <v>2185</v>
      </c>
      <c r="AD1434" s="34"/>
      <c r="AE1434" s="35">
        <f>IFERROR(INDEX([1]Last6M_AvgSales_Ref!$B$2:$B$12659,MATCH(D1434,[1]Last6M_AvgSales_Ref!$A$2:$A$12659,0)),"")</f>
        <v>33.3333333333333</v>
      </c>
    </row>
    <row r="1435" spans="1:31" ht="14.25" customHeight="1" x14ac:dyDescent="0.3">
      <c r="A1435" s="52" t="s">
        <v>24</v>
      </c>
      <c r="B1435" s="50" t="s">
        <v>698</v>
      </c>
      <c r="C1435" s="50" t="s">
        <v>2930</v>
      </c>
      <c r="D1435" s="50">
        <v>1000004456</v>
      </c>
      <c r="E1435" s="50" t="s">
        <v>2931</v>
      </c>
      <c r="F1435" s="51">
        <v>45906</v>
      </c>
      <c r="G1435" s="22" t="str">
        <f t="shared" si="308"/>
        <v>Targeted Dealer</v>
      </c>
      <c r="H1435" s="22"/>
      <c r="I1435" s="23">
        <v>23</v>
      </c>
      <c r="J1435" s="23">
        <f t="shared" si="309"/>
        <v>23</v>
      </c>
      <c r="K1435" s="24">
        <v>0</v>
      </c>
      <c r="L1435" s="24">
        <f t="shared" si="310"/>
        <v>23</v>
      </c>
      <c r="M1435" s="24">
        <f t="shared" si="311"/>
        <v>0</v>
      </c>
      <c r="N1435" s="25">
        <v>88</v>
      </c>
      <c r="O1435" s="26" t="str">
        <f t="shared" si="312"/>
        <v>June</v>
      </c>
      <c r="P1435" s="25">
        <f t="shared" si="313"/>
        <v>88</v>
      </c>
      <c r="Q1435" s="27">
        <f t="shared" si="314"/>
        <v>-88</v>
      </c>
      <c r="R1435" s="26" t="b">
        <f t="shared" si="315"/>
        <v>0</v>
      </c>
      <c r="S1435" s="28" t="str">
        <f t="shared" si="316"/>
        <v>GROWTH</v>
      </c>
      <c r="T1435" s="24">
        <v>0</v>
      </c>
      <c r="U1435" s="29" t="str">
        <f t="shared" si="317"/>
        <v>May</v>
      </c>
      <c r="V1435" s="24">
        <f t="shared" si="318"/>
        <v>0</v>
      </c>
      <c r="W1435" s="30">
        <f t="shared" si="319"/>
        <v>0</v>
      </c>
      <c r="X1435" s="31" t="b">
        <f t="shared" si="320"/>
        <v>0</v>
      </c>
      <c r="Y1435" s="32" t="b">
        <f t="shared" si="321"/>
        <v>0</v>
      </c>
      <c r="Z1435" s="41">
        <v>0</v>
      </c>
      <c r="AA1435" s="36"/>
      <c r="AB1435" s="36" t="s">
        <v>24</v>
      </c>
      <c r="AC1435" s="52" t="s">
        <v>24</v>
      </c>
      <c r="AD1435" s="34"/>
      <c r="AE1435" s="35">
        <f>IFERROR(INDEX([1]Last6M_AvgSales_Ref!$B$2:$B$12659,MATCH(D1435,[1]Last6M_AvgSales_Ref!$A$2:$A$12659,0)),"")</f>
        <v>39.8333333333333</v>
      </c>
    </row>
    <row r="1436" spans="1:31" ht="14.25" customHeight="1" x14ac:dyDescent="0.3">
      <c r="A1436" s="52" t="s">
        <v>24</v>
      </c>
      <c r="B1436" s="50" t="s">
        <v>698</v>
      </c>
      <c r="C1436" s="50" t="s">
        <v>2932</v>
      </c>
      <c r="D1436" s="50">
        <v>1000004460</v>
      </c>
      <c r="E1436" s="50" t="s">
        <v>2933</v>
      </c>
      <c r="F1436" s="51">
        <v>45910</v>
      </c>
      <c r="G1436" s="22" t="str">
        <f t="shared" si="308"/>
        <v>Targeted Dealer</v>
      </c>
      <c r="H1436" s="22"/>
      <c r="I1436" s="23">
        <v>100</v>
      </c>
      <c r="J1436" s="23">
        <f t="shared" si="309"/>
        <v>100</v>
      </c>
      <c r="K1436" s="24">
        <v>104</v>
      </c>
      <c r="L1436" s="24">
        <f t="shared" si="310"/>
        <v>-4</v>
      </c>
      <c r="M1436" s="24">
        <f t="shared" si="311"/>
        <v>104</v>
      </c>
      <c r="N1436" s="25">
        <v>134</v>
      </c>
      <c r="O1436" s="26" t="str">
        <f t="shared" si="312"/>
        <v>June</v>
      </c>
      <c r="P1436" s="25">
        <f t="shared" si="313"/>
        <v>134</v>
      </c>
      <c r="Q1436" s="27">
        <f t="shared" si="314"/>
        <v>-30</v>
      </c>
      <c r="R1436" s="26" t="b">
        <f t="shared" si="315"/>
        <v>0</v>
      </c>
      <c r="S1436" s="28" t="str">
        <f t="shared" si="316"/>
        <v>GROWTH</v>
      </c>
      <c r="T1436" s="24">
        <v>0</v>
      </c>
      <c r="U1436" s="29" t="str">
        <f t="shared" si="317"/>
        <v>May</v>
      </c>
      <c r="V1436" s="24">
        <f t="shared" si="318"/>
        <v>0</v>
      </c>
      <c r="W1436" s="30">
        <f t="shared" si="319"/>
        <v>104</v>
      </c>
      <c r="X1436" s="31" t="b">
        <f t="shared" si="320"/>
        <v>0</v>
      </c>
      <c r="Y1436" s="32" t="b">
        <f t="shared" si="321"/>
        <v>0</v>
      </c>
      <c r="Z1436" s="41">
        <v>0</v>
      </c>
      <c r="AA1436" s="36"/>
      <c r="AB1436" s="36" t="s">
        <v>24</v>
      </c>
      <c r="AC1436" s="52" t="s">
        <v>24</v>
      </c>
      <c r="AD1436" s="34"/>
      <c r="AE1436" s="35">
        <f>IFERROR(INDEX([1]Last6M_AvgSales_Ref!$B$2:$B$12659,MATCH(D1436,[1]Last6M_AvgSales_Ref!$A$2:$A$12659,0)),"")</f>
        <v>125.833333333333</v>
      </c>
    </row>
    <row r="1437" spans="1:31" ht="14.25" customHeight="1" x14ac:dyDescent="0.3">
      <c r="A1437" s="52" t="s">
        <v>1836</v>
      </c>
      <c r="B1437" s="50" t="s">
        <v>2004</v>
      </c>
      <c r="C1437" s="50" t="s">
        <v>2934</v>
      </c>
      <c r="D1437" s="50">
        <v>1000001886</v>
      </c>
      <c r="E1437" s="50" t="s">
        <v>2935</v>
      </c>
      <c r="F1437" s="51">
        <v>44739</v>
      </c>
      <c r="G1437" s="22" t="str">
        <f t="shared" si="308"/>
        <v>Targeted Dealer</v>
      </c>
      <c r="H1437" s="22"/>
      <c r="I1437" s="23">
        <v>45</v>
      </c>
      <c r="J1437" s="23">
        <f t="shared" si="309"/>
        <v>45</v>
      </c>
      <c r="K1437" s="24">
        <v>20</v>
      </c>
      <c r="L1437" s="24">
        <f t="shared" si="310"/>
        <v>25</v>
      </c>
      <c r="M1437" s="24">
        <f t="shared" si="311"/>
        <v>44.444444444444443</v>
      </c>
      <c r="N1437" s="25">
        <v>28.5</v>
      </c>
      <c r="O1437" s="26" t="str">
        <f t="shared" si="312"/>
        <v>June</v>
      </c>
      <c r="P1437" s="25">
        <f t="shared" si="313"/>
        <v>28.5</v>
      </c>
      <c r="Q1437" s="27">
        <f t="shared" si="314"/>
        <v>-8.5</v>
      </c>
      <c r="R1437" s="26" t="b">
        <f t="shared" si="315"/>
        <v>0</v>
      </c>
      <c r="S1437" s="28" t="str">
        <f t="shared" si="316"/>
        <v>GROWTH</v>
      </c>
      <c r="T1437" s="24">
        <v>0</v>
      </c>
      <c r="U1437" s="29" t="str">
        <f t="shared" si="317"/>
        <v>May</v>
      </c>
      <c r="V1437" s="24">
        <f t="shared" si="318"/>
        <v>0</v>
      </c>
      <c r="W1437" s="30">
        <f t="shared" si="319"/>
        <v>20</v>
      </c>
      <c r="X1437" s="31" t="b">
        <f t="shared" si="320"/>
        <v>0</v>
      </c>
      <c r="Y1437" s="32" t="b">
        <f t="shared" si="321"/>
        <v>0</v>
      </c>
      <c r="Z1437" s="41">
        <v>0</v>
      </c>
      <c r="AA1437" s="36"/>
      <c r="AB1437" s="36" t="s">
        <v>24</v>
      </c>
      <c r="AC1437" s="52" t="s">
        <v>1836</v>
      </c>
      <c r="AD1437" s="34"/>
      <c r="AE1437" s="35">
        <f>IFERROR(INDEX([1]Last6M_AvgSales_Ref!$B$2:$B$12659,MATCH(D1437,[1]Last6M_AvgSales_Ref!$A$2:$A$12659,0)),"")</f>
        <v>18.0833333333333</v>
      </c>
    </row>
    <row r="1438" spans="1:31" ht="14.25" customHeight="1" x14ac:dyDescent="0.3">
      <c r="A1438" s="52" t="s">
        <v>848</v>
      </c>
      <c r="B1438" s="50" t="s">
        <v>1769</v>
      </c>
      <c r="C1438" s="50" t="s">
        <v>2936</v>
      </c>
      <c r="D1438" s="50">
        <v>1000004469</v>
      </c>
      <c r="E1438" s="50" t="s">
        <v>2937</v>
      </c>
      <c r="F1438" s="51">
        <v>45915</v>
      </c>
      <c r="G1438" s="22" t="str">
        <f t="shared" si="308"/>
        <v>Targeted Dealer</v>
      </c>
      <c r="H1438" s="22"/>
      <c r="I1438" s="23">
        <v>40</v>
      </c>
      <c r="J1438" s="23">
        <f t="shared" si="309"/>
        <v>40</v>
      </c>
      <c r="K1438" s="24">
        <v>30</v>
      </c>
      <c r="L1438" s="24">
        <f t="shared" si="310"/>
        <v>10</v>
      </c>
      <c r="M1438" s="24">
        <f t="shared" si="311"/>
        <v>75</v>
      </c>
      <c r="N1438" s="25">
        <v>30</v>
      </c>
      <c r="O1438" s="26" t="str">
        <f t="shared" si="312"/>
        <v>June</v>
      </c>
      <c r="P1438" s="25">
        <f t="shared" si="313"/>
        <v>30</v>
      </c>
      <c r="Q1438" s="27">
        <f t="shared" si="314"/>
        <v>0</v>
      </c>
      <c r="R1438" s="26" t="b">
        <f t="shared" si="315"/>
        <v>0</v>
      </c>
      <c r="S1438" s="28" t="str">
        <f t="shared" si="316"/>
        <v>GROWTH</v>
      </c>
      <c r="T1438" s="24">
        <v>0</v>
      </c>
      <c r="U1438" s="29" t="str">
        <f t="shared" si="317"/>
        <v>May</v>
      </c>
      <c r="V1438" s="24">
        <f t="shared" si="318"/>
        <v>0</v>
      </c>
      <c r="W1438" s="30">
        <f t="shared" si="319"/>
        <v>30</v>
      </c>
      <c r="X1438" s="31" t="b">
        <f t="shared" si="320"/>
        <v>0</v>
      </c>
      <c r="Y1438" s="32" t="b">
        <f t="shared" si="321"/>
        <v>0</v>
      </c>
      <c r="Z1438" s="41">
        <v>0</v>
      </c>
      <c r="AA1438" s="36"/>
      <c r="AB1438" s="36" t="s">
        <v>24</v>
      </c>
      <c r="AC1438" s="52" t="s">
        <v>848</v>
      </c>
      <c r="AD1438" s="34"/>
      <c r="AE1438" s="35">
        <f>IFERROR(INDEX([1]Last6M_AvgSales_Ref!$B$2:$B$12659,MATCH(D1438,[1]Last6M_AvgSales_Ref!$A$2:$A$12659,0)),"")</f>
        <v>12.5</v>
      </c>
    </row>
    <row r="1439" spans="1:31" ht="14.25" customHeight="1" x14ac:dyDescent="0.3">
      <c r="A1439" s="52" t="s">
        <v>24</v>
      </c>
      <c r="B1439" s="50" t="s">
        <v>358</v>
      </c>
      <c r="C1439" s="50" t="s">
        <v>2938</v>
      </c>
      <c r="D1439" s="50">
        <v>1000004493</v>
      </c>
      <c r="E1439" s="50" t="s">
        <v>2939</v>
      </c>
      <c r="F1439" s="51">
        <v>45926</v>
      </c>
      <c r="G1439" s="22" t="str">
        <f t="shared" si="308"/>
        <v>Targeted Dealer</v>
      </c>
      <c r="H1439" s="22"/>
      <c r="I1439" s="23">
        <v>120</v>
      </c>
      <c r="J1439" s="23">
        <f t="shared" si="309"/>
        <v>120</v>
      </c>
      <c r="K1439" s="24">
        <v>120</v>
      </c>
      <c r="L1439" s="24">
        <f t="shared" si="310"/>
        <v>0</v>
      </c>
      <c r="M1439" s="24">
        <f t="shared" si="311"/>
        <v>100</v>
      </c>
      <c r="N1439" s="25">
        <v>120</v>
      </c>
      <c r="O1439" s="26" t="str">
        <f t="shared" si="312"/>
        <v>June</v>
      </c>
      <c r="P1439" s="25">
        <f t="shared" si="313"/>
        <v>120</v>
      </c>
      <c r="Q1439" s="27">
        <f t="shared" si="314"/>
        <v>0</v>
      </c>
      <c r="R1439" s="26" t="b">
        <f t="shared" si="315"/>
        <v>0</v>
      </c>
      <c r="S1439" s="28" t="str">
        <f t="shared" si="316"/>
        <v>GROWTH</v>
      </c>
      <c r="T1439" s="24">
        <v>0</v>
      </c>
      <c r="U1439" s="29" t="str">
        <f t="shared" si="317"/>
        <v>May</v>
      </c>
      <c r="V1439" s="24">
        <f t="shared" si="318"/>
        <v>0</v>
      </c>
      <c r="W1439" s="30">
        <f t="shared" si="319"/>
        <v>120</v>
      </c>
      <c r="X1439" s="31" t="b">
        <f t="shared" si="320"/>
        <v>0</v>
      </c>
      <c r="Y1439" s="32" t="b">
        <f t="shared" si="321"/>
        <v>0</v>
      </c>
      <c r="Z1439" s="41">
        <v>0</v>
      </c>
      <c r="AA1439" s="36"/>
      <c r="AB1439" s="36" t="s">
        <v>24</v>
      </c>
      <c r="AC1439" s="52" t="s">
        <v>24</v>
      </c>
      <c r="AD1439" s="34"/>
      <c r="AE1439" s="35">
        <f>IFERROR(INDEX([1]Last6M_AvgSales_Ref!$B$2:$B$12659,MATCH(D1439,[1]Last6M_AvgSales_Ref!$A$2:$A$12659,0)),"")</f>
        <v>126.666666666667</v>
      </c>
    </row>
    <row r="1440" spans="1:31" ht="14.25" customHeight="1" x14ac:dyDescent="0.3">
      <c r="A1440" s="52" t="s">
        <v>848</v>
      </c>
      <c r="B1440" s="50" t="s">
        <v>917</v>
      </c>
      <c r="C1440" s="50" t="s">
        <v>2940</v>
      </c>
      <c r="D1440" s="50">
        <v>1000004494</v>
      </c>
      <c r="E1440" s="50" t="s">
        <v>2941</v>
      </c>
      <c r="F1440" s="51">
        <v>45925</v>
      </c>
      <c r="G1440" s="22" t="str">
        <f t="shared" si="308"/>
        <v>Targeted Dealer</v>
      </c>
      <c r="H1440" s="22"/>
      <c r="I1440" s="23">
        <v>24</v>
      </c>
      <c r="J1440" s="23">
        <f t="shared" si="309"/>
        <v>24</v>
      </c>
      <c r="K1440" s="24">
        <v>12.5</v>
      </c>
      <c r="L1440" s="24">
        <f t="shared" si="310"/>
        <v>11.5</v>
      </c>
      <c r="M1440" s="24">
        <f t="shared" si="311"/>
        <v>52.083333333333336</v>
      </c>
      <c r="N1440" s="25">
        <v>0</v>
      </c>
      <c r="O1440" s="26" t="str">
        <f t="shared" si="312"/>
        <v>June</v>
      </c>
      <c r="P1440" s="25">
        <f t="shared" si="313"/>
        <v>0</v>
      </c>
      <c r="Q1440" s="27">
        <f t="shared" si="314"/>
        <v>12.5</v>
      </c>
      <c r="R1440" s="26" t="b">
        <f t="shared" si="315"/>
        <v>0</v>
      </c>
      <c r="S1440" s="28" t="b">
        <f t="shared" si="316"/>
        <v>0</v>
      </c>
      <c r="T1440" s="24">
        <v>0</v>
      </c>
      <c r="U1440" s="29" t="str">
        <f t="shared" si="317"/>
        <v>May</v>
      </c>
      <c r="V1440" s="24">
        <f t="shared" si="318"/>
        <v>0</v>
      </c>
      <c r="W1440" s="30">
        <f t="shared" si="319"/>
        <v>12.5</v>
      </c>
      <c r="X1440" s="31" t="b">
        <f t="shared" si="320"/>
        <v>0</v>
      </c>
      <c r="Y1440" s="32" t="b">
        <f t="shared" si="321"/>
        <v>0</v>
      </c>
      <c r="Z1440" s="41">
        <v>0</v>
      </c>
      <c r="AA1440" s="36"/>
      <c r="AB1440" s="36" t="s">
        <v>24</v>
      </c>
      <c r="AC1440" s="52" t="s">
        <v>848</v>
      </c>
      <c r="AD1440" s="34"/>
      <c r="AE1440" s="35">
        <f>IFERROR(INDEX([1]Last6M_AvgSales_Ref!$B$2:$B$12659,MATCH(D1440,[1]Last6M_AvgSales_Ref!$A$2:$A$12659,0)),"")</f>
        <v>28.5833333333333</v>
      </c>
    </row>
    <row r="1441" spans="1:31" ht="14.25" customHeight="1" x14ac:dyDescent="0.3">
      <c r="A1441" s="52" t="s">
        <v>848</v>
      </c>
      <c r="B1441" s="50" t="s">
        <v>1702</v>
      </c>
      <c r="C1441" s="50" t="s">
        <v>2942</v>
      </c>
      <c r="D1441" s="50">
        <v>1000004472</v>
      </c>
      <c r="E1441" s="50" t="s">
        <v>2943</v>
      </c>
      <c r="F1441" s="51">
        <v>45868</v>
      </c>
      <c r="G1441" s="22" t="str">
        <f t="shared" si="308"/>
        <v>Targeted Dealer</v>
      </c>
      <c r="H1441" s="22"/>
      <c r="I1441" s="23">
        <v>400</v>
      </c>
      <c r="J1441" s="23">
        <f t="shared" si="309"/>
        <v>400</v>
      </c>
      <c r="K1441" s="24">
        <v>353</v>
      </c>
      <c r="L1441" s="24">
        <f t="shared" si="310"/>
        <v>47</v>
      </c>
      <c r="M1441" s="24">
        <f t="shared" si="311"/>
        <v>88.25</v>
      </c>
      <c r="N1441" s="25">
        <v>128</v>
      </c>
      <c r="O1441" s="26" t="str">
        <f t="shared" si="312"/>
        <v>June</v>
      </c>
      <c r="P1441" s="25">
        <f t="shared" si="313"/>
        <v>128</v>
      </c>
      <c r="Q1441" s="27">
        <f t="shared" si="314"/>
        <v>225</v>
      </c>
      <c r="R1441" s="26" t="b">
        <f t="shared" si="315"/>
        <v>0</v>
      </c>
      <c r="S1441" s="28" t="str">
        <f t="shared" si="316"/>
        <v>GROWTH</v>
      </c>
      <c r="T1441" s="24">
        <v>0</v>
      </c>
      <c r="U1441" s="29" t="str">
        <f t="shared" si="317"/>
        <v>May</v>
      </c>
      <c r="V1441" s="24">
        <f t="shared" si="318"/>
        <v>0</v>
      </c>
      <c r="W1441" s="30">
        <f t="shared" si="319"/>
        <v>353</v>
      </c>
      <c r="X1441" s="31" t="b">
        <f t="shared" si="320"/>
        <v>0</v>
      </c>
      <c r="Y1441" s="32" t="b">
        <f t="shared" si="321"/>
        <v>0</v>
      </c>
      <c r="Z1441" s="41">
        <v>0</v>
      </c>
      <c r="AA1441" s="36"/>
      <c r="AB1441" s="36" t="s">
        <v>24</v>
      </c>
      <c r="AC1441" s="52" t="s">
        <v>848</v>
      </c>
      <c r="AD1441" s="34"/>
      <c r="AE1441" s="35">
        <f>IFERROR(INDEX([1]Last6M_AvgSales_Ref!$B$2:$B$12659,MATCH(D1441,[1]Last6M_AvgSales_Ref!$A$2:$A$12659,0)),"")</f>
        <v>84.5</v>
      </c>
    </row>
    <row r="1442" spans="1:31" ht="14.25" customHeight="1" x14ac:dyDescent="0.3">
      <c r="A1442" s="52" t="s">
        <v>24</v>
      </c>
      <c r="B1442" s="50" t="s">
        <v>25</v>
      </c>
      <c r="C1442" s="50" t="s">
        <v>2944</v>
      </c>
      <c r="D1442" s="50">
        <v>1000004473</v>
      </c>
      <c r="E1442" s="50" t="s">
        <v>2945</v>
      </c>
      <c r="F1442" s="51">
        <v>45916</v>
      </c>
      <c r="G1442" s="22" t="str">
        <f t="shared" si="308"/>
        <v>Targeted Dealer</v>
      </c>
      <c r="H1442" s="22"/>
      <c r="I1442" s="23">
        <v>20</v>
      </c>
      <c r="J1442" s="23">
        <f t="shared" si="309"/>
        <v>20</v>
      </c>
      <c r="K1442" s="24">
        <v>20</v>
      </c>
      <c r="L1442" s="24">
        <f t="shared" si="310"/>
        <v>0</v>
      </c>
      <c r="M1442" s="24">
        <f t="shared" si="311"/>
        <v>100</v>
      </c>
      <c r="N1442" s="25">
        <v>40</v>
      </c>
      <c r="O1442" s="26" t="str">
        <f t="shared" si="312"/>
        <v>June</v>
      </c>
      <c r="P1442" s="25">
        <f t="shared" si="313"/>
        <v>40</v>
      </c>
      <c r="Q1442" s="27">
        <f t="shared" si="314"/>
        <v>-20</v>
      </c>
      <c r="R1442" s="26" t="b">
        <f t="shared" si="315"/>
        <v>0</v>
      </c>
      <c r="S1442" s="28" t="str">
        <f t="shared" si="316"/>
        <v>GROWTH</v>
      </c>
      <c r="T1442" s="24">
        <v>0</v>
      </c>
      <c r="U1442" s="29" t="str">
        <f t="shared" si="317"/>
        <v>May</v>
      </c>
      <c r="V1442" s="24">
        <f t="shared" si="318"/>
        <v>0</v>
      </c>
      <c r="W1442" s="30">
        <f t="shared" si="319"/>
        <v>20</v>
      </c>
      <c r="X1442" s="31" t="b">
        <f t="shared" si="320"/>
        <v>0</v>
      </c>
      <c r="Y1442" s="32" t="b">
        <f t="shared" si="321"/>
        <v>0</v>
      </c>
      <c r="Z1442" s="41">
        <v>0</v>
      </c>
      <c r="AA1442" s="36"/>
      <c r="AB1442" s="36" t="s">
        <v>24</v>
      </c>
      <c r="AC1442" s="52" t="s">
        <v>24</v>
      </c>
      <c r="AD1442" s="34"/>
      <c r="AE1442" s="35">
        <f>IFERROR(INDEX([1]Last6M_AvgSales_Ref!$B$2:$B$12659,MATCH(D1442,[1]Last6M_AvgSales_Ref!$A$2:$A$12659,0)),"")</f>
        <v>25</v>
      </c>
    </row>
    <row r="1443" spans="1:31" ht="14.25" customHeight="1" x14ac:dyDescent="0.3">
      <c r="A1443" s="52" t="s">
        <v>2185</v>
      </c>
      <c r="B1443" s="50" t="s">
        <v>2316</v>
      </c>
      <c r="C1443" s="50" t="s">
        <v>2946</v>
      </c>
      <c r="D1443" s="50">
        <v>1000001984</v>
      </c>
      <c r="E1443" s="50" t="s">
        <v>2947</v>
      </c>
      <c r="F1443" s="51">
        <v>44739</v>
      </c>
      <c r="G1443" s="22" t="str">
        <f t="shared" si="308"/>
        <v>-</v>
      </c>
      <c r="H1443" s="22"/>
      <c r="I1443" s="23">
        <v>0</v>
      </c>
      <c r="J1443" s="23">
        <f t="shared" si="309"/>
        <v>0</v>
      </c>
      <c r="K1443" s="24">
        <v>0</v>
      </c>
      <c r="L1443" s="24">
        <f t="shared" si="310"/>
        <v>0</v>
      </c>
      <c r="M1443" s="24" t="str">
        <f t="shared" si="311"/>
        <v>-</v>
      </c>
      <c r="N1443" s="25">
        <v>0</v>
      </c>
      <c r="O1443" s="26" t="str">
        <f t="shared" si="312"/>
        <v>June</v>
      </c>
      <c r="P1443" s="25">
        <f t="shared" si="313"/>
        <v>0</v>
      </c>
      <c r="Q1443" s="27">
        <f t="shared" si="314"/>
        <v>0</v>
      </c>
      <c r="R1443" s="26" t="b">
        <f t="shared" si="315"/>
        <v>0</v>
      </c>
      <c r="S1443" s="28" t="b">
        <f t="shared" si="316"/>
        <v>0</v>
      </c>
      <c r="T1443" s="24">
        <v>0</v>
      </c>
      <c r="U1443" s="29" t="str">
        <f t="shared" si="317"/>
        <v>May</v>
      </c>
      <c r="V1443" s="24">
        <f t="shared" si="318"/>
        <v>0</v>
      </c>
      <c r="W1443" s="30">
        <f t="shared" si="319"/>
        <v>0</v>
      </c>
      <c r="X1443" s="31" t="b">
        <f t="shared" si="320"/>
        <v>0</v>
      </c>
      <c r="Y1443" s="32" t="b">
        <f t="shared" si="321"/>
        <v>0</v>
      </c>
      <c r="Z1443" s="41">
        <v>0</v>
      </c>
      <c r="AA1443" s="36"/>
      <c r="AB1443" s="36" t="s">
        <v>24</v>
      </c>
      <c r="AC1443" s="52" t="s">
        <v>2185</v>
      </c>
      <c r="AD1443" s="34"/>
      <c r="AE1443" s="35">
        <f>IFERROR(INDEX([1]Last6M_AvgSales_Ref!$B$2:$B$12659,MATCH(D1443,[1]Last6M_AvgSales_Ref!$A$2:$A$12659,0)),"")</f>
        <v>10.4166666666667</v>
      </c>
    </row>
    <row r="1444" spans="1:31" ht="14.25" customHeight="1" x14ac:dyDescent="0.3">
      <c r="A1444" s="52" t="s">
        <v>2185</v>
      </c>
      <c r="B1444" s="50" t="s">
        <v>2186</v>
      </c>
      <c r="C1444" s="50" t="s">
        <v>2948</v>
      </c>
      <c r="D1444" s="50">
        <v>1000004499</v>
      </c>
      <c r="E1444" s="50" t="s">
        <v>2949</v>
      </c>
      <c r="F1444" s="51">
        <v>45947</v>
      </c>
      <c r="G1444" s="22" t="str">
        <f t="shared" si="308"/>
        <v>-</v>
      </c>
      <c r="H1444" s="22"/>
      <c r="I1444" s="23">
        <v>0</v>
      </c>
      <c r="J1444" s="23">
        <f t="shared" si="309"/>
        <v>0</v>
      </c>
      <c r="K1444" s="24">
        <v>0</v>
      </c>
      <c r="L1444" s="24">
        <f t="shared" si="310"/>
        <v>0</v>
      </c>
      <c r="M1444" s="24" t="str">
        <f t="shared" si="311"/>
        <v>-</v>
      </c>
      <c r="N1444" s="25">
        <v>0</v>
      </c>
      <c r="O1444" s="26" t="str">
        <f t="shared" si="312"/>
        <v>June</v>
      </c>
      <c r="P1444" s="25">
        <f t="shared" si="313"/>
        <v>0</v>
      </c>
      <c r="Q1444" s="27">
        <f t="shared" si="314"/>
        <v>0</v>
      </c>
      <c r="R1444" s="26" t="b">
        <f t="shared" si="315"/>
        <v>0</v>
      </c>
      <c r="S1444" s="28" t="b">
        <f t="shared" si="316"/>
        <v>0</v>
      </c>
      <c r="T1444" s="24">
        <v>0</v>
      </c>
      <c r="U1444" s="29" t="str">
        <f t="shared" si="317"/>
        <v>May</v>
      </c>
      <c r="V1444" s="24">
        <f t="shared" si="318"/>
        <v>0</v>
      </c>
      <c r="W1444" s="30">
        <f t="shared" si="319"/>
        <v>0</v>
      </c>
      <c r="X1444" s="31" t="b">
        <f t="shared" si="320"/>
        <v>0</v>
      </c>
      <c r="Y1444" s="32" t="b">
        <f t="shared" si="321"/>
        <v>0</v>
      </c>
      <c r="Z1444" s="41">
        <v>0</v>
      </c>
      <c r="AA1444" s="36"/>
      <c r="AB1444" s="36" t="s">
        <v>24</v>
      </c>
      <c r="AC1444" s="52" t="s">
        <v>2185</v>
      </c>
      <c r="AD1444" s="34"/>
      <c r="AE1444" s="35">
        <f>IFERROR(INDEX([1]Last6M_AvgSales_Ref!$B$2:$B$12659,MATCH(D1444,[1]Last6M_AvgSales_Ref!$A$2:$A$12659,0)),"")</f>
        <v>8.3333333333333304</v>
      </c>
    </row>
    <row r="1445" spans="1:31" ht="14.25" customHeight="1" x14ac:dyDescent="0.3">
      <c r="A1445" s="52" t="s">
        <v>2185</v>
      </c>
      <c r="B1445" s="50" t="s">
        <v>2353</v>
      </c>
      <c r="C1445" s="50" t="s">
        <v>2950</v>
      </c>
      <c r="D1445" s="50">
        <v>1000004286</v>
      </c>
      <c r="E1445" s="50" t="s">
        <v>2951</v>
      </c>
      <c r="F1445" s="51">
        <v>45737</v>
      </c>
      <c r="G1445" s="22" t="str">
        <f t="shared" si="308"/>
        <v>Targeted Dealer</v>
      </c>
      <c r="H1445" s="22"/>
      <c r="I1445" s="23">
        <v>55</v>
      </c>
      <c r="J1445" s="23">
        <f t="shared" si="309"/>
        <v>55</v>
      </c>
      <c r="K1445" s="24">
        <v>50</v>
      </c>
      <c r="L1445" s="24">
        <f t="shared" si="310"/>
        <v>5</v>
      </c>
      <c r="M1445" s="24">
        <f t="shared" si="311"/>
        <v>90.909090909090907</v>
      </c>
      <c r="N1445" s="25">
        <v>0</v>
      </c>
      <c r="O1445" s="26" t="str">
        <f t="shared" si="312"/>
        <v>June</v>
      </c>
      <c r="P1445" s="25">
        <f t="shared" si="313"/>
        <v>0</v>
      </c>
      <c r="Q1445" s="27">
        <f t="shared" si="314"/>
        <v>50</v>
      </c>
      <c r="R1445" s="26" t="b">
        <f t="shared" si="315"/>
        <v>0</v>
      </c>
      <c r="S1445" s="28" t="b">
        <f t="shared" si="316"/>
        <v>0</v>
      </c>
      <c r="T1445" s="24">
        <v>0</v>
      </c>
      <c r="U1445" s="29" t="str">
        <f t="shared" si="317"/>
        <v>May</v>
      </c>
      <c r="V1445" s="24">
        <f t="shared" si="318"/>
        <v>0</v>
      </c>
      <c r="W1445" s="30">
        <f t="shared" si="319"/>
        <v>50</v>
      </c>
      <c r="X1445" s="31" t="b">
        <f t="shared" si="320"/>
        <v>0</v>
      </c>
      <c r="Y1445" s="32" t="b">
        <f t="shared" si="321"/>
        <v>0</v>
      </c>
      <c r="Z1445" s="41">
        <v>0</v>
      </c>
      <c r="AA1445" s="36"/>
      <c r="AB1445" s="36" t="s">
        <v>24</v>
      </c>
      <c r="AC1445" s="52" t="s">
        <v>2185</v>
      </c>
      <c r="AD1445" s="34"/>
      <c r="AE1445" s="35">
        <f>IFERROR(INDEX([1]Last6M_AvgSales_Ref!$B$2:$B$12659,MATCH(D1445,[1]Last6M_AvgSales_Ref!$A$2:$A$12659,0)),"")</f>
        <v>40.8333333333333</v>
      </c>
    </row>
    <row r="1446" spans="1:31" ht="14.25" customHeight="1" x14ac:dyDescent="0.3">
      <c r="A1446" s="52" t="s">
        <v>1836</v>
      </c>
      <c r="B1446" s="50" t="s">
        <v>1837</v>
      </c>
      <c r="C1446" s="50" t="s">
        <v>2952</v>
      </c>
      <c r="D1446" s="50">
        <v>1000001243</v>
      </c>
      <c r="E1446" s="50" t="s">
        <v>2953</v>
      </c>
      <c r="F1446" s="51">
        <v>44739</v>
      </c>
      <c r="G1446" s="22" t="str">
        <f t="shared" si="308"/>
        <v>-</v>
      </c>
      <c r="H1446" s="22"/>
      <c r="I1446" s="23">
        <v>0</v>
      </c>
      <c r="J1446" s="23">
        <f t="shared" si="309"/>
        <v>0</v>
      </c>
      <c r="K1446" s="24">
        <v>24</v>
      </c>
      <c r="L1446" s="24">
        <f t="shared" si="310"/>
        <v>-24</v>
      </c>
      <c r="M1446" s="24" t="str">
        <f t="shared" si="311"/>
        <v>-</v>
      </c>
      <c r="N1446" s="25">
        <v>24</v>
      </c>
      <c r="O1446" s="26" t="str">
        <f t="shared" si="312"/>
        <v>June</v>
      </c>
      <c r="P1446" s="25">
        <f t="shared" si="313"/>
        <v>24</v>
      </c>
      <c r="Q1446" s="27">
        <f t="shared" si="314"/>
        <v>0</v>
      </c>
      <c r="R1446" s="26" t="b">
        <f t="shared" si="315"/>
        <v>0</v>
      </c>
      <c r="S1446" s="28" t="str">
        <f t="shared" si="316"/>
        <v>GROWTH</v>
      </c>
      <c r="T1446" s="24">
        <v>0</v>
      </c>
      <c r="U1446" s="29" t="str">
        <f t="shared" si="317"/>
        <v>May</v>
      </c>
      <c r="V1446" s="24">
        <f t="shared" si="318"/>
        <v>0</v>
      </c>
      <c r="W1446" s="30">
        <f t="shared" si="319"/>
        <v>24</v>
      </c>
      <c r="X1446" s="31" t="b">
        <f t="shared" si="320"/>
        <v>0</v>
      </c>
      <c r="Y1446" s="32" t="b">
        <f t="shared" si="321"/>
        <v>0</v>
      </c>
      <c r="Z1446" s="41">
        <v>0</v>
      </c>
      <c r="AA1446" s="36"/>
      <c r="AB1446" s="36" t="s">
        <v>24</v>
      </c>
      <c r="AC1446" s="52" t="s">
        <v>1836</v>
      </c>
      <c r="AD1446" s="34"/>
      <c r="AE1446" s="35">
        <f>IFERROR(INDEX([1]Last6M_AvgSales_Ref!$B$2:$B$12659,MATCH(D1446,[1]Last6M_AvgSales_Ref!$A$2:$A$12659,0)),"")</f>
        <v>20.8333333333333</v>
      </c>
    </row>
    <row r="1447" spans="1:31" ht="14.25" customHeight="1" x14ac:dyDescent="0.3">
      <c r="A1447" s="52" t="s">
        <v>2027</v>
      </c>
      <c r="B1447" s="50" t="s">
        <v>2118</v>
      </c>
      <c r="C1447" s="50" t="s">
        <v>2954</v>
      </c>
      <c r="D1447" s="50">
        <v>1000004505</v>
      </c>
      <c r="E1447" s="50" t="s">
        <v>2955</v>
      </c>
      <c r="F1447" s="51">
        <v>45953</v>
      </c>
      <c r="G1447" s="22" t="str">
        <f t="shared" si="308"/>
        <v>Targeted Dealer</v>
      </c>
      <c r="H1447" s="22"/>
      <c r="I1447" s="23">
        <v>150</v>
      </c>
      <c r="J1447" s="23">
        <f t="shared" si="309"/>
        <v>150</v>
      </c>
      <c r="K1447" s="24">
        <v>110</v>
      </c>
      <c r="L1447" s="24">
        <f t="shared" si="310"/>
        <v>40</v>
      </c>
      <c r="M1447" s="24">
        <f t="shared" si="311"/>
        <v>73.333333333333329</v>
      </c>
      <c r="N1447" s="25">
        <v>153.5</v>
      </c>
      <c r="O1447" s="26" t="str">
        <f t="shared" si="312"/>
        <v>June</v>
      </c>
      <c r="P1447" s="25">
        <f t="shared" si="313"/>
        <v>153.5</v>
      </c>
      <c r="Q1447" s="27">
        <f t="shared" si="314"/>
        <v>-43.5</v>
      </c>
      <c r="R1447" s="26" t="b">
        <f t="shared" si="315"/>
        <v>0</v>
      </c>
      <c r="S1447" s="28" t="str">
        <f t="shared" si="316"/>
        <v>GROWTH</v>
      </c>
      <c r="T1447" s="24">
        <v>0</v>
      </c>
      <c r="U1447" s="29" t="str">
        <f t="shared" si="317"/>
        <v>May</v>
      </c>
      <c r="V1447" s="24">
        <f t="shared" si="318"/>
        <v>0</v>
      </c>
      <c r="W1447" s="30">
        <f t="shared" si="319"/>
        <v>110</v>
      </c>
      <c r="X1447" s="31" t="b">
        <f t="shared" si="320"/>
        <v>0</v>
      </c>
      <c r="Y1447" s="32" t="b">
        <f t="shared" si="321"/>
        <v>0</v>
      </c>
      <c r="Z1447" s="41">
        <v>0</v>
      </c>
      <c r="AA1447" s="36"/>
      <c r="AB1447" s="36" t="s">
        <v>24</v>
      </c>
      <c r="AC1447" s="52" t="s">
        <v>2027</v>
      </c>
      <c r="AD1447" s="34"/>
      <c r="AE1447" s="35">
        <f>IFERROR(INDEX([1]Last6M_AvgSales_Ref!$B$2:$B$12659,MATCH(D1447,[1]Last6M_AvgSales_Ref!$A$2:$A$12659,0)),"")</f>
        <v>214.833333333333</v>
      </c>
    </row>
    <row r="1448" spans="1:31" ht="14.25" customHeight="1" x14ac:dyDescent="0.3">
      <c r="A1448" s="52" t="s">
        <v>2027</v>
      </c>
      <c r="B1448" s="50" t="s">
        <v>2028</v>
      </c>
      <c r="C1448" s="50" t="s">
        <v>2956</v>
      </c>
      <c r="D1448" s="50">
        <v>1000004498</v>
      </c>
      <c r="E1448" s="50" t="s">
        <v>2957</v>
      </c>
      <c r="F1448" s="51">
        <v>45945</v>
      </c>
      <c r="G1448" s="22" t="str">
        <f t="shared" si="308"/>
        <v>Targeted Dealer</v>
      </c>
      <c r="H1448" s="22"/>
      <c r="I1448" s="23">
        <v>50</v>
      </c>
      <c r="J1448" s="23">
        <f t="shared" si="309"/>
        <v>50</v>
      </c>
      <c r="K1448" s="24">
        <v>40</v>
      </c>
      <c r="L1448" s="24">
        <f t="shared" si="310"/>
        <v>10</v>
      </c>
      <c r="M1448" s="24">
        <f t="shared" si="311"/>
        <v>80</v>
      </c>
      <c r="N1448" s="25">
        <v>40</v>
      </c>
      <c r="O1448" s="26" t="str">
        <f t="shared" si="312"/>
        <v>June</v>
      </c>
      <c r="P1448" s="25">
        <f t="shared" si="313"/>
        <v>40</v>
      </c>
      <c r="Q1448" s="27">
        <f t="shared" si="314"/>
        <v>0</v>
      </c>
      <c r="R1448" s="26" t="b">
        <f t="shared" si="315"/>
        <v>0</v>
      </c>
      <c r="S1448" s="28" t="str">
        <f t="shared" si="316"/>
        <v>GROWTH</v>
      </c>
      <c r="T1448" s="24">
        <v>0</v>
      </c>
      <c r="U1448" s="29" t="str">
        <f t="shared" si="317"/>
        <v>May</v>
      </c>
      <c r="V1448" s="24">
        <f t="shared" si="318"/>
        <v>0</v>
      </c>
      <c r="W1448" s="30">
        <f t="shared" si="319"/>
        <v>40</v>
      </c>
      <c r="X1448" s="31" t="b">
        <f t="shared" si="320"/>
        <v>0</v>
      </c>
      <c r="Y1448" s="32" t="b">
        <f t="shared" si="321"/>
        <v>0</v>
      </c>
      <c r="Z1448" s="41">
        <v>0</v>
      </c>
      <c r="AA1448" s="36"/>
      <c r="AB1448" s="36" t="s">
        <v>24</v>
      </c>
      <c r="AC1448" s="52" t="s">
        <v>2027</v>
      </c>
      <c r="AD1448" s="34"/>
      <c r="AE1448" s="35">
        <f>IFERROR(INDEX([1]Last6M_AvgSales_Ref!$B$2:$B$12659,MATCH(D1448,[1]Last6M_AvgSales_Ref!$A$2:$A$12659,0)),"")</f>
        <v>65.8333333333333</v>
      </c>
    </row>
    <row r="1449" spans="1:31" ht="14.25" customHeight="1" x14ac:dyDescent="0.3">
      <c r="A1449" s="52" t="s">
        <v>24</v>
      </c>
      <c r="B1449" s="50" t="s">
        <v>399</v>
      </c>
      <c r="C1449" s="50" t="s">
        <v>2958</v>
      </c>
      <c r="D1449" s="50">
        <v>1000003992</v>
      </c>
      <c r="E1449" s="50" t="s">
        <v>2959</v>
      </c>
      <c r="F1449" s="51">
        <v>45443</v>
      </c>
      <c r="G1449" s="22" t="str">
        <f t="shared" si="308"/>
        <v>Targeted Dealer</v>
      </c>
      <c r="H1449" s="22"/>
      <c r="I1449" s="23">
        <v>40</v>
      </c>
      <c r="J1449" s="23">
        <f t="shared" si="309"/>
        <v>40</v>
      </c>
      <c r="K1449" s="24">
        <v>0</v>
      </c>
      <c r="L1449" s="24">
        <f t="shared" si="310"/>
        <v>40</v>
      </c>
      <c r="M1449" s="24">
        <f t="shared" si="311"/>
        <v>0</v>
      </c>
      <c r="N1449" s="25">
        <v>30</v>
      </c>
      <c r="O1449" s="26" t="str">
        <f t="shared" si="312"/>
        <v>June</v>
      </c>
      <c r="P1449" s="25">
        <f t="shared" si="313"/>
        <v>30</v>
      </c>
      <c r="Q1449" s="27">
        <f t="shared" si="314"/>
        <v>-30</v>
      </c>
      <c r="R1449" s="26" t="b">
        <f t="shared" si="315"/>
        <v>0</v>
      </c>
      <c r="S1449" s="28" t="str">
        <f t="shared" si="316"/>
        <v>GROWTH</v>
      </c>
      <c r="T1449" s="24">
        <v>0</v>
      </c>
      <c r="U1449" s="29" t="str">
        <f t="shared" si="317"/>
        <v>May</v>
      </c>
      <c r="V1449" s="24">
        <f t="shared" si="318"/>
        <v>0</v>
      </c>
      <c r="W1449" s="30">
        <f t="shared" si="319"/>
        <v>0</v>
      </c>
      <c r="X1449" s="31" t="b">
        <f t="shared" si="320"/>
        <v>0</v>
      </c>
      <c r="Y1449" s="32" t="b">
        <f t="shared" si="321"/>
        <v>0</v>
      </c>
      <c r="Z1449" s="41">
        <v>0</v>
      </c>
      <c r="AA1449" s="36"/>
      <c r="AB1449" s="36" t="s">
        <v>24</v>
      </c>
      <c r="AC1449" s="52" t="s">
        <v>24</v>
      </c>
      <c r="AD1449" s="34"/>
      <c r="AE1449" s="35">
        <f>IFERROR(INDEX([1]Last6M_AvgSales_Ref!$B$2:$B$12659,MATCH(D1449,[1]Last6M_AvgSales_Ref!$A$2:$A$12659,0)),"")</f>
        <v>13.3333333333333</v>
      </c>
    </row>
    <row r="1450" spans="1:31" ht="14.25" customHeight="1" x14ac:dyDescent="0.3">
      <c r="A1450" s="52" t="s">
        <v>24</v>
      </c>
      <c r="B1450" s="50" t="s">
        <v>645</v>
      </c>
      <c r="C1450" s="50" t="s">
        <v>2960</v>
      </c>
      <c r="D1450" s="50">
        <v>1000004483</v>
      </c>
      <c r="E1450" s="50" t="s">
        <v>2961</v>
      </c>
      <c r="F1450" s="51">
        <v>45928</v>
      </c>
      <c r="G1450" s="22" t="str">
        <f t="shared" si="308"/>
        <v>Targeted Dealer</v>
      </c>
      <c r="H1450" s="22"/>
      <c r="I1450" s="23">
        <v>50</v>
      </c>
      <c r="J1450" s="23">
        <f t="shared" si="309"/>
        <v>50</v>
      </c>
      <c r="K1450" s="24">
        <v>60</v>
      </c>
      <c r="L1450" s="24">
        <f t="shared" si="310"/>
        <v>-10</v>
      </c>
      <c r="M1450" s="24">
        <f t="shared" si="311"/>
        <v>120</v>
      </c>
      <c r="N1450" s="25">
        <v>90</v>
      </c>
      <c r="O1450" s="26" t="str">
        <f t="shared" si="312"/>
        <v>June</v>
      </c>
      <c r="P1450" s="25">
        <f t="shared" si="313"/>
        <v>90</v>
      </c>
      <c r="Q1450" s="27">
        <f t="shared" si="314"/>
        <v>-30</v>
      </c>
      <c r="R1450" s="26" t="b">
        <f t="shared" si="315"/>
        <v>0</v>
      </c>
      <c r="S1450" s="28" t="str">
        <f t="shared" si="316"/>
        <v>GROWTH</v>
      </c>
      <c r="T1450" s="24">
        <v>0</v>
      </c>
      <c r="U1450" s="29" t="str">
        <f t="shared" si="317"/>
        <v>May</v>
      </c>
      <c r="V1450" s="24">
        <f t="shared" si="318"/>
        <v>0</v>
      </c>
      <c r="W1450" s="30">
        <f t="shared" si="319"/>
        <v>60</v>
      </c>
      <c r="X1450" s="31" t="b">
        <f t="shared" si="320"/>
        <v>0</v>
      </c>
      <c r="Y1450" s="32" t="b">
        <f t="shared" si="321"/>
        <v>0</v>
      </c>
      <c r="Z1450" s="41">
        <v>0</v>
      </c>
      <c r="AA1450" s="36"/>
      <c r="AB1450" s="36" t="s">
        <v>24</v>
      </c>
      <c r="AC1450" s="52" t="s">
        <v>24</v>
      </c>
      <c r="AD1450" s="34"/>
      <c r="AE1450" s="35">
        <f>IFERROR(INDEX([1]Last6M_AvgSales_Ref!$B$2:$B$12659,MATCH(D1450,[1]Last6M_AvgSales_Ref!$A$2:$A$12659,0)),"")</f>
        <v>47.5</v>
      </c>
    </row>
    <row r="1451" spans="1:31" ht="14.25" customHeight="1" x14ac:dyDescent="0.3">
      <c r="A1451" s="52" t="s">
        <v>24</v>
      </c>
      <c r="B1451" s="50" t="s">
        <v>449</v>
      </c>
      <c r="C1451" s="50" t="s">
        <v>2962</v>
      </c>
      <c r="D1451" s="50">
        <v>1000000406</v>
      </c>
      <c r="E1451" s="50" t="s">
        <v>1826</v>
      </c>
      <c r="F1451" s="51">
        <v>44738</v>
      </c>
      <c r="G1451" s="22" t="str">
        <f t="shared" si="308"/>
        <v>Targeted Dealer</v>
      </c>
      <c r="H1451" s="22"/>
      <c r="I1451" s="23">
        <v>50</v>
      </c>
      <c r="J1451" s="23">
        <f t="shared" si="309"/>
        <v>50</v>
      </c>
      <c r="K1451" s="24">
        <v>50</v>
      </c>
      <c r="L1451" s="24">
        <f t="shared" si="310"/>
        <v>0</v>
      </c>
      <c r="M1451" s="24">
        <f t="shared" si="311"/>
        <v>100</v>
      </c>
      <c r="N1451" s="25">
        <v>73</v>
      </c>
      <c r="O1451" s="26" t="str">
        <f t="shared" si="312"/>
        <v>June</v>
      </c>
      <c r="P1451" s="25">
        <f t="shared" si="313"/>
        <v>73</v>
      </c>
      <c r="Q1451" s="27">
        <f t="shared" si="314"/>
        <v>-23</v>
      </c>
      <c r="R1451" s="26" t="b">
        <f t="shared" si="315"/>
        <v>0</v>
      </c>
      <c r="S1451" s="28" t="str">
        <f t="shared" si="316"/>
        <v>GROWTH</v>
      </c>
      <c r="T1451" s="24">
        <v>0</v>
      </c>
      <c r="U1451" s="29" t="str">
        <f t="shared" si="317"/>
        <v>May</v>
      </c>
      <c r="V1451" s="24">
        <f t="shared" si="318"/>
        <v>0</v>
      </c>
      <c r="W1451" s="30">
        <f t="shared" si="319"/>
        <v>50</v>
      </c>
      <c r="X1451" s="31" t="b">
        <f t="shared" si="320"/>
        <v>0</v>
      </c>
      <c r="Y1451" s="32" t="b">
        <f t="shared" si="321"/>
        <v>0</v>
      </c>
      <c r="Z1451" s="41">
        <v>0</v>
      </c>
      <c r="AA1451" s="36"/>
      <c r="AB1451" s="36" t="s">
        <v>24</v>
      </c>
      <c r="AC1451" s="52" t="s">
        <v>24</v>
      </c>
      <c r="AD1451" s="34"/>
      <c r="AE1451" s="35">
        <f>IFERROR(INDEX([1]Last6M_AvgSales_Ref!$B$2:$B$12659,MATCH(D1451,[1]Last6M_AvgSales_Ref!$A$2:$A$12659,0)),"")</f>
        <v>49.25</v>
      </c>
    </row>
    <row r="1452" spans="1:31" ht="14.25" customHeight="1" x14ac:dyDescent="0.3">
      <c r="A1452" s="52" t="s">
        <v>24</v>
      </c>
      <c r="B1452" s="50" t="s">
        <v>449</v>
      </c>
      <c r="C1452" s="50" t="s">
        <v>2963</v>
      </c>
      <c r="D1452" s="50">
        <v>1000004500</v>
      </c>
      <c r="E1452" s="50" t="s">
        <v>2964</v>
      </c>
      <c r="F1452" s="51">
        <v>45948</v>
      </c>
      <c r="G1452" s="22" t="str">
        <f t="shared" si="308"/>
        <v>-</v>
      </c>
      <c r="H1452" s="22"/>
      <c r="I1452" s="23">
        <v>0</v>
      </c>
      <c r="J1452" s="23">
        <f t="shared" si="309"/>
        <v>0</v>
      </c>
      <c r="K1452" s="24">
        <v>0</v>
      </c>
      <c r="L1452" s="24">
        <f t="shared" si="310"/>
        <v>0</v>
      </c>
      <c r="M1452" s="24" t="str">
        <f t="shared" si="311"/>
        <v>-</v>
      </c>
      <c r="N1452" s="25">
        <v>0</v>
      </c>
      <c r="O1452" s="26" t="str">
        <f t="shared" si="312"/>
        <v>June</v>
      </c>
      <c r="P1452" s="25">
        <f t="shared" si="313"/>
        <v>0</v>
      </c>
      <c r="Q1452" s="27">
        <f t="shared" si="314"/>
        <v>0</v>
      </c>
      <c r="R1452" s="26" t="b">
        <f t="shared" si="315"/>
        <v>0</v>
      </c>
      <c r="S1452" s="28" t="b">
        <f t="shared" si="316"/>
        <v>0</v>
      </c>
      <c r="T1452" s="24">
        <v>0</v>
      </c>
      <c r="U1452" s="29" t="str">
        <f t="shared" si="317"/>
        <v>May</v>
      </c>
      <c r="V1452" s="24">
        <f t="shared" si="318"/>
        <v>0</v>
      </c>
      <c r="W1452" s="30">
        <f t="shared" si="319"/>
        <v>0</v>
      </c>
      <c r="X1452" s="31" t="b">
        <f t="shared" si="320"/>
        <v>0</v>
      </c>
      <c r="Y1452" s="32" t="b">
        <f t="shared" si="321"/>
        <v>0</v>
      </c>
      <c r="Z1452" s="41">
        <v>0</v>
      </c>
      <c r="AA1452" s="36"/>
      <c r="AB1452" s="36" t="s">
        <v>24</v>
      </c>
      <c r="AC1452" s="52" t="s">
        <v>24</v>
      </c>
      <c r="AD1452" s="34"/>
      <c r="AE1452" s="35">
        <f>IFERROR(INDEX([1]Last6M_AvgSales_Ref!$B$2:$B$12659,MATCH(D1452,[1]Last6M_AvgSales_Ref!$A$2:$A$12659,0)),"")</f>
        <v>4.8333333333333304</v>
      </c>
    </row>
    <row r="1453" spans="1:31" ht="14.25" customHeight="1" x14ac:dyDescent="0.3">
      <c r="A1453" s="52" t="s">
        <v>24</v>
      </c>
      <c r="B1453" s="50" t="s">
        <v>59</v>
      </c>
      <c r="C1453" s="50" t="s">
        <v>2965</v>
      </c>
      <c r="D1453" s="50">
        <v>1000004507</v>
      </c>
      <c r="E1453" s="50" t="s">
        <v>2966</v>
      </c>
      <c r="F1453" s="51">
        <v>45957</v>
      </c>
      <c r="G1453" s="22" t="str">
        <f t="shared" si="308"/>
        <v>Targeted Dealer</v>
      </c>
      <c r="H1453" s="22"/>
      <c r="I1453" s="23">
        <v>20</v>
      </c>
      <c r="J1453" s="23">
        <f t="shared" si="309"/>
        <v>20</v>
      </c>
      <c r="K1453" s="24">
        <v>20</v>
      </c>
      <c r="L1453" s="24">
        <f t="shared" si="310"/>
        <v>0</v>
      </c>
      <c r="M1453" s="24">
        <f t="shared" si="311"/>
        <v>100</v>
      </c>
      <c r="N1453" s="25">
        <v>20</v>
      </c>
      <c r="O1453" s="26" t="str">
        <f t="shared" si="312"/>
        <v>June</v>
      </c>
      <c r="P1453" s="25">
        <f t="shared" si="313"/>
        <v>20</v>
      </c>
      <c r="Q1453" s="27">
        <f t="shared" si="314"/>
        <v>0</v>
      </c>
      <c r="R1453" s="26" t="b">
        <f t="shared" si="315"/>
        <v>0</v>
      </c>
      <c r="S1453" s="28" t="str">
        <f t="shared" si="316"/>
        <v>GROWTH</v>
      </c>
      <c r="T1453" s="24">
        <v>0</v>
      </c>
      <c r="U1453" s="29" t="str">
        <f t="shared" si="317"/>
        <v>May</v>
      </c>
      <c r="V1453" s="24">
        <f t="shared" si="318"/>
        <v>0</v>
      </c>
      <c r="W1453" s="30">
        <f t="shared" si="319"/>
        <v>20</v>
      </c>
      <c r="X1453" s="31" t="b">
        <f t="shared" si="320"/>
        <v>0</v>
      </c>
      <c r="Y1453" s="32" t="b">
        <f t="shared" si="321"/>
        <v>0</v>
      </c>
      <c r="Z1453" s="41">
        <v>0</v>
      </c>
      <c r="AA1453" s="36"/>
      <c r="AB1453" s="36" t="s">
        <v>24</v>
      </c>
      <c r="AC1453" s="52" t="s">
        <v>24</v>
      </c>
      <c r="AD1453" s="34"/>
      <c r="AE1453" s="35">
        <f>IFERROR(INDEX([1]Last6M_AvgSales_Ref!$B$2:$B$12659,MATCH(D1453,[1]Last6M_AvgSales_Ref!$A$2:$A$12659,0)),"")</f>
        <v>16.6666666666667</v>
      </c>
    </row>
    <row r="1454" spans="1:31" ht="14.25" customHeight="1" x14ac:dyDescent="0.3">
      <c r="A1454" s="52" t="s">
        <v>24</v>
      </c>
      <c r="B1454" s="50" t="s">
        <v>752</v>
      </c>
      <c r="C1454" s="50" t="s">
        <v>2967</v>
      </c>
      <c r="D1454" s="50">
        <v>1000004512</v>
      </c>
      <c r="E1454" s="50" t="s">
        <v>2968</v>
      </c>
      <c r="F1454" s="51">
        <v>45959</v>
      </c>
      <c r="G1454" s="22" t="str">
        <f t="shared" si="308"/>
        <v>Targeted Dealer</v>
      </c>
      <c r="H1454" s="22"/>
      <c r="I1454" s="23">
        <v>215</v>
      </c>
      <c r="J1454" s="23">
        <f t="shared" si="309"/>
        <v>215</v>
      </c>
      <c r="K1454" s="24">
        <v>115</v>
      </c>
      <c r="L1454" s="24">
        <f t="shared" si="310"/>
        <v>100</v>
      </c>
      <c r="M1454" s="24">
        <f t="shared" si="311"/>
        <v>53.488372093023258</v>
      </c>
      <c r="N1454" s="25">
        <v>248</v>
      </c>
      <c r="O1454" s="26" t="str">
        <f t="shared" si="312"/>
        <v>June</v>
      </c>
      <c r="P1454" s="25">
        <f t="shared" si="313"/>
        <v>248</v>
      </c>
      <c r="Q1454" s="27">
        <f t="shared" si="314"/>
        <v>-133</v>
      </c>
      <c r="R1454" s="26" t="b">
        <f t="shared" si="315"/>
        <v>0</v>
      </c>
      <c r="S1454" s="28" t="str">
        <f t="shared" si="316"/>
        <v>GROWTH</v>
      </c>
      <c r="T1454" s="24">
        <v>0</v>
      </c>
      <c r="U1454" s="29" t="str">
        <f t="shared" si="317"/>
        <v>May</v>
      </c>
      <c r="V1454" s="24">
        <f t="shared" si="318"/>
        <v>0</v>
      </c>
      <c r="W1454" s="30">
        <f t="shared" si="319"/>
        <v>115</v>
      </c>
      <c r="X1454" s="31" t="b">
        <f t="shared" si="320"/>
        <v>0</v>
      </c>
      <c r="Y1454" s="32" t="b">
        <f t="shared" si="321"/>
        <v>0</v>
      </c>
      <c r="Z1454" s="41">
        <v>0</v>
      </c>
      <c r="AA1454" s="36"/>
      <c r="AB1454" s="36" t="s">
        <v>24</v>
      </c>
      <c r="AC1454" s="52" t="s">
        <v>24</v>
      </c>
      <c r="AD1454" s="34"/>
      <c r="AE1454" s="35">
        <f>IFERROR(INDEX([1]Last6M_AvgSales_Ref!$B$2:$B$12659,MATCH(D1454,[1]Last6M_AvgSales_Ref!$A$2:$A$12659,0)),"")</f>
        <v>235.166666666667</v>
      </c>
    </row>
    <row r="1455" spans="1:31" ht="14.25" customHeight="1" x14ac:dyDescent="0.3">
      <c r="A1455" s="52" t="s">
        <v>24</v>
      </c>
      <c r="B1455" s="50" t="s">
        <v>25</v>
      </c>
      <c r="C1455" s="50" t="s">
        <v>2969</v>
      </c>
      <c r="D1455" s="50">
        <v>1000004485</v>
      </c>
      <c r="E1455" s="50" t="s">
        <v>2970</v>
      </c>
      <c r="F1455" s="51">
        <v>45937</v>
      </c>
      <c r="G1455" s="22" t="str">
        <f t="shared" si="308"/>
        <v>-</v>
      </c>
      <c r="H1455" s="22"/>
      <c r="I1455" s="23">
        <v>0</v>
      </c>
      <c r="J1455" s="23">
        <f t="shared" si="309"/>
        <v>0</v>
      </c>
      <c r="K1455" s="24">
        <v>0</v>
      </c>
      <c r="L1455" s="24">
        <f t="shared" si="310"/>
        <v>0</v>
      </c>
      <c r="M1455" s="24" t="str">
        <f t="shared" si="311"/>
        <v>-</v>
      </c>
      <c r="N1455" s="25">
        <v>0</v>
      </c>
      <c r="O1455" s="26" t="str">
        <f t="shared" si="312"/>
        <v>June</v>
      </c>
      <c r="P1455" s="25">
        <f t="shared" si="313"/>
        <v>0</v>
      </c>
      <c r="Q1455" s="27">
        <f t="shared" si="314"/>
        <v>0</v>
      </c>
      <c r="R1455" s="26" t="b">
        <f t="shared" si="315"/>
        <v>0</v>
      </c>
      <c r="S1455" s="28" t="b">
        <f t="shared" si="316"/>
        <v>0</v>
      </c>
      <c r="T1455" s="24">
        <v>0</v>
      </c>
      <c r="U1455" s="29" t="str">
        <f t="shared" si="317"/>
        <v>May</v>
      </c>
      <c r="V1455" s="24">
        <f t="shared" si="318"/>
        <v>0</v>
      </c>
      <c r="W1455" s="30">
        <f t="shared" si="319"/>
        <v>0</v>
      </c>
      <c r="X1455" s="31" t="b">
        <f t="shared" si="320"/>
        <v>0</v>
      </c>
      <c r="Y1455" s="32" t="b">
        <f t="shared" si="321"/>
        <v>0</v>
      </c>
      <c r="Z1455" s="41">
        <v>0</v>
      </c>
      <c r="AA1455" s="36"/>
      <c r="AB1455" s="36" t="s">
        <v>24</v>
      </c>
      <c r="AC1455" s="52" t="s">
        <v>24</v>
      </c>
      <c r="AD1455" s="34"/>
      <c r="AE1455" s="35">
        <f>IFERROR(INDEX([1]Last6M_AvgSales_Ref!$B$2:$B$12659,MATCH(D1455,[1]Last6M_AvgSales_Ref!$A$2:$A$12659,0)),"")</f>
        <v>18.75</v>
      </c>
    </row>
    <row r="1456" spans="1:31" ht="14.25" customHeight="1" x14ac:dyDescent="0.3">
      <c r="A1456" s="52" t="s">
        <v>24</v>
      </c>
      <c r="B1456" s="50" t="s">
        <v>25</v>
      </c>
      <c r="C1456" s="50" t="s">
        <v>2971</v>
      </c>
      <c r="D1456" s="50">
        <v>1000004497</v>
      </c>
      <c r="E1456" s="50" t="s">
        <v>2972</v>
      </c>
      <c r="F1456" s="51">
        <v>45943</v>
      </c>
      <c r="G1456" s="22" t="str">
        <f t="shared" si="308"/>
        <v>-</v>
      </c>
      <c r="H1456" s="22"/>
      <c r="I1456" s="23">
        <v>0</v>
      </c>
      <c r="J1456" s="23">
        <f t="shared" si="309"/>
        <v>0</v>
      </c>
      <c r="K1456" s="24">
        <v>0</v>
      </c>
      <c r="L1456" s="24">
        <f t="shared" si="310"/>
        <v>0</v>
      </c>
      <c r="M1456" s="24" t="str">
        <f t="shared" si="311"/>
        <v>-</v>
      </c>
      <c r="N1456" s="25">
        <v>0</v>
      </c>
      <c r="O1456" s="26" t="str">
        <f t="shared" si="312"/>
        <v>June</v>
      </c>
      <c r="P1456" s="25">
        <f t="shared" si="313"/>
        <v>0</v>
      </c>
      <c r="Q1456" s="27">
        <f t="shared" si="314"/>
        <v>0</v>
      </c>
      <c r="R1456" s="26" t="b">
        <f t="shared" si="315"/>
        <v>0</v>
      </c>
      <c r="S1456" s="28" t="b">
        <f t="shared" si="316"/>
        <v>0</v>
      </c>
      <c r="T1456" s="24">
        <v>0</v>
      </c>
      <c r="U1456" s="29" t="str">
        <f t="shared" si="317"/>
        <v>May</v>
      </c>
      <c r="V1456" s="24">
        <f t="shared" si="318"/>
        <v>0</v>
      </c>
      <c r="W1456" s="30">
        <f t="shared" si="319"/>
        <v>0</v>
      </c>
      <c r="X1456" s="31" t="b">
        <f t="shared" si="320"/>
        <v>0</v>
      </c>
      <c r="Y1456" s="32" t="b">
        <f t="shared" si="321"/>
        <v>0</v>
      </c>
      <c r="Z1456" s="41">
        <v>0</v>
      </c>
      <c r="AA1456" s="36"/>
      <c r="AB1456" s="36" t="s">
        <v>24</v>
      </c>
      <c r="AC1456" s="52" t="s">
        <v>24</v>
      </c>
      <c r="AD1456" s="34"/>
      <c r="AE1456" s="35">
        <f>IFERROR(INDEX([1]Last6M_AvgSales_Ref!$B$2:$B$12659,MATCH(D1456,[1]Last6M_AvgSales_Ref!$A$2:$A$12659,0)),"")</f>
        <v>16.3333333333333</v>
      </c>
    </row>
    <row r="1457" spans="1:31" ht="14.25" customHeight="1" x14ac:dyDescent="0.3">
      <c r="A1457" s="52" t="s">
        <v>24</v>
      </c>
      <c r="B1457" s="50" t="s">
        <v>25</v>
      </c>
      <c r="C1457" s="50" t="s">
        <v>2973</v>
      </c>
      <c r="D1457" s="50">
        <v>1000000663</v>
      </c>
      <c r="E1457" s="50" t="s">
        <v>2974</v>
      </c>
      <c r="F1457" s="51">
        <v>44738</v>
      </c>
      <c r="G1457" s="22" t="str">
        <f t="shared" si="308"/>
        <v>Targeted Dealer</v>
      </c>
      <c r="H1457" s="22"/>
      <c r="I1457" s="23">
        <v>13</v>
      </c>
      <c r="J1457" s="23">
        <f t="shared" si="309"/>
        <v>13</v>
      </c>
      <c r="K1457" s="24">
        <v>13</v>
      </c>
      <c r="L1457" s="24">
        <f t="shared" si="310"/>
        <v>0</v>
      </c>
      <c r="M1457" s="24">
        <f t="shared" si="311"/>
        <v>100</v>
      </c>
      <c r="N1457" s="25">
        <v>0</v>
      </c>
      <c r="O1457" s="26" t="str">
        <f t="shared" si="312"/>
        <v>June</v>
      </c>
      <c r="P1457" s="25">
        <f t="shared" si="313"/>
        <v>0</v>
      </c>
      <c r="Q1457" s="27">
        <f t="shared" si="314"/>
        <v>13</v>
      </c>
      <c r="R1457" s="26" t="b">
        <f t="shared" si="315"/>
        <v>0</v>
      </c>
      <c r="S1457" s="28" t="b">
        <f t="shared" si="316"/>
        <v>0</v>
      </c>
      <c r="T1457" s="24">
        <v>0</v>
      </c>
      <c r="U1457" s="29" t="str">
        <f t="shared" si="317"/>
        <v>May</v>
      </c>
      <c r="V1457" s="24">
        <f t="shared" si="318"/>
        <v>0</v>
      </c>
      <c r="W1457" s="30">
        <f t="shared" si="319"/>
        <v>13</v>
      </c>
      <c r="X1457" s="31" t="b">
        <f t="shared" si="320"/>
        <v>0</v>
      </c>
      <c r="Y1457" s="32" t="b">
        <f t="shared" si="321"/>
        <v>0</v>
      </c>
      <c r="Z1457" s="41">
        <v>0</v>
      </c>
      <c r="AA1457" s="36"/>
      <c r="AB1457" s="36" t="s">
        <v>24</v>
      </c>
      <c r="AC1457" s="52" t="s">
        <v>24</v>
      </c>
      <c r="AD1457" s="34"/>
      <c r="AE1457" s="35">
        <f>IFERROR(INDEX([1]Last6M_AvgSales_Ref!$B$2:$B$12659,MATCH(D1457,[1]Last6M_AvgSales_Ref!$A$2:$A$12659,0)),"")</f>
        <v>13</v>
      </c>
    </row>
    <row r="1458" spans="1:31" ht="14.25" customHeight="1" x14ac:dyDescent="0.3">
      <c r="A1458" s="52" t="s">
        <v>24</v>
      </c>
      <c r="B1458" s="50" t="s">
        <v>698</v>
      </c>
      <c r="C1458" s="50" t="s">
        <v>2975</v>
      </c>
      <c r="D1458" s="50">
        <v>1000004457</v>
      </c>
      <c r="E1458" s="50" t="s">
        <v>2976</v>
      </c>
      <c r="F1458" s="51">
        <v>45906</v>
      </c>
      <c r="G1458" s="22" t="str">
        <f t="shared" si="308"/>
        <v>Targeted Dealer</v>
      </c>
      <c r="H1458" s="22"/>
      <c r="I1458" s="23">
        <v>100</v>
      </c>
      <c r="J1458" s="23">
        <f t="shared" si="309"/>
        <v>100</v>
      </c>
      <c r="K1458" s="24">
        <v>82.5</v>
      </c>
      <c r="L1458" s="24">
        <f t="shared" si="310"/>
        <v>17.5</v>
      </c>
      <c r="M1458" s="24">
        <f t="shared" si="311"/>
        <v>82.5</v>
      </c>
      <c r="N1458" s="25">
        <v>0</v>
      </c>
      <c r="O1458" s="26" t="str">
        <f t="shared" si="312"/>
        <v>June</v>
      </c>
      <c r="P1458" s="25">
        <f t="shared" si="313"/>
        <v>0</v>
      </c>
      <c r="Q1458" s="27">
        <f t="shared" si="314"/>
        <v>82.5</v>
      </c>
      <c r="R1458" s="26" t="b">
        <f t="shared" si="315"/>
        <v>0</v>
      </c>
      <c r="S1458" s="28" t="b">
        <f t="shared" si="316"/>
        <v>0</v>
      </c>
      <c r="T1458" s="24">
        <v>0</v>
      </c>
      <c r="U1458" s="29" t="str">
        <f t="shared" si="317"/>
        <v>May</v>
      </c>
      <c r="V1458" s="24">
        <f t="shared" si="318"/>
        <v>0</v>
      </c>
      <c r="W1458" s="30">
        <f t="shared" si="319"/>
        <v>82.5</v>
      </c>
      <c r="X1458" s="31" t="b">
        <f t="shared" si="320"/>
        <v>0</v>
      </c>
      <c r="Y1458" s="32" t="b">
        <f t="shared" si="321"/>
        <v>0</v>
      </c>
      <c r="Z1458" s="41">
        <v>0</v>
      </c>
      <c r="AA1458" s="36"/>
      <c r="AB1458" s="36" t="s">
        <v>24</v>
      </c>
      <c r="AC1458" s="52" t="s">
        <v>24</v>
      </c>
      <c r="AD1458" s="34"/>
      <c r="AE1458" s="35">
        <f>IFERROR(INDEX([1]Last6M_AvgSales_Ref!$B$2:$B$12659,MATCH(D1458,[1]Last6M_AvgSales_Ref!$A$2:$A$12659,0)),"")</f>
        <v>102.241666666667</v>
      </c>
    </row>
    <row r="1459" spans="1:31" ht="14.25" customHeight="1" x14ac:dyDescent="0.3">
      <c r="A1459" s="52" t="s">
        <v>24</v>
      </c>
      <c r="B1459" s="50" t="s">
        <v>698</v>
      </c>
      <c r="C1459" s="50" t="s">
        <v>2977</v>
      </c>
      <c r="D1459" s="50">
        <v>1000004482</v>
      </c>
      <c r="E1459" s="50" t="s">
        <v>2978</v>
      </c>
      <c r="F1459" s="51">
        <v>45924</v>
      </c>
      <c r="G1459" s="22" t="str">
        <f t="shared" si="308"/>
        <v>Targeted Dealer</v>
      </c>
      <c r="H1459" s="22"/>
      <c r="I1459" s="23">
        <v>23</v>
      </c>
      <c r="J1459" s="23">
        <f t="shared" si="309"/>
        <v>23</v>
      </c>
      <c r="K1459" s="24">
        <v>0</v>
      </c>
      <c r="L1459" s="24">
        <f t="shared" si="310"/>
        <v>23</v>
      </c>
      <c r="M1459" s="24">
        <f t="shared" si="311"/>
        <v>0</v>
      </c>
      <c r="N1459" s="25">
        <v>0</v>
      </c>
      <c r="O1459" s="26" t="str">
        <f t="shared" si="312"/>
        <v>June</v>
      </c>
      <c r="P1459" s="25">
        <f t="shared" si="313"/>
        <v>0</v>
      </c>
      <c r="Q1459" s="27">
        <f t="shared" si="314"/>
        <v>0</v>
      </c>
      <c r="R1459" s="26" t="b">
        <f t="shared" si="315"/>
        <v>0</v>
      </c>
      <c r="S1459" s="28" t="b">
        <f t="shared" si="316"/>
        <v>0</v>
      </c>
      <c r="T1459" s="24">
        <v>0</v>
      </c>
      <c r="U1459" s="29" t="str">
        <f t="shared" si="317"/>
        <v>May</v>
      </c>
      <c r="V1459" s="24">
        <f t="shared" si="318"/>
        <v>0</v>
      </c>
      <c r="W1459" s="30">
        <f t="shared" si="319"/>
        <v>0</v>
      </c>
      <c r="X1459" s="31" t="b">
        <f t="shared" si="320"/>
        <v>0</v>
      </c>
      <c r="Y1459" s="32" t="b">
        <f t="shared" si="321"/>
        <v>0</v>
      </c>
      <c r="Z1459" s="41">
        <v>0</v>
      </c>
      <c r="AA1459" s="36"/>
      <c r="AB1459" s="36" t="s">
        <v>24</v>
      </c>
      <c r="AC1459" s="52" t="s">
        <v>24</v>
      </c>
      <c r="AD1459" s="34"/>
      <c r="AE1459" s="35">
        <f>IFERROR(INDEX([1]Last6M_AvgSales_Ref!$B$2:$B$12659,MATCH(D1459,[1]Last6M_AvgSales_Ref!$A$2:$A$12659,0)),"")</f>
        <v>17.5</v>
      </c>
    </row>
    <row r="1460" spans="1:31" ht="14.25" customHeight="1" x14ac:dyDescent="0.3">
      <c r="A1460" s="52" t="s">
        <v>848</v>
      </c>
      <c r="B1460" s="50" t="s">
        <v>917</v>
      </c>
      <c r="C1460" s="50" t="s">
        <v>2979</v>
      </c>
      <c r="D1460" s="50">
        <v>1000004496</v>
      </c>
      <c r="E1460" s="50" t="s">
        <v>2980</v>
      </c>
      <c r="F1460" s="51">
        <v>45938</v>
      </c>
      <c r="G1460" s="22" t="str">
        <f t="shared" si="308"/>
        <v>Targeted Dealer</v>
      </c>
      <c r="H1460" s="22"/>
      <c r="I1460" s="23">
        <v>48</v>
      </c>
      <c r="J1460" s="23">
        <f t="shared" si="309"/>
        <v>48</v>
      </c>
      <c r="K1460" s="24">
        <v>25.5</v>
      </c>
      <c r="L1460" s="24">
        <f t="shared" si="310"/>
        <v>22.5</v>
      </c>
      <c r="M1460" s="24">
        <f t="shared" si="311"/>
        <v>53.125</v>
      </c>
      <c r="N1460" s="25">
        <v>16.5</v>
      </c>
      <c r="O1460" s="26" t="str">
        <f t="shared" si="312"/>
        <v>June</v>
      </c>
      <c r="P1460" s="25">
        <f t="shared" si="313"/>
        <v>16.5</v>
      </c>
      <c r="Q1460" s="27">
        <f t="shared" si="314"/>
        <v>9</v>
      </c>
      <c r="R1460" s="26" t="b">
        <f t="shared" si="315"/>
        <v>0</v>
      </c>
      <c r="S1460" s="28" t="str">
        <f t="shared" si="316"/>
        <v>GROWTH</v>
      </c>
      <c r="T1460" s="24">
        <v>0</v>
      </c>
      <c r="U1460" s="29" t="str">
        <f t="shared" si="317"/>
        <v>May</v>
      </c>
      <c r="V1460" s="24">
        <f t="shared" si="318"/>
        <v>0</v>
      </c>
      <c r="W1460" s="30">
        <f t="shared" si="319"/>
        <v>25.5</v>
      </c>
      <c r="X1460" s="31" t="b">
        <f t="shared" si="320"/>
        <v>0</v>
      </c>
      <c r="Y1460" s="32" t="b">
        <f t="shared" si="321"/>
        <v>0</v>
      </c>
      <c r="Z1460" s="41">
        <v>0</v>
      </c>
      <c r="AA1460" s="36"/>
      <c r="AB1460" s="36" t="s">
        <v>24</v>
      </c>
      <c r="AC1460" s="52" t="s">
        <v>848</v>
      </c>
      <c r="AD1460" s="34"/>
      <c r="AE1460" s="35">
        <f>IFERROR(INDEX([1]Last6M_AvgSales_Ref!$B$2:$B$12659,MATCH(D1460,[1]Last6M_AvgSales_Ref!$A$2:$A$12659,0)),"")</f>
        <v>27.1666666666667</v>
      </c>
    </row>
    <row r="1461" spans="1:31" ht="14.25" customHeight="1" x14ac:dyDescent="0.3">
      <c r="A1461" s="52" t="s">
        <v>848</v>
      </c>
      <c r="B1461" s="50" t="s">
        <v>996</v>
      </c>
      <c r="C1461" s="50" t="s">
        <v>2981</v>
      </c>
      <c r="D1461" s="50">
        <v>1000004432</v>
      </c>
      <c r="E1461" s="50" t="s">
        <v>2982</v>
      </c>
      <c r="F1461" s="51">
        <v>45856</v>
      </c>
      <c r="G1461" s="22" t="str">
        <f t="shared" si="308"/>
        <v>Targeted Dealer</v>
      </c>
      <c r="H1461" s="22"/>
      <c r="I1461" s="23">
        <v>80</v>
      </c>
      <c r="J1461" s="23">
        <f t="shared" si="309"/>
        <v>80</v>
      </c>
      <c r="K1461" s="24">
        <v>30</v>
      </c>
      <c r="L1461" s="24">
        <f t="shared" si="310"/>
        <v>50</v>
      </c>
      <c r="M1461" s="24">
        <f t="shared" si="311"/>
        <v>37.5</v>
      </c>
      <c r="N1461" s="25">
        <v>52</v>
      </c>
      <c r="O1461" s="26" t="str">
        <f t="shared" si="312"/>
        <v>June</v>
      </c>
      <c r="P1461" s="25">
        <f t="shared" si="313"/>
        <v>52</v>
      </c>
      <c r="Q1461" s="27">
        <f t="shared" si="314"/>
        <v>-22</v>
      </c>
      <c r="R1461" s="26" t="b">
        <f t="shared" si="315"/>
        <v>0</v>
      </c>
      <c r="S1461" s="28" t="str">
        <f t="shared" si="316"/>
        <v>GROWTH</v>
      </c>
      <c r="T1461" s="24">
        <v>0</v>
      </c>
      <c r="U1461" s="29" t="str">
        <f t="shared" si="317"/>
        <v>May</v>
      </c>
      <c r="V1461" s="24">
        <f t="shared" si="318"/>
        <v>0</v>
      </c>
      <c r="W1461" s="30">
        <f t="shared" si="319"/>
        <v>30</v>
      </c>
      <c r="X1461" s="31" t="b">
        <f t="shared" si="320"/>
        <v>0</v>
      </c>
      <c r="Y1461" s="32" t="b">
        <f t="shared" si="321"/>
        <v>0</v>
      </c>
      <c r="Z1461" s="41">
        <v>0</v>
      </c>
      <c r="AA1461" s="36"/>
      <c r="AB1461" s="36" t="s">
        <v>24</v>
      </c>
      <c r="AC1461" s="52" t="s">
        <v>848</v>
      </c>
      <c r="AD1461" s="34"/>
      <c r="AE1461" s="35">
        <f>IFERROR(INDEX([1]Last6M_AvgSales_Ref!$B$2:$B$12659,MATCH(D1461,[1]Last6M_AvgSales_Ref!$A$2:$A$12659,0)),"")</f>
        <v>40.0833333333333</v>
      </c>
    </row>
    <row r="1462" spans="1:31" ht="14.25" customHeight="1" x14ac:dyDescent="0.3">
      <c r="A1462" s="52" t="s">
        <v>848</v>
      </c>
      <c r="B1462" s="50" t="s">
        <v>1702</v>
      </c>
      <c r="C1462" s="50" t="s">
        <v>2983</v>
      </c>
      <c r="D1462" s="50">
        <v>1000004506</v>
      </c>
      <c r="E1462" s="50" t="s">
        <v>2984</v>
      </c>
      <c r="F1462" s="51">
        <v>45957</v>
      </c>
      <c r="G1462" s="22" t="str">
        <f t="shared" si="308"/>
        <v>Targeted Dealer</v>
      </c>
      <c r="H1462" s="22"/>
      <c r="I1462" s="23">
        <v>100</v>
      </c>
      <c r="J1462" s="23">
        <f t="shared" si="309"/>
        <v>100</v>
      </c>
      <c r="K1462" s="24">
        <v>52</v>
      </c>
      <c r="L1462" s="24">
        <f t="shared" si="310"/>
        <v>48</v>
      </c>
      <c r="M1462" s="24">
        <f t="shared" si="311"/>
        <v>52</v>
      </c>
      <c r="N1462" s="25">
        <v>38</v>
      </c>
      <c r="O1462" s="26" t="str">
        <f t="shared" si="312"/>
        <v>June</v>
      </c>
      <c r="P1462" s="25">
        <f t="shared" si="313"/>
        <v>38</v>
      </c>
      <c r="Q1462" s="27">
        <f t="shared" si="314"/>
        <v>14</v>
      </c>
      <c r="R1462" s="26" t="b">
        <f t="shared" si="315"/>
        <v>0</v>
      </c>
      <c r="S1462" s="28" t="str">
        <f t="shared" si="316"/>
        <v>GROWTH</v>
      </c>
      <c r="T1462" s="24">
        <v>0</v>
      </c>
      <c r="U1462" s="29" t="str">
        <f t="shared" si="317"/>
        <v>May</v>
      </c>
      <c r="V1462" s="24">
        <f t="shared" si="318"/>
        <v>0</v>
      </c>
      <c r="W1462" s="30">
        <f t="shared" si="319"/>
        <v>52</v>
      </c>
      <c r="X1462" s="31" t="b">
        <f t="shared" si="320"/>
        <v>0</v>
      </c>
      <c r="Y1462" s="32" t="b">
        <f t="shared" si="321"/>
        <v>0</v>
      </c>
      <c r="Z1462" s="41">
        <v>0</v>
      </c>
      <c r="AA1462" s="36"/>
      <c r="AB1462" s="36" t="s">
        <v>24</v>
      </c>
      <c r="AC1462" s="52" t="s">
        <v>848</v>
      </c>
      <c r="AD1462" s="34"/>
      <c r="AE1462" s="35">
        <f>IFERROR(INDEX([1]Last6M_AvgSales_Ref!$B$2:$B$12659,MATCH(D1462,[1]Last6M_AvgSales_Ref!$A$2:$A$12659,0)),"")</f>
        <v>78.8333333333333</v>
      </c>
    </row>
    <row r="1463" spans="1:31" ht="14.25" customHeight="1" x14ac:dyDescent="0.3">
      <c r="A1463" s="52" t="s">
        <v>848</v>
      </c>
      <c r="B1463" s="50" t="s">
        <v>1769</v>
      </c>
      <c r="C1463" s="50" t="s">
        <v>2985</v>
      </c>
      <c r="D1463" s="50">
        <v>1000004466</v>
      </c>
      <c r="E1463" s="50" t="s">
        <v>2986</v>
      </c>
      <c r="F1463" s="51">
        <v>45898</v>
      </c>
      <c r="G1463" s="22" t="str">
        <f t="shared" si="308"/>
        <v>-</v>
      </c>
      <c r="H1463" s="22"/>
      <c r="I1463" s="23">
        <v>0</v>
      </c>
      <c r="J1463" s="23">
        <f t="shared" si="309"/>
        <v>0</v>
      </c>
      <c r="K1463" s="24">
        <v>25</v>
      </c>
      <c r="L1463" s="24">
        <f t="shared" si="310"/>
        <v>-25</v>
      </c>
      <c r="M1463" s="24" t="str">
        <f t="shared" si="311"/>
        <v>-</v>
      </c>
      <c r="N1463" s="25">
        <v>0</v>
      </c>
      <c r="O1463" s="26" t="str">
        <f t="shared" si="312"/>
        <v>June</v>
      </c>
      <c r="P1463" s="25">
        <f t="shared" si="313"/>
        <v>0</v>
      </c>
      <c r="Q1463" s="27">
        <f t="shared" si="314"/>
        <v>25</v>
      </c>
      <c r="R1463" s="26" t="b">
        <f t="shared" si="315"/>
        <v>0</v>
      </c>
      <c r="S1463" s="28" t="b">
        <f t="shared" si="316"/>
        <v>0</v>
      </c>
      <c r="T1463" s="24">
        <v>0</v>
      </c>
      <c r="U1463" s="29" t="str">
        <f t="shared" si="317"/>
        <v>May</v>
      </c>
      <c r="V1463" s="24">
        <f t="shared" si="318"/>
        <v>0</v>
      </c>
      <c r="W1463" s="30">
        <f t="shared" si="319"/>
        <v>25</v>
      </c>
      <c r="X1463" s="31" t="b">
        <f t="shared" si="320"/>
        <v>0</v>
      </c>
      <c r="Y1463" s="32" t="b">
        <f t="shared" si="321"/>
        <v>0</v>
      </c>
      <c r="Z1463" s="41">
        <v>0</v>
      </c>
      <c r="AA1463" s="36"/>
      <c r="AB1463" s="36" t="s">
        <v>24</v>
      </c>
      <c r="AC1463" s="52" t="s">
        <v>848</v>
      </c>
      <c r="AD1463" s="34"/>
      <c r="AE1463" s="35">
        <f>IFERROR(INDEX([1]Last6M_AvgSales_Ref!$B$2:$B$12659,MATCH(D1463,[1]Last6M_AvgSales_Ref!$A$2:$A$12659,0)),"")</f>
        <v>20</v>
      </c>
    </row>
    <row r="1464" spans="1:31" ht="14.25" customHeight="1" x14ac:dyDescent="0.3">
      <c r="A1464" s="52" t="s">
        <v>848</v>
      </c>
      <c r="B1464" s="50" t="s">
        <v>1769</v>
      </c>
      <c r="C1464" s="50" t="s">
        <v>2987</v>
      </c>
      <c r="D1464" s="50">
        <v>1000004502</v>
      </c>
      <c r="E1464" s="50" t="s">
        <v>2988</v>
      </c>
      <c r="F1464" s="51">
        <v>45952</v>
      </c>
      <c r="G1464" s="22" t="str">
        <f t="shared" si="308"/>
        <v>Targeted Dealer</v>
      </c>
      <c r="H1464" s="22"/>
      <c r="I1464" s="23">
        <v>200</v>
      </c>
      <c r="J1464" s="23">
        <f t="shared" si="309"/>
        <v>200</v>
      </c>
      <c r="K1464" s="24">
        <v>60</v>
      </c>
      <c r="L1464" s="24">
        <f t="shared" si="310"/>
        <v>140</v>
      </c>
      <c r="M1464" s="24">
        <f t="shared" si="311"/>
        <v>30</v>
      </c>
      <c r="N1464" s="25">
        <v>105</v>
      </c>
      <c r="O1464" s="26" t="str">
        <f t="shared" si="312"/>
        <v>June</v>
      </c>
      <c r="P1464" s="25">
        <f t="shared" si="313"/>
        <v>105</v>
      </c>
      <c r="Q1464" s="27">
        <f t="shared" si="314"/>
        <v>-45</v>
      </c>
      <c r="R1464" s="26" t="b">
        <f t="shared" si="315"/>
        <v>0</v>
      </c>
      <c r="S1464" s="28" t="str">
        <f t="shared" si="316"/>
        <v>GROWTH</v>
      </c>
      <c r="T1464" s="24">
        <v>0</v>
      </c>
      <c r="U1464" s="29" t="str">
        <f t="shared" si="317"/>
        <v>May</v>
      </c>
      <c r="V1464" s="24">
        <f t="shared" si="318"/>
        <v>0</v>
      </c>
      <c r="W1464" s="30">
        <f t="shared" si="319"/>
        <v>60</v>
      </c>
      <c r="X1464" s="31" t="b">
        <f t="shared" si="320"/>
        <v>0</v>
      </c>
      <c r="Y1464" s="32" t="b">
        <f t="shared" si="321"/>
        <v>0</v>
      </c>
      <c r="Z1464" s="41">
        <v>0</v>
      </c>
      <c r="AA1464" s="36"/>
      <c r="AB1464" s="36" t="s">
        <v>24</v>
      </c>
      <c r="AC1464" s="52" t="s">
        <v>848</v>
      </c>
      <c r="AD1464" s="34"/>
      <c r="AE1464" s="35">
        <f>IFERROR(INDEX([1]Last6M_AvgSales_Ref!$B$2:$B$12659,MATCH(D1464,[1]Last6M_AvgSales_Ref!$A$2:$A$12659,0)),"")</f>
        <v>65</v>
      </c>
    </row>
    <row r="1465" spans="1:31" ht="14.25" customHeight="1" x14ac:dyDescent="0.3">
      <c r="A1465" s="52" t="s">
        <v>2185</v>
      </c>
      <c r="B1465" s="50" t="s">
        <v>2388</v>
      </c>
      <c r="C1465" s="50" t="s">
        <v>2989</v>
      </c>
      <c r="D1465" s="50">
        <v>1000004508</v>
      </c>
      <c r="E1465" s="50" t="s">
        <v>2990</v>
      </c>
      <c r="F1465" s="51">
        <v>45958</v>
      </c>
      <c r="G1465" s="22" t="str">
        <f t="shared" si="308"/>
        <v>Targeted Dealer</v>
      </c>
      <c r="H1465" s="22"/>
      <c r="I1465" s="23">
        <v>70</v>
      </c>
      <c r="J1465" s="23">
        <f t="shared" si="309"/>
        <v>70</v>
      </c>
      <c r="K1465" s="24">
        <v>32</v>
      </c>
      <c r="L1465" s="24">
        <f t="shared" si="310"/>
        <v>38</v>
      </c>
      <c r="M1465" s="24">
        <f t="shared" si="311"/>
        <v>45.714285714285715</v>
      </c>
      <c r="N1465" s="25">
        <v>45.5</v>
      </c>
      <c r="O1465" s="26" t="str">
        <f t="shared" si="312"/>
        <v>June</v>
      </c>
      <c r="P1465" s="25">
        <f t="shared" si="313"/>
        <v>45.5</v>
      </c>
      <c r="Q1465" s="27">
        <f t="shared" si="314"/>
        <v>-13.5</v>
      </c>
      <c r="R1465" s="26" t="b">
        <f t="shared" si="315"/>
        <v>0</v>
      </c>
      <c r="S1465" s="28" t="str">
        <f t="shared" si="316"/>
        <v>GROWTH</v>
      </c>
      <c r="T1465" s="24">
        <v>0</v>
      </c>
      <c r="U1465" s="29" t="str">
        <f t="shared" si="317"/>
        <v>May</v>
      </c>
      <c r="V1465" s="24">
        <f t="shared" si="318"/>
        <v>0</v>
      </c>
      <c r="W1465" s="30">
        <f t="shared" si="319"/>
        <v>32</v>
      </c>
      <c r="X1465" s="31" t="b">
        <f t="shared" si="320"/>
        <v>0</v>
      </c>
      <c r="Y1465" s="32" t="b">
        <f t="shared" si="321"/>
        <v>0</v>
      </c>
      <c r="Z1465" s="41">
        <v>0</v>
      </c>
      <c r="AA1465" s="36"/>
      <c r="AB1465" s="36" t="s">
        <v>24</v>
      </c>
      <c r="AC1465" s="52" t="s">
        <v>2185</v>
      </c>
      <c r="AD1465" s="34"/>
      <c r="AE1465" s="35">
        <f>IFERROR(INDEX([1]Last6M_AvgSales_Ref!$B$2:$B$12659,MATCH(D1465,[1]Last6M_AvgSales_Ref!$A$2:$A$12659,0)),"")</f>
        <v>30.5833333333333</v>
      </c>
    </row>
    <row r="1466" spans="1:31" ht="14.25" customHeight="1" x14ac:dyDescent="0.3">
      <c r="A1466" s="52" t="s">
        <v>2185</v>
      </c>
      <c r="B1466" s="50" t="s">
        <v>2857</v>
      </c>
      <c r="C1466" s="50" t="s">
        <v>2991</v>
      </c>
      <c r="D1466" s="50">
        <v>1000004488</v>
      </c>
      <c r="E1466" s="50" t="s">
        <v>2992</v>
      </c>
      <c r="F1466" s="51">
        <v>45948</v>
      </c>
      <c r="G1466" s="22" t="str">
        <f t="shared" si="308"/>
        <v>Targeted Dealer</v>
      </c>
      <c r="H1466" s="22"/>
      <c r="I1466" s="23">
        <v>25</v>
      </c>
      <c r="J1466" s="23">
        <f t="shared" si="309"/>
        <v>25</v>
      </c>
      <c r="K1466" s="24">
        <v>60</v>
      </c>
      <c r="L1466" s="24">
        <f t="shared" si="310"/>
        <v>-35</v>
      </c>
      <c r="M1466" s="24">
        <f t="shared" si="311"/>
        <v>240</v>
      </c>
      <c r="N1466" s="25">
        <v>30</v>
      </c>
      <c r="O1466" s="26" t="str">
        <f t="shared" si="312"/>
        <v>June</v>
      </c>
      <c r="P1466" s="25">
        <f t="shared" si="313"/>
        <v>30</v>
      </c>
      <c r="Q1466" s="27">
        <f t="shared" si="314"/>
        <v>30</v>
      </c>
      <c r="R1466" s="26" t="b">
        <f t="shared" si="315"/>
        <v>0</v>
      </c>
      <c r="S1466" s="28" t="str">
        <f t="shared" si="316"/>
        <v>GROWTH</v>
      </c>
      <c r="T1466" s="24">
        <v>0</v>
      </c>
      <c r="U1466" s="29" t="str">
        <f t="shared" si="317"/>
        <v>May</v>
      </c>
      <c r="V1466" s="24">
        <f t="shared" si="318"/>
        <v>0</v>
      </c>
      <c r="W1466" s="30">
        <f t="shared" si="319"/>
        <v>60</v>
      </c>
      <c r="X1466" s="31" t="b">
        <f t="shared" si="320"/>
        <v>0</v>
      </c>
      <c r="Y1466" s="32" t="b">
        <f t="shared" si="321"/>
        <v>0</v>
      </c>
      <c r="Z1466" s="41">
        <v>0</v>
      </c>
      <c r="AA1466" s="36"/>
      <c r="AB1466" s="36" t="s">
        <v>24</v>
      </c>
      <c r="AC1466" s="52" t="s">
        <v>2185</v>
      </c>
      <c r="AD1466" s="34"/>
      <c r="AE1466" s="35">
        <f>IFERROR(INDEX([1]Last6M_AvgSales_Ref!$B$2:$B$12659,MATCH(D1466,[1]Last6M_AvgSales_Ref!$A$2:$A$12659,0)),"")</f>
        <v>30.8333333333333</v>
      </c>
    </row>
    <row r="1467" spans="1:31" ht="14.25" customHeight="1" x14ac:dyDescent="0.3">
      <c r="A1467" s="52" t="s">
        <v>2027</v>
      </c>
      <c r="B1467" s="50" t="s">
        <v>2028</v>
      </c>
      <c r="C1467" s="50" t="e">
        <f>#N/A</f>
        <v>#N/A</v>
      </c>
      <c r="D1467" s="50">
        <v>1000004514</v>
      </c>
      <c r="E1467" s="50" t="s">
        <v>2993</v>
      </c>
      <c r="F1467" s="51">
        <v>45967</v>
      </c>
      <c r="G1467" s="22" t="str">
        <f t="shared" si="308"/>
        <v>Targeted Dealer</v>
      </c>
      <c r="H1467" s="22"/>
      <c r="I1467" s="23">
        <v>280</v>
      </c>
      <c r="J1467" s="23">
        <f t="shared" si="309"/>
        <v>280</v>
      </c>
      <c r="K1467" s="24">
        <v>439</v>
      </c>
      <c r="L1467" s="24">
        <f t="shared" si="310"/>
        <v>-159</v>
      </c>
      <c r="M1467" s="24">
        <f t="shared" si="311"/>
        <v>156.78571428571431</v>
      </c>
      <c r="N1467" s="25">
        <v>360</v>
      </c>
      <c r="O1467" s="26" t="str">
        <f t="shared" si="312"/>
        <v>June</v>
      </c>
      <c r="P1467" s="25">
        <f t="shared" si="313"/>
        <v>360</v>
      </c>
      <c r="Q1467" s="27">
        <f t="shared" si="314"/>
        <v>79</v>
      </c>
      <c r="R1467" s="26" t="b">
        <f t="shared" si="315"/>
        <v>0</v>
      </c>
      <c r="S1467" s="28" t="str">
        <f t="shared" si="316"/>
        <v>GROWTH</v>
      </c>
      <c r="T1467" s="24">
        <v>0</v>
      </c>
      <c r="U1467" s="29" t="str">
        <f t="shared" si="317"/>
        <v>May</v>
      </c>
      <c r="V1467" s="24">
        <f t="shared" si="318"/>
        <v>0</v>
      </c>
      <c r="W1467" s="30">
        <f t="shared" si="319"/>
        <v>439</v>
      </c>
      <c r="X1467" s="31" t="b">
        <f t="shared" si="320"/>
        <v>0</v>
      </c>
      <c r="Y1467" s="32" t="b">
        <f t="shared" si="321"/>
        <v>0</v>
      </c>
      <c r="Z1467" s="41">
        <v>0</v>
      </c>
      <c r="AA1467" s="36"/>
      <c r="AB1467" s="36" t="s">
        <v>24</v>
      </c>
      <c r="AC1467" s="52" t="s">
        <v>2027</v>
      </c>
      <c r="AD1467" s="34"/>
      <c r="AE1467" s="35">
        <f>IFERROR(INDEX([1]Last6M_AvgSales_Ref!$B$2:$B$12659,MATCH(D1467,[1]Last6M_AvgSales_Ref!$A$2:$A$12659,0)),"")</f>
        <v>435.33333333333297</v>
      </c>
    </row>
    <row r="1468" spans="1:31" ht="14.25" customHeight="1" x14ac:dyDescent="0.3">
      <c r="A1468" s="52" t="s">
        <v>24</v>
      </c>
      <c r="B1468" s="50" t="s">
        <v>358</v>
      </c>
      <c r="C1468" s="50" t="s">
        <v>2994</v>
      </c>
      <c r="D1468" s="50">
        <v>1000004542</v>
      </c>
      <c r="E1468" s="50" t="s">
        <v>2995</v>
      </c>
      <c r="F1468" s="51">
        <v>45978</v>
      </c>
      <c r="G1468" s="22" t="str">
        <f t="shared" si="308"/>
        <v>Targeted Dealer</v>
      </c>
      <c r="H1468" s="22"/>
      <c r="I1468" s="23">
        <v>30</v>
      </c>
      <c r="J1468" s="23">
        <f t="shared" si="309"/>
        <v>30</v>
      </c>
      <c r="K1468" s="24">
        <v>5</v>
      </c>
      <c r="L1468" s="24">
        <f t="shared" si="310"/>
        <v>25</v>
      </c>
      <c r="M1468" s="24">
        <f t="shared" si="311"/>
        <v>16.666666666666668</v>
      </c>
      <c r="N1468" s="25">
        <v>17</v>
      </c>
      <c r="O1468" s="26" t="str">
        <f t="shared" si="312"/>
        <v>June</v>
      </c>
      <c r="P1468" s="25">
        <f t="shared" si="313"/>
        <v>17</v>
      </c>
      <c r="Q1468" s="27">
        <f t="shared" si="314"/>
        <v>-12</v>
      </c>
      <c r="R1468" s="26" t="b">
        <f t="shared" si="315"/>
        <v>0</v>
      </c>
      <c r="S1468" s="28" t="str">
        <f t="shared" si="316"/>
        <v>GROWTH</v>
      </c>
      <c r="T1468" s="24">
        <v>0</v>
      </c>
      <c r="U1468" s="29" t="str">
        <f t="shared" si="317"/>
        <v>May</v>
      </c>
      <c r="V1468" s="24">
        <f t="shared" si="318"/>
        <v>0</v>
      </c>
      <c r="W1468" s="30">
        <f t="shared" si="319"/>
        <v>5</v>
      </c>
      <c r="X1468" s="31" t="b">
        <f t="shared" si="320"/>
        <v>0</v>
      </c>
      <c r="Y1468" s="32" t="b">
        <f t="shared" si="321"/>
        <v>0</v>
      </c>
      <c r="Z1468" s="41">
        <v>0</v>
      </c>
      <c r="AA1468" s="36"/>
      <c r="AB1468" s="36" t="s">
        <v>24</v>
      </c>
      <c r="AC1468" s="52" t="s">
        <v>24</v>
      </c>
      <c r="AD1468" s="34"/>
      <c r="AE1468" s="35">
        <f>IFERROR(INDEX([1]Last6M_AvgSales_Ref!$B$2:$B$12659,MATCH(D1468,[1]Last6M_AvgSales_Ref!$A$2:$A$12659,0)),"")</f>
        <v>31.8333333333333</v>
      </c>
    </row>
    <row r="1469" spans="1:31" ht="14.25" customHeight="1" x14ac:dyDescent="0.3">
      <c r="A1469" s="52" t="s">
        <v>24</v>
      </c>
      <c r="B1469" s="50" t="s">
        <v>399</v>
      </c>
      <c r="C1469" s="50" t="s">
        <v>2996</v>
      </c>
      <c r="D1469" s="50">
        <v>1000004543</v>
      </c>
      <c r="E1469" s="50" t="s">
        <v>2997</v>
      </c>
      <c r="F1469" s="51">
        <v>45978</v>
      </c>
      <c r="G1469" s="22" t="str">
        <f t="shared" si="308"/>
        <v>Targeted Dealer</v>
      </c>
      <c r="H1469" s="22"/>
      <c r="I1469" s="23">
        <v>80</v>
      </c>
      <c r="J1469" s="23">
        <f t="shared" si="309"/>
        <v>80</v>
      </c>
      <c r="K1469" s="24">
        <v>90</v>
      </c>
      <c r="L1469" s="24">
        <f t="shared" si="310"/>
        <v>-10</v>
      </c>
      <c r="M1469" s="24">
        <f t="shared" si="311"/>
        <v>112.5</v>
      </c>
      <c r="N1469" s="25">
        <v>70</v>
      </c>
      <c r="O1469" s="26" t="str">
        <f t="shared" si="312"/>
        <v>June</v>
      </c>
      <c r="P1469" s="25">
        <f t="shared" si="313"/>
        <v>70</v>
      </c>
      <c r="Q1469" s="27">
        <f t="shared" si="314"/>
        <v>20</v>
      </c>
      <c r="R1469" s="26" t="b">
        <f t="shared" si="315"/>
        <v>0</v>
      </c>
      <c r="S1469" s="28" t="str">
        <f t="shared" si="316"/>
        <v>GROWTH</v>
      </c>
      <c r="T1469" s="24">
        <v>0</v>
      </c>
      <c r="U1469" s="29" t="str">
        <f t="shared" si="317"/>
        <v>May</v>
      </c>
      <c r="V1469" s="24">
        <f t="shared" si="318"/>
        <v>0</v>
      </c>
      <c r="W1469" s="30">
        <f t="shared" si="319"/>
        <v>90</v>
      </c>
      <c r="X1469" s="31" t="b">
        <f t="shared" si="320"/>
        <v>0</v>
      </c>
      <c r="Y1469" s="32" t="b">
        <f t="shared" si="321"/>
        <v>0</v>
      </c>
      <c r="Z1469" s="41">
        <v>0</v>
      </c>
      <c r="AA1469" s="36"/>
      <c r="AB1469" s="36" t="s">
        <v>24</v>
      </c>
      <c r="AC1469" s="52" t="s">
        <v>24</v>
      </c>
      <c r="AD1469" s="34"/>
      <c r="AE1469" s="35">
        <f>IFERROR(INDEX([1]Last6M_AvgSales_Ref!$B$2:$B$12659,MATCH(D1469,[1]Last6M_AvgSales_Ref!$A$2:$A$12659,0)),"")</f>
        <v>117.083333333333</v>
      </c>
    </row>
    <row r="1470" spans="1:31" ht="14.25" customHeight="1" x14ac:dyDescent="0.3">
      <c r="A1470" s="52" t="s">
        <v>24</v>
      </c>
      <c r="B1470" s="50" t="s">
        <v>570</v>
      </c>
      <c r="C1470" s="50" t="s">
        <v>2998</v>
      </c>
      <c r="D1470" s="50">
        <v>1000004532</v>
      </c>
      <c r="E1470" s="50" t="s">
        <v>2999</v>
      </c>
      <c r="F1470" s="51">
        <v>45972</v>
      </c>
      <c r="G1470" s="22" t="str">
        <f t="shared" si="308"/>
        <v>Targeted Dealer</v>
      </c>
      <c r="H1470" s="22"/>
      <c r="I1470" s="23">
        <v>200</v>
      </c>
      <c r="J1470" s="23">
        <f t="shared" si="309"/>
        <v>200</v>
      </c>
      <c r="K1470" s="24">
        <v>191.25</v>
      </c>
      <c r="L1470" s="24">
        <f t="shared" si="310"/>
        <v>8.75</v>
      </c>
      <c r="M1470" s="24">
        <f t="shared" si="311"/>
        <v>95.625</v>
      </c>
      <c r="N1470" s="25">
        <v>303.25</v>
      </c>
      <c r="O1470" s="26" t="str">
        <f t="shared" si="312"/>
        <v>June</v>
      </c>
      <c r="P1470" s="25">
        <f t="shared" si="313"/>
        <v>303.25</v>
      </c>
      <c r="Q1470" s="27">
        <f t="shared" si="314"/>
        <v>-112</v>
      </c>
      <c r="R1470" s="26" t="b">
        <f t="shared" si="315"/>
        <v>0</v>
      </c>
      <c r="S1470" s="28" t="str">
        <f t="shared" si="316"/>
        <v>GROWTH</v>
      </c>
      <c r="T1470" s="24">
        <v>0</v>
      </c>
      <c r="U1470" s="29" t="str">
        <f t="shared" si="317"/>
        <v>May</v>
      </c>
      <c r="V1470" s="24">
        <f t="shared" si="318"/>
        <v>0</v>
      </c>
      <c r="W1470" s="30">
        <f t="shared" si="319"/>
        <v>191.25</v>
      </c>
      <c r="X1470" s="31" t="b">
        <f t="shared" si="320"/>
        <v>0</v>
      </c>
      <c r="Y1470" s="32" t="b">
        <f t="shared" si="321"/>
        <v>0</v>
      </c>
      <c r="Z1470" s="41">
        <v>0</v>
      </c>
      <c r="AA1470" s="36"/>
      <c r="AB1470" s="36" t="s">
        <v>24</v>
      </c>
      <c r="AC1470" s="52" t="s">
        <v>24</v>
      </c>
      <c r="AD1470" s="34"/>
      <c r="AE1470" s="35">
        <f>IFERROR(INDEX([1]Last6M_AvgSales_Ref!$B$2:$B$12659,MATCH(D1470,[1]Last6M_AvgSales_Ref!$A$2:$A$12659,0)),"")</f>
        <v>316.58333333333297</v>
      </c>
    </row>
    <row r="1471" spans="1:31" ht="14.25" customHeight="1" x14ac:dyDescent="0.3">
      <c r="A1471" s="52" t="s">
        <v>24</v>
      </c>
      <c r="B1471" s="50" t="s">
        <v>741</v>
      </c>
      <c r="C1471" s="50" t="s">
        <v>3000</v>
      </c>
      <c r="D1471" s="50">
        <v>1000004504</v>
      </c>
      <c r="E1471" s="50" t="s">
        <v>3001</v>
      </c>
      <c r="F1471" s="51">
        <v>45952</v>
      </c>
      <c r="G1471" s="22" t="str">
        <f t="shared" si="308"/>
        <v>Targeted Dealer</v>
      </c>
      <c r="H1471" s="22"/>
      <c r="I1471" s="23">
        <v>30</v>
      </c>
      <c r="J1471" s="23">
        <f t="shared" si="309"/>
        <v>30</v>
      </c>
      <c r="K1471" s="24">
        <v>84</v>
      </c>
      <c r="L1471" s="24">
        <f t="shared" si="310"/>
        <v>-54</v>
      </c>
      <c r="M1471" s="24">
        <f t="shared" si="311"/>
        <v>280</v>
      </c>
      <c r="N1471" s="25">
        <v>80</v>
      </c>
      <c r="O1471" s="26" t="str">
        <f t="shared" si="312"/>
        <v>June</v>
      </c>
      <c r="P1471" s="25">
        <f t="shared" si="313"/>
        <v>80</v>
      </c>
      <c r="Q1471" s="27">
        <f t="shared" si="314"/>
        <v>4</v>
      </c>
      <c r="R1471" s="26" t="b">
        <f t="shared" si="315"/>
        <v>0</v>
      </c>
      <c r="S1471" s="28" t="str">
        <f t="shared" si="316"/>
        <v>GROWTH</v>
      </c>
      <c r="T1471" s="24">
        <v>0</v>
      </c>
      <c r="U1471" s="29" t="str">
        <f t="shared" si="317"/>
        <v>May</v>
      </c>
      <c r="V1471" s="24">
        <f t="shared" si="318"/>
        <v>0</v>
      </c>
      <c r="W1471" s="30">
        <f t="shared" si="319"/>
        <v>84</v>
      </c>
      <c r="X1471" s="31" t="b">
        <f t="shared" si="320"/>
        <v>0</v>
      </c>
      <c r="Y1471" s="32" t="b">
        <f t="shared" si="321"/>
        <v>0</v>
      </c>
      <c r="Z1471" s="41">
        <v>0</v>
      </c>
      <c r="AA1471" s="36"/>
      <c r="AB1471" s="36" t="s">
        <v>24</v>
      </c>
      <c r="AC1471" s="52" t="s">
        <v>24</v>
      </c>
      <c r="AD1471" s="34"/>
      <c r="AE1471" s="35">
        <f>IFERROR(INDEX([1]Last6M_AvgSales_Ref!$B$2:$B$12659,MATCH(D1471,[1]Last6M_AvgSales_Ref!$A$2:$A$12659,0)),"")</f>
        <v>58.0833333333333</v>
      </c>
    </row>
    <row r="1472" spans="1:31" ht="14.25" customHeight="1" x14ac:dyDescent="0.3">
      <c r="A1472" s="52" t="s">
        <v>24</v>
      </c>
      <c r="B1472" s="50" t="s">
        <v>752</v>
      </c>
      <c r="C1472" s="50" t="s">
        <v>3002</v>
      </c>
      <c r="D1472" s="50">
        <v>1000004393</v>
      </c>
      <c r="E1472" s="50" t="s">
        <v>3003</v>
      </c>
      <c r="F1472" s="51">
        <v>45825</v>
      </c>
      <c r="G1472" s="22" t="str">
        <f t="shared" si="308"/>
        <v>Targeted Dealer</v>
      </c>
      <c r="H1472" s="22"/>
      <c r="I1472" s="23">
        <v>35</v>
      </c>
      <c r="J1472" s="23">
        <f t="shared" si="309"/>
        <v>35</v>
      </c>
      <c r="K1472" s="24">
        <v>70</v>
      </c>
      <c r="L1472" s="24">
        <f t="shared" si="310"/>
        <v>-35</v>
      </c>
      <c r="M1472" s="24">
        <f t="shared" si="311"/>
        <v>200</v>
      </c>
      <c r="N1472" s="25">
        <v>0</v>
      </c>
      <c r="O1472" s="26" t="str">
        <f t="shared" si="312"/>
        <v>June</v>
      </c>
      <c r="P1472" s="25">
        <f t="shared" si="313"/>
        <v>0</v>
      </c>
      <c r="Q1472" s="27">
        <f t="shared" si="314"/>
        <v>70</v>
      </c>
      <c r="R1472" s="26" t="b">
        <f t="shared" si="315"/>
        <v>0</v>
      </c>
      <c r="S1472" s="28" t="b">
        <f t="shared" si="316"/>
        <v>0</v>
      </c>
      <c r="T1472" s="24">
        <v>0</v>
      </c>
      <c r="U1472" s="29" t="str">
        <f t="shared" si="317"/>
        <v>May</v>
      </c>
      <c r="V1472" s="24">
        <f t="shared" si="318"/>
        <v>0</v>
      </c>
      <c r="W1472" s="30">
        <f t="shared" si="319"/>
        <v>70</v>
      </c>
      <c r="X1472" s="31" t="b">
        <f t="shared" si="320"/>
        <v>0</v>
      </c>
      <c r="Y1472" s="32" t="b">
        <f t="shared" si="321"/>
        <v>0</v>
      </c>
      <c r="Z1472" s="41">
        <v>0</v>
      </c>
      <c r="AA1472" s="36"/>
      <c r="AB1472" s="36" t="s">
        <v>24</v>
      </c>
      <c r="AC1472" s="52" t="s">
        <v>24</v>
      </c>
      <c r="AD1472" s="34"/>
      <c r="AE1472" s="35">
        <f>IFERROR(INDEX([1]Last6M_AvgSales_Ref!$B$2:$B$12659,MATCH(D1472,[1]Last6M_AvgSales_Ref!$A$2:$A$12659,0)),"")</f>
        <v>49.8333333333333</v>
      </c>
    </row>
    <row r="1473" spans="1:31" ht="14.25" customHeight="1" x14ac:dyDescent="0.3">
      <c r="A1473" s="52" t="s">
        <v>24</v>
      </c>
      <c r="B1473" s="50" t="s">
        <v>801</v>
      </c>
      <c r="C1473" s="50" t="s">
        <v>3004</v>
      </c>
      <c r="D1473" s="50">
        <v>1000004509</v>
      </c>
      <c r="E1473" s="50" t="s">
        <v>3005</v>
      </c>
      <c r="F1473" s="51">
        <v>45961</v>
      </c>
      <c r="G1473" s="22" t="str">
        <f t="shared" si="308"/>
        <v>Targeted Dealer</v>
      </c>
      <c r="H1473" s="22"/>
      <c r="I1473" s="23">
        <v>35</v>
      </c>
      <c r="J1473" s="23">
        <f t="shared" si="309"/>
        <v>35</v>
      </c>
      <c r="K1473" s="24">
        <v>0</v>
      </c>
      <c r="L1473" s="24">
        <f t="shared" si="310"/>
        <v>35</v>
      </c>
      <c r="M1473" s="24">
        <f t="shared" si="311"/>
        <v>0</v>
      </c>
      <c r="N1473" s="25">
        <v>0</v>
      </c>
      <c r="O1473" s="26" t="str">
        <f t="shared" si="312"/>
        <v>June</v>
      </c>
      <c r="P1473" s="25">
        <f t="shared" si="313"/>
        <v>0</v>
      </c>
      <c r="Q1473" s="27">
        <f t="shared" si="314"/>
        <v>0</v>
      </c>
      <c r="R1473" s="26" t="b">
        <f t="shared" si="315"/>
        <v>0</v>
      </c>
      <c r="S1473" s="28" t="b">
        <f t="shared" si="316"/>
        <v>0</v>
      </c>
      <c r="T1473" s="24">
        <v>0</v>
      </c>
      <c r="U1473" s="29" t="str">
        <f t="shared" si="317"/>
        <v>May</v>
      </c>
      <c r="V1473" s="24">
        <f t="shared" si="318"/>
        <v>0</v>
      </c>
      <c r="W1473" s="30">
        <f t="shared" si="319"/>
        <v>0</v>
      </c>
      <c r="X1473" s="31" t="b">
        <f t="shared" si="320"/>
        <v>0</v>
      </c>
      <c r="Y1473" s="32" t="b">
        <f t="shared" si="321"/>
        <v>0</v>
      </c>
      <c r="Z1473" s="41">
        <v>0</v>
      </c>
      <c r="AA1473" s="36"/>
      <c r="AB1473" s="36" t="s">
        <v>24</v>
      </c>
      <c r="AC1473" s="52" t="s">
        <v>24</v>
      </c>
      <c r="AD1473" s="34"/>
      <c r="AE1473" s="35">
        <f>IFERROR(INDEX([1]Last6M_AvgSales_Ref!$B$2:$B$12659,MATCH(D1473,[1]Last6M_AvgSales_Ref!$A$2:$A$12659,0)),"")</f>
        <v>89.966666666666697</v>
      </c>
    </row>
    <row r="1474" spans="1:31" ht="14.25" customHeight="1" x14ac:dyDescent="0.3">
      <c r="A1474" s="52" t="s">
        <v>24</v>
      </c>
      <c r="B1474" s="50" t="s">
        <v>25</v>
      </c>
      <c r="C1474" s="50" t="s">
        <v>3006</v>
      </c>
      <c r="D1474" s="50">
        <v>1000004515</v>
      </c>
      <c r="E1474" s="50" t="s">
        <v>1588</v>
      </c>
      <c r="F1474" s="51">
        <v>45968</v>
      </c>
      <c r="G1474" s="22" t="str">
        <f t="shared" si="308"/>
        <v>-</v>
      </c>
      <c r="H1474" s="22"/>
      <c r="I1474" s="23">
        <v>0</v>
      </c>
      <c r="J1474" s="23">
        <f t="shared" si="309"/>
        <v>0</v>
      </c>
      <c r="K1474" s="24">
        <v>0</v>
      </c>
      <c r="L1474" s="24">
        <f t="shared" si="310"/>
        <v>0</v>
      </c>
      <c r="M1474" s="24" t="str">
        <f t="shared" si="311"/>
        <v>-</v>
      </c>
      <c r="N1474" s="25">
        <v>0</v>
      </c>
      <c r="O1474" s="26" t="str">
        <f t="shared" si="312"/>
        <v>June</v>
      </c>
      <c r="P1474" s="25">
        <f t="shared" si="313"/>
        <v>0</v>
      </c>
      <c r="Q1474" s="27">
        <f t="shared" si="314"/>
        <v>0</v>
      </c>
      <c r="R1474" s="26" t="b">
        <f t="shared" si="315"/>
        <v>0</v>
      </c>
      <c r="S1474" s="28" t="b">
        <f t="shared" si="316"/>
        <v>0</v>
      </c>
      <c r="T1474" s="24">
        <v>0</v>
      </c>
      <c r="U1474" s="29" t="str">
        <f t="shared" si="317"/>
        <v>May</v>
      </c>
      <c r="V1474" s="24">
        <f t="shared" si="318"/>
        <v>0</v>
      </c>
      <c r="W1474" s="30">
        <f t="shared" si="319"/>
        <v>0</v>
      </c>
      <c r="X1474" s="31" t="b">
        <f t="shared" si="320"/>
        <v>0</v>
      </c>
      <c r="Y1474" s="32" t="b">
        <f t="shared" si="321"/>
        <v>0</v>
      </c>
      <c r="Z1474" s="41">
        <v>0</v>
      </c>
      <c r="AA1474" s="36"/>
      <c r="AB1474" s="36" t="s">
        <v>24</v>
      </c>
      <c r="AC1474" s="52" t="s">
        <v>24</v>
      </c>
      <c r="AD1474" s="34"/>
      <c r="AE1474" s="35">
        <f>IFERROR(INDEX([1]Last6M_AvgSales_Ref!$B$2:$B$12659,MATCH(D1474,[1]Last6M_AvgSales_Ref!$A$2:$A$12659,0)),"")</f>
        <v>4.3333333333333304</v>
      </c>
    </row>
    <row r="1475" spans="1:31" ht="14.25" customHeight="1" x14ac:dyDescent="0.3">
      <c r="A1475" s="52" t="s">
        <v>24</v>
      </c>
      <c r="B1475" s="50" t="s">
        <v>698</v>
      </c>
      <c r="C1475" s="50" t="s">
        <v>3007</v>
      </c>
      <c r="D1475" s="50">
        <v>1000004486</v>
      </c>
      <c r="E1475" s="50" t="s">
        <v>3008</v>
      </c>
      <c r="F1475" s="51">
        <v>45940</v>
      </c>
      <c r="G1475" s="22" t="str">
        <f t="shared" ref="G1475:G1538" si="322">IF(I1475&gt;0,"Targeted Dealer","-")</f>
        <v>Targeted Dealer</v>
      </c>
      <c r="H1475" s="22"/>
      <c r="I1475" s="23">
        <v>23</v>
      </c>
      <c r="J1475" s="23">
        <f t="shared" ref="J1475:J1538" si="323">I1475/$J$1*($J$1-$E$1)</f>
        <v>23</v>
      </c>
      <c r="K1475" s="24">
        <v>70</v>
      </c>
      <c r="L1475" s="24">
        <f t="shared" ref="L1475:L1538" si="324">I1475-K1475</f>
        <v>-47</v>
      </c>
      <c r="M1475" s="24">
        <f t="shared" ref="M1475:M1538" si="325">IFERROR((K1475/J1475%),"-")</f>
        <v>304.3478260869565</v>
      </c>
      <c r="N1475" s="25">
        <v>50</v>
      </c>
      <c r="O1475" s="26" t="str">
        <f t="shared" ref="O1475:O1538" si="326">IF(F1475&lt;=$P$2,"June","")</f>
        <v>June</v>
      </c>
      <c r="P1475" s="25">
        <f t="shared" ref="P1475:P1538" si="327">N1475</f>
        <v>50</v>
      </c>
      <c r="Q1475" s="27">
        <f t="shared" ref="Q1475:Q1538" si="328">K1475-P1475</f>
        <v>20</v>
      </c>
      <c r="R1475" s="26" t="b">
        <f t="shared" ref="R1475:R1538" si="329">IFERROR(IF(O1475="May",(K1475/P1475-1))," ")</f>
        <v>0</v>
      </c>
      <c r="S1475" s="28" t="str">
        <f t="shared" ref="S1475:S1538" si="330">IF(N1475&gt;0,IF(O1475="","-",IF(R1475&lt;0%,"DEGROWTH","GROWTH")))</f>
        <v>GROWTH</v>
      </c>
      <c r="T1475" s="24">
        <v>0</v>
      </c>
      <c r="U1475" s="29" t="str">
        <f t="shared" ref="U1475:U1538" si="331">IF(F1475&lt;=$V$2,"May","")</f>
        <v>May</v>
      </c>
      <c r="V1475" s="24">
        <f t="shared" ref="V1475:V1538" si="332">T1475</f>
        <v>0</v>
      </c>
      <c r="W1475" s="30">
        <f t="shared" ref="W1475:W1538" si="333">K1475-V1475</f>
        <v>70</v>
      </c>
      <c r="X1475" s="31" t="b">
        <f t="shared" ref="X1475:X1538" si="334">IFERROR(IF(U1475="June",(K1475/V1475-1)),0)</f>
        <v>0</v>
      </c>
      <c r="Y1475" s="32" t="b">
        <f t="shared" ref="Y1475:Y1538" si="335">IF(T1475&gt;0,IF(U1475="","-",IF(X1475&lt;0%,"DEGROWTH","GROWTH")))</f>
        <v>0</v>
      </c>
      <c r="Z1475" s="41">
        <v>0</v>
      </c>
      <c r="AA1475" s="36"/>
      <c r="AB1475" s="36" t="s">
        <v>24</v>
      </c>
      <c r="AC1475" s="52" t="s">
        <v>24</v>
      </c>
      <c r="AD1475" s="34"/>
      <c r="AE1475" s="35">
        <f>IFERROR(INDEX([1]Last6M_AvgSales_Ref!$B$2:$B$12659,MATCH(D1475,[1]Last6M_AvgSales_Ref!$A$2:$A$12659,0)),"")</f>
        <v>45.8333333333333</v>
      </c>
    </row>
    <row r="1476" spans="1:31" ht="14.25" customHeight="1" x14ac:dyDescent="0.3">
      <c r="A1476" s="52" t="s">
        <v>24</v>
      </c>
      <c r="B1476" s="50" t="s">
        <v>698</v>
      </c>
      <c r="C1476" s="50" t="s">
        <v>3009</v>
      </c>
      <c r="D1476" s="50">
        <v>1000004135</v>
      </c>
      <c r="E1476" s="50" t="s">
        <v>3010</v>
      </c>
      <c r="F1476" s="51">
        <v>45559</v>
      </c>
      <c r="G1476" s="22" t="str">
        <f t="shared" si="322"/>
        <v>Targeted Dealer</v>
      </c>
      <c r="H1476" s="22"/>
      <c r="I1476" s="23">
        <v>100</v>
      </c>
      <c r="J1476" s="23">
        <f t="shared" si="323"/>
        <v>100</v>
      </c>
      <c r="K1476" s="24">
        <v>0</v>
      </c>
      <c r="L1476" s="24">
        <f t="shared" si="324"/>
        <v>100</v>
      </c>
      <c r="M1476" s="24">
        <f t="shared" si="325"/>
        <v>0</v>
      </c>
      <c r="N1476" s="25">
        <v>0</v>
      </c>
      <c r="O1476" s="26" t="str">
        <f t="shared" si="326"/>
        <v>June</v>
      </c>
      <c r="P1476" s="25">
        <f t="shared" si="327"/>
        <v>0</v>
      </c>
      <c r="Q1476" s="27">
        <f t="shared" si="328"/>
        <v>0</v>
      </c>
      <c r="R1476" s="26" t="b">
        <f t="shared" si="329"/>
        <v>0</v>
      </c>
      <c r="S1476" s="28" t="b">
        <f t="shared" si="330"/>
        <v>0</v>
      </c>
      <c r="T1476" s="24">
        <v>0</v>
      </c>
      <c r="U1476" s="29" t="str">
        <f t="shared" si="331"/>
        <v>May</v>
      </c>
      <c r="V1476" s="24">
        <f t="shared" si="332"/>
        <v>0</v>
      </c>
      <c r="W1476" s="30">
        <f t="shared" si="333"/>
        <v>0</v>
      </c>
      <c r="X1476" s="31" t="b">
        <f t="shared" si="334"/>
        <v>0</v>
      </c>
      <c r="Y1476" s="32" t="b">
        <f t="shared" si="335"/>
        <v>0</v>
      </c>
      <c r="Z1476" s="41">
        <v>0</v>
      </c>
      <c r="AA1476" s="36"/>
      <c r="AB1476" s="36" t="s">
        <v>24</v>
      </c>
      <c r="AC1476" s="52" t="s">
        <v>24</v>
      </c>
      <c r="AD1476" s="34"/>
      <c r="AE1476" s="35">
        <f>IFERROR(INDEX([1]Last6M_AvgSales_Ref!$B$2:$B$12659,MATCH(D1476,[1]Last6M_AvgSales_Ref!$A$2:$A$12659,0)),"")</f>
        <v>84.1666666666667</v>
      </c>
    </row>
    <row r="1477" spans="1:31" ht="14.25" customHeight="1" x14ac:dyDescent="0.3">
      <c r="A1477" s="52" t="s">
        <v>24</v>
      </c>
      <c r="B1477" s="50" t="s">
        <v>698</v>
      </c>
      <c r="C1477" s="50" t="s">
        <v>3011</v>
      </c>
      <c r="D1477" s="50">
        <v>1000003712</v>
      </c>
      <c r="E1477" s="50" t="s">
        <v>3012</v>
      </c>
      <c r="F1477" s="51">
        <v>45173</v>
      </c>
      <c r="G1477" s="22" t="str">
        <f t="shared" si="322"/>
        <v>Targeted Dealer</v>
      </c>
      <c r="H1477" s="22"/>
      <c r="I1477" s="23">
        <v>23</v>
      </c>
      <c r="J1477" s="23">
        <f t="shared" si="323"/>
        <v>23</v>
      </c>
      <c r="K1477" s="24">
        <v>41</v>
      </c>
      <c r="L1477" s="24">
        <f t="shared" si="324"/>
        <v>-18</v>
      </c>
      <c r="M1477" s="24">
        <f t="shared" si="325"/>
        <v>178.26086956521738</v>
      </c>
      <c r="N1477" s="25">
        <v>23</v>
      </c>
      <c r="O1477" s="26" t="str">
        <f t="shared" si="326"/>
        <v>June</v>
      </c>
      <c r="P1477" s="25">
        <f t="shared" si="327"/>
        <v>23</v>
      </c>
      <c r="Q1477" s="27">
        <f t="shared" si="328"/>
        <v>18</v>
      </c>
      <c r="R1477" s="26" t="b">
        <f t="shared" si="329"/>
        <v>0</v>
      </c>
      <c r="S1477" s="28" t="str">
        <f t="shared" si="330"/>
        <v>GROWTH</v>
      </c>
      <c r="T1477" s="24">
        <v>0</v>
      </c>
      <c r="U1477" s="29" t="str">
        <f t="shared" si="331"/>
        <v>May</v>
      </c>
      <c r="V1477" s="24">
        <f t="shared" si="332"/>
        <v>0</v>
      </c>
      <c r="W1477" s="30">
        <f t="shared" si="333"/>
        <v>41</v>
      </c>
      <c r="X1477" s="31" t="b">
        <f t="shared" si="334"/>
        <v>0</v>
      </c>
      <c r="Y1477" s="32" t="b">
        <f t="shared" si="335"/>
        <v>0</v>
      </c>
      <c r="Z1477" s="41">
        <v>0</v>
      </c>
      <c r="AA1477" s="36"/>
      <c r="AB1477" s="36" t="s">
        <v>24</v>
      </c>
      <c r="AC1477" s="52" t="s">
        <v>24</v>
      </c>
      <c r="AD1477" s="34"/>
      <c r="AE1477" s="35">
        <f>IFERROR(INDEX([1]Last6M_AvgSales_Ref!$B$2:$B$12659,MATCH(D1477,[1]Last6M_AvgSales_Ref!$A$2:$A$12659,0)),"")</f>
        <v>32</v>
      </c>
    </row>
    <row r="1478" spans="1:31" ht="14.25" customHeight="1" x14ac:dyDescent="0.3">
      <c r="A1478" s="52" t="s">
        <v>24</v>
      </c>
      <c r="B1478" s="50" t="s">
        <v>535</v>
      </c>
      <c r="C1478" s="50" t="s">
        <v>3013</v>
      </c>
      <c r="D1478" s="50">
        <v>1000004511</v>
      </c>
      <c r="E1478" s="50" t="s">
        <v>3014</v>
      </c>
      <c r="F1478" s="51">
        <v>45966</v>
      </c>
      <c r="G1478" s="22" t="str">
        <f t="shared" si="322"/>
        <v>Targeted Dealer</v>
      </c>
      <c r="H1478" s="22"/>
      <c r="I1478" s="23">
        <v>20</v>
      </c>
      <c r="J1478" s="23">
        <f t="shared" si="323"/>
        <v>20</v>
      </c>
      <c r="K1478" s="24">
        <v>22.5</v>
      </c>
      <c r="L1478" s="24">
        <f t="shared" si="324"/>
        <v>-2.5</v>
      </c>
      <c r="M1478" s="24">
        <f t="shared" si="325"/>
        <v>112.5</v>
      </c>
      <c r="N1478" s="25">
        <v>0</v>
      </c>
      <c r="O1478" s="26" t="str">
        <f t="shared" si="326"/>
        <v>June</v>
      </c>
      <c r="P1478" s="25">
        <f t="shared" si="327"/>
        <v>0</v>
      </c>
      <c r="Q1478" s="27">
        <f t="shared" si="328"/>
        <v>22.5</v>
      </c>
      <c r="R1478" s="26" t="b">
        <f t="shared" si="329"/>
        <v>0</v>
      </c>
      <c r="S1478" s="28" t="b">
        <f t="shared" si="330"/>
        <v>0</v>
      </c>
      <c r="T1478" s="24">
        <v>0</v>
      </c>
      <c r="U1478" s="29" t="str">
        <f t="shared" si="331"/>
        <v>May</v>
      </c>
      <c r="V1478" s="24">
        <f t="shared" si="332"/>
        <v>0</v>
      </c>
      <c r="W1478" s="30">
        <f t="shared" si="333"/>
        <v>22.5</v>
      </c>
      <c r="X1478" s="31" t="b">
        <f t="shared" si="334"/>
        <v>0</v>
      </c>
      <c r="Y1478" s="32" t="b">
        <f t="shared" si="335"/>
        <v>0</v>
      </c>
      <c r="Z1478" s="41">
        <v>0</v>
      </c>
      <c r="AA1478" s="36"/>
      <c r="AB1478" s="36" t="s">
        <v>24</v>
      </c>
      <c r="AC1478" s="52" t="s">
        <v>24</v>
      </c>
      <c r="AD1478" s="34"/>
      <c r="AE1478" s="35">
        <f>IFERROR(INDEX([1]Last6M_AvgSales_Ref!$B$2:$B$12659,MATCH(D1478,[1]Last6M_AvgSales_Ref!$A$2:$A$12659,0)),"")</f>
        <v>20</v>
      </c>
    </row>
    <row r="1479" spans="1:31" ht="14.25" customHeight="1" x14ac:dyDescent="0.3">
      <c r="A1479" s="52" t="s">
        <v>24</v>
      </c>
      <c r="B1479" s="50" t="s">
        <v>174</v>
      </c>
      <c r="C1479" s="50" t="s">
        <v>3015</v>
      </c>
      <c r="D1479" s="50">
        <v>1000004544</v>
      </c>
      <c r="E1479" s="50" t="s">
        <v>3016</v>
      </c>
      <c r="F1479" s="51">
        <v>45978</v>
      </c>
      <c r="G1479" s="22" t="str">
        <f t="shared" si="322"/>
        <v>Targeted Dealer</v>
      </c>
      <c r="H1479" s="22"/>
      <c r="I1479" s="23">
        <v>20</v>
      </c>
      <c r="J1479" s="23">
        <f t="shared" si="323"/>
        <v>20</v>
      </c>
      <c r="K1479" s="24">
        <v>20.5</v>
      </c>
      <c r="L1479" s="24">
        <f t="shared" si="324"/>
        <v>-0.5</v>
      </c>
      <c r="M1479" s="24">
        <f t="shared" si="325"/>
        <v>102.5</v>
      </c>
      <c r="N1479" s="25">
        <v>18</v>
      </c>
      <c r="O1479" s="26" t="str">
        <f t="shared" si="326"/>
        <v>June</v>
      </c>
      <c r="P1479" s="25">
        <f t="shared" si="327"/>
        <v>18</v>
      </c>
      <c r="Q1479" s="27">
        <f t="shared" si="328"/>
        <v>2.5</v>
      </c>
      <c r="R1479" s="26" t="b">
        <f t="shared" si="329"/>
        <v>0</v>
      </c>
      <c r="S1479" s="28" t="str">
        <f t="shared" si="330"/>
        <v>GROWTH</v>
      </c>
      <c r="T1479" s="24">
        <v>0</v>
      </c>
      <c r="U1479" s="29" t="str">
        <f t="shared" si="331"/>
        <v>May</v>
      </c>
      <c r="V1479" s="24">
        <f t="shared" si="332"/>
        <v>0</v>
      </c>
      <c r="W1479" s="30">
        <f t="shared" si="333"/>
        <v>20.5</v>
      </c>
      <c r="X1479" s="31" t="b">
        <f t="shared" si="334"/>
        <v>0</v>
      </c>
      <c r="Y1479" s="32" t="b">
        <f t="shared" si="335"/>
        <v>0</v>
      </c>
      <c r="Z1479" s="41">
        <v>0</v>
      </c>
      <c r="AA1479" s="36"/>
      <c r="AB1479" s="36" t="s">
        <v>24</v>
      </c>
      <c r="AC1479" s="52" t="s">
        <v>24</v>
      </c>
      <c r="AD1479" s="34"/>
      <c r="AE1479" s="35">
        <f>IFERROR(INDEX([1]Last6M_AvgSales_Ref!$B$2:$B$12659,MATCH(D1479,[1]Last6M_AvgSales_Ref!$A$2:$A$12659,0)),"")</f>
        <v>11.8333333333333</v>
      </c>
    </row>
    <row r="1480" spans="1:31" ht="14.25" customHeight="1" x14ac:dyDescent="0.3">
      <c r="A1480" s="52" t="s">
        <v>24</v>
      </c>
      <c r="B1480" s="50" t="s">
        <v>174</v>
      </c>
      <c r="C1480" s="50" t="s">
        <v>3017</v>
      </c>
      <c r="D1480" s="50">
        <v>1000004539</v>
      </c>
      <c r="E1480" s="50" t="s">
        <v>3018</v>
      </c>
      <c r="F1480" s="51">
        <v>45981</v>
      </c>
      <c r="G1480" s="22" t="str">
        <f t="shared" si="322"/>
        <v>Targeted Dealer</v>
      </c>
      <c r="H1480" s="22"/>
      <c r="I1480" s="23">
        <v>40</v>
      </c>
      <c r="J1480" s="23">
        <f t="shared" si="323"/>
        <v>40</v>
      </c>
      <c r="K1480" s="24">
        <v>40</v>
      </c>
      <c r="L1480" s="24">
        <f t="shared" si="324"/>
        <v>0</v>
      </c>
      <c r="M1480" s="24">
        <f t="shared" si="325"/>
        <v>100</v>
      </c>
      <c r="N1480" s="25">
        <v>80</v>
      </c>
      <c r="O1480" s="26" t="str">
        <f t="shared" si="326"/>
        <v>June</v>
      </c>
      <c r="P1480" s="25">
        <f t="shared" si="327"/>
        <v>80</v>
      </c>
      <c r="Q1480" s="27">
        <f t="shared" si="328"/>
        <v>-40</v>
      </c>
      <c r="R1480" s="26" t="b">
        <f t="shared" si="329"/>
        <v>0</v>
      </c>
      <c r="S1480" s="28" t="str">
        <f t="shared" si="330"/>
        <v>GROWTH</v>
      </c>
      <c r="T1480" s="24">
        <v>0</v>
      </c>
      <c r="U1480" s="29" t="str">
        <f t="shared" si="331"/>
        <v>May</v>
      </c>
      <c r="V1480" s="24">
        <f t="shared" si="332"/>
        <v>0</v>
      </c>
      <c r="W1480" s="30">
        <f t="shared" si="333"/>
        <v>40</v>
      </c>
      <c r="X1480" s="31" t="b">
        <f t="shared" si="334"/>
        <v>0</v>
      </c>
      <c r="Y1480" s="32" t="b">
        <f t="shared" si="335"/>
        <v>0</v>
      </c>
      <c r="Z1480" s="41">
        <v>0</v>
      </c>
      <c r="AA1480" s="36"/>
      <c r="AB1480" s="36" t="s">
        <v>24</v>
      </c>
      <c r="AC1480" s="52" t="s">
        <v>24</v>
      </c>
      <c r="AD1480" s="34"/>
      <c r="AE1480" s="35">
        <f>IFERROR(INDEX([1]Last6M_AvgSales_Ref!$B$2:$B$12659,MATCH(D1480,[1]Last6M_AvgSales_Ref!$A$2:$A$12659,0)),"")</f>
        <v>32.941666666666698</v>
      </c>
    </row>
    <row r="1481" spans="1:31" ht="14.25" customHeight="1" x14ac:dyDescent="0.3">
      <c r="A1481" s="52" t="s">
        <v>24</v>
      </c>
      <c r="B1481" s="50" t="s">
        <v>656</v>
      </c>
      <c r="C1481" s="50" t="s">
        <v>3019</v>
      </c>
      <c r="D1481" s="50">
        <v>1000004427</v>
      </c>
      <c r="E1481" s="50" t="s">
        <v>3020</v>
      </c>
      <c r="F1481" s="51">
        <v>45867</v>
      </c>
      <c r="G1481" s="22" t="str">
        <f t="shared" si="322"/>
        <v>Targeted Dealer</v>
      </c>
      <c r="H1481" s="22"/>
      <c r="I1481" s="23">
        <v>20</v>
      </c>
      <c r="J1481" s="23">
        <f t="shared" si="323"/>
        <v>20</v>
      </c>
      <c r="K1481" s="24">
        <v>20</v>
      </c>
      <c r="L1481" s="24">
        <f t="shared" si="324"/>
        <v>0</v>
      </c>
      <c r="M1481" s="24">
        <f t="shared" si="325"/>
        <v>100</v>
      </c>
      <c r="N1481" s="25">
        <v>0</v>
      </c>
      <c r="O1481" s="26" t="str">
        <f t="shared" si="326"/>
        <v>June</v>
      </c>
      <c r="P1481" s="25">
        <f t="shared" si="327"/>
        <v>0</v>
      </c>
      <c r="Q1481" s="27">
        <f t="shared" si="328"/>
        <v>20</v>
      </c>
      <c r="R1481" s="26" t="b">
        <f t="shared" si="329"/>
        <v>0</v>
      </c>
      <c r="S1481" s="28" t="b">
        <f t="shared" si="330"/>
        <v>0</v>
      </c>
      <c r="T1481" s="24">
        <v>0</v>
      </c>
      <c r="U1481" s="29" t="str">
        <f t="shared" si="331"/>
        <v>May</v>
      </c>
      <c r="V1481" s="24">
        <f t="shared" si="332"/>
        <v>0</v>
      </c>
      <c r="W1481" s="30">
        <f t="shared" si="333"/>
        <v>20</v>
      </c>
      <c r="X1481" s="31" t="b">
        <f t="shared" si="334"/>
        <v>0</v>
      </c>
      <c r="Y1481" s="32" t="b">
        <f t="shared" si="335"/>
        <v>0</v>
      </c>
      <c r="Z1481" s="41">
        <v>0</v>
      </c>
      <c r="AA1481" s="36"/>
      <c r="AB1481" s="36" t="s">
        <v>24</v>
      </c>
      <c r="AC1481" s="52" t="s">
        <v>24</v>
      </c>
      <c r="AD1481" s="34"/>
      <c r="AE1481" s="35">
        <f>IFERROR(INDEX([1]Last6M_AvgSales_Ref!$B$2:$B$12659,MATCH(D1481,[1]Last6M_AvgSales_Ref!$A$2:$A$12659,0)),"")</f>
        <v>19.866666666666699</v>
      </c>
    </row>
    <row r="1482" spans="1:31" ht="14.25" customHeight="1" x14ac:dyDescent="0.3">
      <c r="A1482" s="52" t="s">
        <v>848</v>
      </c>
      <c r="B1482" s="50" t="s">
        <v>849</v>
      </c>
      <c r="C1482" s="50" t="s">
        <v>3021</v>
      </c>
      <c r="D1482" s="50">
        <v>1000004513</v>
      </c>
      <c r="E1482" s="50" t="s">
        <v>3022</v>
      </c>
      <c r="F1482" s="51">
        <v>45961</v>
      </c>
      <c r="G1482" s="22" t="str">
        <f t="shared" si="322"/>
        <v>Targeted Dealer</v>
      </c>
      <c r="H1482" s="22"/>
      <c r="I1482" s="23">
        <v>80</v>
      </c>
      <c r="J1482" s="23">
        <f t="shared" si="323"/>
        <v>80</v>
      </c>
      <c r="K1482" s="24">
        <v>30</v>
      </c>
      <c r="L1482" s="24">
        <f t="shared" si="324"/>
        <v>50</v>
      </c>
      <c r="M1482" s="24">
        <f t="shared" si="325"/>
        <v>37.5</v>
      </c>
      <c r="N1482" s="25">
        <v>43</v>
      </c>
      <c r="O1482" s="26" t="str">
        <f t="shared" si="326"/>
        <v>June</v>
      </c>
      <c r="P1482" s="25">
        <f t="shared" si="327"/>
        <v>43</v>
      </c>
      <c r="Q1482" s="27">
        <f t="shared" si="328"/>
        <v>-13</v>
      </c>
      <c r="R1482" s="26" t="b">
        <f t="shared" si="329"/>
        <v>0</v>
      </c>
      <c r="S1482" s="28" t="str">
        <f t="shared" si="330"/>
        <v>GROWTH</v>
      </c>
      <c r="T1482" s="24">
        <v>0</v>
      </c>
      <c r="U1482" s="29" t="str">
        <f t="shared" si="331"/>
        <v>May</v>
      </c>
      <c r="V1482" s="24">
        <f t="shared" si="332"/>
        <v>0</v>
      </c>
      <c r="W1482" s="30">
        <f t="shared" si="333"/>
        <v>30</v>
      </c>
      <c r="X1482" s="31" t="b">
        <f t="shared" si="334"/>
        <v>0</v>
      </c>
      <c r="Y1482" s="32" t="b">
        <f t="shared" si="335"/>
        <v>0</v>
      </c>
      <c r="Z1482" s="41">
        <v>0</v>
      </c>
      <c r="AA1482" s="36"/>
      <c r="AB1482" s="36" t="s">
        <v>24</v>
      </c>
      <c r="AC1482" s="52" t="s">
        <v>848</v>
      </c>
      <c r="AD1482" s="34"/>
      <c r="AE1482" s="35">
        <f>IFERROR(INDEX([1]Last6M_AvgSales_Ref!$B$2:$B$12659,MATCH(D1482,[1]Last6M_AvgSales_Ref!$A$2:$A$12659,0)),"")</f>
        <v>35</v>
      </c>
    </row>
    <row r="1483" spans="1:31" ht="14.25" customHeight="1" x14ac:dyDescent="0.3">
      <c r="A1483" s="52" t="s">
        <v>848</v>
      </c>
      <c r="B1483" s="50" t="s">
        <v>996</v>
      </c>
      <c r="C1483" s="50" t="s">
        <v>3023</v>
      </c>
      <c r="D1483" s="50">
        <v>1000000363</v>
      </c>
      <c r="E1483" s="50" t="s">
        <v>3024</v>
      </c>
      <c r="F1483" s="51">
        <v>44738</v>
      </c>
      <c r="G1483" s="22" t="str">
        <f t="shared" si="322"/>
        <v>Targeted Dealer</v>
      </c>
      <c r="H1483" s="22"/>
      <c r="I1483" s="23">
        <v>40</v>
      </c>
      <c r="J1483" s="23">
        <f t="shared" si="323"/>
        <v>40</v>
      </c>
      <c r="K1483" s="24">
        <v>118.25</v>
      </c>
      <c r="L1483" s="24">
        <f t="shared" si="324"/>
        <v>-78.25</v>
      </c>
      <c r="M1483" s="24">
        <f t="shared" si="325"/>
        <v>295.625</v>
      </c>
      <c r="N1483" s="25">
        <v>132.5</v>
      </c>
      <c r="O1483" s="26" t="str">
        <f t="shared" si="326"/>
        <v>June</v>
      </c>
      <c r="P1483" s="25">
        <f t="shared" si="327"/>
        <v>132.5</v>
      </c>
      <c r="Q1483" s="27">
        <f t="shared" si="328"/>
        <v>-14.25</v>
      </c>
      <c r="R1483" s="26" t="b">
        <f t="shared" si="329"/>
        <v>0</v>
      </c>
      <c r="S1483" s="28" t="str">
        <f t="shared" si="330"/>
        <v>GROWTH</v>
      </c>
      <c r="T1483" s="24">
        <v>0</v>
      </c>
      <c r="U1483" s="29" t="str">
        <f t="shared" si="331"/>
        <v>May</v>
      </c>
      <c r="V1483" s="24">
        <f t="shared" si="332"/>
        <v>0</v>
      </c>
      <c r="W1483" s="30">
        <f t="shared" si="333"/>
        <v>118.25</v>
      </c>
      <c r="X1483" s="31" t="b">
        <f t="shared" si="334"/>
        <v>0</v>
      </c>
      <c r="Y1483" s="32" t="b">
        <f t="shared" si="335"/>
        <v>0</v>
      </c>
      <c r="Z1483" s="41">
        <v>0</v>
      </c>
      <c r="AA1483" s="36"/>
      <c r="AB1483" s="36" t="s">
        <v>24</v>
      </c>
      <c r="AC1483" s="52" t="s">
        <v>848</v>
      </c>
      <c r="AD1483" s="34"/>
      <c r="AE1483" s="35">
        <f>IFERROR(INDEX([1]Last6M_AvgSales_Ref!$B$2:$B$12659,MATCH(D1483,[1]Last6M_AvgSales_Ref!$A$2:$A$12659,0)),"")</f>
        <v>52.25</v>
      </c>
    </row>
    <row r="1484" spans="1:31" ht="14.25" customHeight="1" x14ac:dyDescent="0.3">
      <c r="A1484" s="52" t="s">
        <v>848</v>
      </c>
      <c r="B1484" s="50" t="s">
        <v>996</v>
      </c>
      <c r="C1484" s="50" t="s">
        <v>3025</v>
      </c>
      <c r="D1484" s="50">
        <v>1000000334</v>
      </c>
      <c r="E1484" s="50" t="s">
        <v>3026</v>
      </c>
      <c r="F1484" s="51">
        <v>44738</v>
      </c>
      <c r="G1484" s="22" t="str">
        <f t="shared" si="322"/>
        <v>-</v>
      </c>
      <c r="H1484" s="22"/>
      <c r="I1484" s="23">
        <v>0</v>
      </c>
      <c r="J1484" s="23">
        <f t="shared" si="323"/>
        <v>0</v>
      </c>
      <c r="K1484" s="24">
        <v>0</v>
      </c>
      <c r="L1484" s="24">
        <f t="shared" si="324"/>
        <v>0</v>
      </c>
      <c r="M1484" s="24" t="str">
        <f t="shared" si="325"/>
        <v>-</v>
      </c>
      <c r="N1484" s="25">
        <v>3.5</v>
      </c>
      <c r="O1484" s="26" t="str">
        <f t="shared" si="326"/>
        <v>June</v>
      </c>
      <c r="P1484" s="25">
        <f t="shared" si="327"/>
        <v>3.5</v>
      </c>
      <c r="Q1484" s="27">
        <f t="shared" si="328"/>
        <v>-3.5</v>
      </c>
      <c r="R1484" s="26" t="b">
        <f t="shared" si="329"/>
        <v>0</v>
      </c>
      <c r="S1484" s="28" t="str">
        <f t="shared" si="330"/>
        <v>GROWTH</v>
      </c>
      <c r="T1484" s="24">
        <v>0</v>
      </c>
      <c r="U1484" s="29" t="str">
        <f t="shared" si="331"/>
        <v>May</v>
      </c>
      <c r="V1484" s="24">
        <f t="shared" si="332"/>
        <v>0</v>
      </c>
      <c r="W1484" s="30">
        <f t="shared" si="333"/>
        <v>0</v>
      </c>
      <c r="X1484" s="31" t="b">
        <f t="shared" si="334"/>
        <v>0</v>
      </c>
      <c r="Y1484" s="32" t="b">
        <f t="shared" si="335"/>
        <v>0</v>
      </c>
      <c r="Z1484" s="41">
        <v>0</v>
      </c>
      <c r="AA1484" s="36"/>
      <c r="AB1484" s="36" t="s">
        <v>24</v>
      </c>
      <c r="AC1484" s="52" t="s">
        <v>848</v>
      </c>
      <c r="AD1484" s="34"/>
      <c r="AE1484" s="35">
        <f>IFERROR(INDEX([1]Last6M_AvgSales_Ref!$B$2:$B$12659,MATCH(D1484,[1]Last6M_AvgSales_Ref!$A$2:$A$12659,0)),"")</f>
        <v>6.75</v>
      </c>
    </row>
    <row r="1485" spans="1:31" ht="14.25" customHeight="1" x14ac:dyDescent="0.3">
      <c r="A1485" s="52" t="s">
        <v>848</v>
      </c>
      <c r="B1485" s="50" t="s">
        <v>996</v>
      </c>
      <c r="C1485" s="50" t="s">
        <v>3027</v>
      </c>
      <c r="D1485" s="50">
        <v>1000000335</v>
      </c>
      <c r="E1485" s="50" t="s">
        <v>3028</v>
      </c>
      <c r="F1485" s="51">
        <v>44738</v>
      </c>
      <c r="G1485" s="22" t="str">
        <f t="shared" si="322"/>
        <v>-</v>
      </c>
      <c r="H1485" s="22"/>
      <c r="I1485" s="23">
        <v>0</v>
      </c>
      <c r="J1485" s="23">
        <f t="shared" si="323"/>
        <v>0</v>
      </c>
      <c r="K1485" s="24">
        <v>0</v>
      </c>
      <c r="L1485" s="24">
        <f t="shared" si="324"/>
        <v>0</v>
      </c>
      <c r="M1485" s="24" t="str">
        <f t="shared" si="325"/>
        <v>-</v>
      </c>
      <c r="N1485" s="25">
        <v>0</v>
      </c>
      <c r="O1485" s="26" t="str">
        <f t="shared" si="326"/>
        <v>June</v>
      </c>
      <c r="P1485" s="25">
        <f t="shared" si="327"/>
        <v>0</v>
      </c>
      <c r="Q1485" s="27">
        <f t="shared" si="328"/>
        <v>0</v>
      </c>
      <c r="R1485" s="26" t="b">
        <f t="shared" si="329"/>
        <v>0</v>
      </c>
      <c r="S1485" s="28" t="b">
        <f t="shared" si="330"/>
        <v>0</v>
      </c>
      <c r="T1485" s="24">
        <v>0</v>
      </c>
      <c r="U1485" s="29" t="str">
        <f t="shared" si="331"/>
        <v>May</v>
      </c>
      <c r="V1485" s="24">
        <f t="shared" si="332"/>
        <v>0</v>
      </c>
      <c r="W1485" s="30">
        <f t="shared" si="333"/>
        <v>0</v>
      </c>
      <c r="X1485" s="31" t="b">
        <f t="shared" si="334"/>
        <v>0</v>
      </c>
      <c r="Y1485" s="32" t="b">
        <f t="shared" si="335"/>
        <v>0</v>
      </c>
      <c r="Z1485" s="41">
        <v>0</v>
      </c>
      <c r="AA1485" s="36"/>
      <c r="AB1485" s="36" t="s">
        <v>24</v>
      </c>
      <c r="AC1485" s="52" t="s">
        <v>848</v>
      </c>
      <c r="AD1485" s="34"/>
      <c r="AE1485" s="35">
        <f>IFERROR(INDEX([1]Last6M_AvgSales_Ref!$B$2:$B$12659,MATCH(D1485,[1]Last6M_AvgSales_Ref!$A$2:$A$12659,0)),"")</f>
        <v>1.75</v>
      </c>
    </row>
    <row r="1486" spans="1:31" ht="14.25" customHeight="1" x14ac:dyDescent="0.3">
      <c r="A1486" s="52" t="s">
        <v>848</v>
      </c>
      <c r="B1486" s="50" t="s">
        <v>996</v>
      </c>
      <c r="C1486" s="50" t="s">
        <v>3029</v>
      </c>
      <c r="D1486" s="50">
        <v>1000003204</v>
      </c>
      <c r="E1486" s="50" t="s">
        <v>3030</v>
      </c>
      <c r="F1486" s="51">
        <v>44926</v>
      </c>
      <c r="G1486" s="22" t="str">
        <f t="shared" si="322"/>
        <v>-</v>
      </c>
      <c r="H1486" s="22"/>
      <c r="I1486" s="23">
        <v>0</v>
      </c>
      <c r="J1486" s="23">
        <f t="shared" si="323"/>
        <v>0</v>
      </c>
      <c r="K1486" s="24">
        <v>0</v>
      </c>
      <c r="L1486" s="24">
        <f t="shared" si="324"/>
        <v>0</v>
      </c>
      <c r="M1486" s="24" t="str">
        <f t="shared" si="325"/>
        <v>-</v>
      </c>
      <c r="N1486" s="25">
        <v>0</v>
      </c>
      <c r="O1486" s="26" t="str">
        <f t="shared" si="326"/>
        <v>June</v>
      </c>
      <c r="P1486" s="25">
        <f t="shared" si="327"/>
        <v>0</v>
      </c>
      <c r="Q1486" s="27">
        <f t="shared" si="328"/>
        <v>0</v>
      </c>
      <c r="R1486" s="26" t="b">
        <f t="shared" si="329"/>
        <v>0</v>
      </c>
      <c r="S1486" s="28" t="b">
        <f t="shared" si="330"/>
        <v>0</v>
      </c>
      <c r="T1486" s="24">
        <v>0</v>
      </c>
      <c r="U1486" s="29" t="str">
        <f t="shared" si="331"/>
        <v>May</v>
      </c>
      <c r="V1486" s="24">
        <f t="shared" si="332"/>
        <v>0</v>
      </c>
      <c r="W1486" s="30">
        <f t="shared" si="333"/>
        <v>0</v>
      </c>
      <c r="X1486" s="31" t="b">
        <f t="shared" si="334"/>
        <v>0</v>
      </c>
      <c r="Y1486" s="32" t="b">
        <f t="shared" si="335"/>
        <v>0</v>
      </c>
      <c r="Z1486" s="41">
        <v>0</v>
      </c>
      <c r="AA1486" s="36"/>
      <c r="AB1486" s="36" t="s">
        <v>24</v>
      </c>
      <c r="AC1486" s="52" t="s">
        <v>848</v>
      </c>
      <c r="AD1486" s="34"/>
      <c r="AE1486" s="35">
        <f>IFERROR(INDEX([1]Last6M_AvgSales_Ref!$B$2:$B$12659,MATCH(D1486,[1]Last6M_AvgSales_Ref!$A$2:$A$12659,0)),"")</f>
        <v>3.1666666666666701</v>
      </c>
    </row>
    <row r="1487" spans="1:31" ht="14.25" customHeight="1" x14ac:dyDescent="0.3">
      <c r="A1487" s="52" t="s">
        <v>848</v>
      </c>
      <c r="B1487" s="50" t="s">
        <v>996</v>
      </c>
      <c r="C1487" s="50" t="s">
        <v>3031</v>
      </c>
      <c r="D1487" s="50">
        <v>1000004403</v>
      </c>
      <c r="E1487" s="50" t="s">
        <v>3032</v>
      </c>
      <c r="F1487" s="51">
        <v>45827</v>
      </c>
      <c r="G1487" s="22" t="str">
        <f t="shared" si="322"/>
        <v>Targeted Dealer</v>
      </c>
      <c r="H1487" s="22"/>
      <c r="I1487" s="23">
        <v>40</v>
      </c>
      <c r="J1487" s="23">
        <f t="shared" si="323"/>
        <v>40</v>
      </c>
      <c r="K1487" s="24">
        <v>7</v>
      </c>
      <c r="L1487" s="24">
        <f t="shared" si="324"/>
        <v>33</v>
      </c>
      <c r="M1487" s="24">
        <f t="shared" si="325"/>
        <v>17.5</v>
      </c>
      <c r="N1487" s="25">
        <v>0</v>
      </c>
      <c r="O1487" s="26" t="str">
        <f t="shared" si="326"/>
        <v>June</v>
      </c>
      <c r="P1487" s="25">
        <f t="shared" si="327"/>
        <v>0</v>
      </c>
      <c r="Q1487" s="27">
        <f t="shared" si="328"/>
        <v>7</v>
      </c>
      <c r="R1487" s="26" t="b">
        <f t="shared" si="329"/>
        <v>0</v>
      </c>
      <c r="S1487" s="28" t="b">
        <f t="shared" si="330"/>
        <v>0</v>
      </c>
      <c r="T1487" s="24">
        <v>0</v>
      </c>
      <c r="U1487" s="29" t="str">
        <f t="shared" si="331"/>
        <v>May</v>
      </c>
      <c r="V1487" s="24">
        <f t="shared" si="332"/>
        <v>0</v>
      </c>
      <c r="W1487" s="30">
        <f t="shared" si="333"/>
        <v>7</v>
      </c>
      <c r="X1487" s="31" t="b">
        <f t="shared" si="334"/>
        <v>0</v>
      </c>
      <c r="Y1487" s="32" t="b">
        <f t="shared" si="335"/>
        <v>0</v>
      </c>
      <c r="Z1487" s="41">
        <v>0</v>
      </c>
      <c r="AA1487" s="36"/>
      <c r="AB1487" s="36" t="s">
        <v>24</v>
      </c>
      <c r="AC1487" s="52" t="s">
        <v>848</v>
      </c>
      <c r="AD1487" s="34"/>
      <c r="AE1487" s="35">
        <f>IFERROR(INDEX([1]Last6M_AvgSales_Ref!$B$2:$B$12659,MATCH(D1487,[1]Last6M_AvgSales_Ref!$A$2:$A$12659,0)),"")</f>
        <v>37.4166666666667</v>
      </c>
    </row>
    <row r="1488" spans="1:31" ht="14.25" customHeight="1" x14ac:dyDescent="0.3">
      <c r="A1488" s="52" t="s">
        <v>848</v>
      </c>
      <c r="B1488" s="50" t="s">
        <v>996</v>
      </c>
      <c r="C1488" s="50" t="s">
        <v>3033</v>
      </c>
      <c r="D1488" s="50">
        <v>1000004537</v>
      </c>
      <c r="E1488" s="50" t="s">
        <v>3034</v>
      </c>
      <c r="F1488" s="51">
        <v>45978</v>
      </c>
      <c r="G1488" s="22" t="str">
        <f t="shared" si="322"/>
        <v>Targeted Dealer</v>
      </c>
      <c r="H1488" s="22"/>
      <c r="I1488" s="23">
        <v>40</v>
      </c>
      <c r="J1488" s="23">
        <f t="shared" si="323"/>
        <v>40</v>
      </c>
      <c r="K1488" s="24">
        <v>10.5</v>
      </c>
      <c r="L1488" s="24">
        <f t="shared" si="324"/>
        <v>29.5</v>
      </c>
      <c r="M1488" s="24">
        <f t="shared" si="325"/>
        <v>26.25</v>
      </c>
      <c r="N1488" s="25">
        <v>3.5</v>
      </c>
      <c r="O1488" s="26" t="str">
        <f t="shared" si="326"/>
        <v>June</v>
      </c>
      <c r="P1488" s="25">
        <f t="shared" si="327"/>
        <v>3.5</v>
      </c>
      <c r="Q1488" s="27">
        <f t="shared" si="328"/>
        <v>7</v>
      </c>
      <c r="R1488" s="26" t="b">
        <f t="shared" si="329"/>
        <v>0</v>
      </c>
      <c r="S1488" s="28" t="str">
        <f t="shared" si="330"/>
        <v>GROWTH</v>
      </c>
      <c r="T1488" s="24">
        <v>0</v>
      </c>
      <c r="U1488" s="29" t="str">
        <f t="shared" si="331"/>
        <v>May</v>
      </c>
      <c r="V1488" s="24">
        <f t="shared" si="332"/>
        <v>0</v>
      </c>
      <c r="W1488" s="30">
        <f t="shared" si="333"/>
        <v>10.5</v>
      </c>
      <c r="X1488" s="31" t="b">
        <f t="shared" si="334"/>
        <v>0</v>
      </c>
      <c r="Y1488" s="32" t="b">
        <f t="shared" si="335"/>
        <v>0</v>
      </c>
      <c r="Z1488" s="41">
        <v>0</v>
      </c>
      <c r="AA1488" s="36"/>
      <c r="AB1488" s="36" t="s">
        <v>24</v>
      </c>
      <c r="AC1488" s="52" t="s">
        <v>848</v>
      </c>
      <c r="AD1488" s="34"/>
      <c r="AE1488" s="35">
        <f>IFERROR(INDEX([1]Last6M_AvgSales_Ref!$B$2:$B$12659,MATCH(D1488,[1]Last6M_AvgSales_Ref!$A$2:$A$12659,0)),"")</f>
        <v>19.8333333333333</v>
      </c>
    </row>
    <row r="1489" spans="1:31" ht="14.25" customHeight="1" x14ac:dyDescent="0.3">
      <c r="A1489" s="52" t="s">
        <v>848</v>
      </c>
      <c r="B1489" s="50" t="s">
        <v>1257</v>
      </c>
      <c r="C1489" s="50" t="s">
        <v>3035</v>
      </c>
      <c r="D1489" s="50">
        <v>1000004538</v>
      </c>
      <c r="E1489" s="50" t="s">
        <v>3036</v>
      </c>
      <c r="F1489" s="51">
        <v>45982</v>
      </c>
      <c r="G1489" s="22" t="str">
        <f t="shared" si="322"/>
        <v>Targeted Dealer</v>
      </c>
      <c r="H1489" s="22"/>
      <c r="I1489" s="23">
        <v>60</v>
      </c>
      <c r="J1489" s="23">
        <f t="shared" si="323"/>
        <v>60</v>
      </c>
      <c r="K1489" s="24">
        <v>28</v>
      </c>
      <c r="L1489" s="24">
        <f t="shared" si="324"/>
        <v>32</v>
      </c>
      <c r="M1489" s="24">
        <f t="shared" si="325"/>
        <v>46.666666666666671</v>
      </c>
      <c r="N1489" s="25">
        <v>20.5</v>
      </c>
      <c r="O1489" s="26" t="str">
        <f t="shared" si="326"/>
        <v>June</v>
      </c>
      <c r="P1489" s="25">
        <f t="shared" si="327"/>
        <v>20.5</v>
      </c>
      <c r="Q1489" s="27">
        <f t="shared" si="328"/>
        <v>7.5</v>
      </c>
      <c r="R1489" s="26" t="b">
        <f t="shared" si="329"/>
        <v>0</v>
      </c>
      <c r="S1489" s="28" t="str">
        <f t="shared" si="330"/>
        <v>GROWTH</v>
      </c>
      <c r="T1489" s="24">
        <v>0</v>
      </c>
      <c r="U1489" s="29" t="str">
        <f t="shared" si="331"/>
        <v>May</v>
      </c>
      <c r="V1489" s="24">
        <f t="shared" si="332"/>
        <v>0</v>
      </c>
      <c r="W1489" s="30">
        <f t="shared" si="333"/>
        <v>28</v>
      </c>
      <c r="X1489" s="31" t="b">
        <f t="shared" si="334"/>
        <v>0</v>
      </c>
      <c r="Y1489" s="32" t="b">
        <f t="shared" si="335"/>
        <v>0</v>
      </c>
      <c r="Z1489" s="41">
        <v>0</v>
      </c>
      <c r="AA1489" s="36"/>
      <c r="AB1489" s="36" t="s">
        <v>24</v>
      </c>
      <c r="AC1489" s="52" t="s">
        <v>848</v>
      </c>
      <c r="AD1489" s="34"/>
      <c r="AE1489" s="35">
        <f>IFERROR(INDEX([1]Last6M_AvgSales_Ref!$B$2:$B$12659,MATCH(D1489,[1]Last6M_AvgSales_Ref!$A$2:$A$12659,0)),"")</f>
        <v>30.0833333333333</v>
      </c>
    </row>
    <row r="1490" spans="1:31" ht="14.25" customHeight="1" x14ac:dyDescent="0.3">
      <c r="A1490" s="52" t="s">
        <v>848</v>
      </c>
      <c r="B1490" s="50" t="s">
        <v>1065</v>
      </c>
      <c r="C1490" s="50" t="s">
        <v>3037</v>
      </c>
      <c r="D1490" s="50">
        <v>1000004522</v>
      </c>
      <c r="E1490" s="50" t="s">
        <v>3038</v>
      </c>
      <c r="F1490" s="51">
        <v>45968</v>
      </c>
      <c r="G1490" s="22" t="str">
        <f t="shared" si="322"/>
        <v>Targeted Dealer</v>
      </c>
      <c r="H1490" s="22"/>
      <c r="I1490" s="23">
        <v>140</v>
      </c>
      <c r="J1490" s="23">
        <f t="shared" si="323"/>
        <v>140</v>
      </c>
      <c r="K1490" s="24">
        <v>120</v>
      </c>
      <c r="L1490" s="24">
        <f t="shared" si="324"/>
        <v>20</v>
      </c>
      <c r="M1490" s="24">
        <f t="shared" si="325"/>
        <v>85.714285714285722</v>
      </c>
      <c r="N1490" s="25">
        <v>100</v>
      </c>
      <c r="O1490" s="26" t="str">
        <f t="shared" si="326"/>
        <v>June</v>
      </c>
      <c r="P1490" s="25">
        <f t="shared" si="327"/>
        <v>100</v>
      </c>
      <c r="Q1490" s="27">
        <f t="shared" si="328"/>
        <v>20</v>
      </c>
      <c r="R1490" s="26" t="b">
        <f t="shared" si="329"/>
        <v>0</v>
      </c>
      <c r="S1490" s="28" t="str">
        <f t="shared" si="330"/>
        <v>GROWTH</v>
      </c>
      <c r="T1490" s="24">
        <v>0</v>
      </c>
      <c r="U1490" s="29" t="str">
        <f t="shared" si="331"/>
        <v>May</v>
      </c>
      <c r="V1490" s="24">
        <f t="shared" si="332"/>
        <v>0</v>
      </c>
      <c r="W1490" s="30">
        <f t="shared" si="333"/>
        <v>120</v>
      </c>
      <c r="X1490" s="31" t="b">
        <f t="shared" si="334"/>
        <v>0</v>
      </c>
      <c r="Y1490" s="32" t="b">
        <f t="shared" si="335"/>
        <v>0</v>
      </c>
      <c r="Z1490" s="41">
        <v>0</v>
      </c>
      <c r="AA1490" s="36"/>
      <c r="AB1490" s="36" t="s">
        <v>24</v>
      </c>
      <c r="AC1490" s="52" t="s">
        <v>848</v>
      </c>
      <c r="AD1490" s="34"/>
      <c r="AE1490" s="35">
        <f>IFERROR(INDEX([1]Last6M_AvgSales_Ref!$B$2:$B$12659,MATCH(D1490,[1]Last6M_AvgSales_Ref!$A$2:$A$12659,0)),"")</f>
        <v>126.666666666667</v>
      </c>
    </row>
    <row r="1491" spans="1:31" ht="14.25" customHeight="1" x14ac:dyDescent="0.3">
      <c r="A1491" s="52" t="s">
        <v>848</v>
      </c>
      <c r="B1491" s="53" t="s">
        <v>1329</v>
      </c>
      <c r="C1491" s="50" t="s">
        <v>3039</v>
      </c>
      <c r="D1491" s="41">
        <v>1000004567</v>
      </c>
      <c r="E1491" s="53" t="s">
        <v>3040</v>
      </c>
      <c r="F1491" s="51">
        <v>46011</v>
      </c>
      <c r="G1491" s="22" t="str">
        <f t="shared" si="322"/>
        <v>Targeted Dealer</v>
      </c>
      <c r="H1491" s="22"/>
      <c r="I1491" s="23">
        <v>240</v>
      </c>
      <c r="J1491" s="23">
        <f t="shared" si="323"/>
        <v>240</v>
      </c>
      <c r="K1491" s="24">
        <v>65</v>
      </c>
      <c r="L1491" s="24">
        <f t="shared" si="324"/>
        <v>175</v>
      </c>
      <c r="M1491" s="24">
        <f t="shared" si="325"/>
        <v>27.083333333333336</v>
      </c>
      <c r="N1491" s="25">
        <v>135</v>
      </c>
      <c r="O1491" s="26" t="str">
        <f t="shared" si="326"/>
        <v>June</v>
      </c>
      <c r="P1491" s="25">
        <f t="shared" si="327"/>
        <v>135</v>
      </c>
      <c r="Q1491" s="27">
        <f t="shared" si="328"/>
        <v>-70</v>
      </c>
      <c r="R1491" s="26" t="b">
        <f t="shared" si="329"/>
        <v>0</v>
      </c>
      <c r="S1491" s="28" t="str">
        <f t="shared" si="330"/>
        <v>GROWTH</v>
      </c>
      <c r="T1491" s="24">
        <v>0</v>
      </c>
      <c r="U1491" s="29" t="str">
        <f t="shared" si="331"/>
        <v>May</v>
      </c>
      <c r="V1491" s="24">
        <f t="shared" si="332"/>
        <v>0</v>
      </c>
      <c r="W1491" s="30">
        <f t="shared" si="333"/>
        <v>65</v>
      </c>
      <c r="X1491" s="31" t="b">
        <f t="shared" si="334"/>
        <v>0</v>
      </c>
      <c r="Y1491" s="32" t="b">
        <f t="shared" si="335"/>
        <v>0</v>
      </c>
      <c r="Z1491" s="41">
        <v>0</v>
      </c>
      <c r="AA1491" s="36"/>
      <c r="AB1491" s="36" t="s">
        <v>24</v>
      </c>
      <c r="AC1491" s="52" t="s">
        <v>848</v>
      </c>
      <c r="AD1491" s="34"/>
      <c r="AE1491" s="35">
        <f>IFERROR(INDEX([1]Last6M_AvgSales_Ref!$B$2:$B$12659,MATCH(D1491,[1]Last6M_AvgSales_Ref!$A$2:$A$12659,0)),"")</f>
        <v>137.25</v>
      </c>
    </row>
    <row r="1492" spans="1:31" ht="14.25" customHeight="1" x14ac:dyDescent="0.3">
      <c r="A1492" s="52" t="s">
        <v>848</v>
      </c>
      <c r="B1492" s="53" t="s">
        <v>1329</v>
      </c>
      <c r="C1492" s="50" t="s">
        <v>3041</v>
      </c>
      <c r="D1492" s="41">
        <v>1000004573</v>
      </c>
      <c r="E1492" s="53" t="s">
        <v>3042</v>
      </c>
      <c r="F1492" s="51">
        <v>46004</v>
      </c>
      <c r="G1492" s="22" t="str">
        <f t="shared" si="322"/>
        <v>Targeted Dealer</v>
      </c>
      <c r="H1492" s="22"/>
      <c r="I1492" s="23">
        <v>60</v>
      </c>
      <c r="J1492" s="23">
        <f t="shared" si="323"/>
        <v>60</v>
      </c>
      <c r="K1492" s="24">
        <v>4</v>
      </c>
      <c r="L1492" s="24">
        <f t="shared" si="324"/>
        <v>56</v>
      </c>
      <c r="M1492" s="24">
        <f t="shared" si="325"/>
        <v>6.666666666666667</v>
      </c>
      <c r="N1492" s="25">
        <v>0</v>
      </c>
      <c r="O1492" s="26" t="str">
        <f t="shared" si="326"/>
        <v>June</v>
      </c>
      <c r="P1492" s="25">
        <f t="shared" si="327"/>
        <v>0</v>
      </c>
      <c r="Q1492" s="27">
        <f t="shared" si="328"/>
        <v>4</v>
      </c>
      <c r="R1492" s="26" t="b">
        <f t="shared" si="329"/>
        <v>0</v>
      </c>
      <c r="S1492" s="28" t="b">
        <f t="shared" si="330"/>
        <v>0</v>
      </c>
      <c r="T1492" s="24">
        <v>0</v>
      </c>
      <c r="U1492" s="29" t="str">
        <f t="shared" si="331"/>
        <v>May</v>
      </c>
      <c r="V1492" s="24">
        <f t="shared" si="332"/>
        <v>0</v>
      </c>
      <c r="W1492" s="30">
        <f t="shared" si="333"/>
        <v>4</v>
      </c>
      <c r="X1492" s="31" t="b">
        <f t="shared" si="334"/>
        <v>0</v>
      </c>
      <c r="Y1492" s="32" t="b">
        <f t="shared" si="335"/>
        <v>0</v>
      </c>
      <c r="Z1492" s="41">
        <v>0</v>
      </c>
      <c r="AA1492" s="36"/>
      <c r="AB1492" s="36" t="s">
        <v>24</v>
      </c>
      <c r="AC1492" s="52" t="s">
        <v>848</v>
      </c>
      <c r="AD1492" s="34"/>
      <c r="AE1492" s="35">
        <f>IFERROR(INDEX([1]Last6M_AvgSales_Ref!$B$2:$B$12659,MATCH(D1492,[1]Last6M_AvgSales_Ref!$A$2:$A$12659,0)),"")</f>
        <v>23.55</v>
      </c>
    </row>
    <row r="1493" spans="1:31" ht="14.25" customHeight="1" x14ac:dyDescent="0.3">
      <c r="A1493" s="52" t="s">
        <v>24</v>
      </c>
      <c r="B1493" s="53" t="s">
        <v>399</v>
      </c>
      <c r="C1493" s="50" t="s">
        <v>3043</v>
      </c>
      <c r="D1493" s="41">
        <v>1000004547</v>
      </c>
      <c r="E1493" s="53" t="s">
        <v>3044</v>
      </c>
      <c r="F1493" s="51">
        <v>45987</v>
      </c>
      <c r="G1493" s="22" t="str">
        <f t="shared" si="322"/>
        <v>Targeted Dealer</v>
      </c>
      <c r="H1493" s="22"/>
      <c r="I1493" s="23">
        <v>50</v>
      </c>
      <c r="J1493" s="23">
        <f t="shared" si="323"/>
        <v>50</v>
      </c>
      <c r="K1493" s="24">
        <v>38.049999999999997</v>
      </c>
      <c r="L1493" s="24">
        <f t="shared" si="324"/>
        <v>11.950000000000003</v>
      </c>
      <c r="M1493" s="24">
        <f t="shared" si="325"/>
        <v>76.099999999999994</v>
      </c>
      <c r="N1493" s="25">
        <v>58</v>
      </c>
      <c r="O1493" s="26" t="str">
        <f t="shared" si="326"/>
        <v>June</v>
      </c>
      <c r="P1493" s="25">
        <f t="shared" si="327"/>
        <v>58</v>
      </c>
      <c r="Q1493" s="27">
        <f t="shared" si="328"/>
        <v>-19.950000000000003</v>
      </c>
      <c r="R1493" s="26" t="b">
        <f t="shared" si="329"/>
        <v>0</v>
      </c>
      <c r="S1493" s="28" t="str">
        <f t="shared" si="330"/>
        <v>GROWTH</v>
      </c>
      <c r="T1493" s="24">
        <v>0</v>
      </c>
      <c r="U1493" s="29" t="str">
        <f t="shared" si="331"/>
        <v>May</v>
      </c>
      <c r="V1493" s="24">
        <f t="shared" si="332"/>
        <v>0</v>
      </c>
      <c r="W1493" s="30">
        <f t="shared" si="333"/>
        <v>38.049999999999997</v>
      </c>
      <c r="X1493" s="31" t="b">
        <f t="shared" si="334"/>
        <v>0</v>
      </c>
      <c r="Y1493" s="32" t="b">
        <f t="shared" si="335"/>
        <v>0</v>
      </c>
      <c r="Z1493" s="41">
        <v>0</v>
      </c>
      <c r="AA1493" s="36"/>
      <c r="AB1493" s="36" t="s">
        <v>24</v>
      </c>
      <c r="AC1493" s="52" t="s">
        <v>24</v>
      </c>
      <c r="AD1493" s="34"/>
      <c r="AE1493" s="35">
        <f>IFERROR(INDEX([1]Last6M_AvgSales_Ref!$B$2:$B$12659,MATCH(D1493,[1]Last6M_AvgSales_Ref!$A$2:$A$12659,0)),"")</f>
        <v>54.408333333333303</v>
      </c>
    </row>
    <row r="1494" spans="1:31" ht="14.25" customHeight="1" x14ac:dyDescent="0.3">
      <c r="A1494" s="52" t="s">
        <v>24</v>
      </c>
      <c r="B1494" s="53" t="s">
        <v>399</v>
      </c>
      <c r="C1494" s="50" t="s">
        <v>3045</v>
      </c>
      <c r="D1494" s="41">
        <v>1000004549</v>
      </c>
      <c r="E1494" s="53" t="s">
        <v>3046</v>
      </c>
      <c r="F1494" s="51">
        <v>45992</v>
      </c>
      <c r="G1494" s="22" t="str">
        <f t="shared" si="322"/>
        <v>Targeted Dealer</v>
      </c>
      <c r="H1494" s="22"/>
      <c r="I1494" s="23">
        <v>70</v>
      </c>
      <c r="J1494" s="23">
        <f t="shared" si="323"/>
        <v>70</v>
      </c>
      <c r="K1494" s="24">
        <v>121</v>
      </c>
      <c r="L1494" s="24">
        <f t="shared" si="324"/>
        <v>-51</v>
      </c>
      <c r="M1494" s="24">
        <f t="shared" si="325"/>
        <v>172.85714285714286</v>
      </c>
      <c r="N1494" s="25">
        <v>130</v>
      </c>
      <c r="O1494" s="26" t="str">
        <f t="shared" si="326"/>
        <v>June</v>
      </c>
      <c r="P1494" s="25">
        <f t="shared" si="327"/>
        <v>130</v>
      </c>
      <c r="Q1494" s="27">
        <f t="shared" si="328"/>
        <v>-9</v>
      </c>
      <c r="R1494" s="26" t="b">
        <f t="shared" si="329"/>
        <v>0</v>
      </c>
      <c r="S1494" s="28" t="str">
        <f t="shared" si="330"/>
        <v>GROWTH</v>
      </c>
      <c r="T1494" s="24">
        <v>0</v>
      </c>
      <c r="U1494" s="29" t="str">
        <f t="shared" si="331"/>
        <v>May</v>
      </c>
      <c r="V1494" s="24">
        <f t="shared" si="332"/>
        <v>0</v>
      </c>
      <c r="W1494" s="30">
        <f t="shared" si="333"/>
        <v>121</v>
      </c>
      <c r="X1494" s="31" t="b">
        <f t="shared" si="334"/>
        <v>0</v>
      </c>
      <c r="Y1494" s="32" t="b">
        <f t="shared" si="335"/>
        <v>0</v>
      </c>
      <c r="Z1494" s="41">
        <v>0</v>
      </c>
      <c r="AA1494" s="36"/>
      <c r="AB1494" s="36" t="s">
        <v>24</v>
      </c>
      <c r="AC1494" s="52" t="s">
        <v>24</v>
      </c>
      <c r="AD1494" s="34"/>
      <c r="AE1494" s="35">
        <f>IFERROR(INDEX([1]Last6M_AvgSales_Ref!$B$2:$B$12659,MATCH(D1494,[1]Last6M_AvgSales_Ref!$A$2:$A$12659,0)),"")</f>
        <v>113</v>
      </c>
    </row>
    <row r="1495" spans="1:31" ht="14.25" customHeight="1" x14ac:dyDescent="0.3">
      <c r="A1495" s="52" t="s">
        <v>2185</v>
      </c>
      <c r="B1495" s="53" t="s">
        <v>2316</v>
      </c>
      <c r="C1495" s="50" t="s">
        <v>3047</v>
      </c>
      <c r="D1495" s="41">
        <v>1000003771</v>
      </c>
      <c r="E1495" s="53" t="s">
        <v>3048</v>
      </c>
      <c r="F1495" s="51">
        <v>45266</v>
      </c>
      <c r="G1495" s="22" t="str">
        <f t="shared" si="322"/>
        <v>-</v>
      </c>
      <c r="H1495" s="22"/>
      <c r="I1495" s="23">
        <v>0</v>
      </c>
      <c r="J1495" s="23">
        <f t="shared" si="323"/>
        <v>0</v>
      </c>
      <c r="K1495" s="24">
        <v>0</v>
      </c>
      <c r="L1495" s="24">
        <f t="shared" si="324"/>
        <v>0</v>
      </c>
      <c r="M1495" s="24" t="str">
        <f t="shared" si="325"/>
        <v>-</v>
      </c>
      <c r="N1495" s="25">
        <v>0</v>
      </c>
      <c r="O1495" s="26" t="str">
        <f t="shared" si="326"/>
        <v>June</v>
      </c>
      <c r="P1495" s="25">
        <f t="shared" si="327"/>
        <v>0</v>
      </c>
      <c r="Q1495" s="27">
        <f t="shared" si="328"/>
        <v>0</v>
      </c>
      <c r="R1495" s="26" t="b">
        <f t="shared" si="329"/>
        <v>0</v>
      </c>
      <c r="S1495" s="28" t="b">
        <f t="shared" si="330"/>
        <v>0</v>
      </c>
      <c r="T1495" s="24">
        <v>0</v>
      </c>
      <c r="U1495" s="29" t="str">
        <f t="shared" si="331"/>
        <v>May</v>
      </c>
      <c r="V1495" s="24">
        <f t="shared" si="332"/>
        <v>0</v>
      </c>
      <c r="W1495" s="30">
        <f t="shared" si="333"/>
        <v>0</v>
      </c>
      <c r="X1495" s="31" t="b">
        <f t="shared" si="334"/>
        <v>0</v>
      </c>
      <c r="Y1495" s="32" t="b">
        <f t="shared" si="335"/>
        <v>0</v>
      </c>
      <c r="Z1495" s="41">
        <v>0</v>
      </c>
      <c r="AA1495" s="36"/>
      <c r="AB1495" s="36" t="s">
        <v>24</v>
      </c>
      <c r="AC1495" s="52" t="s">
        <v>2185</v>
      </c>
      <c r="AD1495" s="34"/>
      <c r="AE1495" s="35">
        <f>IFERROR(INDEX([1]Last6M_AvgSales_Ref!$B$2:$B$12659,MATCH(D1495,[1]Last6M_AvgSales_Ref!$A$2:$A$12659,0)),"")</f>
        <v>5</v>
      </c>
    </row>
    <row r="1496" spans="1:31" ht="14.25" customHeight="1" x14ac:dyDescent="0.3">
      <c r="A1496" s="52" t="s">
        <v>2185</v>
      </c>
      <c r="B1496" s="53" t="s">
        <v>2287</v>
      </c>
      <c r="C1496" s="50" t="s">
        <v>3049</v>
      </c>
      <c r="D1496" s="41">
        <v>1000001993</v>
      </c>
      <c r="E1496" s="53" t="s">
        <v>3050</v>
      </c>
      <c r="F1496" s="51">
        <v>44739</v>
      </c>
      <c r="G1496" s="22" t="str">
        <f t="shared" si="322"/>
        <v>Targeted Dealer</v>
      </c>
      <c r="H1496" s="22"/>
      <c r="I1496" s="23">
        <v>25</v>
      </c>
      <c r="J1496" s="23">
        <f t="shared" si="323"/>
        <v>25</v>
      </c>
      <c r="K1496" s="24">
        <v>0</v>
      </c>
      <c r="L1496" s="24">
        <f t="shared" si="324"/>
        <v>25</v>
      </c>
      <c r="M1496" s="24">
        <f t="shared" si="325"/>
        <v>0</v>
      </c>
      <c r="N1496" s="25">
        <v>0</v>
      </c>
      <c r="O1496" s="26" t="str">
        <f t="shared" si="326"/>
        <v>June</v>
      </c>
      <c r="P1496" s="25">
        <f t="shared" si="327"/>
        <v>0</v>
      </c>
      <c r="Q1496" s="27">
        <f t="shared" si="328"/>
        <v>0</v>
      </c>
      <c r="R1496" s="26" t="b">
        <f t="shared" si="329"/>
        <v>0</v>
      </c>
      <c r="S1496" s="28" t="b">
        <f t="shared" si="330"/>
        <v>0</v>
      </c>
      <c r="T1496" s="24">
        <v>0</v>
      </c>
      <c r="U1496" s="29" t="str">
        <f t="shared" si="331"/>
        <v>May</v>
      </c>
      <c r="V1496" s="24">
        <f t="shared" si="332"/>
        <v>0</v>
      </c>
      <c r="W1496" s="30">
        <f t="shared" si="333"/>
        <v>0</v>
      </c>
      <c r="X1496" s="31" t="b">
        <f t="shared" si="334"/>
        <v>0</v>
      </c>
      <c r="Y1496" s="32" t="b">
        <f t="shared" si="335"/>
        <v>0</v>
      </c>
      <c r="Z1496" s="41">
        <v>0</v>
      </c>
      <c r="AA1496" s="36"/>
      <c r="AB1496" s="36" t="s">
        <v>24</v>
      </c>
      <c r="AC1496" s="52" t="s">
        <v>2185</v>
      </c>
      <c r="AD1496" s="34"/>
      <c r="AE1496" s="35">
        <f>IFERROR(INDEX([1]Last6M_AvgSales_Ref!$B$2:$B$12659,MATCH(D1496,[1]Last6M_AvgSales_Ref!$A$2:$A$12659,0)),"")</f>
        <v>12.5</v>
      </c>
    </row>
    <row r="1497" spans="1:31" ht="14.25" customHeight="1" x14ac:dyDescent="0.3">
      <c r="A1497" s="52" t="s">
        <v>848</v>
      </c>
      <c r="B1497" s="53" t="s">
        <v>917</v>
      </c>
      <c r="C1497" s="50" t="s">
        <v>3051</v>
      </c>
      <c r="D1497" s="41">
        <v>1000004548</v>
      </c>
      <c r="E1497" s="53" t="s">
        <v>3052</v>
      </c>
      <c r="F1497" s="51">
        <v>45990</v>
      </c>
      <c r="G1497" s="22" t="str">
        <f t="shared" si="322"/>
        <v>Targeted Dealer</v>
      </c>
      <c r="H1497" s="22"/>
      <c r="I1497" s="23">
        <v>50</v>
      </c>
      <c r="J1497" s="23">
        <f t="shared" si="323"/>
        <v>50</v>
      </c>
      <c r="K1497" s="24">
        <v>74</v>
      </c>
      <c r="L1497" s="24">
        <f t="shared" si="324"/>
        <v>-24</v>
      </c>
      <c r="M1497" s="24">
        <f t="shared" si="325"/>
        <v>148</v>
      </c>
      <c r="N1497" s="25">
        <v>20</v>
      </c>
      <c r="O1497" s="26" t="str">
        <f t="shared" si="326"/>
        <v>June</v>
      </c>
      <c r="P1497" s="25">
        <f t="shared" si="327"/>
        <v>20</v>
      </c>
      <c r="Q1497" s="27">
        <f t="shared" si="328"/>
        <v>54</v>
      </c>
      <c r="R1497" s="26" t="b">
        <f t="shared" si="329"/>
        <v>0</v>
      </c>
      <c r="S1497" s="28" t="str">
        <f t="shared" si="330"/>
        <v>GROWTH</v>
      </c>
      <c r="T1497" s="24">
        <v>0</v>
      </c>
      <c r="U1497" s="29" t="str">
        <f t="shared" si="331"/>
        <v>May</v>
      </c>
      <c r="V1497" s="24">
        <f t="shared" si="332"/>
        <v>0</v>
      </c>
      <c r="W1497" s="30">
        <f t="shared" si="333"/>
        <v>74</v>
      </c>
      <c r="X1497" s="31" t="b">
        <f t="shared" si="334"/>
        <v>0</v>
      </c>
      <c r="Y1497" s="32" t="b">
        <f t="shared" si="335"/>
        <v>0</v>
      </c>
      <c r="Z1497" s="41">
        <v>0</v>
      </c>
      <c r="AA1497" s="36"/>
      <c r="AB1497" s="36" t="s">
        <v>24</v>
      </c>
      <c r="AC1497" s="52" t="s">
        <v>848</v>
      </c>
      <c r="AD1497" s="34"/>
      <c r="AE1497" s="35">
        <f>IFERROR(INDEX([1]Last6M_AvgSales_Ref!$B$2:$B$12659,MATCH(D1497,[1]Last6M_AvgSales_Ref!$A$2:$A$12659,0)),"")</f>
        <v>128.916666666667</v>
      </c>
    </row>
    <row r="1498" spans="1:31" ht="14.25" customHeight="1" x14ac:dyDescent="0.3">
      <c r="A1498" s="52" t="s">
        <v>848</v>
      </c>
      <c r="B1498" s="53" t="s">
        <v>917</v>
      </c>
      <c r="C1498" s="50" t="s">
        <v>3053</v>
      </c>
      <c r="D1498" s="41">
        <v>1000004575</v>
      </c>
      <c r="E1498" s="53" t="s">
        <v>3054</v>
      </c>
      <c r="F1498" s="51">
        <v>46009</v>
      </c>
      <c r="G1498" s="22" t="str">
        <f t="shared" si="322"/>
        <v>Targeted Dealer</v>
      </c>
      <c r="H1498" s="22"/>
      <c r="I1498" s="23">
        <v>48</v>
      </c>
      <c r="J1498" s="23">
        <f t="shared" si="323"/>
        <v>48</v>
      </c>
      <c r="K1498" s="24">
        <v>39</v>
      </c>
      <c r="L1498" s="24">
        <f t="shared" si="324"/>
        <v>9</v>
      </c>
      <c r="M1498" s="24">
        <f t="shared" si="325"/>
        <v>81.25</v>
      </c>
      <c r="N1498" s="25">
        <v>26</v>
      </c>
      <c r="O1498" s="26" t="str">
        <f t="shared" si="326"/>
        <v>June</v>
      </c>
      <c r="P1498" s="25">
        <f t="shared" si="327"/>
        <v>26</v>
      </c>
      <c r="Q1498" s="27">
        <f t="shared" si="328"/>
        <v>13</v>
      </c>
      <c r="R1498" s="26" t="b">
        <f t="shared" si="329"/>
        <v>0</v>
      </c>
      <c r="S1498" s="28" t="str">
        <f t="shared" si="330"/>
        <v>GROWTH</v>
      </c>
      <c r="T1498" s="24">
        <v>0</v>
      </c>
      <c r="U1498" s="29" t="str">
        <f t="shared" si="331"/>
        <v>May</v>
      </c>
      <c r="V1498" s="24">
        <f t="shared" si="332"/>
        <v>0</v>
      </c>
      <c r="W1498" s="30">
        <f t="shared" si="333"/>
        <v>39</v>
      </c>
      <c r="X1498" s="31" t="b">
        <f t="shared" si="334"/>
        <v>0</v>
      </c>
      <c r="Y1498" s="32" t="b">
        <f t="shared" si="335"/>
        <v>0</v>
      </c>
      <c r="Z1498" s="41">
        <v>0</v>
      </c>
      <c r="AA1498" s="36"/>
      <c r="AB1498" s="36" t="s">
        <v>24</v>
      </c>
      <c r="AC1498" s="52" t="s">
        <v>848</v>
      </c>
      <c r="AD1498" s="34"/>
      <c r="AE1498" s="35">
        <f>IFERROR(INDEX([1]Last6M_AvgSales_Ref!$B$2:$B$12659,MATCH(D1498,[1]Last6M_AvgSales_Ref!$A$2:$A$12659,0)),"")</f>
        <v>41</v>
      </c>
    </row>
    <row r="1499" spans="1:31" ht="14.25" customHeight="1" x14ac:dyDescent="0.3">
      <c r="A1499" s="52" t="s">
        <v>24</v>
      </c>
      <c r="B1499" s="53" t="s">
        <v>504</v>
      </c>
      <c r="C1499" s="50" t="s">
        <v>3055</v>
      </c>
      <c r="D1499" s="41">
        <v>1000003652</v>
      </c>
      <c r="E1499" s="53" t="s">
        <v>3056</v>
      </c>
      <c r="F1499" s="51">
        <v>45134</v>
      </c>
      <c r="G1499" s="22" t="str">
        <f t="shared" si="322"/>
        <v>-</v>
      </c>
      <c r="H1499" s="22"/>
      <c r="I1499" s="23">
        <v>0</v>
      </c>
      <c r="J1499" s="23">
        <f t="shared" si="323"/>
        <v>0</v>
      </c>
      <c r="K1499" s="24">
        <v>0</v>
      </c>
      <c r="L1499" s="24">
        <f t="shared" si="324"/>
        <v>0</v>
      </c>
      <c r="M1499" s="24" t="str">
        <f t="shared" si="325"/>
        <v>-</v>
      </c>
      <c r="N1499" s="25">
        <v>0</v>
      </c>
      <c r="O1499" s="26" t="str">
        <f t="shared" si="326"/>
        <v>June</v>
      </c>
      <c r="P1499" s="25">
        <f t="shared" si="327"/>
        <v>0</v>
      </c>
      <c r="Q1499" s="27">
        <f t="shared" si="328"/>
        <v>0</v>
      </c>
      <c r="R1499" s="26" t="b">
        <f t="shared" si="329"/>
        <v>0</v>
      </c>
      <c r="S1499" s="28" t="b">
        <f t="shared" si="330"/>
        <v>0</v>
      </c>
      <c r="T1499" s="24">
        <v>0</v>
      </c>
      <c r="U1499" s="29" t="str">
        <f t="shared" si="331"/>
        <v>May</v>
      </c>
      <c r="V1499" s="24">
        <f t="shared" si="332"/>
        <v>0</v>
      </c>
      <c r="W1499" s="30">
        <f t="shared" si="333"/>
        <v>0</v>
      </c>
      <c r="X1499" s="31" t="b">
        <f t="shared" si="334"/>
        <v>0</v>
      </c>
      <c r="Y1499" s="32" t="b">
        <f t="shared" si="335"/>
        <v>0</v>
      </c>
      <c r="Z1499" s="41">
        <v>0</v>
      </c>
      <c r="AA1499" s="36"/>
      <c r="AB1499" s="36" t="s">
        <v>24</v>
      </c>
      <c r="AC1499" s="52" t="s">
        <v>24</v>
      </c>
      <c r="AD1499" s="34"/>
      <c r="AE1499" s="35">
        <f>IFERROR(INDEX([1]Last6M_AvgSales_Ref!$B$2:$B$12659,MATCH(D1499,[1]Last6M_AvgSales_Ref!$A$2:$A$12659,0)),"")</f>
        <v>60</v>
      </c>
    </row>
    <row r="1500" spans="1:31" ht="14.25" customHeight="1" x14ac:dyDescent="0.3">
      <c r="A1500" s="52" t="s">
        <v>848</v>
      </c>
      <c r="B1500" s="53" t="s">
        <v>849</v>
      </c>
      <c r="C1500" s="50" t="s">
        <v>3057</v>
      </c>
      <c r="D1500" s="41">
        <v>1000004540</v>
      </c>
      <c r="E1500" s="53" t="s">
        <v>3058</v>
      </c>
      <c r="F1500" s="51">
        <v>45992</v>
      </c>
      <c r="G1500" s="22" t="str">
        <f t="shared" si="322"/>
        <v>Targeted Dealer</v>
      </c>
      <c r="H1500" s="22"/>
      <c r="I1500" s="23">
        <v>26</v>
      </c>
      <c r="J1500" s="23">
        <f t="shared" si="323"/>
        <v>26</v>
      </c>
      <c r="K1500" s="24">
        <v>0</v>
      </c>
      <c r="L1500" s="24">
        <f t="shared" si="324"/>
        <v>26</v>
      </c>
      <c r="M1500" s="24">
        <f t="shared" si="325"/>
        <v>0</v>
      </c>
      <c r="N1500" s="25">
        <v>0</v>
      </c>
      <c r="O1500" s="26" t="str">
        <f t="shared" si="326"/>
        <v>June</v>
      </c>
      <c r="P1500" s="25">
        <f t="shared" si="327"/>
        <v>0</v>
      </c>
      <c r="Q1500" s="27">
        <f t="shared" si="328"/>
        <v>0</v>
      </c>
      <c r="R1500" s="26" t="b">
        <f t="shared" si="329"/>
        <v>0</v>
      </c>
      <c r="S1500" s="28" t="b">
        <f t="shared" si="330"/>
        <v>0</v>
      </c>
      <c r="T1500" s="24">
        <v>0</v>
      </c>
      <c r="U1500" s="29" t="str">
        <f t="shared" si="331"/>
        <v>May</v>
      </c>
      <c r="V1500" s="24">
        <f t="shared" si="332"/>
        <v>0</v>
      </c>
      <c r="W1500" s="30">
        <f t="shared" si="333"/>
        <v>0</v>
      </c>
      <c r="X1500" s="31" t="b">
        <f t="shared" si="334"/>
        <v>0</v>
      </c>
      <c r="Y1500" s="32" t="b">
        <f t="shared" si="335"/>
        <v>0</v>
      </c>
      <c r="Z1500" s="41">
        <v>0</v>
      </c>
      <c r="AA1500" s="36"/>
      <c r="AB1500" s="36" t="s">
        <v>24</v>
      </c>
      <c r="AC1500" s="52" t="s">
        <v>848</v>
      </c>
      <c r="AD1500" s="34"/>
      <c r="AE1500" s="35">
        <f>IFERROR(INDEX([1]Last6M_AvgSales_Ref!$B$2:$B$12659,MATCH(D1500,[1]Last6M_AvgSales_Ref!$A$2:$A$12659,0)),"")</f>
        <v>32.4166666666667</v>
      </c>
    </row>
    <row r="1501" spans="1:31" ht="14.25" customHeight="1" x14ac:dyDescent="0.3">
      <c r="A1501" s="52" t="s">
        <v>848</v>
      </c>
      <c r="B1501" s="53" t="s">
        <v>849</v>
      </c>
      <c r="C1501" s="50" t="s">
        <v>3059</v>
      </c>
      <c r="D1501" s="41">
        <v>1000004572</v>
      </c>
      <c r="E1501" s="53" t="s">
        <v>3060</v>
      </c>
      <c r="F1501" s="51">
        <v>46004</v>
      </c>
      <c r="G1501" s="22" t="str">
        <f t="shared" si="322"/>
        <v>Targeted Dealer</v>
      </c>
      <c r="H1501" s="22"/>
      <c r="I1501" s="23">
        <v>80</v>
      </c>
      <c r="J1501" s="23">
        <f t="shared" si="323"/>
        <v>80</v>
      </c>
      <c r="K1501" s="24">
        <v>39</v>
      </c>
      <c r="L1501" s="24">
        <f t="shared" si="324"/>
        <v>41</v>
      </c>
      <c r="M1501" s="24">
        <f t="shared" si="325"/>
        <v>48.75</v>
      </c>
      <c r="N1501" s="25">
        <v>39</v>
      </c>
      <c r="O1501" s="26" t="str">
        <f t="shared" si="326"/>
        <v>June</v>
      </c>
      <c r="P1501" s="25">
        <f t="shared" si="327"/>
        <v>39</v>
      </c>
      <c r="Q1501" s="27">
        <f t="shared" si="328"/>
        <v>0</v>
      </c>
      <c r="R1501" s="26" t="b">
        <f t="shared" si="329"/>
        <v>0</v>
      </c>
      <c r="S1501" s="28" t="str">
        <f t="shared" si="330"/>
        <v>GROWTH</v>
      </c>
      <c r="T1501" s="24">
        <v>0</v>
      </c>
      <c r="U1501" s="29" t="str">
        <f t="shared" si="331"/>
        <v>May</v>
      </c>
      <c r="V1501" s="24">
        <f t="shared" si="332"/>
        <v>0</v>
      </c>
      <c r="W1501" s="30">
        <f t="shared" si="333"/>
        <v>39</v>
      </c>
      <c r="X1501" s="31" t="b">
        <f t="shared" si="334"/>
        <v>0</v>
      </c>
      <c r="Y1501" s="32" t="b">
        <f t="shared" si="335"/>
        <v>0</v>
      </c>
      <c r="Z1501" s="41">
        <v>0</v>
      </c>
      <c r="AA1501" s="36"/>
      <c r="AB1501" s="36" t="s">
        <v>24</v>
      </c>
      <c r="AC1501" s="52" t="s">
        <v>848</v>
      </c>
      <c r="AD1501" s="34"/>
      <c r="AE1501" s="35">
        <f>IFERROR(INDEX([1]Last6M_AvgSales_Ref!$B$2:$B$12659,MATCH(D1501,[1]Last6M_AvgSales_Ref!$A$2:$A$12659,0)),"")</f>
        <v>40.9166666666667</v>
      </c>
    </row>
    <row r="1502" spans="1:31" ht="14.25" customHeight="1" x14ac:dyDescent="0.3">
      <c r="A1502" s="52" t="s">
        <v>848</v>
      </c>
      <c r="B1502" s="53" t="s">
        <v>996</v>
      </c>
      <c r="C1502" s="50" t="s">
        <v>3061</v>
      </c>
      <c r="D1502" s="41">
        <v>1000000356</v>
      </c>
      <c r="E1502" s="53" t="s">
        <v>3062</v>
      </c>
      <c r="F1502" s="51">
        <v>44738</v>
      </c>
      <c r="G1502" s="22" t="str">
        <f t="shared" si="322"/>
        <v>Targeted Dealer</v>
      </c>
      <c r="H1502" s="22"/>
      <c r="I1502" s="23">
        <v>40</v>
      </c>
      <c r="J1502" s="23">
        <f t="shared" si="323"/>
        <v>40</v>
      </c>
      <c r="K1502" s="24">
        <v>4</v>
      </c>
      <c r="L1502" s="24">
        <f t="shared" si="324"/>
        <v>36</v>
      </c>
      <c r="M1502" s="24">
        <f t="shared" si="325"/>
        <v>10</v>
      </c>
      <c r="N1502" s="25">
        <v>0</v>
      </c>
      <c r="O1502" s="26" t="str">
        <f t="shared" si="326"/>
        <v>June</v>
      </c>
      <c r="P1502" s="25">
        <f t="shared" si="327"/>
        <v>0</v>
      </c>
      <c r="Q1502" s="27">
        <f t="shared" si="328"/>
        <v>4</v>
      </c>
      <c r="R1502" s="26" t="b">
        <f t="shared" si="329"/>
        <v>0</v>
      </c>
      <c r="S1502" s="28" t="b">
        <f t="shared" si="330"/>
        <v>0</v>
      </c>
      <c r="T1502" s="24">
        <v>0</v>
      </c>
      <c r="U1502" s="29" t="str">
        <f t="shared" si="331"/>
        <v>May</v>
      </c>
      <c r="V1502" s="24">
        <f t="shared" si="332"/>
        <v>0</v>
      </c>
      <c r="W1502" s="30">
        <f t="shared" si="333"/>
        <v>4</v>
      </c>
      <c r="X1502" s="31" t="b">
        <f t="shared" si="334"/>
        <v>0</v>
      </c>
      <c r="Y1502" s="32" t="b">
        <f t="shared" si="335"/>
        <v>0</v>
      </c>
      <c r="Z1502" s="41">
        <v>0</v>
      </c>
      <c r="AA1502" s="36"/>
      <c r="AB1502" s="36" t="s">
        <v>24</v>
      </c>
      <c r="AC1502" s="52" t="s">
        <v>848</v>
      </c>
      <c r="AD1502" s="34"/>
      <c r="AE1502" s="35">
        <f>IFERROR(INDEX([1]Last6M_AvgSales_Ref!$B$2:$B$12659,MATCH(D1502,[1]Last6M_AvgSales_Ref!$A$2:$A$12659,0)),"")</f>
        <v>2.3333333333333299</v>
      </c>
    </row>
    <row r="1503" spans="1:31" ht="14.25" customHeight="1" x14ac:dyDescent="0.3">
      <c r="A1503" s="52" t="s">
        <v>848</v>
      </c>
      <c r="B1503" s="53" t="s">
        <v>996</v>
      </c>
      <c r="C1503" s="50" t="s">
        <v>3063</v>
      </c>
      <c r="D1503" s="41">
        <v>1000003603</v>
      </c>
      <c r="E1503" s="53" t="s">
        <v>3064</v>
      </c>
      <c r="F1503" s="51">
        <v>45086</v>
      </c>
      <c r="G1503" s="22" t="str">
        <f t="shared" si="322"/>
        <v>-</v>
      </c>
      <c r="H1503" s="22"/>
      <c r="I1503" s="23">
        <v>0</v>
      </c>
      <c r="J1503" s="23">
        <f t="shared" si="323"/>
        <v>0</v>
      </c>
      <c r="K1503" s="24">
        <v>10.5</v>
      </c>
      <c r="L1503" s="24">
        <f t="shared" si="324"/>
        <v>-10.5</v>
      </c>
      <c r="M1503" s="24" t="str">
        <f t="shared" si="325"/>
        <v>-</v>
      </c>
      <c r="N1503" s="25">
        <v>0</v>
      </c>
      <c r="O1503" s="26" t="str">
        <f t="shared" si="326"/>
        <v>June</v>
      </c>
      <c r="P1503" s="25">
        <f t="shared" si="327"/>
        <v>0</v>
      </c>
      <c r="Q1503" s="27">
        <f t="shared" si="328"/>
        <v>10.5</v>
      </c>
      <c r="R1503" s="26" t="b">
        <f t="shared" si="329"/>
        <v>0</v>
      </c>
      <c r="S1503" s="28" t="b">
        <f t="shared" si="330"/>
        <v>0</v>
      </c>
      <c r="T1503" s="24">
        <v>0</v>
      </c>
      <c r="U1503" s="29" t="str">
        <f t="shared" si="331"/>
        <v>May</v>
      </c>
      <c r="V1503" s="24">
        <f t="shared" si="332"/>
        <v>0</v>
      </c>
      <c r="W1503" s="30">
        <f t="shared" si="333"/>
        <v>10.5</v>
      </c>
      <c r="X1503" s="31" t="b">
        <f t="shared" si="334"/>
        <v>0</v>
      </c>
      <c r="Y1503" s="32" t="b">
        <f t="shared" si="335"/>
        <v>0</v>
      </c>
      <c r="Z1503" s="41">
        <v>0</v>
      </c>
      <c r="AA1503" s="36"/>
      <c r="AB1503" s="36" t="s">
        <v>24</v>
      </c>
      <c r="AC1503" s="52" t="s">
        <v>848</v>
      </c>
      <c r="AD1503" s="34"/>
      <c r="AE1503" s="35">
        <f>IFERROR(INDEX([1]Last6M_AvgSales_Ref!$B$2:$B$12659,MATCH(D1503,[1]Last6M_AvgSales_Ref!$A$2:$A$12659,0)),"")</f>
        <v>14.25</v>
      </c>
    </row>
    <row r="1504" spans="1:31" ht="14.25" customHeight="1" x14ac:dyDescent="0.3">
      <c r="A1504" s="52" t="s">
        <v>848</v>
      </c>
      <c r="B1504" s="53" t="s">
        <v>996</v>
      </c>
      <c r="C1504" s="50" t="s">
        <v>3065</v>
      </c>
      <c r="D1504" s="41">
        <v>1000004552</v>
      </c>
      <c r="E1504" s="53" t="s">
        <v>3066</v>
      </c>
      <c r="F1504" s="51">
        <v>45992</v>
      </c>
      <c r="G1504" s="22" t="str">
        <f t="shared" si="322"/>
        <v>Targeted Dealer</v>
      </c>
      <c r="H1504" s="22"/>
      <c r="I1504" s="23">
        <v>40</v>
      </c>
      <c r="J1504" s="23">
        <f t="shared" si="323"/>
        <v>40</v>
      </c>
      <c r="K1504" s="24">
        <v>4</v>
      </c>
      <c r="L1504" s="24">
        <f t="shared" si="324"/>
        <v>36</v>
      </c>
      <c r="M1504" s="24">
        <f t="shared" si="325"/>
        <v>10</v>
      </c>
      <c r="N1504" s="25">
        <v>3.5</v>
      </c>
      <c r="O1504" s="26" t="str">
        <f t="shared" si="326"/>
        <v>June</v>
      </c>
      <c r="P1504" s="25">
        <f t="shared" si="327"/>
        <v>3.5</v>
      </c>
      <c r="Q1504" s="27">
        <f t="shared" si="328"/>
        <v>0.5</v>
      </c>
      <c r="R1504" s="26" t="b">
        <f t="shared" si="329"/>
        <v>0</v>
      </c>
      <c r="S1504" s="28" t="str">
        <f t="shared" si="330"/>
        <v>GROWTH</v>
      </c>
      <c r="T1504" s="24">
        <v>0</v>
      </c>
      <c r="U1504" s="29" t="str">
        <f t="shared" si="331"/>
        <v>May</v>
      </c>
      <c r="V1504" s="24">
        <f t="shared" si="332"/>
        <v>0</v>
      </c>
      <c r="W1504" s="30">
        <f t="shared" si="333"/>
        <v>4</v>
      </c>
      <c r="X1504" s="31" t="b">
        <f t="shared" si="334"/>
        <v>0</v>
      </c>
      <c r="Y1504" s="32" t="b">
        <f t="shared" si="335"/>
        <v>0</v>
      </c>
      <c r="Z1504" s="41">
        <v>0</v>
      </c>
      <c r="AA1504" s="36"/>
      <c r="AB1504" s="36" t="s">
        <v>24</v>
      </c>
      <c r="AC1504" s="52" t="s">
        <v>848</v>
      </c>
      <c r="AD1504" s="34"/>
      <c r="AE1504" s="35">
        <f>IFERROR(INDEX([1]Last6M_AvgSales_Ref!$B$2:$B$12659,MATCH(D1504,[1]Last6M_AvgSales_Ref!$A$2:$A$12659,0)),"")</f>
        <v>18.0833333333333</v>
      </c>
    </row>
    <row r="1505" spans="1:31" ht="14.25" customHeight="1" x14ac:dyDescent="0.3">
      <c r="A1505" s="52" t="s">
        <v>24</v>
      </c>
      <c r="B1505" s="53" t="s">
        <v>449</v>
      </c>
      <c r="C1505" s="50" t="s">
        <v>3067</v>
      </c>
      <c r="D1505" s="41">
        <v>1000004562</v>
      </c>
      <c r="E1505" s="53" t="s">
        <v>3068</v>
      </c>
      <c r="F1505" s="51">
        <v>46001</v>
      </c>
      <c r="G1505" s="22" t="str">
        <f t="shared" si="322"/>
        <v>Targeted Dealer</v>
      </c>
      <c r="H1505" s="22"/>
      <c r="I1505" s="23">
        <v>20</v>
      </c>
      <c r="J1505" s="23">
        <f t="shared" si="323"/>
        <v>20</v>
      </c>
      <c r="K1505" s="24">
        <v>22.5</v>
      </c>
      <c r="L1505" s="24">
        <f t="shared" si="324"/>
        <v>-2.5</v>
      </c>
      <c r="M1505" s="24">
        <f t="shared" si="325"/>
        <v>112.5</v>
      </c>
      <c r="N1505" s="25">
        <v>0</v>
      </c>
      <c r="O1505" s="26" t="str">
        <f t="shared" si="326"/>
        <v>June</v>
      </c>
      <c r="P1505" s="25">
        <f t="shared" si="327"/>
        <v>0</v>
      </c>
      <c r="Q1505" s="27">
        <f t="shared" si="328"/>
        <v>22.5</v>
      </c>
      <c r="R1505" s="26" t="b">
        <f t="shared" si="329"/>
        <v>0</v>
      </c>
      <c r="S1505" s="28" t="b">
        <f t="shared" si="330"/>
        <v>0</v>
      </c>
      <c r="T1505" s="24">
        <v>0</v>
      </c>
      <c r="U1505" s="29" t="str">
        <f t="shared" si="331"/>
        <v>May</v>
      </c>
      <c r="V1505" s="24">
        <f t="shared" si="332"/>
        <v>0</v>
      </c>
      <c r="W1505" s="30">
        <f t="shared" si="333"/>
        <v>22.5</v>
      </c>
      <c r="X1505" s="31" t="b">
        <f t="shared" si="334"/>
        <v>0</v>
      </c>
      <c r="Y1505" s="32" t="b">
        <f t="shared" si="335"/>
        <v>0</v>
      </c>
      <c r="Z1505" s="41">
        <v>0</v>
      </c>
      <c r="AA1505" s="36"/>
      <c r="AB1505" s="36" t="s">
        <v>24</v>
      </c>
      <c r="AC1505" s="52" t="s">
        <v>24</v>
      </c>
      <c r="AD1505" s="34"/>
      <c r="AE1505" s="35">
        <f>IFERROR(INDEX([1]Last6M_AvgSales_Ref!$B$2:$B$12659,MATCH(D1505,[1]Last6M_AvgSales_Ref!$A$2:$A$12659,0)),"")</f>
        <v>14.8333333333333</v>
      </c>
    </row>
    <row r="1506" spans="1:31" ht="14.25" customHeight="1" x14ac:dyDescent="0.3">
      <c r="A1506" s="52" t="s">
        <v>848</v>
      </c>
      <c r="B1506" s="53" t="s">
        <v>1666</v>
      </c>
      <c r="C1506" s="50" t="s">
        <v>3069</v>
      </c>
      <c r="D1506" s="41">
        <v>1000004553</v>
      </c>
      <c r="E1506" s="53" t="s">
        <v>3070</v>
      </c>
      <c r="F1506" s="51">
        <v>45993</v>
      </c>
      <c r="G1506" s="22" t="str">
        <f t="shared" si="322"/>
        <v>Targeted Dealer</v>
      </c>
      <c r="H1506" s="22"/>
      <c r="I1506" s="23">
        <v>40</v>
      </c>
      <c r="J1506" s="23">
        <f t="shared" si="323"/>
        <v>40</v>
      </c>
      <c r="K1506" s="24">
        <v>15</v>
      </c>
      <c r="L1506" s="24">
        <f t="shared" si="324"/>
        <v>25</v>
      </c>
      <c r="M1506" s="24">
        <f t="shared" si="325"/>
        <v>37.5</v>
      </c>
      <c r="N1506" s="25">
        <v>10</v>
      </c>
      <c r="O1506" s="26" t="str">
        <f t="shared" si="326"/>
        <v>June</v>
      </c>
      <c r="P1506" s="25">
        <f t="shared" si="327"/>
        <v>10</v>
      </c>
      <c r="Q1506" s="27">
        <f t="shared" si="328"/>
        <v>5</v>
      </c>
      <c r="R1506" s="26" t="b">
        <f t="shared" si="329"/>
        <v>0</v>
      </c>
      <c r="S1506" s="28" t="str">
        <f t="shared" si="330"/>
        <v>GROWTH</v>
      </c>
      <c r="T1506" s="24">
        <v>0</v>
      </c>
      <c r="U1506" s="29" t="str">
        <f t="shared" si="331"/>
        <v>May</v>
      </c>
      <c r="V1506" s="24">
        <f t="shared" si="332"/>
        <v>0</v>
      </c>
      <c r="W1506" s="30">
        <f t="shared" si="333"/>
        <v>15</v>
      </c>
      <c r="X1506" s="31" t="b">
        <f t="shared" si="334"/>
        <v>0</v>
      </c>
      <c r="Y1506" s="32" t="b">
        <f t="shared" si="335"/>
        <v>0</v>
      </c>
      <c r="Z1506" s="41">
        <v>0</v>
      </c>
      <c r="AA1506" s="36"/>
      <c r="AB1506" s="36" t="s">
        <v>24</v>
      </c>
      <c r="AC1506" s="52" t="s">
        <v>848</v>
      </c>
      <c r="AD1506" s="34"/>
      <c r="AE1506" s="35">
        <f>IFERROR(INDEX([1]Last6M_AvgSales_Ref!$B$2:$B$12659,MATCH(D1506,[1]Last6M_AvgSales_Ref!$A$2:$A$12659,0)),"")</f>
        <v>13.3333333333333</v>
      </c>
    </row>
    <row r="1507" spans="1:31" ht="14.25" customHeight="1" x14ac:dyDescent="0.3">
      <c r="A1507" s="52" t="s">
        <v>2185</v>
      </c>
      <c r="B1507" s="53" t="s">
        <v>2388</v>
      </c>
      <c r="C1507" s="50" t="s">
        <v>3071</v>
      </c>
      <c r="D1507" s="41">
        <v>1000003905</v>
      </c>
      <c r="E1507" s="53" t="s">
        <v>3072</v>
      </c>
      <c r="F1507" s="51">
        <v>45391</v>
      </c>
      <c r="G1507" s="22" t="str">
        <f t="shared" si="322"/>
        <v>Targeted Dealer</v>
      </c>
      <c r="H1507" s="22"/>
      <c r="I1507" s="23">
        <v>200</v>
      </c>
      <c r="J1507" s="23">
        <f t="shared" si="323"/>
        <v>200</v>
      </c>
      <c r="K1507" s="24">
        <v>0</v>
      </c>
      <c r="L1507" s="24">
        <f t="shared" si="324"/>
        <v>200</v>
      </c>
      <c r="M1507" s="24">
        <f t="shared" si="325"/>
        <v>0</v>
      </c>
      <c r="N1507" s="25">
        <v>0</v>
      </c>
      <c r="O1507" s="26" t="str">
        <f t="shared" si="326"/>
        <v>June</v>
      </c>
      <c r="P1507" s="25">
        <f t="shared" si="327"/>
        <v>0</v>
      </c>
      <c r="Q1507" s="27">
        <f t="shared" si="328"/>
        <v>0</v>
      </c>
      <c r="R1507" s="26" t="b">
        <f t="shared" si="329"/>
        <v>0</v>
      </c>
      <c r="S1507" s="28" t="b">
        <f t="shared" si="330"/>
        <v>0</v>
      </c>
      <c r="T1507" s="24">
        <v>0</v>
      </c>
      <c r="U1507" s="29" t="str">
        <f t="shared" si="331"/>
        <v>May</v>
      </c>
      <c r="V1507" s="24">
        <f t="shared" si="332"/>
        <v>0</v>
      </c>
      <c r="W1507" s="30">
        <f t="shared" si="333"/>
        <v>0</v>
      </c>
      <c r="X1507" s="31" t="b">
        <f t="shared" si="334"/>
        <v>0</v>
      </c>
      <c r="Y1507" s="32" t="b">
        <f t="shared" si="335"/>
        <v>0</v>
      </c>
      <c r="Z1507" s="41">
        <v>0</v>
      </c>
      <c r="AA1507" s="36"/>
      <c r="AB1507" s="36" t="s">
        <v>24</v>
      </c>
      <c r="AC1507" s="52" t="s">
        <v>2185</v>
      </c>
      <c r="AD1507" s="34"/>
      <c r="AE1507" s="35">
        <f>IFERROR(INDEX([1]Last6M_AvgSales_Ref!$B$2:$B$12659,MATCH(D1507,[1]Last6M_AvgSales_Ref!$A$2:$A$12659,0)),"")</f>
        <v>2.4166666666666701</v>
      </c>
    </row>
    <row r="1508" spans="1:31" ht="14.25" customHeight="1" x14ac:dyDescent="0.3">
      <c r="A1508" s="52" t="s">
        <v>2185</v>
      </c>
      <c r="B1508" s="53" t="s">
        <v>2186</v>
      </c>
      <c r="C1508" s="50" t="s">
        <v>3073</v>
      </c>
      <c r="D1508" s="41">
        <v>1000004565</v>
      </c>
      <c r="E1508" s="53" t="s">
        <v>3074</v>
      </c>
      <c r="F1508" s="51">
        <v>46008</v>
      </c>
      <c r="G1508" s="22" t="str">
        <f t="shared" si="322"/>
        <v>Targeted Dealer</v>
      </c>
      <c r="H1508" s="22"/>
      <c r="I1508" s="23">
        <v>150</v>
      </c>
      <c r="J1508" s="23">
        <f t="shared" si="323"/>
        <v>150</v>
      </c>
      <c r="K1508" s="24">
        <v>207</v>
      </c>
      <c r="L1508" s="24">
        <f t="shared" si="324"/>
        <v>-57</v>
      </c>
      <c r="M1508" s="24">
        <f t="shared" si="325"/>
        <v>138</v>
      </c>
      <c r="N1508" s="25">
        <v>176.5</v>
      </c>
      <c r="O1508" s="26" t="str">
        <f t="shared" si="326"/>
        <v>June</v>
      </c>
      <c r="P1508" s="25">
        <f t="shared" si="327"/>
        <v>176.5</v>
      </c>
      <c r="Q1508" s="27">
        <f t="shared" si="328"/>
        <v>30.5</v>
      </c>
      <c r="R1508" s="26" t="b">
        <f t="shared" si="329"/>
        <v>0</v>
      </c>
      <c r="S1508" s="28" t="str">
        <f t="shared" si="330"/>
        <v>GROWTH</v>
      </c>
      <c r="T1508" s="24">
        <v>0</v>
      </c>
      <c r="U1508" s="29" t="str">
        <f t="shared" si="331"/>
        <v>May</v>
      </c>
      <c r="V1508" s="24">
        <f t="shared" si="332"/>
        <v>0</v>
      </c>
      <c r="W1508" s="30">
        <f t="shared" si="333"/>
        <v>207</v>
      </c>
      <c r="X1508" s="31" t="b">
        <f t="shared" si="334"/>
        <v>0</v>
      </c>
      <c r="Y1508" s="32" t="b">
        <f t="shared" si="335"/>
        <v>0</v>
      </c>
      <c r="Z1508" s="41">
        <v>0</v>
      </c>
      <c r="AA1508" s="36"/>
      <c r="AB1508" s="36" t="s">
        <v>24</v>
      </c>
      <c r="AC1508" s="52" t="s">
        <v>2185</v>
      </c>
      <c r="AD1508" s="34"/>
      <c r="AE1508" s="35">
        <f>IFERROR(INDEX([1]Last6M_AvgSales_Ref!$B$2:$B$12659,MATCH(D1508,[1]Last6M_AvgSales_Ref!$A$2:$A$12659,0)),"")</f>
        <v>143</v>
      </c>
    </row>
    <row r="1509" spans="1:31" ht="14.25" customHeight="1" x14ac:dyDescent="0.3">
      <c r="A1509" s="52" t="s">
        <v>2185</v>
      </c>
      <c r="B1509" s="53" t="s">
        <v>2186</v>
      </c>
      <c r="C1509" s="50" t="s">
        <v>3075</v>
      </c>
      <c r="D1509" s="41">
        <v>1000004574</v>
      </c>
      <c r="E1509" s="53" t="s">
        <v>3076</v>
      </c>
      <c r="F1509" s="51">
        <v>46007</v>
      </c>
      <c r="G1509" s="22" t="str">
        <f t="shared" si="322"/>
        <v>Targeted Dealer</v>
      </c>
      <c r="H1509" s="22"/>
      <c r="I1509" s="23">
        <v>125</v>
      </c>
      <c r="J1509" s="23">
        <f t="shared" si="323"/>
        <v>125.00000000000001</v>
      </c>
      <c r="K1509" s="24">
        <v>82</v>
      </c>
      <c r="L1509" s="24">
        <f t="shared" si="324"/>
        <v>43</v>
      </c>
      <c r="M1509" s="24">
        <f t="shared" si="325"/>
        <v>65.599999999999994</v>
      </c>
      <c r="N1509" s="25">
        <v>75</v>
      </c>
      <c r="O1509" s="26" t="str">
        <f t="shared" si="326"/>
        <v>June</v>
      </c>
      <c r="P1509" s="25">
        <f t="shared" si="327"/>
        <v>75</v>
      </c>
      <c r="Q1509" s="27">
        <f t="shared" si="328"/>
        <v>7</v>
      </c>
      <c r="R1509" s="26" t="b">
        <f t="shared" si="329"/>
        <v>0</v>
      </c>
      <c r="S1509" s="28" t="str">
        <f t="shared" si="330"/>
        <v>GROWTH</v>
      </c>
      <c r="T1509" s="24">
        <v>0</v>
      </c>
      <c r="U1509" s="29" t="str">
        <f t="shared" si="331"/>
        <v>May</v>
      </c>
      <c r="V1509" s="24">
        <f t="shared" si="332"/>
        <v>0</v>
      </c>
      <c r="W1509" s="30">
        <f t="shared" si="333"/>
        <v>82</v>
      </c>
      <c r="X1509" s="31" t="b">
        <f t="shared" si="334"/>
        <v>0</v>
      </c>
      <c r="Y1509" s="32" t="b">
        <f t="shared" si="335"/>
        <v>0</v>
      </c>
      <c r="Z1509" s="41">
        <v>0</v>
      </c>
      <c r="AA1509" s="36"/>
      <c r="AB1509" s="36" t="s">
        <v>24</v>
      </c>
      <c r="AC1509" s="52" t="s">
        <v>2185</v>
      </c>
      <c r="AD1509" s="34"/>
      <c r="AE1509" s="35">
        <f>IFERROR(INDEX([1]Last6M_AvgSales_Ref!$B$2:$B$12659,MATCH(D1509,[1]Last6M_AvgSales_Ref!$A$2:$A$12659,0)),"")</f>
        <v>51.6666666666667</v>
      </c>
    </row>
    <row r="1510" spans="1:31" ht="14.25" customHeight="1" x14ac:dyDescent="0.3">
      <c r="A1510" s="52" t="s">
        <v>24</v>
      </c>
      <c r="B1510" s="53" t="s">
        <v>264</v>
      </c>
      <c r="C1510" s="50" t="s">
        <v>3077</v>
      </c>
      <c r="D1510" s="41">
        <v>1000004576</v>
      </c>
      <c r="E1510" s="53" t="s">
        <v>3078</v>
      </c>
      <c r="F1510" s="51">
        <v>46011</v>
      </c>
      <c r="G1510" s="22" t="str">
        <f t="shared" si="322"/>
        <v>Targeted Dealer</v>
      </c>
      <c r="H1510" s="22"/>
      <c r="I1510" s="23">
        <v>80</v>
      </c>
      <c r="J1510" s="23">
        <f t="shared" si="323"/>
        <v>80</v>
      </c>
      <c r="K1510" s="24">
        <v>115</v>
      </c>
      <c r="L1510" s="24">
        <f t="shared" si="324"/>
        <v>-35</v>
      </c>
      <c r="M1510" s="24">
        <f t="shared" si="325"/>
        <v>143.75</v>
      </c>
      <c r="N1510" s="25">
        <v>40</v>
      </c>
      <c r="O1510" s="26" t="str">
        <f t="shared" si="326"/>
        <v>June</v>
      </c>
      <c r="P1510" s="25">
        <f t="shared" si="327"/>
        <v>40</v>
      </c>
      <c r="Q1510" s="27">
        <f t="shared" si="328"/>
        <v>75</v>
      </c>
      <c r="R1510" s="26" t="b">
        <f t="shared" si="329"/>
        <v>0</v>
      </c>
      <c r="S1510" s="28" t="str">
        <f t="shared" si="330"/>
        <v>GROWTH</v>
      </c>
      <c r="T1510" s="24">
        <v>0</v>
      </c>
      <c r="U1510" s="29" t="str">
        <f t="shared" si="331"/>
        <v>May</v>
      </c>
      <c r="V1510" s="24">
        <f t="shared" si="332"/>
        <v>0</v>
      </c>
      <c r="W1510" s="30">
        <f t="shared" si="333"/>
        <v>115</v>
      </c>
      <c r="X1510" s="31" t="b">
        <f t="shared" si="334"/>
        <v>0</v>
      </c>
      <c r="Y1510" s="32" t="b">
        <f t="shared" si="335"/>
        <v>0</v>
      </c>
      <c r="Z1510" s="41">
        <v>0</v>
      </c>
      <c r="AA1510" s="36"/>
      <c r="AB1510" s="36" t="s">
        <v>24</v>
      </c>
      <c r="AC1510" s="52" t="s">
        <v>24</v>
      </c>
      <c r="AD1510" s="34"/>
      <c r="AE1510" s="35">
        <f>IFERROR(INDEX([1]Last6M_AvgSales_Ref!$B$2:$B$12659,MATCH(D1510,[1]Last6M_AvgSales_Ref!$A$2:$A$12659,0)),"")</f>
        <v>83.141666666666694</v>
      </c>
    </row>
    <row r="1511" spans="1:31" ht="14.25" customHeight="1" x14ac:dyDescent="0.3">
      <c r="A1511" s="52" t="s">
        <v>848</v>
      </c>
      <c r="B1511" s="53" t="s">
        <v>1098</v>
      </c>
      <c r="C1511" s="50" t="s">
        <v>3079</v>
      </c>
      <c r="D1511" s="41">
        <v>1000004541</v>
      </c>
      <c r="E1511" s="53" t="s">
        <v>3080</v>
      </c>
      <c r="F1511" s="51">
        <v>45992</v>
      </c>
      <c r="G1511" s="22" t="str">
        <f t="shared" si="322"/>
        <v>Targeted Dealer</v>
      </c>
      <c r="H1511" s="22"/>
      <c r="I1511" s="23">
        <v>150</v>
      </c>
      <c r="J1511" s="23">
        <f t="shared" si="323"/>
        <v>150</v>
      </c>
      <c r="K1511" s="24">
        <v>100</v>
      </c>
      <c r="L1511" s="24">
        <f t="shared" si="324"/>
        <v>50</v>
      </c>
      <c r="M1511" s="24">
        <f t="shared" si="325"/>
        <v>66.666666666666671</v>
      </c>
      <c r="N1511" s="25">
        <v>75</v>
      </c>
      <c r="O1511" s="26" t="str">
        <f t="shared" si="326"/>
        <v>June</v>
      </c>
      <c r="P1511" s="25">
        <f t="shared" si="327"/>
        <v>75</v>
      </c>
      <c r="Q1511" s="27">
        <f t="shared" si="328"/>
        <v>25</v>
      </c>
      <c r="R1511" s="26" t="b">
        <f t="shared" si="329"/>
        <v>0</v>
      </c>
      <c r="S1511" s="28" t="str">
        <f t="shared" si="330"/>
        <v>GROWTH</v>
      </c>
      <c r="T1511" s="24">
        <v>0</v>
      </c>
      <c r="U1511" s="29" t="str">
        <f t="shared" si="331"/>
        <v>May</v>
      </c>
      <c r="V1511" s="24">
        <f t="shared" si="332"/>
        <v>0</v>
      </c>
      <c r="W1511" s="30">
        <f t="shared" si="333"/>
        <v>100</v>
      </c>
      <c r="X1511" s="31" t="b">
        <f t="shared" si="334"/>
        <v>0</v>
      </c>
      <c r="Y1511" s="32" t="b">
        <f t="shared" si="335"/>
        <v>0</v>
      </c>
      <c r="Z1511" s="41">
        <v>0</v>
      </c>
      <c r="AA1511" s="36"/>
      <c r="AB1511" s="36" t="s">
        <v>24</v>
      </c>
      <c r="AC1511" s="52" t="s">
        <v>848</v>
      </c>
      <c r="AD1511" s="34"/>
      <c r="AE1511" s="35">
        <f>IFERROR(INDEX([1]Last6M_AvgSales_Ref!$B$2:$B$12659,MATCH(D1511,[1]Last6M_AvgSales_Ref!$A$2:$A$12659,0)),"")</f>
        <v>62.5</v>
      </c>
    </row>
    <row r="1512" spans="1:31" ht="14.25" customHeight="1" x14ac:dyDescent="0.3">
      <c r="A1512" s="52" t="s">
        <v>848</v>
      </c>
      <c r="B1512" s="53" t="s">
        <v>1257</v>
      </c>
      <c r="C1512" s="50" t="s">
        <v>3081</v>
      </c>
      <c r="D1512" s="41">
        <v>1000004594</v>
      </c>
      <c r="E1512" s="53" t="s">
        <v>3082</v>
      </c>
      <c r="F1512" s="51">
        <v>45990</v>
      </c>
      <c r="G1512" s="22" t="str">
        <f t="shared" si="322"/>
        <v>Targeted Dealer</v>
      </c>
      <c r="H1512" s="22"/>
      <c r="I1512" s="23">
        <v>80</v>
      </c>
      <c r="J1512" s="23">
        <f t="shared" si="323"/>
        <v>80</v>
      </c>
      <c r="K1512" s="24">
        <v>45</v>
      </c>
      <c r="L1512" s="24">
        <f t="shared" si="324"/>
        <v>35</v>
      </c>
      <c r="M1512" s="24">
        <f t="shared" si="325"/>
        <v>56.25</v>
      </c>
      <c r="N1512" s="25">
        <v>0</v>
      </c>
      <c r="O1512" s="26" t="str">
        <f t="shared" si="326"/>
        <v>June</v>
      </c>
      <c r="P1512" s="25">
        <f t="shared" si="327"/>
        <v>0</v>
      </c>
      <c r="Q1512" s="27">
        <f t="shared" si="328"/>
        <v>45</v>
      </c>
      <c r="R1512" s="26" t="b">
        <f t="shared" si="329"/>
        <v>0</v>
      </c>
      <c r="S1512" s="28" t="b">
        <f t="shared" si="330"/>
        <v>0</v>
      </c>
      <c r="T1512" s="24">
        <v>0</v>
      </c>
      <c r="U1512" s="29" t="str">
        <f t="shared" si="331"/>
        <v>May</v>
      </c>
      <c r="V1512" s="24">
        <f t="shared" si="332"/>
        <v>0</v>
      </c>
      <c r="W1512" s="30">
        <f t="shared" si="333"/>
        <v>45</v>
      </c>
      <c r="X1512" s="31" t="b">
        <f t="shared" si="334"/>
        <v>0</v>
      </c>
      <c r="Y1512" s="32" t="b">
        <f t="shared" si="335"/>
        <v>0</v>
      </c>
      <c r="Z1512" s="41">
        <v>0</v>
      </c>
      <c r="AA1512" s="36"/>
      <c r="AB1512" s="36" t="s">
        <v>24</v>
      </c>
      <c r="AC1512" s="52" t="s">
        <v>848</v>
      </c>
      <c r="AD1512" s="34"/>
      <c r="AE1512" s="35">
        <f>IFERROR(INDEX([1]Last6M_AvgSales_Ref!$B$2:$B$12659,MATCH(D1512,[1]Last6M_AvgSales_Ref!$A$2:$A$12659,0)),"")</f>
        <v>46.6666666666667</v>
      </c>
    </row>
    <row r="1513" spans="1:31" ht="14.25" customHeight="1" x14ac:dyDescent="0.3">
      <c r="A1513" s="52" t="s">
        <v>848</v>
      </c>
      <c r="B1513" s="53" t="s">
        <v>1101</v>
      </c>
      <c r="C1513" s="50" t="s">
        <v>3083</v>
      </c>
      <c r="D1513" s="41">
        <v>1000003476</v>
      </c>
      <c r="E1513" s="53" t="s">
        <v>3084</v>
      </c>
      <c r="F1513" s="51">
        <v>45036</v>
      </c>
      <c r="G1513" s="22" t="str">
        <f t="shared" si="322"/>
        <v>-</v>
      </c>
      <c r="H1513" s="22"/>
      <c r="I1513" s="23">
        <v>0</v>
      </c>
      <c r="J1513" s="23">
        <f t="shared" si="323"/>
        <v>0</v>
      </c>
      <c r="K1513" s="24">
        <v>0</v>
      </c>
      <c r="L1513" s="24">
        <f t="shared" si="324"/>
        <v>0</v>
      </c>
      <c r="M1513" s="24" t="str">
        <f t="shared" si="325"/>
        <v>-</v>
      </c>
      <c r="N1513" s="25">
        <v>0</v>
      </c>
      <c r="O1513" s="26" t="str">
        <f t="shared" si="326"/>
        <v>June</v>
      </c>
      <c r="P1513" s="25">
        <f t="shared" si="327"/>
        <v>0</v>
      </c>
      <c r="Q1513" s="27">
        <f t="shared" si="328"/>
        <v>0</v>
      </c>
      <c r="R1513" s="26" t="b">
        <f t="shared" si="329"/>
        <v>0</v>
      </c>
      <c r="S1513" s="28" t="b">
        <f t="shared" si="330"/>
        <v>0</v>
      </c>
      <c r="T1513" s="24">
        <v>0</v>
      </c>
      <c r="U1513" s="29" t="str">
        <f t="shared" si="331"/>
        <v>May</v>
      </c>
      <c r="V1513" s="24">
        <f t="shared" si="332"/>
        <v>0</v>
      </c>
      <c r="W1513" s="30">
        <f t="shared" si="333"/>
        <v>0</v>
      </c>
      <c r="X1513" s="31" t="b">
        <f t="shared" si="334"/>
        <v>0</v>
      </c>
      <c r="Y1513" s="32" t="b">
        <f t="shared" si="335"/>
        <v>0</v>
      </c>
      <c r="Z1513" s="41">
        <v>0</v>
      </c>
      <c r="AA1513" s="36"/>
      <c r="AB1513" s="36" t="s">
        <v>24</v>
      </c>
      <c r="AC1513" s="52" t="s">
        <v>848</v>
      </c>
      <c r="AD1513" s="34"/>
      <c r="AE1513" s="35">
        <f>IFERROR(INDEX([1]Last6M_AvgSales_Ref!$B$2:$B$12659,MATCH(D1513,[1]Last6M_AvgSales_Ref!$A$2:$A$12659,0)),"")</f>
        <v>8.3333333333333304</v>
      </c>
    </row>
    <row r="1514" spans="1:31" ht="14.25" customHeight="1" x14ac:dyDescent="0.3">
      <c r="A1514" s="52" t="s">
        <v>24</v>
      </c>
      <c r="B1514" s="53" t="s">
        <v>752</v>
      </c>
      <c r="C1514" s="50" t="s">
        <v>3085</v>
      </c>
      <c r="D1514" s="41">
        <v>1000004546</v>
      </c>
      <c r="E1514" s="53" t="s">
        <v>3086</v>
      </c>
      <c r="F1514" s="51">
        <v>45982</v>
      </c>
      <c r="G1514" s="22" t="str">
        <f t="shared" si="322"/>
        <v>Targeted Dealer</v>
      </c>
      <c r="H1514" s="22"/>
      <c r="I1514" s="23">
        <v>105</v>
      </c>
      <c r="J1514" s="23">
        <f t="shared" si="323"/>
        <v>105</v>
      </c>
      <c r="K1514" s="24">
        <v>60</v>
      </c>
      <c r="L1514" s="24">
        <f t="shared" si="324"/>
        <v>45</v>
      </c>
      <c r="M1514" s="24">
        <f t="shared" si="325"/>
        <v>57.142857142857139</v>
      </c>
      <c r="N1514" s="25">
        <v>90</v>
      </c>
      <c r="O1514" s="26" t="str">
        <f t="shared" si="326"/>
        <v>June</v>
      </c>
      <c r="P1514" s="25">
        <f t="shared" si="327"/>
        <v>90</v>
      </c>
      <c r="Q1514" s="27">
        <f t="shared" si="328"/>
        <v>-30</v>
      </c>
      <c r="R1514" s="26" t="b">
        <f t="shared" si="329"/>
        <v>0</v>
      </c>
      <c r="S1514" s="28" t="str">
        <f t="shared" si="330"/>
        <v>GROWTH</v>
      </c>
      <c r="T1514" s="24">
        <v>0</v>
      </c>
      <c r="U1514" s="29" t="str">
        <f t="shared" si="331"/>
        <v>May</v>
      </c>
      <c r="V1514" s="24">
        <f t="shared" si="332"/>
        <v>0</v>
      </c>
      <c r="W1514" s="30">
        <f t="shared" si="333"/>
        <v>60</v>
      </c>
      <c r="X1514" s="31" t="b">
        <f t="shared" si="334"/>
        <v>0</v>
      </c>
      <c r="Y1514" s="32" t="b">
        <f t="shared" si="335"/>
        <v>0</v>
      </c>
      <c r="Z1514" s="41">
        <v>0</v>
      </c>
      <c r="AA1514" s="36"/>
      <c r="AB1514" s="36" t="s">
        <v>24</v>
      </c>
      <c r="AC1514" s="52" t="s">
        <v>24</v>
      </c>
      <c r="AD1514" s="34"/>
      <c r="AE1514" s="35">
        <f>IFERROR(INDEX([1]Last6M_AvgSales_Ref!$B$2:$B$12659,MATCH(D1514,[1]Last6M_AvgSales_Ref!$A$2:$A$12659,0)),"")</f>
        <v>113.833333333333</v>
      </c>
    </row>
    <row r="1515" spans="1:31" ht="14.25" customHeight="1" x14ac:dyDescent="0.3">
      <c r="A1515" s="52" t="s">
        <v>848</v>
      </c>
      <c r="B1515" s="53" t="s">
        <v>1702</v>
      </c>
      <c r="C1515" s="50" t="s">
        <v>3087</v>
      </c>
      <c r="D1515" s="41">
        <v>1000000989</v>
      </c>
      <c r="E1515" s="53" t="s">
        <v>3088</v>
      </c>
      <c r="F1515" s="51">
        <v>44738</v>
      </c>
      <c r="G1515" s="22" t="str">
        <f t="shared" si="322"/>
        <v>Targeted Dealer</v>
      </c>
      <c r="H1515" s="22"/>
      <c r="I1515" s="23">
        <v>100</v>
      </c>
      <c r="J1515" s="23">
        <f t="shared" si="323"/>
        <v>100</v>
      </c>
      <c r="K1515" s="24">
        <v>20</v>
      </c>
      <c r="L1515" s="24">
        <f t="shared" si="324"/>
        <v>80</v>
      </c>
      <c r="M1515" s="24">
        <f t="shared" si="325"/>
        <v>20</v>
      </c>
      <c r="N1515" s="25">
        <v>152.55000000000001</v>
      </c>
      <c r="O1515" s="26" t="str">
        <f t="shared" si="326"/>
        <v>June</v>
      </c>
      <c r="P1515" s="25">
        <f t="shared" si="327"/>
        <v>152.55000000000001</v>
      </c>
      <c r="Q1515" s="27">
        <f t="shared" si="328"/>
        <v>-132.55000000000001</v>
      </c>
      <c r="R1515" s="26" t="b">
        <f t="shared" si="329"/>
        <v>0</v>
      </c>
      <c r="S1515" s="28" t="str">
        <f t="shared" si="330"/>
        <v>GROWTH</v>
      </c>
      <c r="T1515" s="24">
        <v>0</v>
      </c>
      <c r="U1515" s="29" t="str">
        <f t="shared" si="331"/>
        <v>May</v>
      </c>
      <c r="V1515" s="24">
        <f t="shared" si="332"/>
        <v>0</v>
      </c>
      <c r="W1515" s="30">
        <f t="shared" si="333"/>
        <v>20</v>
      </c>
      <c r="X1515" s="31" t="b">
        <f t="shared" si="334"/>
        <v>0</v>
      </c>
      <c r="Y1515" s="32" t="b">
        <f t="shared" si="335"/>
        <v>0</v>
      </c>
      <c r="Z1515" s="41">
        <v>0</v>
      </c>
      <c r="AA1515" s="36"/>
      <c r="AB1515" s="36" t="s">
        <v>24</v>
      </c>
      <c r="AC1515" s="52" t="s">
        <v>848</v>
      </c>
      <c r="AD1515" s="34"/>
      <c r="AE1515" s="35">
        <f>IFERROR(INDEX([1]Last6M_AvgSales_Ref!$B$2:$B$12659,MATCH(D1515,[1]Last6M_AvgSales_Ref!$A$2:$A$12659,0)),"")</f>
        <v>3.6666666666666701</v>
      </c>
    </row>
    <row r="1516" spans="1:31" ht="14.25" customHeight="1" x14ac:dyDescent="0.3">
      <c r="A1516" s="52" t="s">
        <v>24</v>
      </c>
      <c r="B1516" s="53" t="s">
        <v>25</v>
      </c>
      <c r="C1516" s="50" t="s">
        <v>3089</v>
      </c>
      <c r="D1516" s="41">
        <v>1000004579</v>
      </c>
      <c r="E1516" s="53" t="s">
        <v>3090</v>
      </c>
      <c r="F1516" s="51">
        <v>46014</v>
      </c>
      <c r="G1516" s="22" t="str">
        <f t="shared" si="322"/>
        <v>Targeted Dealer</v>
      </c>
      <c r="H1516" s="22"/>
      <c r="I1516" s="23">
        <v>140</v>
      </c>
      <c r="J1516" s="23">
        <f t="shared" si="323"/>
        <v>140</v>
      </c>
      <c r="K1516" s="24">
        <v>140</v>
      </c>
      <c r="L1516" s="24">
        <f t="shared" si="324"/>
        <v>0</v>
      </c>
      <c r="M1516" s="24">
        <f t="shared" si="325"/>
        <v>100</v>
      </c>
      <c r="N1516" s="25">
        <v>185</v>
      </c>
      <c r="O1516" s="26" t="str">
        <f t="shared" si="326"/>
        <v>June</v>
      </c>
      <c r="P1516" s="25">
        <f t="shared" si="327"/>
        <v>185</v>
      </c>
      <c r="Q1516" s="27">
        <f t="shared" si="328"/>
        <v>-45</v>
      </c>
      <c r="R1516" s="26" t="b">
        <f t="shared" si="329"/>
        <v>0</v>
      </c>
      <c r="S1516" s="28" t="str">
        <f t="shared" si="330"/>
        <v>GROWTH</v>
      </c>
      <c r="T1516" s="24">
        <v>0</v>
      </c>
      <c r="U1516" s="29" t="str">
        <f t="shared" si="331"/>
        <v>May</v>
      </c>
      <c r="V1516" s="24">
        <f t="shared" si="332"/>
        <v>0</v>
      </c>
      <c r="W1516" s="30">
        <f t="shared" si="333"/>
        <v>140</v>
      </c>
      <c r="X1516" s="31" t="b">
        <f t="shared" si="334"/>
        <v>0</v>
      </c>
      <c r="Y1516" s="32" t="b">
        <f t="shared" si="335"/>
        <v>0</v>
      </c>
      <c r="Z1516" s="41">
        <v>0</v>
      </c>
      <c r="AA1516" s="36"/>
      <c r="AB1516" s="36" t="s">
        <v>24</v>
      </c>
      <c r="AC1516" s="52" t="s">
        <v>24</v>
      </c>
      <c r="AD1516" s="34"/>
      <c r="AE1516" s="35">
        <f>IFERROR(INDEX([1]Last6M_AvgSales_Ref!$B$2:$B$12659,MATCH(D1516,[1]Last6M_AvgSales_Ref!$A$2:$A$12659,0)),"")</f>
        <v>106.666666666667</v>
      </c>
    </row>
    <row r="1517" spans="1:31" ht="14.25" customHeight="1" x14ac:dyDescent="0.3">
      <c r="A1517" s="52" t="s">
        <v>848</v>
      </c>
      <c r="B1517" s="53" t="s">
        <v>1420</v>
      </c>
      <c r="C1517" s="50" t="s">
        <v>3091</v>
      </c>
      <c r="D1517" s="41">
        <v>1000001100</v>
      </c>
      <c r="E1517" s="53" t="s">
        <v>3092</v>
      </c>
      <c r="F1517" s="51">
        <v>44738</v>
      </c>
      <c r="G1517" s="22" t="str">
        <f t="shared" si="322"/>
        <v>Targeted Dealer</v>
      </c>
      <c r="H1517" s="22"/>
      <c r="I1517" s="23">
        <v>60</v>
      </c>
      <c r="J1517" s="23">
        <f t="shared" si="323"/>
        <v>60</v>
      </c>
      <c r="K1517" s="24">
        <v>0</v>
      </c>
      <c r="L1517" s="24">
        <f t="shared" si="324"/>
        <v>60</v>
      </c>
      <c r="M1517" s="24">
        <f t="shared" si="325"/>
        <v>0</v>
      </c>
      <c r="N1517" s="25">
        <v>0</v>
      </c>
      <c r="O1517" s="26" t="str">
        <f t="shared" si="326"/>
        <v>June</v>
      </c>
      <c r="P1517" s="25">
        <f t="shared" si="327"/>
        <v>0</v>
      </c>
      <c r="Q1517" s="27">
        <f t="shared" si="328"/>
        <v>0</v>
      </c>
      <c r="R1517" s="26" t="b">
        <f t="shared" si="329"/>
        <v>0</v>
      </c>
      <c r="S1517" s="28" t="b">
        <f t="shared" si="330"/>
        <v>0</v>
      </c>
      <c r="T1517" s="24">
        <v>0</v>
      </c>
      <c r="U1517" s="29" t="str">
        <f t="shared" si="331"/>
        <v>May</v>
      </c>
      <c r="V1517" s="24">
        <f t="shared" si="332"/>
        <v>0</v>
      </c>
      <c r="W1517" s="30">
        <f t="shared" si="333"/>
        <v>0</v>
      </c>
      <c r="X1517" s="31" t="b">
        <f t="shared" si="334"/>
        <v>0</v>
      </c>
      <c r="Y1517" s="32" t="b">
        <f t="shared" si="335"/>
        <v>0</v>
      </c>
      <c r="Z1517" s="41">
        <v>0</v>
      </c>
      <c r="AA1517" s="36"/>
      <c r="AB1517" s="36" t="s">
        <v>24</v>
      </c>
      <c r="AC1517" s="52" t="s">
        <v>848</v>
      </c>
      <c r="AD1517" s="34"/>
      <c r="AE1517" s="35">
        <f>IFERROR(INDEX([1]Last6M_AvgSales_Ref!$B$2:$B$12659,MATCH(D1517,[1]Last6M_AvgSales_Ref!$A$2:$A$12659,0)),"")</f>
        <v>20.3333333333333</v>
      </c>
    </row>
    <row r="1518" spans="1:31" ht="14.25" customHeight="1" x14ac:dyDescent="0.3">
      <c r="A1518" s="52" t="s">
        <v>848</v>
      </c>
      <c r="B1518" s="53" t="s">
        <v>1420</v>
      </c>
      <c r="C1518" s="50" t="s">
        <v>3093</v>
      </c>
      <c r="D1518" s="41">
        <v>1000004550</v>
      </c>
      <c r="E1518" s="53" t="s">
        <v>3094</v>
      </c>
      <c r="F1518" s="51">
        <v>45993</v>
      </c>
      <c r="G1518" s="22" t="str">
        <f t="shared" si="322"/>
        <v>Targeted Dealer</v>
      </c>
      <c r="H1518" s="22"/>
      <c r="I1518" s="23">
        <v>100</v>
      </c>
      <c r="J1518" s="23">
        <f t="shared" si="323"/>
        <v>100</v>
      </c>
      <c r="K1518" s="24">
        <v>48.5</v>
      </c>
      <c r="L1518" s="24">
        <f t="shared" si="324"/>
        <v>51.5</v>
      </c>
      <c r="M1518" s="24">
        <f t="shared" si="325"/>
        <v>48.5</v>
      </c>
      <c r="N1518" s="25">
        <v>30</v>
      </c>
      <c r="O1518" s="26" t="str">
        <f t="shared" si="326"/>
        <v>June</v>
      </c>
      <c r="P1518" s="25">
        <f t="shared" si="327"/>
        <v>30</v>
      </c>
      <c r="Q1518" s="27">
        <f t="shared" si="328"/>
        <v>18.5</v>
      </c>
      <c r="R1518" s="26" t="b">
        <f t="shared" si="329"/>
        <v>0</v>
      </c>
      <c r="S1518" s="28" t="str">
        <f t="shared" si="330"/>
        <v>GROWTH</v>
      </c>
      <c r="T1518" s="24">
        <v>0</v>
      </c>
      <c r="U1518" s="29" t="str">
        <f t="shared" si="331"/>
        <v>May</v>
      </c>
      <c r="V1518" s="24">
        <f t="shared" si="332"/>
        <v>0</v>
      </c>
      <c r="W1518" s="30">
        <f t="shared" si="333"/>
        <v>48.5</v>
      </c>
      <c r="X1518" s="31" t="b">
        <f t="shared" si="334"/>
        <v>0</v>
      </c>
      <c r="Y1518" s="32" t="b">
        <f t="shared" si="335"/>
        <v>0</v>
      </c>
      <c r="Z1518" s="41">
        <v>0</v>
      </c>
      <c r="AA1518" s="36"/>
      <c r="AB1518" s="36" t="s">
        <v>24</v>
      </c>
      <c r="AC1518" s="52" t="s">
        <v>848</v>
      </c>
      <c r="AD1518" s="34"/>
      <c r="AE1518" s="35">
        <f>IFERROR(INDEX([1]Last6M_AvgSales_Ref!$B$2:$B$12659,MATCH(D1518,[1]Last6M_AvgSales_Ref!$A$2:$A$12659,0)),"")</f>
        <v>20.0833333333333</v>
      </c>
    </row>
    <row r="1519" spans="1:31" ht="14.25" customHeight="1" x14ac:dyDescent="0.3">
      <c r="A1519" s="52" t="s">
        <v>848</v>
      </c>
      <c r="B1519" s="53" t="s">
        <v>1420</v>
      </c>
      <c r="C1519" s="50" t="s">
        <v>3095</v>
      </c>
      <c r="D1519" s="41">
        <v>1000004563</v>
      </c>
      <c r="E1519" s="53" t="s">
        <v>3096</v>
      </c>
      <c r="F1519" s="51">
        <v>46001</v>
      </c>
      <c r="G1519" s="22" t="str">
        <f t="shared" si="322"/>
        <v>Targeted Dealer</v>
      </c>
      <c r="H1519" s="22"/>
      <c r="I1519" s="23">
        <v>60</v>
      </c>
      <c r="J1519" s="23">
        <f t="shared" si="323"/>
        <v>60</v>
      </c>
      <c r="K1519" s="24">
        <v>23</v>
      </c>
      <c r="L1519" s="24">
        <f t="shared" si="324"/>
        <v>37</v>
      </c>
      <c r="M1519" s="24">
        <f t="shared" si="325"/>
        <v>38.333333333333336</v>
      </c>
      <c r="N1519" s="25">
        <v>26</v>
      </c>
      <c r="O1519" s="26" t="str">
        <f t="shared" si="326"/>
        <v>June</v>
      </c>
      <c r="P1519" s="25">
        <f t="shared" si="327"/>
        <v>26</v>
      </c>
      <c r="Q1519" s="27">
        <f t="shared" si="328"/>
        <v>-3</v>
      </c>
      <c r="R1519" s="26" t="b">
        <f t="shared" si="329"/>
        <v>0</v>
      </c>
      <c r="S1519" s="28" t="str">
        <f t="shared" si="330"/>
        <v>GROWTH</v>
      </c>
      <c r="T1519" s="24">
        <v>0</v>
      </c>
      <c r="U1519" s="29" t="str">
        <f t="shared" si="331"/>
        <v>May</v>
      </c>
      <c r="V1519" s="24">
        <f t="shared" si="332"/>
        <v>0</v>
      </c>
      <c r="W1519" s="30">
        <f t="shared" si="333"/>
        <v>23</v>
      </c>
      <c r="X1519" s="31" t="b">
        <f t="shared" si="334"/>
        <v>0</v>
      </c>
      <c r="Y1519" s="32" t="b">
        <f t="shared" si="335"/>
        <v>0</v>
      </c>
      <c r="Z1519" s="41">
        <v>0</v>
      </c>
      <c r="AA1519" s="36"/>
      <c r="AB1519" s="36" t="s">
        <v>24</v>
      </c>
      <c r="AC1519" s="52" t="s">
        <v>848</v>
      </c>
      <c r="AD1519" s="34"/>
      <c r="AE1519" s="35">
        <f>IFERROR(INDEX([1]Last6M_AvgSales_Ref!$B$2:$B$12659,MATCH(D1519,[1]Last6M_AvgSales_Ref!$A$2:$A$12659,0)),"")</f>
        <v>42.5833333333333</v>
      </c>
    </row>
    <row r="1520" spans="1:31" ht="14.25" customHeight="1" x14ac:dyDescent="0.3">
      <c r="A1520" s="52" t="s">
        <v>2027</v>
      </c>
      <c r="B1520" s="53" t="s">
        <v>2028</v>
      </c>
      <c r="C1520" s="50" t="s">
        <v>3097</v>
      </c>
      <c r="D1520" s="41">
        <v>1000004534</v>
      </c>
      <c r="E1520" s="53" t="s">
        <v>3098</v>
      </c>
      <c r="F1520" s="51">
        <v>45976</v>
      </c>
      <c r="G1520" s="22" t="str">
        <f t="shared" si="322"/>
        <v>Targeted Dealer</v>
      </c>
      <c r="H1520" s="22"/>
      <c r="I1520" s="23">
        <v>80</v>
      </c>
      <c r="J1520" s="23">
        <f t="shared" si="323"/>
        <v>80</v>
      </c>
      <c r="K1520" s="24">
        <v>20</v>
      </c>
      <c r="L1520" s="24">
        <f t="shared" si="324"/>
        <v>60</v>
      </c>
      <c r="M1520" s="24">
        <f t="shared" si="325"/>
        <v>25</v>
      </c>
      <c r="N1520" s="25">
        <v>60.5</v>
      </c>
      <c r="O1520" s="26" t="str">
        <f t="shared" si="326"/>
        <v>June</v>
      </c>
      <c r="P1520" s="25">
        <f t="shared" si="327"/>
        <v>60.5</v>
      </c>
      <c r="Q1520" s="27">
        <f t="shared" si="328"/>
        <v>-40.5</v>
      </c>
      <c r="R1520" s="26" t="b">
        <f t="shared" si="329"/>
        <v>0</v>
      </c>
      <c r="S1520" s="28" t="str">
        <f t="shared" si="330"/>
        <v>GROWTH</v>
      </c>
      <c r="T1520" s="24">
        <v>0</v>
      </c>
      <c r="U1520" s="29" t="str">
        <f t="shared" si="331"/>
        <v>May</v>
      </c>
      <c r="V1520" s="24">
        <f t="shared" si="332"/>
        <v>0</v>
      </c>
      <c r="W1520" s="30">
        <f t="shared" si="333"/>
        <v>20</v>
      </c>
      <c r="X1520" s="31" t="b">
        <f t="shared" si="334"/>
        <v>0</v>
      </c>
      <c r="Y1520" s="32" t="b">
        <f t="shared" si="335"/>
        <v>0</v>
      </c>
      <c r="Z1520" s="41">
        <v>0</v>
      </c>
      <c r="AA1520" s="36"/>
      <c r="AB1520" s="36" t="s">
        <v>24</v>
      </c>
      <c r="AC1520" s="52" t="s">
        <v>2027</v>
      </c>
      <c r="AD1520" s="34"/>
      <c r="AE1520" s="35">
        <f>IFERROR(INDEX([1]Last6M_AvgSales_Ref!$B$2:$B$12659,MATCH(D1520,[1]Last6M_AvgSales_Ref!$A$2:$A$12659,0)),"")</f>
        <v>59.933333333333302</v>
      </c>
    </row>
    <row r="1521" spans="1:31" ht="14.25" customHeight="1" x14ac:dyDescent="0.3">
      <c r="A1521" s="52" t="s">
        <v>2027</v>
      </c>
      <c r="B1521" s="53" t="s">
        <v>2028</v>
      </c>
      <c r="C1521" s="50" t="s">
        <v>3099</v>
      </c>
      <c r="D1521" s="41">
        <v>1000004545</v>
      </c>
      <c r="E1521" s="53" t="s">
        <v>3100</v>
      </c>
      <c r="F1521" s="51">
        <v>45981</v>
      </c>
      <c r="G1521" s="22" t="str">
        <f t="shared" si="322"/>
        <v>Targeted Dealer</v>
      </c>
      <c r="H1521" s="22"/>
      <c r="I1521" s="23">
        <v>20</v>
      </c>
      <c r="J1521" s="23">
        <f t="shared" si="323"/>
        <v>20</v>
      </c>
      <c r="K1521" s="24">
        <v>11</v>
      </c>
      <c r="L1521" s="24">
        <f t="shared" si="324"/>
        <v>9</v>
      </c>
      <c r="M1521" s="24">
        <f t="shared" si="325"/>
        <v>55</v>
      </c>
      <c r="N1521" s="25">
        <v>4</v>
      </c>
      <c r="O1521" s="26" t="str">
        <f t="shared" si="326"/>
        <v>June</v>
      </c>
      <c r="P1521" s="25">
        <f t="shared" si="327"/>
        <v>4</v>
      </c>
      <c r="Q1521" s="27">
        <f t="shared" si="328"/>
        <v>7</v>
      </c>
      <c r="R1521" s="26" t="b">
        <f t="shared" si="329"/>
        <v>0</v>
      </c>
      <c r="S1521" s="28" t="str">
        <f t="shared" si="330"/>
        <v>GROWTH</v>
      </c>
      <c r="T1521" s="24">
        <v>0</v>
      </c>
      <c r="U1521" s="29" t="str">
        <f t="shared" si="331"/>
        <v>May</v>
      </c>
      <c r="V1521" s="24">
        <f t="shared" si="332"/>
        <v>0</v>
      </c>
      <c r="W1521" s="30">
        <f t="shared" si="333"/>
        <v>11</v>
      </c>
      <c r="X1521" s="31" t="b">
        <f t="shared" si="334"/>
        <v>0</v>
      </c>
      <c r="Y1521" s="32" t="b">
        <f t="shared" si="335"/>
        <v>0</v>
      </c>
      <c r="Z1521" s="41">
        <v>0</v>
      </c>
      <c r="AA1521" s="36"/>
      <c r="AB1521" s="36" t="s">
        <v>24</v>
      </c>
      <c r="AC1521" s="52" t="s">
        <v>2027</v>
      </c>
      <c r="AD1521" s="34"/>
      <c r="AE1521" s="35">
        <f>IFERROR(INDEX([1]Last6M_AvgSales_Ref!$B$2:$B$12659,MATCH(D1521,[1]Last6M_AvgSales_Ref!$A$2:$A$12659,0)),"")</f>
        <v>20.7083333333333</v>
      </c>
    </row>
    <row r="1522" spans="1:31" ht="14.25" customHeight="1" x14ac:dyDescent="0.3">
      <c r="A1522" s="52" t="s">
        <v>24</v>
      </c>
      <c r="B1522" s="53" t="s">
        <v>399</v>
      </c>
      <c r="C1522" s="50" t="s">
        <v>3101</v>
      </c>
      <c r="D1522" s="41">
        <v>1000000098</v>
      </c>
      <c r="E1522" s="53" t="s">
        <v>3102</v>
      </c>
      <c r="F1522" s="51">
        <v>44738</v>
      </c>
      <c r="G1522" s="22" t="str">
        <f t="shared" si="322"/>
        <v>Targeted Dealer</v>
      </c>
      <c r="H1522" s="22"/>
      <c r="I1522" s="23">
        <v>30</v>
      </c>
      <c r="J1522" s="23">
        <f t="shared" si="323"/>
        <v>30</v>
      </c>
      <c r="K1522" s="24">
        <v>15</v>
      </c>
      <c r="L1522" s="24">
        <f t="shared" si="324"/>
        <v>15</v>
      </c>
      <c r="M1522" s="24">
        <f t="shared" si="325"/>
        <v>50</v>
      </c>
      <c r="N1522" s="25">
        <v>15</v>
      </c>
      <c r="O1522" s="26" t="str">
        <f t="shared" si="326"/>
        <v>June</v>
      </c>
      <c r="P1522" s="25">
        <f t="shared" si="327"/>
        <v>15</v>
      </c>
      <c r="Q1522" s="27">
        <f t="shared" si="328"/>
        <v>0</v>
      </c>
      <c r="R1522" s="26" t="b">
        <f t="shared" si="329"/>
        <v>0</v>
      </c>
      <c r="S1522" s="28" t="str">
        <f t="shared" si="330"/>
        <v>GROWTH</v>
      </c>
      <c r="T1522" s="24">
        <v>0</v>
      </c>
      <c r="U1522" s="29" t="str">
        <f t="shared" si="331"/>
        <v>May</v>
      </c>
      <c r="V1522" s="24">
        <f t="shared" si="332"/>
        <v>0</v>
      </c>
      <c r="W1522" s="30">
        <f t="shared" si="333"/>
        <v>15</v>
      </c>
      <c r="X1522" s="31" t="b">
        <f t="shared" si="334"/>
        <v>0</v>
      </c>
      <c r="Y1522" s="32" t="b">
        <f t="shared" si="335"/>
        <v>0</v>
      </c>
      <c r="Z1522" s="41">
        <v>0</v>
      </c>
      <c r="AA1522" s="36"/>
      <c r="AB1522" s="36" t="s">
        <v>24</v>
      </c>
      <c r="AC1522" s="52" t="s">
        <v>24</v>
      </c>
      <c r="AD1522" s="34"/>
      <c r="AE1522" s="35">
        <f>IFERROR(INDEX([1]Last6M_AvgSales_Ref!$B$2:$B$12659,MATCH(D1522,[1]Last6M_AvgSales_Ref!$A$2:$A$12659,0)),"")</f>
        <v>5</v>
      </c>
    </row>
    <row r="1523" spans="1:31" ht="14.25" customHeight="1" x14ac:dyDescent="0.3">
      <c r="A1523" s="52" t="s">
        <v>24</v>
      </c>
      <c r="B1523" s="53" t="s">
        <v>399</v>
      </c>
      <c r="C1523" s="50" t="s">
        <v>3103</v>
      </c>
      <c r="D1523" s="41">
        <v>1000000101</v>
      </c>
      <c r="E1523" s="53" t="s">
        <v>3104</v>
      </c>
      <c r="F1523" s="51">
        <v>44738</v>
      </c>
      <c r="G1523" s="22" t="str">
        <f t="shared" si="322"/>
        <v>Targeted Dealer</v>
      </c>
      <c r="H1523" s="22"/>
      <c r="I1523" s="23">
        <v>35</v>
      </c>
      <c r="J1523" s="23">
        <f t="shared" si="323"/>
        <v>35</v>
      </c>
      <c r="K1523" s="24">
        <v>16</v>
      </c>
      <c r="L1523" s="24">
        <f t="shared" si="324"/>
        <v>19</v>
      </c>
      <c r="M1523" s="24">
        <f t="shared" si="325"/>
        <v>45.714285714285715</v>
      </c>
      <c r="N1523" s="25">
        <v>0</v>
      </c>
      <c r="O1523" s="26" t="str">
        <f t="shared" si="326"/>
        <v>June</v>
      </c>
      <c r="P1523" s="25">
        <f t="shared" si="327"/>
        <v>0</v>
      </c>
      <c r="Q1523" s="27">
        <f t="shared" si="328"/>
        <v>16</v>
      </c>
      <c r="R1523" s="26" t="b">
        <f t="shared" si="329"/>
        <v>0</v>
      </c>
      <c r="S1523" s="28" t="b">
        <f t="shared" si="330"/>
        <v>0</v>
      </c>
      <c r="T1523" s="24">
        <v>0</v>
      </c>
      <c r="U1523" s="29" t="str">
        <f t="shared" si="331"/>
        <v>May</v>
      </c>
      <c r="V1523" s="24">
        <f t="shared" si="332"/>
        <v>0</v>
      </c>
      <c r="W1523" s="30">
        <f t="shared" si="333"/>
        <v>16</v>
      </c>
      <c r="X1523" s="31" t="b">
        <f t="shared" si="334"/>
        <v>0</v>
      </c>
      <c r="Y1523" s="32" t="b">
        <f t="shared" si="335"/>
        <v>0</v>
      </c>
      <c r="Z1523" s="41">
        <v>0</v>
      </c>
      <c r="AA1523" s="36"/>
      <c r="AB1523" s="36" t="s">
        <v>24</v>
      </c>
      <c r="AC1523" s="52" t="s">
        <v>24</v>
      </c>
      <c r="AD1523" s="34"/>
      <c r="AE1523" s="35">
        <f>IFERROR(INDEX([1]Last6M_AvgSales_Ref!$B$2:$B$12659,MATCH(D1523,[1]Last6M_AvgSales_Ref!$A$2:$A$12659,0)),"")</f>
        <v>22</v>
      </c>
    </row>
    <row r="1524" spans="1:31" ht="14.25" customHeight="1" x14ac:dyDescent="0.3">
      <c r="A1524" s="52" t="s">
        <v>848</v>
      </c>
      <c r="B1524" s="53" t="s">
        <v>1558</v>
      </c>
      <c r="C1524" s="50" t="s">
        <v>3105</v>
      </c>
      <c r="D1524" s="41">
        <v>1000003811</v>
      </c>
      <c r="E1524" s="53" t="s">
        <v>642</v>
      </c>
      <c r="F1524" s="51">
        <v>45291</v>
      </c>
      <c r="G1524" s="22" t="str">
        <f t="shared" si="322"/>
        <v>-</v>
      </c>
      <c r="H1524" s="22"/>
      <c r="I1524" s="23">
        <v>0</v>
      </c>
      <c r="J1524" s="23">
        <f t="shared" si="323"/>
        <v>0</v>
      </c>
      <c r="K1524" s="24">
        <v>0</v>
      </c>
      <c r="L1524" s="24">
        <f t="shared" si="324"/>
        <v>0</v>
      </c>
      <c r="M1524" s="24" t="str">
        <f t="shared" si="325"/>
        <v>-</v>
      </c>
      <c r="N1524" s="25">
        <v>0</v>
      </c>
      <c r="O1524" s="26" t="str">
        <f t="shared" si="326"/>
        <v>June</v>
      </c>
      <c r="P1524" s="25">
        <f t="shared" si="327"/>
        <v>0</v>
      </c>
      <c r="Q1524" s="27">
        <f t="shared" si="328"/>
        <v>0</v>
      </c>
      <c r="R1524" s="26" t="b">
        <f t="shared" si="329"/>
        <v>0</v>
      </c>
      <c r="S1524" s="28" t="b">
        <f t="shared" si="330"/>
        <v>0</v>
      </c>
      <c r="T1524" s="24">
        <v>0</v>
      </c>
      <c r="U1524" s="29" t="str">
        <f t="shared" si="331"/>
        <v>May</v>
      </c>
      <c r="V1524" s="24">
        <f t="shared" si="332"/>
        <v>0</v>
      </c>
      <c r="W1524" s="30">
        <f t="shared" si="333"/>
        <v>0</v>
      </c>
      <c r="X1524" s="31" t="b">
        <f t="shared" si="334"/>
        <v>0</v>
      </c>
      <c r="Y1524" s="32" t="b">
        <f t="shared" si="335"/>
        <v>0</v>
      </c>
      <c r="Z1524" s="41">
        <v>0</v>
      </c>
      <c r="AA1524" s="36"/>
      <c r="AB1524" s="36" t="s">
        <v>24</v>
      </c>
      <c r="AC1524" s="52" t="s">
        <v>848</v>
      </c>
      <c r="AD1524" s="34"/>
      <c r="AE1524" s="35">
        <f>IFERROR(INDEX([1]Last6M_AvgSales_Ref!$B$2:$B$12659,MATCH(D1524,[1]Last6M_AvgSales_Ref!$A$2:$A$12659,0)),"")</f>
        <v>5.4166666666666696</v>
      </c>
    </row>
    <row r="1525" spans="1:31" ht="14.25" customHeight="1" x14ac:dyDescent="0.3">
      <c r="A1525" s="52" t="s">
        <v>848</v>
      </c>
      <c r="B1525" s="53" t="s">
        <v>1558</v>
      </c>
      <c r="C1525" s="50" t="s">
        <v>3106</v>
      </c>
      <c r="D1525" s="41">
        <v>1000004591</v>
      </c>
      <c r="E1525" s="53" t="s">
        <v>3107</v>
      </c>
      <c r="F1525" s="51">
        <v>46030</v>
      </c>
      <c r="G1525" s="22" t="str">
        <f t="shared" si="322"/>
        <v>Targeted Dealer</v>
      </c>
      <c r="H1525" s="22"/>
      <c r="I1525" s="23">
        <v>150</v>
      </c>
      <c r="J1525" s="23">
        <f t="shared" si="323"/>
        <v>150</v>
      </c>
      <c r="K1525" s="24">
        <v>121.25</v>
      </c>
      <c r="L1525" s="24">
        <f t="shared" si="324"/>
        <v>28.75</v>
      </c>
      <c r="M1525" s="24">
        <f t="shared" si="325"/>
        <v>80.833333333333329</v>
      </c>
      <c r="N1525" s="25">
        <v>100.5</v>
      </c>
      <c r="O1525" s="26" t="str">
        <f t="shared" si="326"/>
        <v>June</v>
      </c>
      <c r="P1525" s="25">
        <f t="shared" si="327"/>
        <v>100.5</v>
      </c>
      <c r="Q1525" s="27">
        <f t="shared" si="328"/>
        <v>20.75</v>
      </c>
      <c r="R1525" s="26" t="b">
        <f t="shared" si="329"/>
        <v>0</v>
      </c>
      <c r="S1525" s="28" t="str">
        <f t="shared" si="330"/>
        <v>GROWTH</v>
      </c>
      <c r="T1525" s="24">
        <v>0</v>
      </c>
      <c r="U1525" s="29" t="str">
        <f t="shared" si="331"/>
        <v>May</v>
      </c>
      <c r="V1525" s="24">
        <f t="shared" si="332"/>
        <v>0</v>
      </c>
      <c r="W1525" s="30">
        <f t="shared" si="333"/>
        <v>121.25</v>
      </c>
      <c r="X1525" s="31" t="b">
        <f t="shared" si="334"/>
        <v>0</v>
      </c>
      <c r="Y1525" s="32" t="b">
        <f t="shared" si="335"/>
        <v>0</v>
      </c>
      <c r="Z1525" s="41">
        <v>0</v>
      </c>
      <c r="AA1525" s="36"/>
      <c r="AB1525" s="36" t="s">
        <v>24</v>
      </c>
      <c r="AC1525" s="52" t="s">
        <v>848</v>
      </c>
      <c r="AD1525" s="34"/>
      <c r="AE1525" s="35">
        <f>IFERROR(INDEX([1]Last6M_AvgSales_Ref!$B$2:$B$12659,MATCH(D1525,[1]Last6M_AvgSales_Ref!$A$2:$A$12659,0)),"")</f>
        <v>53.9166666666667</v>
      </c>
    </row>
    <row r="1526" spans="1:31" ht="14.25" customHeight="1" x14ac:dyDescent="0.3">
      <c r="A1526" s="52" t="s">
        <v>848</v>
      </c>
      <c r="B1526" s="53" t="s">
        <v>917</v>
      </c>
      <c r="C1526" s="50" t="s">
        <v>3108</v>
      </c>
      <c r="D1526" s="41">
        <v>1000000180</v>
      </c>
      <c r="E1526" s="53" t="s">
        <v>3109</v>
      </c>
      <c r="F1526" s="51">
        <v>44738</v>
      </c>
      <c r="G1526" s="22" t="str">
        <f t="shared" si="322"/>
        <v>-</v>
      </c>
      <c r="H1526" s="22"/>
      <c r="I1526" s="23">
        <v>0</v>
      </c>
      <c r="J1526" s="23">
        <f t="shared" si="323"/>
        <v>0</v>
      </c>
      <c r="K1526" s="24">
        <v>0</v>
      </c>
      <c r="L1526" s="24">
        <f t="shared" si="324"/>
        <v>0</v>
      </c>
      <c r="M1526" s="24" t="str">
        <f t="shared" si="325"/>
        <v>-</v>
      </c>
      <c r="N1526" s="25">
        <v>0</v>
      </c>
      <c r="O1526" s="26" t="str">
        <f t="shared" si="326"/>
        <v>June</v>
      </c>
      <c r="P1526" s="25">
        <f t="shared" si="327"/>
        <v>0</v>
      </c>
      <c r="Q1526" s="27">
        <f t="shared" si="328"/>
        <v>0</v>
      </c>
      <c r="R1526" s="26" t="b">
        <f t="shared" si="329"/>
        <v>0</v>
      </c>
      <c r="S1526" s="28" t="b">
        <f t="shared" si="330"/>
        <v>0</v>
      </c>
      <c r="T1526" s="24">
        <v>0</v>
      </c>
      <c r="U1526" s="29" t="str">
        <f t="shared" si="331"/>
        <v>May</v>
      </c>
      <c r="V1526" s="24">
        <f t="shared" si="332"/>
        <v>0</v>
      </c>
      <c r="W1526" s="30">
        <f t="shared" si="333"/>
        <v>0</v>
      </c>
      <c r="X1526" s="31" t="b">
        <f t="shared" si="334"/>
        <v>0</v>
      </c>
      <c r="Y1526" s="32" t="b">
        <f t="shared" si="335"/>
        <v>0</v>
      </c>
      <c r="Z1526" s="41">
        <v>0</v>
      </c>
      <c r="AA1526" s="36"/>
      <c r="AB1526" s="36" t="s">
        <v>24</v>
      </c>
      <c r="AC1526" s="52" t="s">
        <v>848</v>
      </c>
      <c r="AD1526" s="34"/>
      <c r="AE1526" s="35">
        <f>IFERROR(INDEX([1]Last6M_AvgSales_Ref!$B$2:$B$12659,MATCH(D1526,[1]Last6M_AvgSales_Ref!$A$2:$A$12659,0)),"")</f>
        <v>3.3333333333333299</v>
      </c>
    </row>
    <row r="1527" spans="1:31" ht="14.25" customHeight="1" x14ac:dyDescent="0.3">
      <c r="A1527" s="52" t="s">
        <v>1836</v>
      </c>
      <c r="B1527" s="53" t="s">
        <v>2145</v>
      </c>
      <c r="C1527" s="50" t="s">
        <v>3110</v>
      </c>
      <c r="D1527" s="41">
        <v>1000003882</v>
      </c>
      <c r="E1527" s="53" t="s">
        <v>3111</v>
      </c>
      <c r="F1527" s="51">
        <v>45356</v>
      </c>
      <c r="G1527" s="22" t="str">
        <f t="shared" si="322"/>
        <v>Targeted Dealer</v>
      </c>
      <c r="H1527" s="22"/>
      <c r="I1527" s="23">
        <v>35</v>
      </c>
      <c r="J1527" s="23">
        <f t="shared" si="323"/>
        <v>35</v>
      </c>
      <c r="K1527" s="24">
        <v>24</v>
      </c>
      <c r="L1527" s="24">
        <f t="shared" si="324"/>
        <v>11</v>
      </c>
      <c r="M1527" s="24">
        <f t="shared" si="325"/>
        <v>68.571428571428569</v>
      </c>
      <c r="N1527" s="25">
        <v>17.5</v>
      </c>
      <c r="O1527" s="26" t="str">
        <f t="shared" si="326"/>
        <v>June</v>
      </c>
      <c r="P1527" s="25">
        <f t="shared" si="327"/>
        <v>17.5</v>
      </c>
      <c r="Q1527" s="27">
        <f t="shared" si="328"/>
        <v>6.5</v>
      </c>
      <c r="R1527" s="26" t="b">
        <f t="shared" si="329"/>
        <v>0</v>
      </c>
      <c r="S1527" s="28" t="str">
        <f t="shared" si="330"/>
        <v>GROWTH</v>
      </c>
      <c r="T1527" s="24">
        <v>0</v>
      </c>
      <c r="U1527" s="29" t="str">
        <f t="shared" si="331"/>
        <v>May</v>
      </c>
      <c r="V1527" s="24">
        <f t="shared" si="332"/>
        <v>0</v>
      </c>
      <c r="W1527" s="30">
        <f t="shared" si="333"/>
        <v>24</v>
      </c>
      <c r="X1527" s="31" t="b">
        <f t="shared" si="334"/>
        <v>0</v>
      </c>
      <c r="Y1527" s="32" t="b">
        <f t="shared" si="335"/>
        <v>0</v>
      </c>
      <c r="Z1527" s="41">
        <v>0</v>
      </c>
      <c r="AA1527" s="36"/>
      <c r="AB1527" s="36" t="s">
        <v>24</v>
      </c>
      <c r="AC1527" s="52" t="s">
        <v>1836</v>
      </c>
      <c r="AD1527" s="34"/>
      <c r="AE1527" s="35">
        <f>IFERROR(INDEX([1]Last6M_AvgSales_Ref!$B$2:$B$12659,MATCH(D1527,[1]Last6M_AvgSales_Ref!$A$2:$A$12659,0)),"")</f>
        <v>17</v>
      </c>
    </row>
    <row r="1528" spans="1:31" ht="14.25" customHeight="1" x14ac:dyDescent="0.3">
      <c r="A1528" s="52" t="s">
        <v>848</v>
      </c>
      <c r="B1528" s="53" t="s">
        <v>1487</v>
      </c>
      <c r="C1528" s="50" t="s">
        <v>3112</v>
      </c>
      <c r="D1528" s="41">
        <v>1000004623</v>
      </c>
      <c r="E1528" s="53" t="s">
        <v>3113</v>
      </c>
      <c r="F1528" s="51">
        <v>46048</v>
      </c>
      <c r="G1528" s="22" t="str">
        <f t="shared" si="322"/>
        <v>Targeted Dealer</v>
      </c>
      <c r="H1528" s="22"/>
      <c r="I1528" s="23">
        <v>60</v>
      </c>
      <c r="J1528" s="23">
        <f t="shared" si="323"/>
        <v>60</v>
      </c>
      <c r="K1528" s="24">
        <v>50</v>
      </c>
      <c r="L1528" s="24">
        <f t="shared" si="324"/>
        <v>10</v>
      </c>
      <c r="M1528" s="24">
        <f t="shared" si="325"/>
        <v>83.333333333333343</v>
      </c>
      <c r="N1528" s="25">
        <v>45</v>
      </c>
      <c r="O1528" s="26" t="str">
        <f t="shared" si="326"/>
        <v>June</v>
      </c>
      <c r="P1528" s="25">
        <f t="shared" si="327"/>
        <v>45</v>
      </c>
      <c r="Q1528" s="27">
        <f t="shared" si="328"/>
        <v>5</v>
      </c>
      <c r="R1528" s="26" t="b">
        <f t="shared" si="329"/>
        <v>0</v>
      </c>
      <c r="S1528" s="28" t="str">
        <f t="shared" si="330"/>
        <v>GROWTH</v>
      </c>
      <c r="T1528" s="24">
        <v>0</v>
      </c>
      <c r="U1528" s="29" t="str">
        <f t="shared" si="331"/>
        <v>May</v>
      </c>
      <c r="V1528" s="24">
        <f t="shared" si="332"/>
        <v>0</v>
      </c>
      <c r="W1528" s="30">
        <f t="shared" si="333"/>
        <v>50</v>
      </c>
      <c r="X1528" s="31" t="b">
        <f t="shared" si="334"/>
        <v>0</v>
      </c>
      <c r="Y1528" s="32" t="b">
        <f t="shared" si="335"/>
        <v>0</v>
      </c>
      <c r="Z1528" s="41">
        <v>0</v>
      </c>
      <c r="AA1528" s="36"/>
      <c r="AB1528" s="36" t="s">
        <v>24</v>
      </c>
      <c r="AC1528" s="52" t="s">
        <v>848</v>
      </c>
      <c r="AD1528" s="34"/>
      <c r="AE1528" s="35">
        <f>IFERROR(INDEX([1]Last6M_AvgSales_Ref!$B$2:$B$12659,MATCH(D1528,[1]Last6M_AvgSales_Ref!$A$2:$A$12659,0)),"")</f>
        <v>29.3333333333333</v>
      </c>
    </row>
    <row r="1529" spans="1:31" ht="14.25" customHeight="1" x14ac:dyDescent="0.3">
      <c r="A1529" s="52" t="s">
        <v>848</v>
      </c>
      <c r="B1529" s="53" t="s">
        <v>849</v>
      </c>
      <c r="C1529" s="50" t="s">
        <v>3114</v>
      </c>
      <c r="D1529" s="41">
        <v>1000004595</v>
      </c>
      <c r="E1529" s="53" t="s">
        <v>3115</v>
      </c>
      <c r="F1529" s="51">
        <v>46021</v>
      </c>
      <c r="G1529" s="22" t="str">
        <f t="shared" si="322"/>
        <v>Targeted Dealer</v>
      </c>
      <c r="H1529" s="22"/>
      <c r="I1529" s="23">
        <v>660</v>
      </c>
      <c r="J1529" s="23">
        <f t="shared" si="323"/>
        <v>660</v>
      </c>
      <c r="K1529" s="24">
        <v>350</v>
      </c>
      <c r="L1529" s="24">
        <f t="shared" si="324"/>
        <v>310</v>
      </c>
      <c r="M1529" s="24">
        <f t="shared" si="325"/>
        <v>53.030303030303031</v>
      </c>
      <c r="N1529" s="25">
        <v>422.5</v>
      </c>
      <c r="O1529" s="26" t="str">
        <f t="shared" si="326"/>
        <v>June</v>
      </c>
      <c r="P1529" s="25">
        <f t="shared" si="327"/>
        <v>422.5</v>
      </c>
      <c r="Q1529" s="27">
        <f t="shared" si="328"/>
        <v>-72.5</v>
      </c>
      <c r="R1529" s="26" t="b">
        <f t="shared" si="329"/>
        <v>0</v>
      </c>
      <c r="S1529" s="28" t="str">
        <f t="shared" si="330"/>
        <v>GROWTH</v>
      </c>
      <c r="T1529" s="24">
        <v>0</v>
      </c>
      <c r="U1529" s="29" t="str">
        <f t="shared" si="331"/>
        <v>May</v>
      </c>
      <c r="V1529" s="24">
        <f t="shared" si="332"/>
        <v>0</v>
      </c>
      <c r="W1529" s="30">
        <f t="shared" si="333"/>
        <v>350</v>
      </c>
      <c r="X1529" s="31" t="b">
        <f t="shared" si="334"/>
        <v>0</v>
      </c>
      <c r="Y1529" s="32" t="b">
        <f t="shared" si="335"/>
        <v>0</v>
      </c>
      <c r="Z1529" s="41">
        <v>0</v>
      </c>
      <c r="AA1529" s="36"/>
      <c r="AB1529" s="36" t="s">
        <v>24</v>
      </c>
      <c r="AC1529" s="52" t="s">
        <v>848</v>
      </c>
      <c r="AD1529" s="34"/>
      <c r="AE1529" s="35">
        <f>IFERROR(INDEX([1]Last6M_AvgSales_Ref!$B$2:$B$12659,MATCH(D1529,[1]Last6M_AvgSales_Ref!$A$2:$A$12659,0)),"")</f>
        <v>296.91666666666703</v>
      </c>
    </row>
    <row r="1530" spans="1:31" ht="14.25" customHeight="1" x14ac:dyDescent="0.3">
      <c r="A1530" s="52" t="s">
        <v>848</v>
      </c>
      <c r="B1530" s="53" t="s">
        <v>849</v>
      </c>
      <c r="C1530" s="50" t="s">
        <v>3116</v>
      </c>
      <c r="D1530" s="41">
        <v>1000004597</v>
      </c>
      <c r="E1530" s="53" t="s">
        <v>3117</v>
      </c>
      <c r="F1530" s="51">
        <v>46029</v>
      </c>
      <c r="G1530" s="22" t="str">
        <f t="shared" si="322"/>
        <v>Targeted Dealer</v>
      </c>
      <c r="H1530" s="22"/>
      <c r="I1530" s="23">
        <v>164</v>
      </c>
      <c r="J1530" s="23">
        <f t="shared" si="323"/>
        <v>164</v>
      </c>
      <c r="K1530" s="24">
        <v>132</v>
      </c>
      <c r="L1530" s="24">
        <f t="shared" si="324"/>
        <v>32</v>
      </c>
      <c r="M1530" s="24">
        <f t="shared" si="325"/>
        <v>80.487804878048792</v>
      </c>
      <c r="N1530" s="25">
        <v>63.5</v>
      </c>
      <c r="O1530" s="26" t="str">
        <f t="shared" si="326"/>
        <v>June</v>
      </c>
      <c r="P1530" s="25">
        <f t="shared" si="327"/>
        <v>63.5</v>
      </c>
      <c r="Q1530" s="27">
        <f t="shared" si="328"/>
        <v>68.5</v>
      </c>
      <c r="R1530" s="26" t="b">
        <f t="shared" si="329"/>
        <v>0</v>
      </c>
      <c r="S1530" s="28" t="str">
        <f t="shared" si="330"/>
        <v>GROWTH</v>
      </c>
      <c r="T1530" s="24">
        <v>0</v>
      </c>
      <c r="U1530" s="29" t="str">
        <f t="shared" si="331"/>
        <v>May</v>
      </c>
      <c r="V1530" s="24">
        <f t="shared" si="332"/>
        <v>0</v>
      </c>
      <c r="W1530" s="30">
        <f t="shared" si="333"/>
        <v>132</v>
      </c>
      <c r="X1530" s="31" t="b">
        <f t="shared" si="334"/>
        <v>0</v>
      </c>
      <c r="Y1530" s="32" t="b">
        <f t="shared" si="335"/>
        <v>0</v>
      </c>
      <c r="Z1530" s="41">
        <v>0</v>
      </c>
      <c r="AA1530" s="36"/>
      <c r="AB1530" s="36" t="s">
        <v>24</v>
      </c>
      <c r="AC1530" s="52" t="s">
        <v>848</v>
      </c>
      <c r="AD1530" s="34"/>
      <c r="AE1530" s="35">
        <f>IFERROR(INDEX([1]Last6M_AvgSales_Ref!$B$2:$B$12659,MATCH(D1530,[1]Last6M_AvgSales_Ref!$A$2:$A$12659,0)),"")</f>
        <v>47.6666666666667</v>
      </c>
    </row>
    <row r="1531" spans="1:31" ht="14.25" customHeight="1" x14ac:dyDescent="0.3">
      <c r="A1531" s="52" t="s">
        <v>848</v>
      </c>
      <c r="B1531" s="53" t="s">
        <v>849</v>
      </c>
      <c r="C1531" s="50" t="s">
        <v>3118</v>
      </c>
      <c r="D1531" s="41">
        <v>1000004602</v>
      </c>
      <c r="E1531" s="53" t="s">
        <v>3119</v>
      </c>
      <c r="F1531" s="51">
        <v>46038</v>
      </c>
      <c r="G1531" s="22" t="str">
        <f t="shared" si="322"/>
        <v>Targeted Dealer</v>
      </c>
      <c r="H1531" s="22"/>
      <c r="I1531" s="23">
        <v>1000</v>
      </c>
      <c r="J1531" s="23">
        <f t="shared" si="323"/>
        <v>1000.0000000000001</v>
      </c>
      <c r="K1531" s="24">
        <v>538</v>
      </c>
      <c r="L1531" s="24">
        <f t="shared" si="324"/>
        <v>462</v>
      </c>
      <c r="M1531" s="24">
        <f t="shared" si="325"/>
        <v>53.79999999999999</v>
      </c>
      <c r="N1531" s="25">
        <v>443</v>
      </c>
      <c r="O1531" s="26" t="str">
        <f t="shared" si="326"/>
        <v>June</v>
      </c>
      <c r="P1531" s="25">
        <f t="shared" si="327"/>
        <v>443</v>
      </c>
      <c r="Q1531" s="27">
        <f t="shared" si="328"/>
        <v>95</v>
      </c>
      <c r="R1531" s="26" t="b">
        <f t="shared" si="329"/>
        <v>0</v>
      </c>
      <c r="S1531" s="28" t="str">
        <f t="shared" si="330"/>
        <v>GROWTH</v>
      </c>
      <c r="T1531" s="24">
        <v>0</v>
      </c>
      <c r="U1531" s="29" t="str">
        <f t="shared" si="331"/>
        <v>May</v>
      </c>
      <c r="V1531" s="24">
        <f t="shared" si="332"/>
        <v>0</v>
      </c>
      <c r="W1531" s="30">
        <f t="shared" si="333"/>
        <v>538</v>
      </c>
      <c r="X1531" s="31" t="b">
        <f t="shared" si="334"/>
        <v>0</v>
      </c>
      <c r="Y1531" s="32" t="b">
        <f t="shared" si="335"/>
        <v>0</v>
      </c>
      <c r="Z1531" s="41">
        <v>0</v>
      </c>
      <c r="AA1531" s="36"/>
      <c r="AB1531" s="36" t="s">
        <v>24</v>
      </c>
      <c r="AC1531" s="52" t="s">
        <v>848</v>
      </c>
      <c r="AD1531" s="34"/>
      <c r="AE1531" s="35">
        <f>IFERROR(INDEX([1]Last6M_AvgSales_Ref!$B$2:$B$12659,MATCH(D1531,[1]Last6M_AvgSales_Ref!$A$2:$A$12659,0)),"")</f>
        <v>302.83333333333297</v>
      </c>
    </row>
    <row r="1532" spans="1:31" ht="14.25" customHeight="1" x14ac:dyDescent="0.3">
      <c r="A1532" s="52" t="s">
        <v>848</v>
      </c>
      <c r="B1532" s="53" t="s">
        <v>996</v>
      </c>
      <c r="C1532" s="50" t="s">
        <v>3120</v>
      </c>
      <c r="D1532" s="41">
        <v>1000004569</v>
      </c>
      <c r="E1532" s="53" t="s">
        <v>3121</v>
      </c>
      <c r="F1532" s="51">
        <v>46017</v>
      </c>
      <c r="G1532" s="22" t="str">
        <f t="shared" si="322"/>
        <v>Targeted Dealer</v>
      </c>
      <c r="H1532" s="22"/>
      <c r="I1532" s="23">
        <v>40</v>
      </c>
      <c r="J1532" s="23">
        <f t="shared" si="323"/>
        <v>40</v>
      </c>
      <c r="K1532" s="24">
        <v>15</v>
      </c>
      <c r="L1532" s="24">
        <f t="shared" si="324"/>
        <v>25</v>
      </c>
      <c r="M1532" s="24">
        <f t="shared" si="325"/>
        <v>37.5</v>
      </c>
      <c r="N1532" s="25">
        <v>0</v>
      </c>
      <c r="O1532" s="26" t="str">
        <f t="shared" si="326"/>
        <v>June</v>
      </c>
      <c r="P1532" s="25">
        <f t="shared" si="327"/>
        <v>0</v>
      </c>
      <c r="Q1532" s="27">
        <f t="shared" si="328"/>
        <v>15</v>
      </c>
      <c r="R1532" s="26" t="b">
        <f t="shared" si="329"/>
        <v>0</v>
      </c>
      <c r="S1532" s="28" t="b">
        <f t="shared" si="330"/>
        <v>0</v>
      </c>
      <c r="T1532" s="24">
        <v>0</v>
      </c>
      <c r="U1532" s="29" t="str">
        <f t="shared" si="331"/>
        <v>May</v>
      </c>
      <c r="V1532" s="24">
        <f t="shared" si="332"/>
        <v>0</v>
      </c>
      <c r="W1532" s="30">
        <f t="shared" si="333"/>
        <v>15</v>
      </c>
      <c r="X1532" s="31" t="b">
        <f t="shared" si="334"/>
        <v>0</v>
      </c>
      <c r="Y1532" s="32" t="b">
        <f t="shared" si="335"/>
        <v>0</v>
      </c>
      <c r="Z1532" s="41">
        <v>0</v>
      </c>
      <c r="AA1532" s="36"/>
      <c r="AB1532" s="36" t="s">
        <v>24</v>
      </c>
      <c r="AC1532" s="52" t="s">
        <v>848</v>
      </c>
      <c r="AD1532" s="34"/>
      <c r="AE1532" s="35">
        <f>IFERROR(INDEX([1]Last6M_AvgSales_Ref!$B$2:$B$12659,MATCH(D1532,[1]Last6M_AvgSales_Ref!$A$2:$A$12659,0)),"")</f>
        <v>8.3333333333333304</v>
      </c>
    </row>
    <row r="1533" spans="1:31" ht="14.25" customHeight="1" x14ac:dyDescent="0.3">
      <c r="A1533" s="52" t="s">
        <v>848</v>
      </c>
      <c r="B1533" s="53" t="s">
        <v>996</v>
      </c>
      <c r="C1533" s="50" t="s">
        <v>3122</v>
      </c>
      <c r="D1533" s="41">
        <v>1000004599</v>
      </c>
      <c r="E1533" s="53" t="s">
        <v>3123</v>
      </c>
      <c r="F1533" s="51">
        <v>46029</v>
      </c>
      <c r="G1533" s="22" t="str">
        <f t="shared" si="322"/>
        <v>-</v>
      </c>
      <c r="H1533" s="22"/>
      <c r="I1533" s="23">
        <v>0</v>
      </c>
      <c r="J1533" s="23">
        <f t="shared" si="323"/>
        <v>0</v>
      </c>
      <c r="K1533" s="24">
        <v>0</v>
      </c>
      <c r="L1533" s="24">
        <f t="shared" si="324"/>
        <v>0</v>
      </c>
      <c r="M1533" s="24" t="str">
        <f t="shared" si="325"/>
        <v>-</v>
      </c>
      <c r="N1533" s="25">
        <v>0</v>
      </c>
      <c r="O1533" s="26" t="str">
        <f t="shared" si="326"/>
        <v>June</v>
      </c>
      <c r="P1533" s="25">
        <f t="shared" si="327"/>
        <v>0</v>
      </c>
      <c r="Q1533" s="27">
        <f t="shared" si="328"/>
        <v>0</v>
      </c>
      <c r="R1533" s="26" t="b">
        <f t="shared" si="329"/>
        <v>0</v>
      </c>
      <c r="S1533" s="28" t="b">
        <f t="shared" si="330"/>
        <v>0</v>
      </c>
      <c r="T1533" s="24">
        <v>0</v>
      </c>
      <c r="U1533" s="29" t="str">
        <f t="shared" si="331"/>
        <v>May</v>
      </c>
      <c r="V1533" s="24">
        <f t="shared" si="332"/>
        <v>0</v>
      </c>
      <c r="W1533" s="30">
        <f t="shared" si="333"/>
        <v>0</v>
      </c>
      <c r="X1533" s="31" t="b">
        <f t="shared" si="334"/>
        <v>0</v>
      </c>
      <c r="Y1533" s="32" t="b">
        <f t="shared" si="335"/>
        <v>0</v>
      </c>
      <c r="Z1533" s="41">
        <v>0</v>
      </c>
      <c r="AA1533" s="36"/>
      <c r="AB1533" s="36" t="s">
        <v>24</v>
      </c>
      <c r="AC1533" s="52" t="s">
        <v>848</v>
      </c>
      <c r="AD1533" s="34"/>
      <c r="AE1533" s="35">
        <f>IFERROR(INDEX([1]Last6M_AvgSales_Ref!$B$2:$B$12659,MATCH(D1533,[1]Last6M_AvgSales_Ref!$A$2:$A$12659,0)),"")</f>
        <v>41</v>
      </c>
    </row>
    <row r="1534" spans="1:31" ht="14.25" customHeight="1" x14ac:dyDescent="0.3">
      <c r="A1534" s="52" t="s">
        <v>24</v>
      </c>
      <c r="B1534" s="53" t="s">
        <v>449</v>
      </c>
      <c r="C1534" s="50" t="s">
        <v>3124</v>
      </c>
      <c r="D1534" s="41">
        <v>1000004536</v>
      </c>
      <c r="E1534" s="53" t="s">
        <v>3125</v>
      </c>
      <c r="F1534" s="51">
        <v>45978</v>
      </c>
      <c r="G1534" s="22" t="str">
        <f t="shared" si="322"/>
        <v>-</v>
      </c>
      <c r="H1534" s="22"/>
      <c r="I1534" s="23">
        <v>0</v>
      </c>
      <c r="J1534" s="23">
        <f t="shared" si="323"/>
        <v>0</v>
      </c>
      <c r="K1534" s="24">
        <v>0</v>
      </c>
      <c r="L1534" s="24">
        <f t="shared" si="324"/>
        <v>0</v>
      </c>
      <c r="M1534" s="24" t="str">
        <f t="shared" si="325"/>
        <v>-</v>
      </c>
      <c r="N1534" s="25">
        <v>0</v>
      </c>
      <c r="O1534" s="26" t="str">
        <f t="shared" si="326"/>
        <v>June</v>
      </c>
      <c r="P1534" s="25">
        <f t="shared" si="327"/>
        <v>0</v>
      </c>
      <c r="Q1534" s="27">
        <f t="shared" si="328"/>
        <v>0</v>
      </c>
      <c r="R1534" s="26" t="b">
        <f t="shared" si="329"/>
        <v>0</v>
      </c>
      <c r="S1534" s="28" t="b">
        <f t="shared" si="330"/>
        <v>0</v>
      </c>
      <c r="T1534" s="24">
        <v>0</v>
      </c>
      <c r="U1534" s="29" t="str">
        <f t="shared" si="331"/>
        <v>May</v>
      </c>
      <c r="V1534" s="24">
        <f t="shared" si="332"/>
        <v>0</v>
      </c>
      <c r="W1534" s="30">
        <f t="shared" si="333"/>
        <v>0</v>
      </c>
      <c r="X1534" s="31" t="b">
        <f t="shared" si="334"/>
        <v>0</v>
      </c>
      <c r="Y1534" s="32" t="b">
        <f t="shared" si="335"/>
        <v>0</v>
      </c>
      <c r="Z1534" s="41">
        <v>0</v>
      </c>
      <c r="AA1534" s="36"/>
      <c r="AB1534" s="36" t="s">
        <v>24</v>
      </c>
      <c r="AC1534" s="52" t="s">
        <v>24</v>
      </c>
      <c r="AD1534" s="34"/>
      <c r="AE1534" s="35">
        <f>IFERROR(INDEX([1]Last6M_AvgSales_Ref!$B$2:$B$12659,MATCH(D1534,[1]Last6M_AvgSales_Ref!$A$2:$A$12659,0)),"")</f>
        <v>1.6666666666666701</v>
      </c>
    </row>
    <row r="1535" spans="1:31" ht="14.25" customHeight="1" x14ac:dyDescent="0.3">
      <c r="A1535" s="52" t="s">
        <v>24</v>
      </c>
      <c r="B1535" s="53" t="s">
        <v>59</v>
      </c>
      <c r="C1535" s="50" t="s">
        <v>3126</v>
      </c>
      <c r="D1535" s="41">
        <v>1000004596</v>
      </c>
      <c r="E1535" s="53" t="s">
        <v>3127</v>
      </c>
      <c r="F1535" s="51">
        <v>46028</v>
      </c>
      <c r="G1535" s="22" t="str">
        <f t="shared" si="322"/>
        <v>Targeted Dealer</v>
      </c>
      <c r="H1535" s="22"/>
      <c r="I1535" s="23">
        <v>20</v>
      </c>
      <c r="J1535" s="23">
        <f t="shared" si="323"/>
        <v>20</v>
      </c>
      <c r="K1535" s="24">
        <v>20</v>
      </c>
      <c r="L1535" s="24">
        <f t="shared" si="324"/>
        <v>0</v>
      </c>
      <c r="M1535" s="24">
        <f t="shared" si="325"/>
        <v>100</v>
      </c>
      <c r="N1535" s="25">
        <v>20</v>
      </c>
      <c r="O1535" s="26" t="str">
        <f t="shared" si="326"/>
        <v>June</v>
      </c>
      <c r="P1535" s="25">
        <f t="shared" si="327"/>
        <v>20</v>
      </c>
      <c r="Q1535" s="27">
        <f t="shared" si="328"/>
        <v>0</v>
      </c>
      <c r="R1535" s="26" t="b">
        <f t="shared" si="329"/>
        <v>0</v>
      </c>
      <c r="S1535" s="28" t="str">
        <f t="shared" si="330"/>
        <v>GROWTH</v>
      </c>
      <c r="T1535" s="24">
        <v>0</v>
      </c>
      <c r="U1535" s="29" t="str">
        <f t="shared" si="331"/>
        <v>May</v>
      </c>
      <c r="V1535" s="24">
        <f t="shared" si="332"/>
        <v>0</v>
      </c>
      <c r="W1535" s="30">
        <f t="shared" si="333"/>
        <v>20</v>
      </c>
      <c r="X1535" s="31" t="b">
        <f t="shared" si="334"/>
        <v>0</v>
      </c>
      <c r="Y1535" s="32" t="b">
        <f t="shared" si="335"/>
        <v>0</v>
      </c>
      <c r="Z1535" s="41">
        <v>0</v>
      </c>
      <c r="AA1535" s="36"/>
      <c r="AB1535" s="36" t="s">
        <v>24</v>
      </c>
      <c r="AC1535" s="52" t="s">
        <v>24</v>
      </c>
      <c r="AD1535" s="34"/>
      <c r="AE1535" s="35">
        <f>IFERROR(INDEX([1]Last6M_AvgSales_Ref!$B$2:$B$12659,MATCH(D1535,[1]Last6M_AvgSales_Ref!$A$2:$A$12659,0)),"")</f>
        <v>13.3333333333333</v>
      </c>
    </row>
    <row r="1536" spans="1:31" ht="14.25" customHeight="1" x14ac:dyDescent="0.3">
      <c r="A1536" s="52" t="s">
        <v>848</v>
      </c>
      <c r="B1536" s="53" t="s">
        <v>1666</v>
      </c>
      <c r="C1536" s="50" t="s">
        <v>3128</v>
      </c>
      <c r="D1536" s="41">
        <v>1000004615</v>
      </c>
      <c r="E1536" s="53" t="s">
        <v>3129</v>
      </c>
      <c r="F1536" s="51">
        <v>46052</v>
      </c>
      <c r="G1536" s="22" t="str">
        <f t="shared" si="322"/>
        <v>Targeted Dealer</v>
      </c>
      <c r="H1536" s="22"/>
      <c r="I1536" s="23">
        <v>150</v>
      </c>
      <c r="J1536" s="23">
        <f t="shared" si="323"/>
        <v>150</v>
      </c>
      <c r="K1536" s="24">
        <v>37.5</v>
      </c>
      <c r="L1536" s="24">
        <f t="shared" si="324"/>
        <v>112.5</v>
      </c>
      <c r="M1536" s="24">
        <f t="shared" si="325"/>
        <v>25</v>
      </c>
      <c r="N1536" s="25">
        <v>122</v>
      </c>
      <c r="O1536" s="26" t="str">
        <f t="shared" si="326"/>
        <v>June</v>
      </c>
      <c r="P1536" s="25">
        <f t="shared" si="327"/>
        <v>122</v>
      </c>
      <c r="Q1536" s="27">
        <f t="shared" si="328"/>
        <v>-84.5</v>
      </c>
      <c r="R1536" s="26" t="b">
        <f t="shared" si="329"/>
        <v>0</v>
      </c>
      <c r="S1536" s="28" t="str">
        <f t="shared" si="330"/>
        <v>GROWTH</v>
      </c>
      <c r="T1536" s="24">
        <v>0</v>
      </c>
      <c r="U1536" s="29" t="str">
        <f t="shared" si="331"/>
        <v>May</v>
      </c>
      <c r="V1536" s="24">
        <f t="shared" si="332"/>
        <v>0</v>
      </c>
      <c r="W1536" s="30">
        <f t="shared" si="333"/>
        <v>37.5</v>
      </c>
      <c r="X1536" s="31" t="b">
        <f t="shared" si="334"/>
        <v>0</v>
      </c>
      <c r="Y1536" s="32" t="b">
        <f t="shared" si="335"/>
        <v>0</v>
      </c>
      <c r="Z1536" s="41">
        <v>0</v>
      </c>
      <c r="AA1536" s="36"/>
      <c r="AB1536" s="36" t="s">
        <v>24</v>
      </c>
      <c r="AC1536" s="52" t="s">
        <v>848</v>
      </c>
      <c r="AD1536" s="34"/>
      <c r="AE1536" s="35">
        <f>IFERROR(INDEX([1]Last6M_AvgSales_Ref!$B$2:$B$12659,MATCH(D1536,[1]Last6M_AvgSales_Ref!$A$2:$A$12659,0)),"")</f>
        <v>62.008333333333297</v>
      </c>
    </row>
    <row r="1537" spans="1:31" ht="14.25" customHeight="1" x14ac:dyDescent="0.3">
      <c r="A1537" s="52" t="s">
        <v>2185</v>
      </c>
      <c r="B1537" s="53" t="s">
        <v>2388</v>
      </c>
      <c r="C1537" s="50" t="s">
        <v>3130</v>
      </c>
      <c r="D1537" s="41">
        <v>1000001474</v>
      </c>
      <c r="E1537" s="53" t="s">
        <v>3131</v>
      </c>
      <c r="F1537" s="51">
        <v>44739</v>
      </c>
      <c r="G1537" s="22" t="str">
        <f t="shared" si="322"/>
        <v>Targeted Dealer</v>
      </c>
      <c r="H1537" s="22"/>
      <c r="I1537" s="23">
        <v>135</v>
      </c>
      <c r="J1537" s="23">
        <f t="shared" si="323"/>
        <v>135</v>
      </c>
      <c r="K1537" s="24">
        <v>0</v>
      </c>
      <c r="L1537" s="24">
        <f t="shared" si="324"/>
        <v>135</v>
      </c>
      <c r="M1537" s="24">
        <f t="shared" si="325"/>
        <v>0</v>
      </c>
      <c r="N1537" s="25">
        <v>0</v>
      </c>
      <c r="O1537" s="26" t="str">
        <f t="shared" si="326"/>
        <v>June</v>
      </c>
      <c r="P1537" s="25">
        <f t="shared" si="327"/>
        <v>0</v>
      </c>
      <c r="Q1537" s="27">
        <f t="shared" si="328"/>
        <v>0</v>
      </c>
      <c r="R1537" s="26" t="b">
        <f t="shared" si="329"/>
        <v>0</v>
      </c>
      <c r="S1537" s="28" t="b">
        <f t="shared" si="330"/>
        <v>0</v>
      </c>
      <c r="T1537" s="24">
        <v>0</v>
      </c>
      <c r="U1537" s="29" t="str">
        <f t="shared" si="331"/>
        <v>May</v>
      </c>
      <c r="V1537" s="24">
        <f t="shared" si="332"/>
        <v>0</v>
      </c>
      <c r="W1537" s="30">
        <f t="shared" si="333"/>
        <v>0</v>
      </c>
      <c r="X1537" s="31" t="b">
        <f t="shared" si="334"/>
        <v>0</v>
      </c>
      <c r="Y1537" s="32" t="b">
        <f t="shared" si="335"/>
        <v>0</v>
      </c>
      <c r="Z1537" s="41">
        <v>0</v>
      </c>
      <c r="AA1537" s="36"/>
      <c r="AB1537" s="36" t="s">
        <v>24</v>
      </c>
      <c r="AC1537" s="52" t="s">
        <v>2185</v>
      </c>
      <c r="AD1537" s="34"/>
      <c r="AE1537" s="35">
        <f>IFERROR(INDEX([1]Last6M_AvgSales_Ref!$B$2:$B$12659,MATCH(D1537,[1]Last6M_AvgSales_Ref!$A$2:$A$12659,0)),"")</f>
        <v>1.1666666666666701</v>
      </c>
    </row>
    <row r="1538" spans="1:31" ht="14.25" customHeight="1" x14ac:dyDescent="0.3">
      <c r="A1538" s="52" t="s">
        <v>24</v>
      </c>
      <c r="B1538" s="53" t="s">
        <v>264</v>
      </c>
      <c r="C1538" s="50" t="s">
        <v>3132</v>
      </c>
      <c r="D1538" s="41">
        <v>1000004614</v>
      </c>
      <c r="E1538" s="53" t="s">
        <v>3133</v>
      </c>
      <c r="F1538" s="51">
        <v>46044</v>
      </c>
      <c r="G1538" s="22" t="str">
        <f t="shared" si="322"/>
        <v>Targeted Dealer</v>
      </c>
      <c r="H1538" s="22"/>
      <c r="I1538" s="23">
        <v>100</v>
      </c>
      <c r="J1538" s="23">
        <f t="shared" si="323"/>
        <v>100</v>
      </c>
      <c r="K1538" s="24">
        <v>120</v>
      </c>
      <c r="L1538" s="24">
        <f t="shared" si="324"/>
        <v>-20</v>
      </c>
      <c r="M1538" s="24">
        <f t="shared" si="325"/>
        <v>120</v>
      </c>
      <c r="N1538" s="25">
        <v>118</v>
      </c>
      <c r="O1538" s="26" t="str">
        <f t="shared" si="326"/>
        <v>June</v>
      </c>
      <c r="P1538" s="25">
        <f t="shared" si="327"/>
        <v>118</v>
      </c>
      <c r="Q1538" s="27">
        <f t="shared" si="328"/>
        <v>2</v>
      </c>
      <c r="R1538" s="26" t="b">
        <f t="shared" si="329"/>
        <v>0</v>
      </c>
      <c r="S1538" s="28" t="str">
        <f t="shared" si="330"/>
        <v>GROWTH</v>
      </c>
      <c r="T1538" s="24">
        <v>0</v>
      </c>
      <c r="U1538" s="29" t="str">
        <f t="shared" si="331"/>
        <v>May</v>
      </c>
      <c r="V1538" s="24">
        <f t="shared" si="332"/>
        <v>0</v>
      </c>
      <c r="W1538" s="30">
        <f t="shared" si="333"/>
        <v>120</v>
      </c>
      <c r="X1538" s="31" t="b">
        <f t="shared" si="334"/>
        <v>0</v>
      </c>
      <c r="Y1538" s="32" t="b">
        <f t="shared" si="335"/>
        <v>0</v>
      </c>
      <c r="Z1538" s="41">
        <v>0</v>
      </c>
      <c r="AA1538" s="36"/>
      <c r="AB1538" s="36" t="s">
        <v>24</v>
      </c>
      <c r="AC1538" s="52" t="s">
        <v>24</v>
      </c>
      <c r="AD1538" s="34"/>
      <c r="AE1538" s="35">
        <f>IFERROR(INDEX([1]Last6M_AvgSales_Ref!$B$2:$B$12659,MATCH(D1538,[1]Last6M_AvgSales_Ref!$A$2:$A$12659,0)),"")</f>
        <v>81.6666666666667</v>
      </c>
    </row>
    <row r="1539" spans="1:31" ht="14.25" customHeight="1" x14ac:dyDescent="0.3">
      <c r="A1539" s="52" t="s">
        <v>2027</v>
      </c>
      <c r="B1539" s="53" t="s">
        <v>2118</v>
      </c>
      <c r="C1539" s="50" t="s">
        <v>3134</v>
      </c>
      <c r="D1539" s="41">
        <v>1000002033</v>
      </c>
      <c r="E1539" s="53" t="s">
        <v>3135</v>
      </c>
      <c r="F1539" s="51">
        <v>44739</v>
      </c>
      <c r="G1539" s="22" t="str">
        <f t="shared" ref="G1539:G1602" si="336">IF(I1539&gt;0,"Targeted Dealer","-")</f>
        <v>Targeted Dealer</v>
      </c>
      <c r="H1539" s="22"/>
      <c r="I1539" s="23">
        <v>155</v>
      </c>
      <c r="J1539" s="23">
        <f t="shared" ref="J1539:J1602" si="337">I1539/$J$1*($J$1-$E$1)</f>
        <v>155</v>
      </c>
      <c r="K1539" s="24">
        <v>0</v>
      </c>
      <c r="L1539" s="24">
        <f t="shared" ref="L1539:L1602" si="338">I1539-K1539</f>
        <v>155</v>
      </c>
      <c r="M1539" s="24">
        <f t="shared" ref="M1539:M1602" si="339">IFERROR((K1539/J1539%),"-")</f>
        <v>0</v>
      </c>
      <c r="N1539" s="25">
        <v>30</v>
      </c>
      <c r="O1539" s="26" t="str">
        <f t="shared" ref="O1539:O1602" si="340">IF(F1539&lt;=$P$2,"June","")</f>
        <v>June</v>
      </c>
      <c r="P1539" s="25">
        <f t="shared" ref="P1539:P1602" si="341">N1539</f>
        <v>30</v>
      </c>
      <c r="Q1539" s="27">
        <f t="shared" ref="Q1539:Q1602" si="342">K1539-P1539</f>
        <v>-30</v>
      </c>
      <c r="R1539" s="26" t="b">
        <f t="shared" ref="R1539:R1602" si="343">IFERROR(IF(O1539="May",(K1539/P1539-1))," ")</f>
        <v>0</v>
      </c>
      <c r="S1539" s="28" t="str">
        <f t="shared" ref="S1539:S1602" si="344">IF(N1539&gt;0,IF(O1539="","-",IF(R1539&lt;0%,"DEGROWTH","GROWTH")))</f>
        <v>GROWTH</v>
      </c>
      <c r="T1539" s="24">
        <v>0</v>
      </c>
      <c r="U1539" s="29" t="str">
        <f t="shared" ref="U1539:U1602" si="345">IF(F1539&lt;=$V$2,"May","")</f>
        <v>May</v>
      </c>
      <c r="V1539" s="24">
        <f t="shared" ref="V1539:V1602" si="346">T1539</f>
        <v>0</v>
      </c>
      <c r="W1539" s="30">
        <f t="shared" ref="W1539:W1602" si="347">K1539-V1539</f>
        <v>0</v>
      </c>
      <c r="X1539" s="31" t="b">
        <f t="shared" ref="X1539:X1602" si="348">IFERROR(IF(U1539="June",(K1539/V1539-1)),0)</f>
        <v>0</v>
      </c>
      <c r="Y1539" s="32" t="b">
        <f t="shared" ref="Y1539:Y1602" si="349">IF(T1539&gt;0,IF(U1539="","-",IF(X1539&lt;0%,"DEGROWTH","GROWTH")))</f>
        <v>0</v>
      </c>
      <c r="Z1539" s="41">
        <v>0</v>
      </c>
      <c r="AA1539" s="36"/>
      <c r="AB1539" s="36" t="s">
        <v>24</v>
      </c>
      <c r="AC1539" s="52" t="s">
        <v>2027</v>
      </c>
      <c r="AD1539" s="34"/>
      <c r="AE1539" s="35">
        <f>IFERROR(INDEX([1]Last6M_AvgSales_Ref!$B$2:$B$12659,MATCH(D1539,[1]Last6M_AvgSales_Ref!$A$2:$A$12659,0)),"")</f>
        <v>11.6666666666667</v>
      </c>
    </row>
    <row r="1540" spans="1:31" ht="14.25" customHeight="1" x14ac:dyDescent="0.3">
      <c r="A1540" s="52" t="s">
        <v>24</v>
      </c>
      <c r="B1540" s="53" t="s">
        <v>752</v>
      </c>
      <c r="C1540" s="50" t="s">
        <v>3136</v>
      </c>
      <c r="D1540" s="41">
        <v>1000004613</v>
      </c>
      <c r="E1540" s="53" t="s">
        <v>3137</v>
      </c>
      <c r="F1540" s="51">
        <v>46041</v>
      </c>
      <c r="G1540" s="22" t="str">
        <f t="shared" si="336"/>
        <v>Targeted Dealer</v>
      </c>
      <c r="H1540" s="22"/>
      <c r="I1540" s="23">
        <v>155</v>
      </c>
      <c r="J1540" s="23">
        <f t="shared" si="337"/>
        <v>155</v>
      </c>
      <c r="K1540" s="24">
        <v>162</v>
      </c>
      <c r="L1540" s="24">
        <f t="shared" si="338"/>
        <v>-7</v>
      </c>
      <c r="M1540" s="24">
        <f t="shared" si="339"/>
        <v>104.51612903225806</v>
      </c>
      <c r="N1540" s="25">
        <v>108</v>
      </c>
      <c r="O1540" s="26" t="str">
        <f t="shared" si="340"/>
        <v>June</v>
      </c>
      <c r="P1540" s="25">
        <f t="shared" si="341"/>
        <v>108</v>
      </c>
      <c r="Q1540" s="27">
        <f t="shared" si="342"/>
        <v>54</v>
      </c>
      <c r="R1540" s="26" t="b">
        <f t="shared" si="343"/>
        <v>0</v>
      </c>
      <c r="S1540" s="28" t="str">
        <f t="shared" si="344"/>
        <v>GROWTH</v>
      </c>
      <c r="T1540" s="24">
        <v>0</v>
      </c>
      <c r="U1540" s="29" t="str">
        <f t="shared" si="345"/>
        <v>May</v>
      </c>
      <c r="V1540" s="24">
        <f t="shared" si="346"/>
        <v>0</v>
      </c>
      <c r="W1540" s="30">
        <f t="shared" si="347"/>
        <v>162</v>
      </c>
      <c r="X1540" s="31" t="b">
        <f t="shared" si="348"/>
        <v>0</v>
      </c>
      <c r="Y1540" s="32" t="b">
        <f t="shared" si="349"/>
        <v>0</v>
      </c>
      <c r="Z1540" s="41">
        <v>0</v>
      </c>
      <c r="AA1540" s="36"/>
      <c r="AB1540" s="36" t="s">
        <v>24</v>
      </c>
      <c r="AC1540" s="52" t="s">
        <v>24</v>
      </c>
      <c r="AD1540" s="34"/>
      <c r="AE1540" s="35">
        <f>IFERROR(INDEX([1]Last6M_AvgSales_Ref!$B$2:$B$12659,MATCH(D1540,[1]Last6M_AvgSales_Ref!$A$2:$A$12659,0)),"")</f>
        <v>97.3333333333333</v>
      </c>
    </row>
    <row r="1541" spans="1:31" ht="14.25" customHeight="1" x14ac:dyDescent="0.3">
      <c r="A1541" s="52" t="s">
        <v>848</v>
      </c>
      <c r="B1541" s="53" t="s">
        <v>1702</v>
      </c>
      <c r="C1541" s="50" t="s">
        <v>3138</v>
      </c>
      <c r="D1541" s="41">
        <v>1000001110</v>
      </c>
      <c r="E1541" s="53" t="s">
        <v>3139</v>
      </c>
      <c r="F1541" s="51">
        <v>44738</v>
      </c>
      <c r="G1541" s="22" t="str">
        <f t="shared" si="336"/>
        <v>Targeted Dealer</v>
      </c>
      <c r="H1541" s="22"/>
      <c r="I1541" s="23">
        <v>400</v>
      </c>
      <c r="J1541" s="23">
        <f t="shared" si="337"/>
        <v>400</v>
      </c>
      <c r="K1541" s="24">
        <v>95</v>
      </c>
      <c r="L1541" s="24">
        <f t="shared" si="338"/>
        <v>305</v>
      </c>
      <c r="M1541" s="24">
        <f t="shared" si="339"/>
        <v>23.75</v>
      </c>
      <c r="N1541" s="25">
        <v>0</v>
      </c>
      <c r="O1541" s="26" t="str">
        <f t="shared" si="340"/>
        <v>June</v>
      </c>
      <c r="P1541" s="25">
        <f t="shared" si="341"/>
        <v>0</v>
      </c>
      <c r="Q1541" s="27">
        <f t="shared" si="342"/>
        <v>95</v>
      </c>
      <c r="R1541" s="26" t="b">
        <f t="shared" si="343"/>
        <v>0</v>
      </c>
      <c r="S1541" s="28" t="b">
        <f t="shared" si="344"/>
        <v>0</v>
      </c>
      <c r="T1541" s="24">
        <v>0</v>
      </c>
      <c r="U1541" s="29" t="str">
        <f t="shared" si="345"/>
        <v>May</v>
      </c>
      <c r="V1541" s="24">
        <f t="shared" si="346"/>
        <v>0</v>
      </c>
      <c r="W1541" s="30">
        <f t="shared" si="347"/>
        <v>95</v>
      </c>
      <c r="X1541" s="31" t="b">
        <f t="shared" si="348"/>
        <v>0</v>
      </c>
      <c r="Y1541" s="32" t="b">
        <f t="shared" si="349"/>
        <v>0</v>
      </c>
      <c r="Z1541" s="41">
        <v>0</v>
      </c>
      <c r="AA1541" s="36"/>
      <c r="AB1541" s="36" t="s">
        <v>24</v>
      </c>
      <c r="AC1541" s="52" t="s">
        <v>848</v>
      </c>
      <c r="AD1541" s="34"/>
      <c r="AE1541" s="35">
        <f>IFERROR(INDEX([1]Last6M_AvgSales_Ref!$B$2:$B$12659,MATCH(D1541,[1]Last6M_AvgSales_Ref!$A$2:$A$12659,0)),"")</f>
        <v>12.4166666666667</v>
      </c>
    </row>
    <row r="1542" spans="1:31" ht="14.25" customHeight="1" x14ac:dyDescent="0.3">
      <c r="A1542" s="52" t="s">
        <v>848</v>
      </c>
      <c r="B1542" s="53" t="s">
        <v>1702</v>
      </c>
      <c r="C1542" s="50" t="s">
        <v>3140</v>
      </c>
      <c r="D1542" s="41">
        <v>1000004588</v>
      </c>
      <c r="E1542" s="53" t="s">
        <v>3141</v>
      </c>
      <c r="F1542" s="51">
        <v>46020</v>
      </c>
      <c r="G1542" s="22" t="str">
        <f t="shared" si="336"/>
        <v>Targeted Dealer</v>
      </c>
      <c r="H1542" s="22"/>
      <c r="I1542" s="23">
        <v>200</v>
      </c>
      <c r="J1542" s="23">
        <f t="shared" si="337"/>
        <v>200</v>
      </c>
      <c r="K1542" s="24">
        <v>177</v>
      </c>
      <c r="L1542" s="24">
        <f t="shared" si="338"/>
        <v>23</v>
      </c>
      <c r="M1542" s="24">
        <f t="shared" si="339"/>
        <v>88.5</v>
      </c>
      <c r="N1542" s="25">
        <v>121</v>
      </c>
      <c r="O1542" s="26" t="str">
        <f t="shared" si="340"/>
        <v>June</v>
      </c>
      <c r="P1542" s="25">
        <f t="shared" si="341"/>
        <v>121</v>
      </c>
      <c r="Q1542" s="27">
        <f t="shared" si="342"/>
        <v>56</v>
      </c>
      <c r="R1542" s="26" t="b">
        <f t="shared" si="343"/>
        <v>0</v>
      </c>
      <c r="S1542" s="28" t="str">
        <f t="shared" si="344"/>
        <v>GROWTH</v>
      </c>
      <c r="T1542" s="24">
        <v>0</v>
      </c>
      <c r="U1542" s="29" t="str">
        <f t="shared" si="345"/>
        <v>May</v>
      </c>
      <c r="V1542" s="24">
        <f t="shared" si="346"/>
        <v>0</v>
      </c>
      <c r="W1542" s="30">
        <f t="shared" si="347"/>
        <v>177</v>
      </c>
      <c r="X1542" s="31" t="b">
        <f t="shared" si="348"/>
        <v>0</v>
      </c>
      <c r="Y1542" s="32" t="b">
        <f t="shared" si="349"/>
        <v>0</v>
      </c>
      <c r="Z1542" s="41">
        <v>0</v>
      </c>
      <c r="AA1542" s="36"/>
      <c r="AB1542" s="36" t="s">
        <v>24</v>
      </c>
      <c r="AC1542" s="52" t="s">
        <v>848</v>
      </c>
      <c r="AD1542" s="34"/>
      <c r="AE1542" s="35">
        <f>IFERROR(INDEX([1]Last6M_AvgSales_Ref!$B$2:$B$12659,MATCH(D1542,[1]Last6M_AvgSales_Ref!$A$2:$A$12659,0)),"")</f>
        <v>106.833333333333</v>
      </c>
    </row>
    <row r="1543" spans="1:31" ht="14.25" customHeight="1" x14ac:dyDescent="0.3">
      <c r="A1543" s="52" t="s">
        <v>2185</v>
      </c>
      <c r="B1543" s="53" t="s">
        <v>2353</v>
      </c>
      <c r="C1543" s="50" t="s">
        <v>3142</v>
      </c>
      <c r="D1543" s="41">
        <v>1000004590</v>
      </c>
      <c r="E1543" s="53" t="s">
        <v>3143</v>
      </c>
      <c r="F1543" s="51">
        <v>46022</v>
      </c>
      <c r="G1543" s="22" t="str">
        <f t="shared" si="336"/>
        <v>Targeted Dealer</v>
      </c>
      <c r="H1543" s="22"/>
      <c r="I1543" s="23">
        <v>25</v>
      </c>
      <c r="J1543" s="23">
        <f t="shared" si="337"/>
        <v>25</v>
      </c>
      <c r="K1543" s="24">
        <v>25</v>
      </c>
      <c r="L1543" s="24">
        <f t="shared" si="338"/>
        <v>0</v>
      </c>
      <c r="M1543" s="24">
        <f t="shared" si="339"/>
        <v>100</v>
      </c>
      <c r="N1543" s="25">
        <v>5</v>
      </c>
      <c r="O1543" s="26" t="str">
        <f t="shared" si="340"/>
        <v>June</v>
      </c>
      <c r="P1543" s="25">
        <f t="shared" si="341"/>
        <v>5</v>
      </c>
      <c r="Q1543" s="27">
        <f t="shared" si="342"/>
        <v>20</v>
      </c>
      <c r="R1543" s="26" t="b">
        <f t="shared" si="343"/>
        <v>0</v>
      </c>
      <c r="S1543" s="28" t="str">
        <f t="shared" si="344"/>
        <v>GROWTH</v>
      </c>
      <c r="T1543" s="24">
        <v>0</v>
      </c>
      <c r="U1543" s="29" t="str">
        <f t="shared" si="345"/>
        <v>May</v>
      </c>
      <c r="V1543" s="24">
        <f t="shared" si="346"/>
        <v>0</v>
      </c>
      <c r="W1543" s="30">
        <f t="shared" si="347"/>
        <v>25</v>
      </c>
      <c r="X1543" s="31" t="b">
        <f t="shared" si="348"/>
        <v>0</v>
      </c>
      <c r="Y1543" s="32" t="b">
        <f t="shared" si="349"/>
        <v>0</v>
      </c>
      <c r="Z1543" s="41">
        <v>0</v>
      </c>
      <c r="AA1543" s="36"/>
      <c r="AB1543" s="36" t="s">
        <v>24</v>
      </c>
      <c r="AC1543" s="52" t="s">
        <v>2185</v>
      </c>
      <c r="AD1543" s="34"/>
      <c r="AE1543" s="35">
        <f>IFERROR(INDEX([1]Last6M_AvgSales_Ref!$B$2:$B$12659,MATCH(D1543,[1]Last6M_AvgSales_Ref!$A$2:$A$12659,0)),"")</f>
        <v>10.8333333333333</v>
      </c>
    </row>
    <row r="1544" spans="1:31" ht="14.25" customHeight="1" x14ac:dyDescent="0.3">
      <c r="A1544" s="52" t="s">
        <v>24</v>
      </c>
      <c r="B1544" s="53" t="s">
        <v>25</v>
      </c>
      <c r="C1544" s="50" t="s">
        <v>3144</v>
      </c>
      <c r="D1544" s="41">
        <v>1000004566</v>
      </c>
      <c r="E1544" s="53" t="s">
        <v>3145</v>
      </c>
      <c r="F1544" s="51">
        <v>46009</v>
      </c>
      <c r="G1544" s="22" t="str">
        <f t="shared" si="336"/>
        <v>-</v>
      </c>
      <c r="H1544" s="22"/>
      <c r="I1544" s="23">
        <v>0</v>
      </c>
      <c r="J1544" s="23">
        <f t="shared" si="337"/>
        <v>0</v>
      </c>
      <c r="K1544" s="24">
        <v>0</v>
      </c>
      <c r="L1544" s="24">
        <f t="shared" si="338"/>
        <v>0</v>
      </c>
      <c r="M1544" s="24" t="str">
        <f t="shared" si="339"/>
        <v>-</v>
      </c>
      <c r="N1544" s="25">
        <v>0</v>
      </c>
      <c r="O1544" s="26" t="str">
        <f t="shared" si="340"/>
        <v>June</v>
      </c>
      <c r="P1544" s="25">
        <f t="shared" si="341"/>
        <v>0</v>
      </c>
      <c r="Q1544" s="27">
        <f t="shared" si="342"/>
        <v>0</v>
      </c>
      <c r="R1544" s="26" t="b">
        <f t="shared" si="343"/>
        <v>0</v>
      </c>
      <c r="S1544" s="28" t="b">
        <f t="shared" si="344"/>
        <v>0</v>
      </c>
      <c r="T1544" s="24">
        <v>0</v>
      </c>
      <c r="U1544" s="29" t="str">
        <f t="shared" si="345"/>
        <v>May</v>
      </c>
      <c r="V1544" s="24">
        <f t="shared" si="346"/>
        <v>0</v>
      </c>
      <c r="W1544" s="30">
        <f t="shared" si="347"/>
        <v>0</v>
      </c>
      <c r="X1544" s="31" t="b">
        <f t="shared" si="348"/>
        <v>0</v>
      </c>
      <c r="Y1544" s="32" t="b">
        <f t="shared" si="349"/>
        <v>0</v>
      </c>
      <c r="Z1544" s="41">
        <v>0</v>
      </c>
      <c r="AA1544" s="36"/>
      <c r="AB1544" s="36" t="s">
        <v>24</v>
      </c>
      <c r="AC1544" s="52" t="s">
        <v>24</v>
      </c>
      <c r="AD1544" s="34"/>
      <c r="AE1544" s="35">
        <f>IFERROR(INDEX([1]Last6M_AvgSales_Ref!$B$2:$B$12659,MATCH(D1544,[1]Last6M_AvgSales_Ref!$A$2:$A$12659,0)),"")</f>
        <v>1.75</v>
      </c>
    </row>
    <row r="1545" spans="1:31" ht="14.25" customHeight="1" x14ac:dyDescent="0.3">
      <c r="A1545" s="52" t="s">
        <v>2185</v>
      </c>
      <c r="B1545" s="53" t="s">
        <v>2857</v>
      </c>
      <c r="C1545" s="50" t="s">
        <v>3146</v>
      </c>
      <c r="D1545" s="41">
        <v>1000003883</v>
      </c>
      <c r="E1545" s="53" t="s">
        <v>3147</v>
      </c>
      <c r="F1545" s="51">
        <v>45357</v>
      </c>
      <c r="G1545" s="22" t="str">
        <f t="shared" si="336"/>
        <v>Targeted Dealer</v>
      </c>
      <c r="H1545" s="22"/>
      <c r="I1545" s="23">
        <v>50</v>
      </c>
      <c r="J1545" s="23">
        <f t="shared" si="337"/>
        <v>50</v>
      </c>
      <c r="K1545" s="24">
        <v>0</v>
      </c>
      <c r="L1545" s="24">
        <f t="shared" si="338"/>
        <v>50</v>
      </c>
      <c r="M1545" s="24">
        <f t="shared" si="339"/>
        <v>0</v>
      </c>
      <c r="N1545" s="25">
        <v>0</v>
      </c>
      <c r="O1545" s="26" t="str">
        <f t="shared" si="340"/>
        <v>June</v>
      </c>
      <c r="P1545" s="25">
        <f t="shared" si="341"/>
        <v>0</v>
      </c>
      <c r="Q1545" s="27">
        <f t="shared" si="342"/>
        <v>0</v>
      </c>
      <c r="R1545" s="26" t="b">
        <f t="shared" si="343"/>
        <v>0</v>
      </c>
      <c r="S1545" s="28" t="b">
        <f t="shared" si="344"/>
        <v>0</v>
      </c>
      <c r="T1545" s="24">
        <v>0</v>
      </c>
      <c r="U1545" s="29" t="str">
        <f t="shared" si="345"/>
        <v>May</v>
      </c>
      <c r="V1545" s="24">
        <f t="shared" si="346"/>
        <v>0</v>
      </c>
      <c r="W1545" s="30">
        <f t="shared" si="347"/>
        <v>0</v>
      </c>
      <c r="X1545" s="31" t="b">
        <f t="shared" si="348"/>
        <v>0</v>
      </c>
      <c r="Y1545" s="32" t="b">
        <f t="shared" si="349"/>
        <v>0</v>
      </c>
      <c r="Z1545" s="41">
        <v>0</v>
      </c>
      <c r="AA1545" s="36"/>
      <c r="AB1545" s="36" t="s">
        <v>24</v>
      </c>
      <c r="AC1545" s="52" t="s">
        <v>2185</v>
      </c>
      <c r="AD1545" s="34"/>
      <c r="AE1545" s="35">
        <f>IFERROR(INDEX([1]Last6M_AvgSales_Ref!$B$2:$B$12659,MATCH(D1545,[1]Last6M_AvgSales_Ref!$A$2:$A$12659,0)),"")</f>
        <v>8.3333333333333304</v>
      </c>
    </row>
    <row r="1546" spans="1:31" ht="14.25" customHeight="1" x14ac:dyDescent="0.3">
      <c r="A1546" s="52" t="s">
        <v>2185</v>
      </c>
      <c r="B1546" s="53" t="s">
        <v>2857</v>
      </c>
      <c r="C1546" s="50" t="s">
        <v>3148</v>
      </c>
      <c r="D1546" s="41">
        <v>1000004568</v>
      </c>
      <c r="E1546" s="53" t="s">
        <v>3149</v>
      </c>
      <c r="F1546" s="51">
        <v>46014</v>
      </c>
      <c r="G1546" s="22" t="str">
        <f t="shared" si="336"/>
        <v>Targeted Dealer</v>
      </c>
      <c r="H1546" s="22"/>
      <c r="I1546" s="23">
        <v>25</v>
      </c>
      <c r="J1546" s="23">
        <f t="shared" si="337"/>
        <v>25</v>
      </c>
      <c r="K1546" s="24">
        <v>65</v>
      </c>
      <c r="L1546" s="24">
        <f t="shared" si="338"/>
        <v>-40</v>
      </c>
      <c r="M1546" s="24">
        <f t="shared" si="339"/>
        <v>260</v>
      </c>
      <c r="N1546" s="25">
        <v>25</v>
      </c>
      <c r="O1546" s="26" t="str">
        <f t="shared" si="340"/>
        <v>June</v>
      </c>
      <c r="P1546" s="25">
        <f t="shared" si="341"/>
        <v>25</v>
      </c>
      <c r="Q1546" s="27">
        <f t="shared" si="342"/>
        <v>40</v>
      </c>
      <c r="R1546" s="26" t="b">
        <f t="shared" si="343"/>
        <v>0</v>
      </c>
      <c r="S1546" s="28" t="str">
        <f t="shared" si="344"/>
        <v>GROWTH</v>
      </c>
      <c r="T1546" s="24">
        <v>0</v>
      </c>
      <c r="U1546" s="29" t="str">
        <f t="shared" si="345"/>
        <v>May</v>
      </c>
      <c r="V1546" s="24">
        <f t="shared" si="346"/>
        <v>0</v>
      </c>
      <c r="W1546" s="30">
        <f t="shared" si="347"/>
        <v>65</v>
      </c>
      <c r="X1546" s="31" t="b">
        <f t="shared" si="348"/>
        <v>0</v>
      </c>
      <c r="Y1546" s="32" t="b">
        <f t="shared" si="349"/>
        <v>0</v>
      </c>
      <c r="Z1546" s="41">
        <v>0</v>
      </c>
      <c r="AA1546" s="36"/>
      <c r="AB1546" s="36" t="s">
        <v>24</v>
      </c>
      <c r="AC1546" s="52" t="s">
        <v>2185</v>
      </c>
      <c r="AD1546" s="34"/>
      <c r="AE1546" s="35">
        <f>IFERROR(INDEX([1]Last6M_AvgSales_Ref!$B$2:$B$12659,MATCH(D1546,[1]Last6M_AvgSales_Ref!$A$2:$A$12659,0)),"")</f>
        <v>11.6666666666667</v>
      </c>
    </row>
    <row r="1547" spans="1:31" ht="14.25" customHeight="1" x14ac:dyDescent="0.3">
      <c r="A1547" s="52" t="s">
        <v>24</v>
      </c>
      <c r="B1547" s="53" t="s">
        <v>698</v>
      </c>
      <c r="C1547" s="50" t="s">
        <v>3150</v>
      </c>
      <c r="D1547" s="41">
        <v>1000004587</v>
      </c>
      <c r="E1547" s="53" t="s">
        <v>3151</v>
      </c>
      <c r="F1547" s="51">
        <v>46020</v>
      </c>
      <c r="G1547" s="22" t="str">
        <f t="shared" si="336"/>
        <v>Targeted Dealer</v>
      </c>
      <c r="H1547" s="22"/>
      <c r="I1547" s="23">
        <v>23</v>
      </c>
      <c r="J1547" s="23">
        <f t="shared" si="337"/>
        <v>23</v>
      </c>
      <c r="K1547" s="24">
        <v>0</v>
      </c>
      <c r="L1547" s="24">
        <f t="shared" si="338"/>
        <v>23</v>
      </c>
      <c r="M1547" s="24">
        <f t="shared" si="339"/>
        <v>0</v>
      </c>
      <c r="N1547" s="25">
        <v>23</v>
      </c>
      <c r="O1547" s="26" t="str">
        <f t="shared" si="340"/>
        <v>June</v>
      </c>
      <c r="P1547" s="25">
        <f t="shared" si="341"/>
        <v>23</v>
      </c>
      <c r="Q1547" s="27">
        <f t="shared" si="342"/>
        <v>-23</v>
      </c>
      <c r="R1547" s="26" t="b">
        <f t="shared" si="343"/>
        <v>0</v>
      </c>
      <c r="S1547" s="28" t="str">
        <f t="shared" si="344"/>
        <v>GROWTH</v>
      </c>
      <c r="T1547" s="24">
        <v>0</v>
      </c>
      <c r="U1547" s="29" t="str">
        <f t="shared" si="345"/>
        <v>May</v>
      </c>
      <c r="V1547" s="24">
        <f t="shared" si="346"/>
        <v>0</v>
      </c>
      <c r="W1547" s="30">
        <f t="shared" si="347"/>
        <v>0</v>
      </c>
      <c r="X1547" s="31" t="b">
        <f t="shared" si="348"/>
        <v>0</v>
      </c>
      <c r="Y1547" s="32" t="b">
        <f t="shared" si="349"/>
        <v>0</v>
      </c>
      <c r="Z1547" s="41">
        <v>0</v>
      </c>
      <c r="AA1547" s="36"/>
      <c r="AB1547" s="36" t="s">
        <v>24</v>
      </c>
      <c r="AC1547" s="52" t="s">
        <v>24</v>
      </c>
      <c r="AD1547" s="34"/>
      <c r="AE1547" s="35">
        <f>IFERROR(INDEX([1]Last6M_AvgSales_Ref!$B$2:$B$12659,MATCH(D1547,[1]Last6M_AvgSales_Ref!$A$2:$A$12659,0)),"")</f>
        <v>10</v>
      </c>
    </row>
    <row r="1548" spans="1:31" ht="14.25" customHeight="1" x14ac:dyDescent="0.3">
      <c r="A1548" s="52" t="s">
        <v>24</v>
      </c>
      <c r="B1548" s="53" t="s">
        <v>174</v>
      </c>
      <c r="C1548" s="50" t="s">
        <v>3152</v>
      </c>
      <c r="D1548" s="41">
        <v>1000004489</v>
      </c>
      <c r="E1548" s="53" t="s">
        <v>3153</v>
      </c>
      <c r="F1548" s="51">
        <v>45949</v>
      </c>
      <c r="G1548" s="22" t="str">
        <f t="shared" si="336"/>
        <v>Targeted Dealer</v>
      </c>
      <c r="H1548" s="22"/>
      <c r="I1548" s="23">
        <v>20</v>
      </c>
      <c r="J1548" s="23">
        <f t="shared" si="337"/>
        <v>20</v>
      </c>
      <c r="K1548" s="24">
        <v>3.5</v>
      </c>
      <c r="L1548" s="24">
        <f t="shared" si="338"/>
        <v>16.5</v>
      </c>
      <c r="M1548" s="24">
        <f t="shared" si="339"/>
        <v>17.5</v>
      </c>
      <c r="N1548" s="25">
        <v>21.5</v>
      </c>
      <c r="O1548" s="26" t="str">
        <f t="shared" si="340"/>
        <v>June</v>
      </c>
      <c r="P1548" s="25">
        <f t="shared" si="341"/>
        <v>21.5</v>
      </c>
      <c r="Q1548" s="27">
        <f t="shared" si="342"/>
        <v>-18</v>
      </c>
      <c r="R1548" s="26" t="b">
        <f t="shared" si="343"/>
        <v>0</v>
      </c>
      <c r="S1548" s="28" t="str">
        <f t="shared" si="344"/>
        <v>GROWTH</v>
      </c>
      <c r="T1548" s="24">
        <v>0</v>
      </c>
      <c r="U1548" s="29" t="str">
        <f t="shared" si="345"/>
        <v>May</v>
      </c>
      <c r="V1548" s="24">
        <f t="shared" si="346"/>
        <v>0</v>
      </c>
      <c r="W1548" s="30">
        <f t="shared" si="347"/>
        <v>3.5</v>
      </c>
      <c r="X1548" s="31" t="b">
        <f t="shared" si="348"/>
        <v>0</v>
      </c>
      <c r="Y1548" s="32" t="b">
        <f t="shared" si="349"/>
        <v>0</v>
      </c>
      <c r="Z1548" s="41">
        <v>0</v>
      </c>
      <c r="AA1548" s="36"/>
      <c r="AB1548" s="36" t="s">
        <v>24</v>
      </c>
      <c r="AC1548" s="52" t="s">
        <v>24</v>
      </c>
      <c r="AD1548" s="34"/>
      <c r="AE1548" s="35">
        <f>IFERROR(INDEX([1]Last6M_AvgSales_Ref!$B$2:$B$12659,MATCH(D1548,[1]Last6M_AvgSales_Ref!$A$2:$A$12659,0)),"")</f>
        <v>12.0833333333333</v>
      </c>
    </row>
    <row r="1549" spans="1:31" ht="14.25" customHeight="1" x14ac:dyDescent="0.3">
      <c r="A1549" s="52" t="s">
        <v>24</v>
      </c>
      <c r="B1549" s="53" t="s">
        <v>656</v>
      </c>
      <c r="C1549" s="50" t="s">
        <v>3154</v>
      </c>
      <c r="D1549" s="41">
        <v>1000003967</v>
      </c>
      <c r="E1549" s="53" t="s">
        <v>3155</v>
      </c>
      <c r="F1549" s="51">
        <v>45433</v>
      </c>
      <c r="G1549" s="22" t="str">
        <f t="shared" si="336"/>
        <v>-</v>
      </c>
      <c r="H1549" s="22"/>
      <c r="I1549" s="23">
        <v>0</v>
      </c>
      <c r="J1549" s="23">
        <f t="shared" si="337"/>
        <v>0</v>
      </c>
      <c r="K1549" s="24">
        <v>0</v>
      </c>
      <c r="L1549" s="24">
        <f t="shared" si="338"/>
        <v>0</v>
      </c>
      <c r="M1549" s="24" t="str">
        <f t="shared" si="339"/>
        <v>-</v>
      </c>
      <c r="N1549" s="25">
        <v>0</v>
      </c>
      <c r="O1549" s="26" t="str">
        <f t="shared" si="340"/>
        <v>June</v>
      </c>
      <c r="P1549" s="25">
        <f t="shared" si="341"/>
        <v>0</v>
      </c>
      <c r="Q1549" s="27">
        <f t="shared" si="342"/>
        <v>0</v>
      </c>
      <c r="R1549" s="26" t="b">
        <f t="shared" si="343"/>
        <v>0</v>
      </c>
      <c r="S1549" s="28" t="b">
        <f t="shared" si="344"/>
        <v>0</v>
      </c>
      <c r="T1549" s="24">
        <v>0</v>
      </c>
      <c r="U1549" s="29" t="str">
        <f t="shared" si="345"/>
        <v>May</v>
      </c>
      <c r="V1549" s="24">
        <f t="shared" si="346"/>
        <v>0</v>
      </c>
      <c r="W1549" s="30">
        <f t="shared" si="347"/>
        <v>0</v>
      </c>
      <c r="X1549" s="31" t="b">
        <f t="shared" si="348"/>
        <v>0</v>
      </c>
      <c r="Y1549" s="32" t="b">
        <f t="shared" si="349"/>
        <v>0</v>
      </c>
      <c r="Z1549" s="41">
        <v>0</v>
      </c>
      <c r="AA1549" s="36"/>
      <c r="AB1549" s="36" t="s">
        <v>24</v>
      </c>
      <c r="AC1549" s="52" t="s">
        <v>24</v>
      </c>
      <c r="AD1549" s="34"/>
      <c r="AE1549" s="35">
        <f>IFERROR(INDEX([1]Last6M_AvgSales_Ref!$B$2:$B$12659,MATCH(D1549,[1]Last6M_AvgSales_Ref!$A$2:$A$12659,0)),"")</f>
        <v>2.5</v>
      </c>
    </row>
    <row r="1550" spans="1:31" ht="14.25" customHeight="1" x14ac:dyDescent="0.3">
      <c r="A1550" s="52" t="s">
        <v>24</v>
      </c>
      <c r="B1550" s="53" t="s">
        <v>656</v>
      </c>
      <c r="C1550" s="50" t="s">
        <v>3156</v>
      </c>
      <c r="D1550" s="41">
        <v>1000004589</v>
      </c>
      <c r="E1550" s="53" t="s">
        <v>3157</v>
      </c>
      <c r="F1550" s="51">
        <v>46021</v>
      </c>
      <c r="G1550" s="22" t="str">
        <f t="shared" si="336"/>
        <v>Targeted Dealer</v>
      </c>
      <c r="H1550" s="22"/>
      <c r="I1550" s="23">
        <v>20</v>
      </c>
      <c r="J1550" s="23">
        <f t="shared" si="337"/>
        <v>20</v>
      </c>
      <c r="K1550" s="24">
        <v>20</v>
      </c>
      <c r="L1550" s="24">
        <f t="shared" si="338"/>
        <v>0</v>
      </c>
      <c r="M1550" s="24">
        <f t="shared" si="339"/>
        <v>100</v>
      </c>
      <c r="N1550" s="25">
        <v>0</v>
      </c>
      <c r="O1550" s="26" t="str">
        <f t="shared" si="340"/>
        <v>June</v>
      </c>
      <c r="P1550" s="25">
        <f t="shared" si="341"/>
        <v>0</v>
      </c>
      <c r="Q1550" s="27">
        <f t="shared" si="342"/>
        <v>20</v>
      </c>
      <c r="R1550" s="26" t="b">
        <f t="shared" si="343"/>
        <v>0</v>
      </c>
      <c r="S1550" s="28" t="b">
        <f t="shared" si="344"/>
        <v>0</v>
      </c>
      <c r="T1550" s="24">
        <v>0</v>
      </c>
      <c r="U1550" s="29" t="str">
        <f t="shared" si="345"/>
        <v>May</v>
      </c>
      <c r="V1550" s="24">
        <f t="shared" si="346"/>
        <v>0</v>
      </c>
      <c r="W1550" s="30">
        <f t="shared" si="347"/>
        <v>20</v>
      </c>
      <c r="X1550" s="31" t="b">
        <f t="shared" si="348"/>
        <v>0</v>
      </c>
      <c r="Y1550" s="32" t="b">
        <f t="shared" si="349"/>
        <v>0</v>
      </c>
      <c r="Z1550" s="41">
        <v>0</v>
      </c>
      <c r="AA1550" s="36"/>
      <c r="AB1550" s="36" t="s">
        <v>24</v>
      </c>
      <c r="AC1550" s="52" t="s">
        <v>24</v>
      </c>
      <c r="AD1550" s="34"/>
      <c r="AE1550" s="35">
        <f>IFERROR(INDEX([1]Last6M_AvgSales_Ref!$B$2:$B$12659,MATCH(D1550,[1]Last6M_AvgSales_Ref!$A$2:$A$12659,0)),"")</f>
        <v>12.5</v>
      </c>
    </row>
    <row r="1551" spans="1:31" ht="14.25" customHeight="1" x14ac:dyDescent="0.3">
      <c r="A1551" s="52" t="s">
        <v>24</v>
      </c>
      <c r="B1551" s="53" t="s">
        <v>656</v>
      </c>
      <c r="C1551" s="50" t="s">
        <v>3158</v>
      </c>
      <c r="D1551" s="41">
        <v>1000004598</v>
      </c>
      <c r="E1551" s="53" t="s">
        <v>3159</v>
      </c>
      <c r="F1551" s="51">
        <v>46029</v>
      </c>
      <c r="G1551" s="22" t="str">
        <f t="shared" si="336"/>
        <v>Targeted Dealer</v>
      </c>
      <c r="H1551" s="22"/>
      <c r="I1551" s="23">
        <v>50</v>
      </c>
      <c r="J1551" s="23">
        <f t="shared" si="337"/>
        <v>50</v>
      </c>
      <c r="K1551" s="24">
        <v>89</v>
      </c>
      <c r="L1551" s="24">
        <f t="shared" si="338"/>
        <v>-39</v>
      </c>
      <c r="M1551" s="24">
        <f t="shared" si="339"/>
        <v>178</v>
      </c>
      <c r="N1551" s="25">
        <v>0</v>
      </c>
      <c r="O1551" s="26" t="str">
        <f t="shared" si="340"/>
        <v>June</v>
      </c>
      <c r="P1551" s="25">
        <f t="shared" si="341"/>
        <v>0</v>
      </c>
      <c r="Q1551" s="27">
        <f t="shared" si="342"/>
        <v>89</v>
      </c>
      <c r="R1551" s="26" t="b">
        <f t="shared" si="343"/>
        <v>0</v>
      </c>
      <c r="S1551" s="28" t="b">
        <f t="shared" si="344"/>
        <v>0</v>
      </c>
      <c r="T1551" s="24">
        <v>0</v>
      </c>
      <c r="U1551" s="29" t="str">
        <f t="shared" si="345"/>
        <v>May</v>
      </c>
      <c r="V1551" s="24">
        <f t="shared" si="346"/>
        <v>0</v>
      </c>
      <c r="W1551" s="30">
        <f t="shared" si="347"/>
        <v>89</v>
      </c>
      <c r="X1551" s="31" t="b">
        <f t="shared" si="348"/>
        <v>0</v>
      </c>
      <c r="Y1551" s="32" t="b">
        <f t="shared" si="349"/>
        <v>0</v>
      </c>
      <c r="Z1551" s="41">
        <v>0</v>
      </c>
      <c r="AA1551" s="36"/>
      <c r="AB1551" s="36" t="s">
        <v>24</v>
      </c>
      <c r="AC1551" s="52" t="s">
        <v>24</v>
      </c>
      <c r="AD1551" s="34"/>
      <c r="AE1551" s="35">
        <f>IFERROR(INDEX([1]Last6M_AvgSales_Ref!$B$2:$B$12659,MATCH(D1551,[1]Last6M_AvgSales_Ref!$A$2:$A$12659,0)),"")</f>
        <v>40.8333333333333</v>
      </c>
    </row>
    <row r="1552" spans="1:31" ht="14.25" customHeight="1" x14ac:dyDescent="0.3">
      <c r="A1552" s="52" t="s">
        <v>848</v>
      </c>
      <c r="B1552" s="53" t="s">
        <v>1769</v>
      </c>
      <c r="C1552" s="50" t="s">
        <v>3160</v>
      </c>
      <c r="D1552" s="41">
        <v>1000002732</v>
      </c>
      <c r="E1552" s="53" t="s">
        <v>3161</v>
      </c>
      <c r="F1552" s="51">
        <v>44739</v>
      </c>
      <c r="G1552" s="22" t="str">
        <f t="shared" si="336"/>
        <v>-</v>
      </c>
      <c r="H1552" s="22"/>
      <c r="I1552" s="23">
        <v>0</v>
      </c>
      <c r="J1552" s="23">
        <f t="shared" si="337"/>
        <v>0</v>
      </c>
      <c r="K1552" s="24">
        <v>0</v>
      </c>
      <c r="L1552" s="24">
        <f t="shared" si="338"/>
        <v>0</v>
      </c>
      <c r="M1552" s="24" t="str">
        <f t="shared" si="339"/>
        <v>-</v>
      </c>
      <c r="N1552" s="25">
        <v>0</v>
      </c>
      <c r="O1552" s="26" t="str">
        <f t="shared" si="340"/>
        <v>June</v>
      </c>
      <c r="P1552" s="25">
        <f t="shared" si="341"/>
        <v>0</v>
      </c>
      <c r="Q1552" s="27">
        <f t="shared" si="342"/>
        <v>0</v>
      </c>
      <c r="R1552" s="26" t="b">
        <f t="shared" si="343"/>
        <v>0</v>
      </c>
      <c r="S1552" s="28" t="b">
        <f t="shared" si="344"/>
        <v>0</v>
      </c>
      <c r="T1552" s="24">
        <v>0</v>
      </c>
      <c r="U1552" s="29" t="str">
        <f t="shared" si="345"/>
        <v>May</v>
      </c>
      <c r="V1552" s="24">
        <f t="shared" si="346"/>
        <v>0</v>
      </c>
      <c r="W1552" s="30">
        <f t="shared" si="347"/>
        <v>0</v>
      </c>
      <c r="X1552" s="31" t="b">
        <f t="shared" si="348"/>
        <v>0</v>
      </c>
      <c r="Y1552" s="32" t="b">
        <f t="shared" si="349"/>
        <v>0</v>
      </c>
      <c r="Z1552" s="41">
        <v>0</v>
      </c>
      <c r="AA1552" s="36"/>
      <c r="AB1552" s="36" t="s">
        <v>24</v>
      </c>
      <c r="AC1552" s="52" t="s">
        <v>848</v>
      </c>
      <c r="AD1552" s="34"/>
      <c r="AE1552" s="35">
        <f>IFERROR(INDEX([1]Last6M_AvgSales_Ref!$B$2:$B$12659,MATCH(D1552,[1]Last6M_AvgSales_Ref!$A$2:$A$12659,0)),"")</f>
        <v>4.1666666666666696</v>
      </c>
    </row>
    <row r="1553" spans="1:31" ht="14.25" customHeight="1" x14ac:dyDescent="0.3">
      <c r="A1553" s="52" t="s">
        <v>2027</v>
      </c>
      <c r="B1553" s="53" t="s">
        <v>2028</v>
      </c>
      <c r="C1553" s="50" t="s">
        <v>3162</v>
      </c>
      <c r="D1553" s="41">
        <v>1000004426</v>
      </c>
      <c r="E1553" s="53" t="s">
        <v>3163</v>
      </c>
      <c r="F1553" s="51">
        <v>45864</v>
      </c>
      <c r="G1553" s="22" t="str">
        <f t="shared" si="336"/>
        <v>Targeted Dealer</v>
      </c>
      <c r="H1553" s="22"/>
      <c r="I1553" s="23">
        <v>50</v>
      </c>
      <c r="J1553" s="23">
        <f t="shared" si="337"/>
        <v>50</v>
      </c>
      <c r="K1553" s="24">
        <v>65.849999999999994</v>
      </c>
      <c r="L1553" s="24">
        <f t="shared" si="338"/>
        <v>-15.849999999999994</v>
      </c>
      <c r="M1553" s="24">
        <f t="shared" si="339"/>
        <v>131.69999999999999</v>
      </c>
      <c r="N1553" s="25">
        <v>40</v>
      </c>
      <c r="O1553" s="26" t="str">
        <f t="shared" si="340"/>
        <v>June</v>
      </c>
      <c r="P1553" s="25">
        <f t="shared" si="341"/>
        <v>40</v>
      </c>
      <c r="Q1553" s="27">
        <f t="shared" si="342"/>
        <v>25.849999999999994</v>
      </c>
      <c r="R1553" s="26" t="b">
        <f t="shared" si="343"/>
        <v>0</v>
      </c>
      <c r="S1553" s="28" t="str">
        <f t="shared" si="344"/>
        <v>GROWTH</v>
      </c>
      <c r="T1553" s="24">
        <v>0</v>
      </c>
      <c r="U1553" s="29" t="str">
        <f t="shared" si="345"/>
        <v>May</v>
      </c>
      <c r="V1553" s="24">
        <f t="shared" si="346"/>
        <v>0</v>
      </c>
      <c r="W1553" s="30">
        <f t="shared" si="347"/>
        <v>65.849999999999994</v>
      </c>
      <c r="X1553" s="31" t="b">
        <f t="shared" si="348"/>
        <v>0</v>
      </c>
      <c r="Y1553" s="32" t="b">
        <f t="shared" si="349"/>
        <v>0</v>
      </c>
      <c r="Z1553" s="41">
        <v>0</v>
      </c>
      <c r="AA1553" s="36"/>
      <c r="AB1553" s="36" t="s">
        <v>24</v>
      </c>
      <c r="AC1553" s="52" t="s">
        <v>2027</v>
      </c>
      <c r="AD1553" s="34"/>
      <c r="AE1553" s="35">
        <f>IFERROR(INDEX([1]Last6M_AvgSales_Ref!$B$2:$B$12659,MATCH(D1553,[1]Last6M_AvgSales_Ref!$A$2:$A$12659,0)),"")</f>
        <v>25.6666666666667</v>
      </c>
    </row>
    <row r="1554" spans="1:31" ht="14.25" customHeight="1" x14ac:dyDescent="0.3">
      <c r="A1554" s="52" t="s">
        <v>2027</v>
      </c>
      <c r="B1554" s="53" t="s">
        <v>2028</v>
      </c>
      <c r="C1554" s="50" t="s">
        <v>3164</v>
      </c>
      <c r="D1554" s="41">
        <v>1000004577</v>
      </c>
      <c r="E1554" s="53" t="s">
        <v>3165</v>
      </c>
      <c r="F1554" s="51">
        <v>46015</v>
      </c>
      <c r="G1554" s="22" t="str">
        <f t="shared" si="336"/>
        <v>Targeted Dealer</v>
      </c>
      <c r="H1554" s="22"/>
      <c r="I1554" s="23">
        <v>20</v>
      </c>
      <c r="J1554" s="23">
        <f t="shared" si="337"/>
        <v>20</v>
      </c>
      <c r="K1554" s="24">
        <v>0</v>
      </c>
      <c r="L1554" s="24">
        <f t="shared" si="338"/>
        <v>20</v>
      </c>
      <c r="M1554" s="24">
        <f t="shared" si="339"/>
        <v>0</v>
      </c>
      <c r="N1554" s="25">
        <v>18.8</v>
      </c>
      <c r="O1554" s="26" t="str">
        <f t="shared" si="340"/>
        <v>June</v>
      </c>
      <c r="P1554" s="25">
        <f t="shared" si="341"/>
        <v>18.8</v>
      </c>
      <c r="Q1554" s="27">
        <f t="shared" si="342"/>
        <v>-18.8</v>
      </c>
      <c r="R1554" s="26" t="b">
        <f t="shared" si="343"/>
        <v>0</v>
      </c>
      <c r="S1554" s="28" t="str">
        <f t="shared" si="344"/>
        <v>GROWTH</v>
      </c>
      <c r="T1554" s="24">
        <v>0</v>
      </c>
      <c r="U1554" s="29" t="str">
        <f t="shared" si="345"/>
        <v>May</v>
      </c>
      <c r="V1554" s="24">
        <f t="shared" si="346"/>
        <v>0</v>
      </c>
      <c r="W1554" s="30">
        <f t="shared" si="347"/>
        <v>0</v>
      </c>
      <c r="X1554" s="31" t="b">
        <f t="shared" si="348"/>
        <v>0</v>
      </c>
      <c r="Y1554" s="32" t="b">
        <f t="shared" si="349"/>
        <v>0</v>
      </c>
      <c r="Z1554" s="41">
        <v>0</v>
      </c>
      <c r="AA1554" s="36"/>
      <c r="AB1554" s="36" t="s">
        <v>24</v>
      </c>
      <c r="AC1554" s="52" t="s">
        <v>2027</v>
      </c>
      <c r="AD1554" s="34"/>
      <c r="AE1554" s="35">
        <f>IFERROR(INDEX([1]Last6M_AvgSales_Ref!$B$2:$B$12659,MATCH(D1554,[1]Last6M_AvgSales_Ref!$A$2:$A$12659,0)),"")</f>
        <v>55.975000000000001</v>
      </c>
    </row>
    <row r="1555" spans="1:31" ht="14.25" customHeight="1" x14ac:dyDescent="0.3">
      <c r="A1555" s="54" t="s">
        <v>848</v>
      </c>
      <c r="B1555" s="55" t="s">
        <v>1329</v>
      </c>
      <c r="C1555" s="56" t="s">
        <v>3166</v>
      </c>
      <c r="D1555" s="36">
        <v>1000004654</v>
      </c>
      <c r="E1555" s="55" t="s">
        <v>3167</v>
      </c>
      <c r="F1555" s="57">
        <v>46072</v>
      </c>
      <c r="G1555" s="22" t="str">
        <f t="shared" si="336"/>
        <v>-</v>
      </c>
      <c r="H1555" s="58"/>
      <c r="I1555" s="23">
        <v>0</v>
      </c>
      <c r="J1555" s="23">
        <f t="shared" si="337"/>
        <v>0</v>
      </c>
      <c r="K1555" s="24">
        <v>0</v>
      </c>
      <c r="L1555" s="24">
        <f t="shared" si="338"/>
        <v>0</v>
      </c>
      <c r="M1555" s="24" t="str">
        <f t="shared" si="339"/>
        <v>-</v>
      </c>
      <c r="N1555" s="25">
        <v>0</v>
      </c>
      <c r="O1555" s="26" t="str">
        <f t="shared" si="340"/>
        <v>June</v>
      </c>
      <c r="P1555" s="25">
        <f t="shared" si="341"/>
        <v>0</v>
      </c>
      <c r="Q1555" s="27">
        <f t="shared" si="342"/>
        <v>0</v>
      </c>
      <c r="R1555" s="26" t="b">
        <f t="shared" si="343"/>
        <v>0</v>
      </c>
      <c r="S1555" s="28" t="b">
        <f t="shared" si="344"/>
        <v>0</v>
      </c>
      <c r="T1555" s="24">
        <v>0</v>
      </c>
      <c r="U1555" s="29" t="str">
        <f t="shared" si="345"/>
        <v>May</v>
      </c>
      <c r="V1555" s="24">
        <f t="shared" si="346"/>
        <v>0</v>
      </c>
      <c r="W1555" s="30">
        <f t="shared" si="347"/>
        <v>0</v>
      </c>
      <c r="X1555" s="31" t="b">
        <f t="shared" si="348"/>
        <v>0</v>
      </c>
      <c r="Y1555" s="32" t="b">
        <f t="shared" si="349"/>
        <v>0</v>
      </c>
      <c r="Z1555" s="41">
        <v>0</v>
      </c>
      <c r="AA1555" s="36"/>
      <c r="AB1555" s="36" t="s">
        <v>24</v>
      </c>
      <c r="AC1555" s="54" t="s">
        <v>848</v>
      </c>
      <c r="AD1555" s="34"/>
      <c r="AE1555" s="35">
        <f>IFERROR(INDEX([1]Last6M_AvgSales_Ref!$B$2:$B$12659,MATCH(D1555,[1]Last6M_AvgSales_Ref!$A$2:$A$12659,0)),"")</f>
        <v>6.6666666666666696</v>
      </c>
    </row>
    <row r="1556" spans="1:31" ht="14.25" customHeight="1" x14ac:dyDescent="0.3">
      <c r="A1556" s="54" t="s">
        <v>1836</v>
      </c>
      <c r="B1556" s="55" t="s">
        <v>1901</v>
      </c>
      <c r="C1556" s="56" t="s">
        <v>3168</v>
      </c>
      <c r="D1556" s="36">
        <v>1000004624</v>
      </c>
      <c r="E1556" s="55" t="s">
        <v>3169</v>
      </c>
      <c r="F1556" s="57">
        <v>46051</v>
      </c>
      <c r="G1556" s="22" t="str">
        <f t="shared" si="336"/>
        <v>-</v>
      </c>
      <c r="H1556" s="58"/>
      <c r="I1556" s="23">
        <v>0</v>
      </c>
      <c r="J1556" s="23">
        <f t="shared" si="337"/>
        <v>0</v>
      </c>
      <c r="K1556" s="24">
        <v>0</v>
      </c>
      <c r="L1556" s="24">
        <f t="shared" si="338"/>
        <v>0</v>
      </c>
      <c r="M1556" s="24" t="str">
        <f t="shared" si="339"/>
        <v>-</v>
      </c>
      <c r="N1556" s="25">
        <v>0</v>
      </c>
      <c r="O1556" s="26" t="str">
        <f t="shared" si="340"/>
        <v>June</v>
      </c>
      <c r="P1556" s="25">
        <f t="shared" si="341"/>
        <v>0</v>
      </c>
      <c r="Q1556" s="27">
        <f t="shared" si="342"/>
        <v>0</v>
      </c>
      <c r="R1556" s="26" t="b">
        <f t="shared" si="343"/>
        <v>0</v>
      </c>
      <c r="S1556" s="28" t="b">
        <f t="shared" si="344"/>
        <v>0</v>
      </c>
      <c r="T1556" s="24">
        <v>0</v>
      </c>
      <c r="U1556" s="29" t="str">
        <f t="shared" si="345"/>
        <v>May</v>
      </c>
      <c r="V1556" s="24">
        <f t="shared" si="346"/>
        <v>0</v>
      </c>
      <c r="W1556" s="30">
        <f t="shared" si="347"/>
        <v>0</v>
      </c>
      <c r="X1556" s="31" t="b">
        <f t="shared" si="348"/>
        <v>0</v>
      </c>
      <c r="Y1556" s="32" t="b">
        <f t="shared" si="349"/>
        <v>0</v>
      </c>
      <c r="Z1556" s="41">
        <v>0</v>
      </c>
      <c r="AA1556" s="36"/>
      <c r="AB1556" s="36" t="s">
        <v>24</v>
      </c>
      <c r="AC1556" s="54" t="s">
        <v>1836</v>
      </c>
      <c r="AD1556" s="34"/>
      <c r="AE1556" s="35">
        <f>IFERROR(INDEX([1]Last6M_AvgSales_Ref!$B$2:$B$12659,MATCH(D1556,[1]Last6M_AvgSales_Ref!$A$2:$A$12659,0)),"")</f>
        <v>94.5</v>
      </c>
    </row>
    <row r="1557" spans="1:31" ht="14.25" customHeight="1" x14ac:dyDescent="0.3">
      <c r="A1557" s="54" t="s">
        <v>24</v>
      </c>
      <c r="B1557" s="55" t="s">
        <v>358</v>
      </c>
      <c r="C1557" s="56" t="s">
        <v>3170</v>
      </c>
      <c r="D1557" s="36">
        <v>1000004628</v>
      </c>
      <c r="E1557" s="55" t="s">
        <v>2758</v>
      </c>
      <c r="F1557" s="57">
        <v>46060</v>
      </c>
      <c r="G1557" s="22" t="str">
        <f t="shared" si="336"/>
        <v>Targeted Dealer</v>
      </c>
      <c r="H1557" s="58"/>
      <c r="I1557" s="23">
        <v>80</v>
      </c>
      <c r="J1557" s="23">
        <f t="shared" si="337"/>
        <v>80</v>
      </c>
      <c r="K1557" s="24">
        <v>40</v>
      </c>
      <c r="L1557" s="24">
        <f t="shared" si="338"/>
        <v>40</v>
      </c>
      <c r="M1557" s="24">
        <f t="shared" si="339"/>
        <v>50</v>
      </c>
      <c r="N1557" s="25">
        <v>0</v>
      </c>
      <c r="O1557" s="26" t="str">
        <f t="shared" si="340"/>
        <v>June</v>
      </c>
      <c r="P1557" s="25">
        <f t="shared" si="341"/>
        <v>0</v>
      </c>
      <c r="Q1557" s="27">
        <f t="shared" si="342"/>
        <v>40</v>
      </c>
      <c r="R1557" s="26" t="b">
        <f t="shared" si="343"/>
        <v>0</v>
      </c>
      <c r="S1557" s="28" t="b">
        <f t="shared" si="344"/>
        <v>0</v>
      </c>
      <c r="T1557" s="24">
        <v>0</v>
      </c>
      <c r="U1557" s="29" t="str">
        <f t="shared" si="345"/>
        <v>May</v>
      </c>
      <c r="V1557" s="24">
        <f t="shared" si="346"/>
        <v>0</v>
      </c>
      <c r="W1557" s="30">
        <f t="shared" si="347"/>
        <v>40</v>
      </c>
      <c r="X1557" s="31" t="b">
        <f t="shared" si="348"/>
        <v>0</v>
      </c>
      <c r="Y1557" s="32" t="b">
        <f t="shared" si="349"/>
        <v>0</v>
      </c>
      <c r="Z1557" s="41">
        <v>0</v>
      </c>
      <c r="AA1557" s="36"/>
      <c r="AB1557" s="36" t="s">
        <v>24</v>
      </c>
      <c r="AC1557" s="54" t="s">
        <v>24</v>
      </c>
      <c r="AD1557" s="34"/>
      <c r="AE1557" s="35">
        <f>IFERROR(INDEX([1]Last6M_AvgSales_Ref!$B$2:$B$12659,MATCH(D1557,[1]Last6M_AvgSales_Ref!$A$2:$A$12659,0)),"")</f>
        <v>26.6666666666667</v>
      </c>
    </row>
    <row r="1558" spans="1:31" ht="14.25" customHeight="1" x14ac:dyDescent="0.3">
      <c r="A1558" s="54" t="s">
        <v>2185</v>
      </c>
      <c r="B1558" s="55" t="s">
        <v>2316</v>
      </c>
      <c r="C1558" s="56" t="s">
        <v>3171</v>
      </c>
      <c r="D1558" s="36">
        <v>1000004630</v>
      </c>
      <c r="E1558" s="55" t="s">
        <v>3172</v>
      </c>
      <c r="F1558" s="57">
        <v>46062</v>
      </c>
      <c r="G1558" s="22" t="str">
        <f t="shared" si="336"/>
        <v>-</v>
      </c>
      <c r="H1558" s="58"/>
      <c r="I1558" s="23">
        <v>0</v>
      </c>
      <c r="J1558" s="23">
        <f t="shared" si="337"/>
        <v>0</v>
      </c>
      <c r="K1558" s="24">
        <v>0</v>
      </c>
      <c r="L1558" s="24">
        <f t="shared" si="338"/>
        <v>0</v>
      </c>
      <c r="M1558" s="24" t="str">
        <f t="shared" si="339"/>
        <v>-</v>
      </c>
      <c r="N1558" s="25">
        <v>0</v>
      </c>
      <c r="O1558" s="26" t="str">
        <f t="shared" si="340"/>
        <v>June</v>
      </c>
      <c r="P1558" s="25">
        <f t="shared" si="341"/>
        <v>0</v>
      </c>
      <c r="Q1558" s="27">
        <f t="shared" si="342"/>
        <v>0</v>
      </c>
      <c r="R1558" s="26" t="b">
        <f t="shared" si="343"/>
        <v>0</v>
      </c>
      <c r="S1558" s="28" t="b">
        <f t="shared" si="344"/>
        <v>0</v>
      </c>
      <c r="T1558" s="24">
        <v>0</v>
      </c>
      <c r="U1558" s="29" t="str">
        <f t="shared" si="345"/>
        <v>May</v>
      </c>
      <c r="V1558" s="24">
        <f t="shared" si="346"/>
        <v>0</v>
      </c>
      <c r="W1558" s="30">
        <f t="shared" si="347"/>
        <v>0</v>
      </c>
      <c r="X1558" s="31" t="b">
        <f t="shared" si="348"/>
        <v>0</v>
      </c>
      <c r="Y1558" s="32" t="b">
        <f t="shared" si="349"/>
        <v>0</v>
      </c>
      <c r="Z1558" s="41">
        <v>0</v>
      </c>
      <c r="AA1558" s="36"/>
      <c r="AB1558" s="36" t="s">
        <v>24</v>
      </c>
      <c r="AC1558" s="54" t="s">
        <v>2185</v>
      </c>
      <c r="AD1558" s="34"/>
      <c r="AE1558" s="35">
        <f>IFERROR(INDEX([1]Last6M_AvgSales_Ref!$B$2:$B$12659,MATCH(D1558,[1]Last6M_AvgSales_Ref!$A$2:$A$12659,0)),"")</f>
        <v>4.1666666666666696</v>
      </c>
    </row>
    <row r="1559" spans="1:31" ht="14.25" customHeight="1" x14ac:dyDescent="0.3">
      <c r="A1559" s="54" t="s">
        <v>2185</v>
      </c>
      <c r="B1559" s="55" t="s">
        <v>2316</v>
      </c>
      <c r="C1559" s="56" t="s">
        <v>3173</v>
      </c>
      <c r="D1559" s="36">
        <v>1000001999</v>
      </c>
      <c r="E1559" s="55" t="s">
        <v>3174</v>
      </c>
      <c r="F1559" s="57">
        <v>44739</v>
      </c>
      <c r="G1559" s="22" t="str">
        <f t="shared" si="336"/>
        <v>Targeted Dealer</v>
      </c>
      <c r="H1559" s="58"/>
      <c r="I1559" s="23">
        <v>15</v>
      </c>
      <c r="J1559" s="23">
        <f t="shared" si="337"/>
        <v>15</v>
      </c>
      <c r="K1559" s="24">
        <v>15</v>
      </c>
      <c r="L1559" s="24">
        <f t="shared" si="338"/>
        <v>0</v>
      </c>
      <c r="M1559" s="24">
        <f t="shared" si="339"/>
        <v>100</v>
      </c>
      <c r="N1559" s="25">
        <v>0</v>
      </c>
      <c r="O1559" s="26" t="str">
        <f t="shared" si="340"/>
        <v>June</v>
      </c>
      <c r="P1559" s="25">
        <f t="shared" si="341"/>
        <v>0</v>
      </c>
      <c r="Q1559" s="27">
        <f t="shared" si="342"/>
        <v>15</v>
      </c>
      <c r="R1559" s="26" t="b">
        <f t="shared" si="343"/>
        <v>0</v>
      </c>
      <c r="S1559" s="28" t="b">
        <f t="shared" si="344"/>
        <v>0</v>
      </c>
      <c r="T1559" s="24">
        <v>0</v>
      </c>
      <c r="U1559" s="29" t="str">
        <f t="shared" si="345"/>
        <v>May</v>
      </c>
      <c r="V1559" s="24">
        <f t="shared" si="346"/>
        <v>0</v>
      </c>
      <c r="W1559" s="30">
        <f t="shared" si="347"/>
        <v>15</v>
      </c>
      <c r="X1559" s="31" t="b">
        <f t="shared" si="348"/>
        <v>0</v>
      </c>
      <c r="Y1559" s="32" t="b">
        <f t="shared" si="349"/>
        <v>0</v>
      </c>
      <c r="Z1559" s="41">
        <v>0</v>
      </c>
      <c r="AA1559" s="36"/>
      <c r="AB1559" s="36" t="s">
        <v>24</v>
      </c>
      <c r="AC1559" s="54" t="s">
        <v>2185</v>
      </c>
      <c r="AD1559" s="34"/>
      <c r="AE1559" s="35">
        <f>IFERROR(INDEX([1]Last6M_AvgSales_Ref!$B$2:$B$12659,MATCH(D1559,[1]Last6M_AvgSales_Ref!$A$2:$A$12659,0)),"")</f>
        <v>3.3333333333333299</v>
      </c>
    </row>
    <row r="1560" spans="1:31" ht="14.25" customHeight="1" x14ac:dyDescent="0.3">
      <c r="A1560" s="54" t="s">
        <v>2185</v>
      </c>
      <c r="B1560" s="55" t="s">
        <v>2287</v>
      </c>
      <c r="C1560" s="56" t="s">
        <v>3175</v>
      </c>
      <c r="D1560" s="36">
        <v>1000001196</v>
      </c>
      <c r="E1560" s="55" t="s">
        <v>3176</v>
      </c>
      <c r="F1560" s="57">
        <v>44739</v>
      </c>
      <c r="G1560" s="22" t="str">
        <f t="shared" si="336"/>
        <v>Targeted Dealer</v>
      </c>
      <c r="H1560" s="58"/>
      <c r="I1560" s="23">
        <v>30</v>
      </c>
      <c r="J1560" s="23">
        <f t="shared" si="337"/>
        <v>30</v>
      </c>
      <c r="K1560" s="24">
        <v>0</v>
      </c>
      <c r="L1560" s="24">
        <f t="shared" si="338"/>
        <v>30</v>
      </c>
      <c r="M1560" s="24">
        <f t="shared" si="339"/>
        <v>0</v>
      </c>
      <c r="N1560" s="25">
        <v>0</v>
      </c>
      <c r="O1560" s="26" t="str">
        <f t="shared" si="340"/>
        <v>June</v>
      </c>
      <c r="P1560" s="25">
        <f t="shared" si="341"/>
        <v>0</v>
      </c>
      <c r="Q1560" s="27">
        <f t="shared" si="342"/>
        <v>0</v>
      </c>
      <c r="R1560" s="26" t="b">
        <f t="shared" si="343"/>
        <v>0</v>
      </c>
      <c r="S1560" s="28" t="b">
        <f t="shared" si="344"/>
        <v>0</v>
      </c>
      <c r="T1560" s="24">
        <v>0</v>
      </c>
      <c r="U1560" s="29" t="str">
        <f t="shared" si="345"/>
        <v>May</v>
      </c>
      <c r="V1560" s="24">
        <f t="shared" si="346"/>
        <v>0</v>
      </c>
      <c r="W1560" s="30">
        <f t="shared" si="347"/>
        <v>0</v>
      </c>
      <c r="X1560" s="31" t="b">
        <f t="shared" si="348"/>
        <v>0</v>
      </c>
      <c r="Y1560" s="32" t="b">
        <f t="shared" si="349"/>
        <v>0</v>
      </c>
      <c r="Z1560" s="41">
        <v>0</v>
      </c>
      <c r="AA1560" s="36"/>
      <c r="AB1560" s="36" t="s">
        <v>24</v>
      </c>
      <c r="AC1560" s="54" t="s">
        <v>2185</v>
      </c>
      <c r="AD1560" s="34"/>
      <c r="AE1560" s="35">
        <f>IFERROR(INDEX([1]Last6M_AvgSales_Ref!$B$2:$B$12659,MATCH(D1560,[1]Last6M_AvgSales_Ref!$A$2:$A$12659,0)),"")</f>
        <v>10</v>
      </c>
    </row>
    <row r="1561" spans="1:31" ht="14.25" customHeight="1" x14ac:dyDescent="0.3">
      <c r="A1561" s="54" t="s">
        <v>2185</v>
      </c>
      <c r="B1561" s="55" t="s">
        <v>2287</v>
      </c>
      <c r="C1561" s="56" t="s">
        <v>3177</v>
      </c>
      <c r="D1561" s="36">
        <v>1000004032</v>
      </c>
      <c r="E1561" s="55" t="s">
        <v>3178</v>
      </c>
      <c r="F1561" s="57">
        <v>45477</v>
      </c>
      <c r="G1561" s="22" t="str">
        <f t="shared" si="336"/>
        <v>-</v>
      </c>
      <c r="H1561" s="58"/>
      <c r="I1561" s="23">
        <v>0</v>
      </c>
      <c r="J1561" s="23">
        <f t="shared" si="337"/>
        <v>0</v>
      </c>
      <c r="K1561" s="24">
        <v>0</v>
      </c>
      <c r="L1561" s="24">
        <f t="shared" si="338"/>
        <v>0</v>
      </c>
      <c r="M1561" s="24" t="str">
        <f t="shared" si="339"/>
        <v>-</v>
      </c>
      <c r="N1561" s="25">
        <v>0</v>
      </c>
      <c r="O1561" s="26" t="str">
        <f t="shared" si="340"/>
        <v>June</v>
      </c>
      <c r="P1561" s="25">
        <f t="shared" si="341"/>
        <v>0</v>
      </c>
      <c r="Q1561" s="27">
        <f t="shared" si="342"/>
        <v>0</v>
      </c>
      <c r="R1561" s="26" t="b">
        <f t="shared" si="343"/>
        <v>0</v>
      </c>
      <c r="S1561" s="28" t="b">
        <f t="shared" si="344"/>
        <v>0</v>
      </c>
      <c r="T1561" s="24">
        <v>0</v>
      </c>
      <c r="U1561" s="29" t="str">
        <f t="shared" si="345"/>
        <v>May</v>
      </c>
      <c r="V1561" s="24">
        <f t="shared" si="346"/>
        <v>0</v>
      </c>
      <c r="W1561" s="30">
        <f t="shared" si="347"/>
        <v>0</v>
      </c>
      <c r="X1561" s="31" t="b">
        <f t="shared" si="348"/>
        <v>0</v>
      </c>
      <c r="Y1561" s="32" t="b">
        <f t="shared" si="349"/>
        <v>0</v>
      </c>
      <c r="Z1561" s="41">
        <v>0</v>
      </c>
      <c r="AA1561" s="36"/>
      <c r="AB1561" s="36" t="s">
        <v>24</v>
      </c>
      <c r="AC1561" s="54" t="s">
        <v>2185</v>
      </c>
      <c r="AD1561" s="34"/>
      <c r="AE1561" s="35">
        <f>IFERROR(INDEX([1]Last6M_AvgSales_Ref!$B$2:$B$12659,MATCH(D1561,[1]Last6M_AvgSales_Ref!$A$2:$A$12659,0)),"")</f>
        <v>1.6666666666666701</v>
      </c>
    </row>
    <row r="1562" spans="1:31" ht="14.25" customHeight="1" x14ac:dyDescent="0.3">
      <c r="A1562" s="54" t="s">
        <v>2185</v>
      </c>
      <c r="B1562" s="55" t="s">
        <v>2287</v>
      </c>
      <c r="C1562" s="56" t="s">
        <v>3179</v>
      </c>
      <c r="D1562" s="36">
        <v>1000001202</v>
      </c>
      <c r="E1562" s="55" t="s">
        <v>3180</v>
      </c>
      <c r="F1562" s="57">
        <v>44739</v>
      </c>
      <c r="G1562" s="22" t="str">
        <f t="shared" si="336"/>
        <v>Targeted Dealer</v>
      </c>
      <c r="H1562" s="58"/>
      <c r="I1562" s="23">
        <v>25</v>
      </c>
      <c r="J1562" s="23">
        <f t="shared" si="337"/>
        <v>25</v>
      </c>
      <c r="K1562" s="24">
        <v>0</v>
      </c>
      <c r="L1562" s="24">
        <f t="shared" si="338"/>
        <v>25</v>
      </c>
      <c r="M1562" s="24">
        <f t="shared" si="339"/>
        <v>0</v>
      </c>
      <c r="N1562" s="25">
        <v>10</v>
      </c>
      <c r="O1562" s="26" t="str">
        <f t="shared" si="340"/>
        <v>June</v>
      </c>
      <c r="P1562" s="25">
        <f t="shared" si="341"/>
        <v>10</v>
      </c>
      <c r="Q1562" s="27">
        <f t="shared" si="342"/>
        <v>-10</v>
      </c>
      <c r="R1562" s="26" t="b">
        <f t="shared" si="343"/>
        <v>0</v>
      </c>
      <c r="S1562" s="28" t="str">
        <f t="shared" si="344"/>
        <v>GROWTH</v>
      </c>
      <c r="T1562" s="24">
        <v>0</v>
      </c>
      <c r="U1562" s="29" t="str">
        <f t="shared" si="345"/>
        <v>May</v>
      </c>
      <c r="V1562" s="24">
        <f t="shared" si="346"/>
        <v>0</v>
      </c>
      <c r="W1562" s="30">
        <f t="shared" si="347"/>
        <v>0</v>
      </c>
      <c r="X1562" s="31" t="b">
        <f t="shared" si="348"/>
        <v>0</v>
      </c>
      <c r="Y1562" s="32" t="b">
        <f t="shared" si="349"/>
        <v>0</v>
      </c>
      <c r="Z1562" s="41">
        <v>0</v>
      </c>
      <c r="AA1562" s="36"/>
      <c r="AB1562" s="36" t="s">
        <v>24</v>
      </c>
      <c r="AC1562" s="54" t="s">
        <v>2185</v>
      </c>
      <c r="AD1562" s="34"/>
      <c r="AE1562" s="35">
        <f>IFERROR(INDEX([1]Last6M_AvgSales_Ref!$B$2:$B$12659,MATCH(D1562,[1]Last6M_AvgSales_Ref!$A$2:$A$12659,0)),"")</f>
        <v>11.6666666666667</v>
      </c>
    </row>
    <row r="1563" spans="1:31" ht="14.25" customHeight="1" x14ac:dyDescent="0.3">
      <c r="A1563" s="54" t="s">
        <v>2185</v>
      </c>
      <c r="B1563" s="55" t="s">
        <v>2287</v>
      </c>
      <c r="C1563" s="56" t="s">
        <v>3181</v>
      </c>
      <c r="D1563" s="36">
        <v>1000004656</v>
      </c>
      <c r="E1563" s="55" t="s">
        <v>3182</v>
      </c>
      <c r="F1563" s="57">
        <v>46074</v>
      </c>
      <c r="G1563" s="22" t="str">
        <f t="shared" si="336"/>
        <v>Targeted Dealer</v>
      </c>
      <c r="H1563" s="58"/>
      <c r="I1563" s="23">
        <v>70</v>
      </c>
      <c r="J1563" s="23">
        <f t="shared" si="337"/>
        <v>70</v>
      </c>
      <c r="K1563" s="24">
        <v>70</v>
      </c>
      <c r="L1563" s="24">
        <f t="shared" si="338"/>
        <v>0</v>
      </c>
      <c r="M1563" s="24">
        <f t="shared" si="339"/>
        <v>100</v>
      </c>
      <c r="N1563" s="25">
        <v>105</v>
      </c>
      <c r="O1563" s="26" t="str">
        <f t="shared" si="340"/>
        <v>June</v>
      </c>
      <c r="P1563" s="25">
        <f t="shared" si="341"/>
        <v>105</v>
      </c>
      <c r="Q1563" s="27">
        <f t="shared" si="342"/>
        <v>-35</v>
      </c>
      <c r="R1563" s="26" t="b">
        <f t="shared" si="343"/>
        <v>0</v>
      </c>
      <c r="S1563" s="28" t="str">
        <f t="shared" si="344"/>
        <v>GROWTH</v>
      </c>
      <c r="T1563" s="24">
        <v>0</v>
      </c>
      <c r="U1563" s="29" t="str">
        <f t="shared" si="345"/>
        <v>May</v>
      </c>
      <c r="V1563" s="24">
        <f t="shared" si="346"/>
        <v>0</v>
      </c>
      <c r="W1563" s="30">
        <f t="shared" si="347"/>
        <v>70</v>
      </c>
      <c r="X1563" s="31" t="b">
        <f t="shared" si="348"/>
        <v>0</v>
      </c>
      <c r="Y1563" s="32" t="b">
        <f t="shared" si="349"/>
        <v>0</v>
      </c>
      <c r="Z1563" s="41">
        <v>0</v>
      </c>
      <c r="AA1563" s="36"/>
      <c r="AB1563" s="36" t="s">
        <v>24</v>
      </c>
      <c r="AC1563" s="54" t="s">
        <v>2185</v>
      </c>
      <c r="AD1563" s="34"/>
      <c r="AE1563" s="35">
        <f>IFERROR(INDEX([1]Last6M_AvgSales_Ref!$B$2:$B$12659,MATCH(D1563,[1]Last6M_AvgSales_Ref!$A$2:$A$12659,0)),"")</f>
        <v>46.6666666666667</v>
      </c>
    </row>
    <row r="1564" spans="1:31" ht="14.25" customHeight="1" x14ac:dyDescent="0.3">
      <c r="A1564" s="54" t="s">
        <v>848</v>
      </c>
      <c r="B1564" s="55" t="s">
        <v>1558</v>
      </c>
      <c r="C1564" s="56" t="s">
        <v>3183</v>
      </c>
      <c r="D1564" s="36">
        <v>1000004619</v>
      </c>
      <c r="E1564" s="55" t="s">
        <v>3184</v>
      </c>
      <c r="F1564" s="57">
        <v>46055</v>
      </c>
      <c r="G1564" s="22" t="str">
        <f t="shared" si="336"/>
        <v>-</v>
      </c>
      <c r="H1564" s="58"/>
      <c r="I1564" s="23">
        <v>0</v>
      </c>
      <c r="J1564" s="23">
        <f t="shared" si="337"/>
        <v>0</v>
      </c>
      <c r="K1564" s="24">
        <v>0</v>
      </c>
      <c r="L1564" s="24">
        <f t="shared" si="338"/>
        <v>0</v>
      </c>
      <c r="M1564" s="24" t="str">
        <f t="shared" si="339"/>
        <v>-</v>
      </c>
      <c r="N1564" s="25">
        <v>0</v>
      </c>
      <c r="O1564" s="26" t="str">
        <f t="shared" si="340"/>
        <v>June</v>
      </c>
      <c r="P1564" s="25">
        <f t="shared" si="341"/>
        <v>0</v>
      </c>
      <c r="Q1564" s="27">
        <f t="shared" si="342"/>
        <v>0</v>
      </c>
      <c r="R1564" s="26" t="b">
        <f t="shared" si="343"/>
        <v>0</v>
      </c>
      <c r="S1564" s="28" t="b">
        <f t="shared" si="344"/>
        <v>0</v>
      </c>
      <c r="T1564" s="24">
        <v>0</v>
      </c>
      <c r="U1564" s="29" t="str">
        <f t="shared" si="345"/>
        <v>May</v>
      </c>
      <c r="V1564" s="24">
        <f t="shared" si="346"/>
        <v>0</v>
      </c>
      <c r="W1564" s="30">
        <f t="shared" si="347"/>
        <v>0</v>
      </c>
      <c r="X1564" s="31" t="b">
        <f t="shared" si="348"/>
        <v>0</v>
      </c>
      <c r="Y1564" s="32" t="b">
        <f t="shared" si="349"/>
        <v>0</v>
      </c>
      <c r="Z1564" s="41">
        <v>0</v>
      </c>
      <c r="AA1564" s="36"/>
      <c r="AB1564" s="36" t="s">
        <v>24</v>
      </c>
      <c r="AC1564" s="54" t="s">
        <v>848</v>
      </c>
      <c r="AD1564" s="34"/>
      <c r="AE1564" s="35">
        <f>IFERROR(INDEX([1]Last6M_AvgSales_Ref!$B$2:$B$12659,MATCH(D1564,[1]Last6M_AvgSales_Ref!$A$2:$A$12659,0)),"")</f>
        <v>7.5</v>
      </c>
    </row>
    <row r="1565" spans="1:31" ht="14.25" customHeight="1" x14ac:dyDescent="0.3">
      <c r="A1565" s="54" t="s">
        <v>848</v>
      </c>
      <c r="B1565" s="55" t="s">
        <v>1558</v>
      </c>
      <c r="C1565" s="56" t="s">
        <v>3185</v>
      </c>
      <c r="D1565" s="36">
        <v>1000004620</v>
      </c>
      <c r="E1565" s="55" t="s">
        <v>3186</v>
      </c>
      <c r="F1565" s="57">
        <v>46057</v>
      </c>
      <c r="G1565" s="22" t="str">
        <f t="shared" si="336"/>
        <v>Targeted Dealer</v>
      </c>
      <c r="H1565" s="58"/>
      <c r="I1565" s="23">
        <v>30</v>
      </c>
      <c r="J1565" s="23">
        <f t="shared" si="337"/>
        <v>30</v>
      </c>
      <c r="K1565" s="24">
        <v>42.5</v>
      </c>
      <c r="L1565" s="24">
        <f t="shared" si="338"/>
        <v>-12.5</v>
      </c>
      <c r="M1565" s="24">
        <f t="shared" si="339"/>
        <v>141.66666666666669</v>
      </c>
      <c r="N1565" s="25">
        <v>63.75</v>
      </c>
      <c r="O1565" s="26" t="str">
        <f t="shared" si="340"/>
        <v>June</v>
      </c>
      <c r="P1565" s="25">
        <f t="shared" si="341"/>
        <v>63.75</v>
      </c>
      <c r="Q1565" s="27">
        <f t="shared" si="342"/>
        <v>-21.25</v>
      </c>
      <c r="R1565" s="26" t="b">
        <f t="shared" si="343"/>
        <v>0</v>
      </c>
      <c r="S1565" s="28" t="str">
        <f t="shared" si="344"/>
        <v>GROWTH</v>
      </c>
      <c r="T1565" s="24">
        <v>0</v>
      </c>
      <c r="U1565" s="29" t="str">
        <f t="shared" si="345"/>
        <v>May</v>
      </c>
      <c r="V1565" s="24">
        <f t="shared" si="346"/>
        <v>0</v>
      </c>
      <c r="W1565" s="30">
        <f t="shared" si="347"/>
        <v>42.5</v>
      </c>
      <c r="X1565" s="31" t="b">
        <f t="shared" si="348"/>
        <v>0</v>
      </c>
      <c r="Y1565" s="32" t="b">
        <f t="shared" si="349"/>
        <v>0</v>
      </c>
      <c r="Z1565" s="41">
        <v>0</v>
      </c>
      <c r="AA1565" s="36"/>
      <c r="AB1565" s="36" t="s">
        <v>24</v>
      </c>
      <c r="AC1565" s="54" t="s">
        <v>848</v>
      </c>
      <c r="AD1565" s="34"/>
      <c r="AE1565" s="35">
        <f>IFERROR(INDEX([1]Last6M_AvgSales_Ref!$B$2:$B$12659,MATCH(D1565,[1]Last6M_AvgSales_Ref!$A$2:$A$12659,0)),"")</f>
        <v>10.5416666666667</v>
      </c>
    </row>
    <row r="1566" spans="1:31" ht="14.25" customHeight="1" x14ac:dyDescent="0.3">
      <c r="A1566" s="54" t="s">
        <v>2027</v>
      </c>
      <c r="B1566" s="55" t="s">
        <v>2095</v>
      </c>
      <c r="C1566" s="56" t="s">
        <v>3187</v>
      </c>
      <c r="D1566" s="36">
        <v>1000003484</v>
      </c>
      <c r="E1566" s="55" t="s">
        <v>3188</v>
      </c>
      <c r="F1566" s="57">
        <v>45034</v>
      </c>
      <c r="G1566" s="22" t="str">
        <f t="shared" si="336"/>
        <v>Targeted Dealer</v>
      </c>
      <c r="H1566" s="58"/>
      <c r="I1566" s="23">
        <v>30</v>
      </c>
      <c r="J1566" s="23">
        <f t="shared" si="337"/>
        <v>30</v>
      </c>
      <c r="K1566" s="24">
        <v>10</v>
      </c>
      <c r="L1566" s="24">
        <f t="shared" si="338"/>
        <v>20</v>
      </c>
      <c r="M1566" s="24">
        <f t="shared" si="339"/>
        <v>33.333333333333336</v>
      </c>
      <c r="N1566" s="25">
        <v>10</v>
      </c>
      <c r="O1566" s="26" t="str">
        <f t="shared" si="340"/>
        <v>June</v>
      </c>
      <c r="P1566" s="25">
        <f t="shared" si="341"/>
        <v>10</v>
      </c>
      <c r="Q1566" s="27">
        <f t="shared" si="342"/>
        <v>0</v>
      </c>
      <c r="R1566" s="26" t="b">
        <f t="shared" si="343"/>
        <v>0</v>
      </c>
      <c r="S1566" s="28" t="str">
        <f t="shared" si="344"/>
        <v>GROWTH</v>
      </c>
      <c r="T1566" s="24">
        <v>0</v>
      </c>
      <c r="U1566" s="29" t="str">
        <f t="shared" si="345"/>
        <v>May</v>
      </c>
      <c r="V1566" s="24">
        <f t="shared" si="346"/>
        <v>0</v>
      </c>
      <c r="W1566" s="30">
        <f t="shared" si="347"/>
        <v>10</v>
      </c>
      <c r="X1566" s="31" t="b">
        <f t="shared" si="348"/>
        <v>0</v>
      </c>
      <c r="Y1566" s="32" t="b">
        <f t="shared" si="349"/>
        <v>0</v>
      </c>
      <c r="Z1566" s="41">
        <v>0</v>
      </c>
      <c r="AA1566" s="36"/>
      <c r="AB1566" s="36" t="s">
        <v>24</v>
      </c>
      <c r="AC1566" s="54" t="s">
        <v>2027</v>
      </c>
      <c r="AD1566" s="34"/>
      <c r="AE1566" s="35">
        <f>IFERROR(INDEX([1]Last6M_AvgSales_Ref!$B$2:$B$12659,MATCH(D1566,[1]Last6M_AvgSales_Ref!$A$2:$A$12659,0)),"")</f>
        <v>8.8333333333333304</v>
      </c>
    </row>
    <row r="1567" spans="1:31" ht="14.25" customHeight="1" x14ac:dyDescent="0.3">
      <c r="A1567" s="54" t="s">
        <v>2027</v>
      </c>
      <c r="B1567" s="55" t="s">
        <v>2095</v>
      </c>
      <c r="C1567" s="56" t="s">
        <v>3189</v>
      </c>
      <c r="D1567" s="36">
        <v>1000001324</v>
      </c>
      <c r="E1567" s="55" t="s">
        <v>3190</v>
      </c>
      <c r="F1567" s="57">
        <v>44739</v>
      </c>
      <c r="G1567" s="22" t="str">
        <f t="shared" si="336"/>
        <v>Targeted Dealer</v>
      </c>
      <c r="H1567" s="58"/>
      <c r="I1567" s="23">
        <v>50</v>
      </c>
      <c r="J1567" s="23">
        <f t="shared" si="337"/>
        <v>50</v>
      </c>
      <c r="K1567" s="24">
        <v>31</v>
      </c>
      <c r="L1567" s="24">
        <f t="shared" si="338"/>
        <v>19</v>
      </c>
      <c r="M1567" s="24">
        <f t="shared" si="339"/>
        <v>62</v>
      </c>
      <c r="N1567" s="25">
        <v>10</v>
      </c>
      <c r="O1567" s="26" t="str">
        <f t="shared" si="340"/>
        <v>June</v>
      </c>
      <c r="P1567" s="25">
        <f t="shared" si="341"/>
        <v>10</v>
      </c>
      <c r="Q1567" s="27">
        <f t="shared" si="342"/>
        <v>21</v>
      </c>
      <c r="R1567" s="26" t="b">
        <f t="shared" si="343"/>
        <v>0</v>
      </c>
      <c r="S1567" s="28" t="str">
        <f t="shared" si="344"/>
        <v>GROWTH</v>
      </c>
      <c r="T1567" s="24">
        <v>0</v>
      </c>
      <c r="U1567" s="29" t="str">
        <f t="shared" si="345"/>
        <v>May</v>
      </c>
      <c r="V1567" s="24">
        <f t="shared" si="346"/>
        <v>0</v>
      </c>
      <c r="W1567" s="30">
        <f t="shared" si="347"/>
        <v>31</v>
      </c>
      <c r="X1567" s="31" t="b">
        <f t="shared" si="348"/>
        <v>0</v>
      </c>
      <c r="Y1567" s="32" t="b">
        <f t="shared" si="349"/>
        <v>0</v>
      </c>
      <c r="Z1567" s="41">
        <v>0</v>
      </c>
      <c r="AA1567" s="36"/>
      <c r="AB1567" s="36" t="s">
        <v>24</v>
      </c>
      <c r="AC1567" s="54" t="s">
        <v>2027</v>
      </c>
      <c r="AD1567" s="34"/>
      <c r="AE1567" s="35">
        <f>IFERROR(INDEX([1]Last6M_AvgSales_Ref!$B$2:$B$12659,MATCH(D1567,[1]Last6M_AvgSales_Ref!$A$2:$A$12659,0)),"")</f>
        <v>9.1666666666666696</v>
      </c>
    </row>
    <row r="1568" spans="1:31" ht="14.25" customHeight="1" x14ac:dyDescent="0.3">
      <c r="A1568" s="54" t="s">
        <v>1836</v>
      </c>
      <c r="B1568" s="55" t="s">
        <v>2145</v>
      </c>
      <c r="C1568" s="56" t="s">
        <v>3191</v>
      </c>
      <c r="D1568" s="36">
        <v>1000002786</v>
      </c>
      <c r="E1568" s="55" t="s">
        <v>3192</v>
      </c>
      <c r="F1568" s="57">
        <v>44741</v>
      </c>
      <c r="G1568" s="22" t="str">
        <f t="shared" si="336"/>
        <v>Targeted Dealer</v>
      </c>
      <c r="H1568" s="58"/>
      <c r="I1568" s="23">
        <v>215</v>
      </c>
      <c r="J1568" s="23">
        <f t="shared" si="337"/>
        <v>215</v>
      </c>
      <c r="K1568" s="24">
        <v>156.5</v>
      </c>
      <c r="L1568" s="24">
        <f t="shared" si="338"/>
        <v>58.5</v>
      </c>
      <c r="M1568" s="24">
        <f t="shared" si="339"/>
        <v>72.79069767441861</v>
      </c>
      <c r="N1568" s="25">
        <v>215</v>
      </c>
      <c r="O1568" s="26" t="str">
        <f t="shared" si="340"/>
        <v>June</v>
      </c>
      <c r="P1568" s="25">
        <f t="shared" si="341"/>
        <v>215</v>
      </c>
      <c r="Q1568" s="27">
        <f t="shared" si="342"/>
        <v>-58.5</v>
      </c>
      <c r="R1568" s="26" t="b">
        <f t="shared" si="343"/>
        <v>0</v>
      </c>
      <c r="S1568" s="28" t="str">
        <f t="shared" si="344"/>
        <v>GROWTH</v>
      </c>
      <c r="T1568" s="24">
        <v>125.5</v>
      </c>
      <c r="U1568" s="29" t="str">
        <f t="shared" si="345"/>
        <v>May</v>
      </c>
      <c r="V1568" s="24">
        <f t="shared" si="346"/>
        <v>125.5</v>
      </c>
      <c r="W1568" s="30">
        <f t="shared" si="347"/>
        <v>31</v>
      </c>
      <c r="X1568" s="31" t="b">
        <f t="shared" si="348"/>
        <v>0</v>
      </c>
      <c r="Y1568" s="32" t="str">
        <f t="shared" si="349"/>
        <v>GROWTH</v>
      </c>
      <c r="Z1568" s="41">
        <v>0</v>
      </c>
      <c r="AA1568" s="36"/>
      <c r="AB1568" s="36" t="s">
        <v>24</v>
      </c>
      <c r="AC1568" s="54" t="s">
        <v>1836</v>
      </c>
      <c r="AD1568" s="34"/>
      <c r="AE1568" s="35">
        <f>IFERROR(INDEX([1]Last6M_AvgSales_Ref!$B$2:$B$12659,MATCH(D1568,[1]Last6M_AvgSales_Ref!$A$2:$A$12659,0)),"")</f>
        <v>166.7</v>
      </c>
    </row>
    <row r="1569" spans="1:31" ht="14.25" customHeight="1" x14ac:dyDescent="0.3">
      <c r="A1569" s="54" t="s">
        <v>1836</v>
      </c>
      <c r="B1569" s="55" t="s">
        <v>2166</v>
      </c>
      <c r="C1569" s="56" t="s">
        <v>3193</v>
      </c>
      <c r="D1569" s="36">
        <v>1000002007</v>
      </c>
      <c r="E1569" s="55" t="s">
        <v>3194</v>
      </c>
      <c r="F1569" s="57">
        <v>44739</v>
      </c>
      <c r="G1569" s="22" t="str">
        <f t="shared" si="336"/>
        <v>Targeted Dealer</v>
      </c>
      <c r="H1569" s="58"/>
      <c r="I1569" s="23">
        <v>50</v>
      </c>
      <c r="J1569" s="23">
        <f t="shared" si="337"/>
        <v>50</v>
      </c>
      <c r="K1569" s="24">
        <v>0</v>
      </c>
      <c r="L1569" s="24">
        <f t="shared" si="338"/>
        <v>50</v>
      </c>
      <c r="M1569" s="24">
        <f t="shared" si="339"/>
        <v>0</v>
      </c>
      <c r="N1569" s="25">
        <v>0</v>
      </c>
      <c r="O1569" s="26" t="str">
        <f t="shared" si="340"/>
        <v>June</v>
      </c>
      <c r="P1569" s="25">
        <f t="shared" si="341"/>
        <v>0</v>
      </c>
      <c r="Q1569" s="27">
        <f t="shared" si="342"/>
        <v>0</v>
      </c>
      <c r="R1569" s="26" t="b">
        <f t="shared" si="343"/>
        <v>0</v>
      </c>
      <c r="S1569" s="28" t="b">
        <f t="shared" si="344"/>
        <v>0</v>
      </c>
      <c r="T1569" s="24">
        <v>30</v>
      </c>
      <c r="U1569" s="29" t="str">
        <f t="shared" si="345"/>
        <v>May</v>
      </c>
      <c r="V1569" s="24">
        <f t="shared" si="346"/>
        <v>30</v>
      </c>
      <c r="W1569" s="30">
        <f t="shared" si="347"/>
        <v>-30</v>
      </c>
      <c r="X1569" s="31" t="b">
        <f t="shared" si="348"/>
        <v>0</v>
      </c>
      <c r="Y1569" s="32" t="str">
        <f t="shared" si="349"/>
        <v>GROWTH</v>
      </c>
      <c r="Z1569" s="41">
        <v>0</v>
      </c>
      <c r="AA1569" s="36"/>
      <c r="AB1569" s="36" t="s">
        <v>24</v>
      </c>
      <c r="AC1569" s="54" t="s">
        <v>1836</v>
      </c>
      <c r="AD1569" s="34"/>
      <c r="AE1569" s="35">
        <f>IFERROR(INDEX([1]Last6M_AvgSales_Ref!$B$2:$B$12659,MATCH(D1569,[1]Last6M_AvgSales_Ref!$A$2:$A$12659,0)),"")</f>
        <v>8</v>
      </c>
    </row>
    <row r="1570" spans="1:31" ht="14.25" customHeight="1" x14ac:dyDescent="0.3">
      <c r="A1570" s="54" t="s">
        <v>24</v>
      </c>
      <c r="B1570" s="55" t="s">
        <v>269</v>
      </c>
      <c r="C1570" s="56" t="s">
        <v>3195</v>
      </c>
      <c r="D1570" s="36">
        <v>1000004616</v>
      </c>
      <c r="E1570" s="55" t="s">
        <v>34</v>
      </c>
      <c r="F1570" s="57">
        <v>46052</v>
      </c>
      <c r="G1570" s="22" t="str">
        <f t="shared" si="336"/>
        <v>Targeted Dealer</v>
      </c>
      <c r="H1570" s="58"/>
      <c r="I1570" s="23">
        <v>80</v>
      </c>
      <c r="J1570" s="23">
        <f t="shared" si="337"/>
        <v>80</v>
      </c>
      <c r="K1570" s="24">
        <v>80</v>
      </c>
      <c r="L1570" s="24">
        <f t="shared" si="338"/>
        <v>0</v>
      </c>
      <c r="M1570" s="24">
        <f t="shared" si="339"/>
        <v>100</v>
      </c>
      <c r="N1570" s="25">
        <v>140</v>
      </c>
      <c r="O1570" s="26" t="str">
        <f t="shared" si="340"/>
        <v>June</v>
      </c>
      <c r="P1570" s="25">
        <f t="shared" si="341"/>
        <v>140</v>
      </c>
      <c r="Q1570" s="27">
        <f t="shared" si="342"/>
        <v>-60</v>
      </c>
      <c r="R1570" s="26" t="b">
        <f t="shared" si="343"/>
        <v>0</v>
      </c>
      <c r="S1570" s="28" t="str">
        <f t="shared" si="344"/>
        <v>GROWTH</v>
      </c>
      <c r="T1570" s="24">
        <v>0</v>
      </c>
      <c r="U1570" s="29" t="str">
        <f t="shared" si="345"/>
        <v>May</v>
      </c>
      <c r="V1570" s="24">
        <f t="shared" si="346"/>
        <v>0</v>
      </c>
      <c r="W1570" s="30">
        <f t="shared" si="347"/>
        <v>80</v>
      </c>
      <c r="X1570" s="31" t="b">
        <f t="shared" si="348"/>
        <v>0</v>
      </c>
      <c r="Y1570" s="32" t="b">
        <f t="shared" si="349"/>
        <v>0</v>
      </c>
      <c r="Z1570" s="41">
        <v>0</v>
      </c>
      <c r="AA1570" s="36"/>
      <c r="AB1570" s="36" t="s">
        <v>24</v>
      </c>
      <c r="AC1570" s="54" t="s">
        <v>24</v>
      </c>
      <c r="AD1570" s="34"/>
      <c r="AE1570" s="35">
        <f>IFERROR(INDEX([1]Last6M_AvgSales_Ref!$B$2:$B$12659,MATCH(D1570,[1]Last6M_AvgSales_Ref!$A$2:$A$12659,0)),"")</f>
        <v>66.6666666666667</v>
      </c>
    </row>
    <row r="1571" spans="1:31" ht="14.25" customHeight="1" x14ac:dyDescent="0.3">
      <c r="A1571" s="54" t="s">
        <v>24</v>
      </c>
      <c r="B1571" s="55" t="s">
        <v>570</v>
      </c>
      <c r="C1571" s="56" t="s">
        <v>3196</v>
      </c>
      <c r="D1571" s="36">
        <v>1000004662</v>
      </c>
      <c r="E1571" s="55" t="s">
        <v>3197</v>
      </c>
      <c r="F1571" s="57">
        <v>46073</v>
      </c>
      <c r="G1571" s="22" t="str">
        <f t="shared" si="336"/>
        <v>Targeted Dealer</v>
      </c>
      <c r="H1571" s="58"/>
      <c r="I1571" s="23">
        <v>50</v>
      </c>
      <c r="J1571" s="23">
        <f t="shared" si="337"/>
        <v>50</v>
      </c>
      <c r="K1571" s="24">
        <v>46.5</v>
      </c>
      <c r="L1571" s="24">
        <f t="shared" si="338"/>
        <v>3.5</v>
      </c>
      <c r="M1571" s="24">
        <f t="shared" si="339"/>
        <v>93</v>
      </c>
      <c r="N1571" s="25">
        <v>40</v>
      </c>
      <c r="O1571" s="26" t="str">
        <f t="shared" si="340"/>
        <v>June</v>
      </c>
      <c r="P1571" s="25">
        <f t="shared" si="341"/>
        <v>40</v>
      </c>
      <c r="Q1571" s="27">
        <f t="shared" si="342"/>
        <v>6.5</v>
      </c>
      <c r="R1571" s="26" t="b">
        <f t="shared" si="343"/>
        <v>0</v>
      </c>
      <c r="S1571" s="28" t="str">
        <f t="shared" si="344"/>
        <v>GROWTH</v>
      </c>
      <c r="T1571" s="24">
        <v>0</v>
      </c>
      <c r="U1571" s="29" t="str">
        <f t="shared" si="345"/>
        <v>May</v>
      </c>
      <c r="V1571" s="24">
        <f t="shared" si="346"/>
        <v>0</v>
      </c>
      <c r="W1571" s="30">
        <f t="shared" si="347"/>
        <v>46.5</v>
      </c>
      <c r="X1571" s="31" t="b">
        <f t="shared" si="348"/>
        <v>0</v>
      </c>
      <c r="Y1571" s="32" t="b">
        <f t="shared" si="349"/>
        <v>0</v>
      </c>
      <c r="Z1571" s="41">
        <v>0</v>
      </c>
      <c r="AA1571" s="36"/>
      <c r="AB1571" s="36" t="s">
        <v>24</v>
      </c>
      <c r="AC1571" s="54" t="s">
        <v>24</v>
      </c>
      <c r="AD1571" s="34"/>
      <c r="AE1571" s="35">
        <f>IFERROR(INDEX([1]Last6M_AvgSales_Ref!$B$2:$B$12659,MATCH(D1571,[1]Last6M_AvgSales_Ref!$A$2:$A$12659,0)),"")</f>
        <v>22.5833333333333</v>
      </c>
    </row>
    <row r="1572" spans="1:31" ht="14.25" customHeight="1" x14ac:dyDescent="0.3">
      <c r="A1572" s="54" t="s">
        <v>848</v>
      </c>
      <c r="B1572" s="55" t="s">
        <v>849</v>
      </c>
      <c r="C1572" s="56" t="s">
        <v>3198</v>
      </c>
      <c r="D1572" s="36">
        <v>1000003103</v>
      </c>
      <c r="E1572" s="55" t="s">
        <v>3199</v>
      </c>
      <c r="F1572" s="57">
        <v>44880</v>
      </c>
      <c r="G1572" s="22" t="str">
        <f t="shared" si="336"/>
        <v>Targeted Dealer</v>
      </c>
      <c r="H1572" s="58"/>
      <c r="I1572" s="23">
        <v>26</v>
      </c>
      <c r="J1572" s="23">
        <f t="shared" si="337"/>
        <v>26</v>
      </c>
      <c r="K1572" s="24">
        <v>46.5</v>
      </c>
      <c r="L1572" s="24">
        <f t="shared" si="338"/>
        <v>-20.5</v>
      </c>
      <c r="M1572" s="24">
        <f t="shared" si="339"/>
        <v>178.84615384615384</v>
      </c>
      <c r="N1572" s="25">
        <v>39</v>
      </c>
      <c r="O1572" s="26" t="str">
        <f t="shared" si="340"/>
        <v>June</v>
      </c>
      <c r="P1572" s="25">
        <f t="shared" si="341"/>
        <v>39</v>
      </c>
      <c r="Q1572" s="27">
        <f t="shared" si="342"/>
        <v>7.5</v>
      </c>
      <c r="R1572" s="26" t="b">
        <f t="shared" si="343"/>
        <v>0</v>
      </c>
      <c r="S1572" s="28" t="str">
        <f t="shared" si="344"/>
        <v>GROWTH</v>
      </c>
      <c r="T1572" s="24">
        <v>0</v>
      </c>
      <c r="U1572" s="29" t="str">
        <f t="shared" si="345"/>
        <v>May</v>
      </c>
      <c r="V1572" s="24">
        <f t="shared" si="346"/>
        <v>0</v>
      </c>
      <c r="W1572" s="30">
        <f t="shared" si="347"/>
        <v>46.5</v>
      </c>
      <c r="X1572" s="31" t="b">
        <f t="shared" si="348"/>
        <v>0</v>
      </c>
      <c r="Y1572" s="32" t="b">
        <f t="shared" si="349"/>
        <v>0</v>
      </c>
      <c r="Z1572" s="41">
        <v>0</v>
      </c>
      <c r="AA1572" s="36"/>
      <c r="AB1572" s="36" t="s">
        <v>24</v>
      </c>
      <c r="AC1572" s="54" t="s">
        <v>848</v>
      </c>
      <c r="AD1572" s="34"/>
      <c r="AE1572" s="35">
        <f>IFERROR(INDEX([1]Last6M_AvgSales_Ref!$B$2:$B$12659,MATCH(D1572,[1]Last6M_AvgSales_Ref!$A$2:$A$12659,0)),"")</f>
        <v>13.0833333333333</v>
      </c>
    </row>
    <row r="1573" spans="1:31" ht="14.25" customHeight="1" x14ac:dyDescent="0.3">
      <c r="A1573" s="54" t="s">
        <v>848</v>
      </c>
      <c r="B1573" s="55" t="s">
        <v>1647</v>
      </c>
      <c r="C1573" s="56" t="s">
        <v>3200</v>
      </c>
      <c r="D1573" s="36">
        <v>1000004643</v>
      </c>
      <c r="E1573" s="55" t="s">
        <v>3201</v>
      </c>
      <c r="F1573" s="57">
        <v>46066</v>
      </c>
      <c r="G1573" s="22" t="str">
        <f t="shared" si="336"/>
        <v>Targeted Dealer</v>
      </c>
      <c r="H1573" s="58"/>
      <c r="I1573" s="23">
        <v>40</v>
      </c>
      <c r="J1573" s="23">
        <f t="shared" si="337"/>
        <v>40</v>
      </c>
      <c r="K1573" s="24">
        <v>0</v>
      </c>
      <c r="L1573" s="24">
        <f t="shared" si="338"/>
        <v>40</v>
      </c>
      <c r="M1573" s="24">
        <f t="shared" si="339"/>
        <v>0</v>
      </c>
      <c r="N1573" s="25">
        <v>2.5</v>
      </c>
      <c r="O1573" s="26" t="str">
        <f t="shared" si="340"/>
        <v>June</v>
      </c>
      <c r="P1573" s="25">
        <f t="shared" si="341"/>
        <v>2.5</v>
      </c>
      <c r="Q1573" s="27">
        <f t="shared" si="342"/>
        <v>-2.5</v>
      </c>
      <c r="R1573" s="26" t="b">
        <f t="shared" si="343"/>
        <v>0</v>
      </c>
      <c r="S1573" s="28" t="str">
        <f t="shared" si="344"/>
        <v>GROWTH</v>
      </c>
      <c r="T1573" s="24">
        <v>0</v>
      </c>
      <c r="U1573" s="29" t="str">
        <f t="shared" si="345"/>
        <v>May</v>
      </c>
      <c r="V1573" s="24">
        <f t="shared" si="346"/>
        <v>0</v>
      </c>
      <c r="W1573" s="30">
        <f t="shared" si="347"/>
        <v>0</v>
      </c>
      <c r="X1573" s="31" t="b">
        <f t="shared" si="348"/>
        <v>0</v>
      </c>
      <c r="Y1573" s="32" t="b">
        <f t="shared" si="349"/>
        <v>0</v>
      </c>
      <c r="Z1573" s="41">
        <v>0</v>
      </c>
      <c r="AA1573" s="36"/>
      <c r="AB1573" s="36" t="s">
        <v>24</v>
      </c>
      <c r="AC1573" s="54" t="s">
        <v>848</v>
      </c>
      <c r="AD1573" s="34"/>
      <c r="AE1573" s="35">
        <f>IFERROR(INDEX([1]Last6M_AvgSales_Ref!$B$2:$B$12659,MATCH(D1573,[1]Last6M_AvgSales_Ref!$A$2:$A$12659,0)),"")</f>
        <v>13.9583333333333</v>
      </c>
    </row>
    <row r="1574" spans="1:31" ht="14.25" customHeight="1" x14ac:dyDescent="0.3">
      <c r="A1574" s="54" t="s">
        <v>1836</v>
      </c>
      <c r="B1574" s="55" t="s">
        <v>1932</v>
      </c>
      <c r="C1574" s="56" t="s">
        <v>3202</v>
      </c>
      <c r="D1574" s="36">
        <v>1000004612</v>
      </c>
      <c r="E1574" s="55" t="s">
        <v>3203</v>
      </c>
      <c r="F1574" s="57">
        <v>46041</v>
      </c>
      <c r="G1574" s="22" t="str">
        <f t="shared" si="336"/>
        <v>Targeted Dealer</v>
      </c>
      <c r="H1574" s="58"/>
      <c r="I1574" s="23">
        <v>100</v>
      </c>
      <c r="J1574" s="23">
        <f t="shared" si="337"/>
        <v>100</v>
      </c>
      <c r="K1574" s="24">
        <v>132</v>
      </c>
      <c r="L1574" s="24">
        <f t="shared" si="338"/>
        <v>-32</v>
      </c>
      <c r="M1574" s="24">
        <f t="shared" si="339"/>
        <v>132</v>
      </c>
      <c r="N1574" s="25">
        <v>72</v>
      </c>
      <c r="O1574" s="26" t="str">
        <f t="shared" si="340"/>
        <v>June</v>
      </c>
      <c r="P1574" s="25">
        <f t="shared" si="341"/>
        <v>72</v>
      </c>
      <c r="Q1574" s="27">
        <f t="shared" si="342"/>
        <v>60</v>
      </c>
      <c r="R1574" s="26" t="b">
        <f t="shared" si="343"/>
        <v>0</v>
      </c>
      <c r="S1574" s="28" t="str">
        <f t="shared" si="344"/>
        <v>GROWTH</v>
      </c>
      <c r="T1574" s="24">
        <v>0</v>
      </c>
      <c r="U1574" s="29" t="str">
        <f t="shared" si="345"/>
        <v>May</v>
      </c>
      <c r="V1574" s="24">
        <f t="shared" si="346"/>
        <v>0</v>
      </c>
      <c r="W1574" s="30">
        <f t="shared" si="347"/>
        <v>132</v>
      </c>
      <c r="X1574" s="31" t="b">
        <f t="shared" si="348"/>
        <v>0</v>
      </c>
      <c r="Y1574" s="32" t="b">
        <f t="shared" si="349"/>
        <v>0</v>
      </c>
      <c r="Z1574" s="41">
        <v>0</v>
      </c>
      <c r="AA1574" s="36"/>
      <c r="AB1574" s="36" t="s">
        <v>24</v>
      </c>
      <c r="AC1574" s="54" t="s">
        <v>1836</v>
      </c>
      <c r="AD1574" s="34"/>
      <c r="AE1574" s="35">
        <f>IFERROR(INDEX([1]Last6M_AvgSales_Ref!$B$2:$B$12659,MATCH(D1574,[1]Last6M_AvgSales_Ref!$A$2:$A$12659,0)),"")</f>
        <v>88</v>
      </c>
    </row>
    <row r="1575" spans="1:31" ht="14.25" customHeight="1" x14ac:dyDescent="0.3">
      <c r="A1575" s="54" t="s">
        <v>1836</v>
      </c>
      <c r="B1575" s="55" t="s">
        <v>1932</v>
      </c>
      <c r="C1575" s="56" t="s">
        <v>3204</v>
      </c>
      <c r="D1575" s="36">
        <v>1000001449</v>
      </c>
      <c r="E1575" s="55" t="s">
        <v>3205</v>
      </c>
      <c r="F1575" s="57">
        <v>44739</v>
      </c>
      <c r="G1575" s="22" t="str">
        <f t="shared" si="336"/>
        <v>Targeted Dealer</v>
      </c>
      <c r="H1575" s="58"/>
      <c r="I1575" s="23">
        <v>24</v>
      </c>
      <c r="J1575" s="23">
        <f t="shared" si="337"/>
        <v>24</v>
      </c>
      <c r="K1575" s="24">
        <v>36</v>
      </c>
      <c r="L1575" s="24">
        <f t="shared" si="338"/>
        <v>-12</v>
      </c>
      <c r="M1575" s="24">
        <f t="shared" si="339"/>
        <v>150</v>
      </c>
      <c r="N1575" s="25">
        <v>0</v>
      </c>
      <c r="O1575" s="26" t="str">
        <f t="shared" si="340"/>
        <v>June</v>
      </c>
      <c r="P1575" s="25">
        <f t="shared" si="341"/>
        <v>0</v>
      </c>
      <c r="Q1575" s="27">
        <f t="shared" si="342"/>
        <v>36</v>
      </c>
      <c r="R1575" s="26" t="b">
        <f t="shared" si="343"/>
        <v>0</v>
      </c>
      <c r="S1575" s="28" t="b">
        <f t="shared" si="344"/>
        <v>0</v>
      </c>
      <c r="T1575" s="24">
        <v>54</v>
      </c>
      <c r="U1575" s="29" t="str">
        <f t="shared" si="345"/>
        <v>May</v>
      </c>
      <c r="V1575" s="24">
        <f t="shared" si="346"/>
        <v>54</v>
      </c>
      <c r="W1575" s="30">
        <f t="shared" si="347"/>
        <v>-18</v>
      </c>
      <c r="X1575" s="31" t="b">
        <f t="shared" si="348"/>
        <v>0</v>
      </c>
      <c r="Y1575" s="32" t="str">
        <f t="shared" si="349"/>
        <v>GROWTH</v>
      </c>
      <c r="Z1575" s="41">
        <v>0</v>
      </c>
      <c r="AA1575" s="36"/>
      <c r="AB1575" s="36" t="s">
        <v>24</v>
      </c>
      <c r="AC1575" s="54" t="s">
        <v>1836</v>
      </c>
      <c r="AD1575" s="34"/>
      <c r="AE1575" s="35">
        <f>IFERROR(INDEX([1]Last6M_AvgSales_Ref!$B$2:$B$12659,MATCH(D1575,[1]Last6M_AvgSales_Ref!$A$2:$A$12659,0)),"")</f>
        <v>23</v>
      </c>
    </row>
    <row r="1576" spans="1:31" ht="14.25" customHeight="1" x14ac:dyDescent="0.3">
      <c r="A1576" s="54" t="s">
        <v>848</v>
      </c>
      <c r="B1576" s="55" t="s">
        <v>1666</v>
      </c>
      <c r="C1576" s="56" t="s">
        <v>3206</v>
      </c>
      <c r="D1576" s="36">
        <v>1000004618</v>
      </c>
      <c r="E1576" s="55" t="s">
        <v>3207</v>
      </c>
      <c r="F1576" s="57">
        <v>46053</v>
      </c>
      <c r="G1576" s="22" t="str">
        <f t="shared" si="336"/>
        <v>Targeted Dealer</v>
      </c>
      <c r="H1576" s="58"/>
      <c r="I1576" s="23">
        <v>20</v>
      </c>
      <c r="J1576" s="23">
        <f t="shared" si="337"/>
        <v>20</v>
      </c>
      <c r="K1576" s="24">
        <v>25.5</v>
      </c>
      <c r="L1576" s="24">
        <f t="shared" si="338"/>
        <v>-5.5</v>
      </c>
      <c r="M1576" s="24">
        <f t="shared" si="339"/>
        <v>127.5</v>
      </c>
      <c r="N1576" s="25">
        <v>24.75</v>
      </c>
      <c r="O1576" s="26" t="str">
        <f t="shared" si="340"/>
        <v>June</v>
      </c>
      <c r="P1576" s="25">
        <f t="shared" si="341"/>
        <v>24.75</v>
      </c>
      <c r="Q1576" s="27">
        <f t="shared" si="342"/>
        <v>0.75</v>
      </c>
      <c r="R1576" s="26" t="b">
        <f t="shared" si="343"/>
        <v>0</v>
      </c>
      <c r="S1576" s="28" t="str">
        <f t="shared" si="344"/>
        <v>GROWTH</v>
      </c>
      <c r="T1576" s="24">
        <v>0</v>
      </c>
      <c r="U1576" s="29" t="str">
        <f t="shared" si="345"/>
        <v>May</v>
      </c>
      <c r="V1576" s="24">
        <f t="shared" si="346"/>
        <v>0</v>
      </c>
      <c r="W1576" s="30">
        <f t="shared" si="347"/>
        <v>25.5</v>
      </c>
      <c r="X1576" s="31" t="b">
        <f t="shared" si="348"/>
        <v>0</v>
      </c>
      <c r="Y1576" s="32" t="b">
        <f t="shared" si="349"/>
        <v>0</v>
      </c>
      <c r="Z1576" s="41">
        <v>0</v>
      </c>
      <c r="AA1576" s="36"/>
      <c r="AB1576" s="36" t="s">
        <v>24</v>
      </c>
      <c r="AC1576" s="54" t="s">
        <v>848</v>
      </c>
      <c r="AD1576" s="34"/>
      <c r="AE1576" s="35">
        <f>IFERROR(INDEX([1]Last6M_AvgSales_Ref!$B$2:$B$12659,MATCH(D1576,[1]Last6M_AvgSales_Ref!$A$2:$A$12659,0)),"")</f>
        <v>11.8333333333333</v>
      </c>
    </row>
    <row r="1577" spans="1:31" ht="14.25" customHeight="1" x14ac:dyDescent="0.3">
      <c r="A1577" s="54" t="s">
        <v>2185</v>
      </c>
      <c r="B1577" s="55" t="s">
        <v>2388</v>
      </c>
      <c r="C1577" s="56" t="s">
        <v>3208</v>
      </c>
      <c r="D1577" s="36">
        <v>1000001476</v>
      </c>
      <c r="E1577" s="55" t="s">
        <v>3209</v>
      </c>
      <c r="F1577" s="57">
        <v>44739</v>
      </c>
      <c r="G1577" s="22" t="str">
        <f t="shared" si="336"/>
        <v>-</v>
      </c>
      <c r="H1577" s="58"/>
      <c r="I1577" s="23">
        <v>0</v>
      </c>
      <c r="J1577" s="23">
        <f t="shared" si="337"/>
        <v>0</v>
      </c>
      <c r="K1577" s="24">
        <v>0</v>
      </c>
      <c r="L1577" s="24">
        <f t="shared" si="338"/>
        <v>0</v>
      </c>
      <c r="M1577" s="24" t="str">
        <f t="shared" si="339"/>
        <v>-</v>
      </c>
      <c r="N1577" s="25">
        <v>0</v>
      </c>
      <c r="O1577" s="26" t="str">
        <f t="shared" si="340"/>
        <v>June</v>
      </c>
      <c r="P1577" s="25">
        <f t="shared" si="341"/>
        <v>0</v>
      </c>
      <c r="Q1577" s="27">
        <f t="shared" si="342"/>
        <v>0</v>
      </c>
      <c r="R1577" s="26" t="b">
        <f t="shared" si="343"/>
        <v>0</v>
      </c>
      <c r="S1577" s="28" t="b">
        <f t="shared" si="344"/>
        <v>0</v>
      </c>
      <c r="T1577" s="24">
        <v>0</v>
      </c>
      <c r="U1577" s="29" t="str">
        <f t="shared" si="345"/>
        <v>May</v>
      </c>
      <c r="V1577" s="24">
        <f t="shared" si="346"/>
        <v>0</v>
      </c>
      <c r="W1577" s="30">
        <f t="shared" si="347"/>
        <v>0</v>
      </c>
      <c r="X1577" s="31" t="b">
        <f t="shared" si="348"/>
        <v>0</v>
      </c>
      <c r="Y1577" s="32" t="b">
        <f t="shared" si="349"/>
        <v>0</v>
      </c>
      <c r="Z1577" s="41">
        <v>0</v>
      </c>
      <c r="AA1577" s="36"/>
      <c r="AB1577" s="36" t="s">
        <v>24</v>
      </c>
      <c r="AC1577" s="54" t="s">
        <v>2185</v>
      </c>
      <c r="AD1577" s="34"/>
      <c r="AE1577" s="35">
        <f>IFERROR(INDEX([1]Last6M_AvgSales_Ref!$B$2:$B$12659,MATCH(D1577,[1]Last6M_AvgSales_Ref!$A$2:$A$12659,0)),"")</f>
        <v>1.1666666666666701</v>
      </c>
    </row>
    <row r="1578" spans="1:31" ht="14.25" customHeight="1" x14ac:dyDescent="0.3">
      <c r="A1578" s="54" t="s">
        <v>2185</v>
      </c>
      <c r="B1578" s="55" t="s">
        <v>2186</v>
      </c>
      <c r="C1578" s="56" t="s">
        <v>3210</v>
      </c>
      <c r="D1578" s="36">
        <v>1000004672</v>
      </c>
      <c r="E1578" s="55" t="s">
        <v>3211</v>
      </c>
      <c r="F1578" s="57">
        <v>46077</v>
      </c>
      <c r="G1578" s="22" t="str">
        <f t="shared" si="336"/>
        <v>Targeted Dealer</v>
      </c>
      <c r="H1578" s="58"/>
      <c r="I1578" s="23">
        <v>100</v>
      </c>
      <c r="J1578" s="23">
        <f t="shared" si="337"/>
        <v>100</v>
      </c>
      <c r="K1578" s="24">
        <v>30</v>
      </c>
      <c r="L1578" s="24">
        <f t="shared" si="338"/>
        <v>70</v>
      </c>
      <c r="M1578" s="24">
        <f t="shared" si="339"/>
        <v>30</v>
      </c>
      <c r="N1578" s="25">
        <v>30</v>
      </c>
      <c r="O1578" s="26" t="str">
        <f t="shared" si="340"/>
        <v>June</v>
      </c>
      <c r="P1578" s="25">
        <f t="shared" si="341"/>
        <v>30</v>
      </c>
      <c r="Q1578" s="27">
        <f t="shared" si="342"/>
        <v>0</v>
      </c>
      <c r="R1578" s="26" t="b">
        <f t="shared" si="343"/>
        <v>0</v>
      </c>
      <c r="S1578" s="28" t="str">
        <f t="shared" si="344"/>
        <v>GROWTH</v>
      </c>
      <c r="T1578" s="24">
        <v>0</v>
      </c>
      <c r="U1578" s="29" t="str">
        <f t="shared" si="345"/>
        <v>May</v>
      </c>
      <c r="V1578" s="24">
        <f t="shared" si="346"/>
        <v>0</v>
      </c>
      <c r="W1578" s="30">
        <f t="shared" si="347"/>
        <v>30</v>
      </c>
      <c r="X1578" s="31" t="b">
        <f t="shared" si="348"/>
        <v>0</v>
      </c>
      <c r="Y1578" s="32" t="b">
        <f t="shared" si="349"/>
        <v>0</v>
      </c>
      <c r="Z1578" s="41">
        <v>0</v>
      </c>
      <c r="AA1578" s="36"/>
      <c r="AB1578" s="36" t="s">
        <v>24</v>
      </c>
      <c r="AC1578" s="54" t="s">
        <v>2185</v>
      </c>
      <c r="AD1578" s="34"/>
      <c r="AE1578" s="35">
        <f>IFERROR(INDEX([1]Last6M_AvgSales_Ref!$B$2:$B$12659,MATCH(D1578,[1]Last6M_AvgSales_Ref!$A$2:$A$12659,0)),"")</f>
        <v>15</v>
      </c>
    </row>
    <row r="1579" spans="1:31" ht="14.25" customHeight="1" x14ac:dyDescent="0.3">
      <c r="A1579" s="54" t="s">
        <v>24</v>
      </c>
      <c r="B1579" s="55" t="s">
        <v>264</v>
      </c>
      <c r="C1579" s="56" t="s">
        <v>3212</v>
      </c>
      <c r="D1579" s="36">
        <v>1000004653</v>
      </c>
      <c r="E1579" s="55" t="s">
        <v>3213</v>
      </c>
      <c r="F1579" s="57">
        <v>46070</v>
      </c>
      <c r="G1579" s="22" t="str">
        <f t="shared" si="336"/>
        <v>Targeted Dealer</v>
      </c>
      <c r="H1579" s="58"/>
      <c r="I1579" s="23">
        <v>85</v>
      </c>
      <c r="J1579" s="23">
        <f t="shared" si="337"/>
        <v>85</v>
      </c>
      <c r="K1579" s="24">
        <v>100</v>
      </c>
      <c r="L1579" s="24">
        <f t="shared" si="338"/>
        <v>-15</v>
      </c>
      <c r="M1579" s="24">
        <f t="shared" si="339"/>
        <v>117.64705882352942</v>
      </c>
      <c r="N1579" s="25">
        <v>130</v>
      </c>
      <c r="O1579" s="26" t="str">
        <f t="shared" si="340"/>
        <v>June</v>
      </c>
      <c r="P1579" s="25">
        <f t="shared" si="341"/>
        <v>130</v>
      </c>
      <c r="Q1579" s="27">
        <f t="shared" si="342"/>
        <v>-30</v>
      </c>
      <c r="R1579" s="26" t="b">
        <f t="shared" si="343"/>
        <v>0</v>
      </c>
      <c r="S1579" s="28" t="str">
        <f t="shared" si="344"/>
        <v>GROWTH</v>
      </c>
      <c r="T1579" s="24">
        <v>0</v>
      </c>
      <c r="U1579" s="29" t="str">
        <f t="shared" si="345"/>
        <v>May</v>
      </c>
      <c r="V1579" s="24">
        <f t="shared" si="346"/>
        <v>0</v>
      </c>
      <c r="W1579" s="30">
        <f t="shared" si="347"/>
        <v>100</v>
      </c>
      <c r="X1579" s="31" t="b">
        <f t="shared" si="348"/>
        <v>0</v>
      </c>
      <c r="Y1579" s="32" t="b">
        <f t="shared" si="349"/>
        <v>0</v>
      </c>
      <c r="Z1579" s="41">
        <v>0</v>
      </c>
      <c r="AA1579" s="36"/>
      <c r="AB1579" s="36" t="s">
        <v>24</v>
      </c>
      <c r="AC1579" s="54" t="s">
        <v>24</v>
      </c>
      <c r="AD1579" s="34"/>
      <c r="AE1579" s="35">
        <f>IFERROR(INDEX([1]Last6M_AvgSales_Ref!$B$2:$B$12659,MATCH(D1579,[1]Last6M_AvgSales_Ref!$A$2:$A$12659,0)),"")</f>
        <v>50</v>
      </c>
    </row>
    <row r="1580" spans="1:31" ht="14.25" customHeight="1" x14ac:dyDescent="0.3">
      <c r="A1580" s="54" t="s">
        <v>848</v>
      </c>
      <c r="B1580" s="55" t="s">
        <v>1098</v>
      </c>
      <c r="C1580" s="56" t="s">
        <v>3214</v>
      </c>
      <c r="D1580" s="36">
        <v>1000004078</v>
      </c>
      <c r="E1580" s="55" t="s">
        <v>3215</v>
      </c>
      <c r="F1580" s="57">
        <v>45512</v>
      </c>
      <c r="G1580" s="22" t="str">
        <f t="shared" si="336"/>
        <v>Targeted Dealer</v>
      </c>
      <c r="H1580" s="58"/>
      <c r="I1580" s="23">
        <v>100</v>
      </c>
      <c r="J1580" s="23">
        <f t="shared" si="337"/>
        <v>100</v>
      </c>
      <c r="K1580" s="24">
        <v>0</v>
      </c>
      <c r="L1580" s="24">
        <f t="shared" si="338"/>
        <v>100</v>
      </c>
      <c r="M1580" s="24">
        <f t="shared" si="339"/>
        <v>0</v>
      </c>
      <c r="N1580" s="25">
        <v>25</v>
      </c>
      <c r="O1580" s="26" t="str">
        <f t="shared" si="340"/>
        <v>June</v>
      </c>
      <c r="P1580" s="25">
        <f t="shared" si="341"/>
        <v>25</v>
      </c>
      <c r="Q1580" s="27">
        <f t="shared" si="342"/>
        <v>-25</v>
      </c>
      <c r="R1580" s="26" t="b">
        <f t="shared" si="343"/>
        <v>0</v>
      </c>
      <c r="S1580" s="28" t="str">
        <f t="shared" si="344"/>
        <v>GROWTH</v>
      </c>
      <c r="T1580" s="24">
        <v>25</v>
      </c>
      <c r="U1580" s="29" t="str">
        <f t="shared" si="345"/>
        <v>May</v>
      </c>
      <c r="V1580" s="24">
        <f t="shared" si="346"/>
        <v>25</v>
      </c>
      <c r="W1580" s="30">
        <f t="shared" si="347"/>
        <v>-25</v>
      </c>
      <c r="X1580" s="31" t="b">
        <f t="shared" si="348"/>
        <v>0</v>
      </c>
      <c r="Y1580" s="32" t="str">
        <f t="shared" si="349"/>
        <v>GROWTH</v>
      </c>
      <c r="Z1580" s="41">
        <v>0</v>
      </c>
      <c r="AA1580" s="36"/>
      <c r="AB1580" s="36" t="s">
        <v>24</v>
      </c>
      <c r="AC1580" s="54" t="s">
        <v>848</v>
      </c>
      <c r="AD1580" s="34"/>
      <c r="AE1580" s="35">
        <f>IFERROR(INDEX([1]Last6M_AvgSales_Ref!$B$2:$B$12659,MATCH(D1580,[1]Last6M_AvgSales_Ref!$A$2:$A$12659,0)),"")</f>
        <v>8.3333333333333304</v>
      </c>
    </row>
    <row r="1581" spans="1:31" ht="14.25" customHeight="1" x14ac:dyDescent="0.3">
      <c r="A1581" s="54" t="s">
        <v>848</v>
      </c>
      <c r="B1581" s="55" t="s">
        <v>1257</v>
      </c>
      <c r="C1581" s="56" t="s">
        <v>3216</v>
      </c>
      <c r="D1581" s="36">
        <v>1000004633</v>
      </c>
      <c r="E1581" s="55" t="s">
        <v>3217</v>
      </c>
      <c r="F1581" s="57">
        <v>46065</v>
      </c>
      <c r="G1581" s="22" t="str">
        <f t="shared" si="336"/>
        <v>Targeted Dealer</v>
      </c>
      <c r="H1581" s="58"/>
      <c r="I1581" s="23">
        <v>80</v>
      </c>
      <c r="J1581" s="23">
        <f t="shared" si="337"/>
        <v>80</v>
      </c>
      <c r="K1581" s="24">
        <v>115</v>
      </c>
      <c r="L1581" s="24">
        <f t="shared" si="338"/>
        <v>-35</v>
      </c>
      <c r="M1581" s="24">
        <f t="shared" si="339"/>
        <v>143.75</v>
      </c>
      <c r="N1581" s="25">
        <v>51</v>
      </c>
      <c r="O1581" s="26" t="str">
        <f t="shared" si="340"/>
        <v>June</v>
      </c>
      <c r="P1581" s="25">
        <f t="shared" si="341"/>
        <v>51</v>
      </c>
      <c r="Q1581" s="27">
        <f t="shared" si="342"/>
        <v>64</v>
      </c>
      <c r="R1581" s="26" t="b">
        <f t="shared" si="343"/>
        <v>0</v>
      </c>
      <c r="S1581" s="28" t="str">
        <f t="shared" si="344"/>
        <v>GROWTH</v>
      </c>
      <c r="T1581" s="24">
        <v>0</v>
      </c>
      <c r="U1581" s="29" t="str">
        <f t="shared" si="345"/>
        <v>May</v>
      </c>
      <c r="V1581" s="24">
        <f t="shared" si="346"/>
        <v>0</v>
      </c>
      <c r="W1581" s="30">
        <f t="shared" si="347"/>
        <v>115</v>
      </c>
      <c r="X1581" s="31" t="b">
        <f t="shared" si="348"/>
        <v>0</v>
      </c>
      <c r="Y1581" s="32" t="b">
        <f t="shared" si="349"/>
        <v>0</v>
      </c>
      <c r="Z1581" s="41">
        <v>0</v>
      </c>
      <c r="AA1581" s="36"/>
      <c r="AB1581" s="36" t="s">
        <v>24</v>
      </c>
      <c r="AC1581" s="54" t="s">
        <v>848</v>
      </c>
      <c r="AD1581" s="34"/>
      <c r="AE1581" s="35">
        <f>IFERROR(INDEX([1]Last6M_AvgSales_Ref!$B$2:$B$12659,MATCH(D1581,[1]Last6M_AvgSales_Ref!$A$2:$A$12659,0)),"")</f>
        <v>19.5</v>
      </c>
    </row>
    <row r="1582" spans="1:31" ht="14.25" customHeight="1" x14ac:dyDescent="0.3">
      <c r="A1582" s="54" t="s">
        <v>848</v>
      </c>
      <c r="B1582" s="55" t="s">
        <v>1257</v>
      </c>
      <c r="C1582" s="56" t="s">
        <v>3218</v>
      </c>
      <c r="D1582" s="36">
        <v>1000004663</v>
      </c>
      <c r="E1582" s="55" t="s">
        <v>3219</v>
      </c>
      <c r="F1582" s="57">
        <v>46074</v>
      </c>
      <c r="G1582" s="22" t="str">
        <f t="shared" si="336"/>
        <v>Targeted Dealer</v>
      </c>
      <c r="H1582" s="58"/>
      <c r="I1582" s="23">
        <v>80</v>
      </c>
      <c r="J1582" s="23">
        <f t="shared" si="337"/>
        <v>80</v>
      </c>
      <c r="K1582" s="24">
        <v>78</v>
      </c>
      <c r="L1582" s="24">
        <f t="shared" si="338"/>
        <v>2</v>
      </c>
      <c r="M1582" s="24">
        <f t="shared" si="339"/>
        <v>97.5</v>
      </c>
      <c r="N1582" s="25">
        <v>25</v>
      </c>
      <c r="O1582" s="26" t="str">
        <f t="shared" si="340"/>
        <v>June</v>
      </c>
      <c r="P1582" s="25">
        <f t="shared" si="341"/>
        <v>25</v>
      </c>
      <c r="Q1582" s="27">
        <f t="shared" si="342"/>
        <v>53</v>
      </c>
      <c r="R1582" s="26" t="b">
        <f t="shared" si="343"/>
        <v>0</v>
      </c>
      <c r="S1582" s="28" t="str">
        <f t="shared" si="344"/>
        <v>GROWTH</v>
      </c>
      <c r="T1582" s="24">
        <v>0</v>
      </c>
      <c r="U1582" s="29" t="str">
        <f t="shared" si="345"/>
        <v>May</v>
      </c>
      <c r="V1582" s="24">
        <f t="shared" si="346"/>
        <v>0</v>
      </c>
      <c r="W1582" s="30">
        <f t="shared" si="347"/>
        <v>78</v>
      </c>
      <c r="X1582" s="31" t="b">
        <f t="shared" si="348"/>
        <v>0</v>
      </c>
      <c r="Y1582" s="32" t="b">
        <f t="shared" si="349"/>
        <v>0</v>
      </c>
      <c r="Z1582" s="41">
        <v>0</v>
      </c>
      <c r="AA1582" s="36"/>
      <c r="AB1582" s="36" t="s">
        <v>24</v>
      </c>
      <c r="AC1582" s="54" t="s">
        <v>848</v>
      </c>
      <c r="AD1582" s="34"/>
      <c r="AE1582" s="35">
        <f>IFERROR(INDEX([1]Last6M_AvgSales_Ref!$B$2:$B$12659,MATCH(D1582,[1]Last6M_AvgSales_Ref!$A$2:$A$12659,0)),"")</f>
        <v>23.8333333333333</v>
      </c>
    </row>
    <row r="1583" spans="1:31" ht="14.25" customHeight="1" x14ac:dyDescent="0.3">
      <c r="A1583" s="54" t="s">
        <v>848</v>
      </c>
      <c r="B1583" s="55" t="s">
        <v>1257</v>
      </c>
      <c r="C1583" s="56" t="s">
        <v>3220</v>
      </c>
      <c r="D1583" s="36">
        <v>1000004655</v>
      </c>
      <c r="E1583" s="55" t="s">
        <v>3221</v>
      </c>
      <c r="F1583" s="57">
        <v>46072</v>
      </c>
      <c r="G1583" s="22" t="str">
        <f t="shared" si="336"/>
        <v>Targeted Dealer</v>
      </c>
      <c r="H1583" s="58"/>
      <c r="I1583" s="23">
        <v>100</v>
      </c>
      <c r="J1583" s="23">
        <f t="shared" si="337"/>
        <v>100</v>
      </c>
      <c r="K1583" s="24">
        <v>78</v>
      </c>
      <c r="L1583" s="24">
        <f t="shared" si="338"/>
        <v>22</v>
      </c>
      <c r="M1583" s="24">
        <f t="shared" si="339"/>
        <v>78</v>
      </c>
      <c r="N1583" s="25">
        <v>65</v>
      </c>
      <c r="O1583" s="26" t="str">
        <f t="shared" si="340"/>
        <v>June</v>
      </c>
      <c r="P1583" s="25">
        <f t="shared" si="341"/>
        <v>65</v>
      </c>
      <c r="Q1583" s="27">
        <f t="shared" si="342"/>
        <v>13</v>
      </c>
      <c r="R1583" s="26" t="b">
        <f t="shared" si="343"/>
        <v>0</v>
      </c>
      <c r="S1583" s="28" t="str">
        <f t="shared" si="344"/>
        <v>GROWTH</v>
      </c>
      <c r="T1583" s="24">
        <v>0</v>
      </c>
      <c r="U1583" s="29" t="str">
        <f t="shared" si="345"/>
        <v>May</v>
      </c>
      <c r="V1583" s="24">
        <f t="shared" si="346"/>
        <v>0</v>
      </c>
      <c r="W1583" s="30">
        <f t="shared" si="347"/>
        <v>78</v>
      </c>
      <c r="X1583" s="31" t="b">
        <f t="shared" si="348"/>
        <v>0</v>
      </c>
      <c r="Y1583" s="32" t="b">
        <f t="shared" si="349"/>
        <v>0</v>
      </c>
      <c r="Z1583" s="41">
        <v>0</v>
      </c>
      <c r="AA1583" s="36"/>
      <c r="AB1583" s="36" t="s">
        <v>24</v>
      </c>
      <c r="AC1583" s="54" t="s">
        <v>848</v>
      </c>
      <c r="AD1583" s="34"/>
      <c r="AE1583" s="35">
        <f>IFERROR(INDEX([1]Last6M_AvgSales_Ref!$B$2:$B$12659,MATCH(D1583,[1]Last6M_AvgSales_Ref!$A$2:$A$12659,0)),"")</f>
        <v>9.75</v>
      </c>
    </row>
    <row r="1584" spans="1:31" ht="14.25" customHeight="1" x14ac:dyDescent="0.3">
      <c r="A1584" s="54" t="s">
        <v>848</v>
      </c>
      <c r="B1584" s="55" t="s">
        <v>1101</v>
      </c>
      <c r="C1584" s="56" t="s">
        <v>3222</v>
      </c>
      <c r="D1584" s="36">
        <v>1000004629</v>
      </c>
      <c r="E1584" s="55" t="s">
        <v>3223</v>
      </c>
      <c r="F1584" s="57">
        <v>46060</v>
      </c>
      <c r="G1584" s="22" t="str">
        <f t="shared" si="336"/>
        <v>Targeted Dealer</v>
      </c>
      <c r="H1584" s="58"/>
      <c r="I1584" s="23">
        <v>100</v>
      </c>
      <c r="J1584" s="23">
        <f t="shared" si="337"/>
        <v>100</v>
      </c>
      <c r="K1584" s="24">
        <v>63</v>
      </c>
      <c r="L1584" s="24">
        <f t="shared" si="338"/>
        <v>37</v>
      </c>
      <c r="M1584" s="24">
        <f t="shared" si="339"/>
        <v>63</v>
      </c>
      <c r="N1584" s="25">
        <v>50.5</v>
      </c>
      <c r="O1584" s="26" t="str">
        <f t="shared" si="340"/>
        <v>June</v>
      </c>
      <c r="P1584" s="25">
        <f t="shared" si="341"/>
        <v>50.5</v>
      </c>
      <c r="Q1584" s="27">
        <f t="shared" si="342"/>
        <v>12.5</v>
      </c>
      <c r="R1584" s="26" t="b">
        <f t="shared" si="343"/>
        <v>0</v>
      </c>
      <c r="S1584" s="28" t="str">
        <f t="shared" si="344"/>
        <v>GROWTH</v>
      </c>
      <c r="T1584" s="24">
        <v>0</v>
      </c>
      <c r="U1584" s="29" t="str">
        <f t="shared" si="345"/>
        <v>May</v>
      </c>
      <c r="V1584" s="24">
        <f t="shared" si="346"/>
        <v>0</v>
      </c>
      <c r="W1584" s="30">
        <f t="shared" si="347"/>
        <v>63</v>
      </c>
      <c r="X1584" s="31" t="b">
        <f t="shared" si="348"/>
        <v>0</v>
      </c>
      <c r="Y1584" s="32" t="b">
        <f t="shared" si="349"/>
        <v>0</v>
      </c>
      <c r="Z1584" s="41">
        <v>0</v>
      </c>
      <c r="AA1584" s="36"/>
      <c r="AB1584" s="36" t="s">
        <v>24</v>
      </c>
      <c r="AC1584" s="54" t="s">
        <v>848</v>
      </c>
      <c r="AD1584" s="34"/>
      <c r="AE1584" s="35">
        <f>IFERROR(INDEX([1]Last6M_AvgSales_Ref!$B$2:$B$12659,MATCH(D1584,[1]Last6M_AvgSales_Ref!$A$2:$A$12659,0)),"")</f>
        <v>28.0833333333333</v>
      </c>
    </row>
    <row r="1585" spans="1:31" ht="14.25" customHeight="1" x14ac:dyDescent="0.3">
      <c r="A1585" s="54" t="s">
        <v>848</v>
      </c>
      <c r="B1585" s="55" t="s">
        <v>1101</v>
      </c>
      <c r="C1585" s="56" t="s">
        <v>3224</v>
      </c>
      <c r="D1585" s="36">
        <v>1000004652</v>
      </c>
      <c r="E1585" s="55" t="s">
        <v>3225</v>
      </c>
      <c r="F1585" s="57">
        <v>46070</v>
      </c>
      <c r="G1585" s="22" t="str">
        <f t="shared" si="336"/>
        <v>-</v>
      </c>
      <c r="H1585" s="58"/>
      <c r="I1585" s="23">
        <v>0</v>
      </c>
      <c r="J1585" s="23">
        <f t="shared" si="337"/>
        <v>0</v>
      </c>
      <c r="K1585" s="24">
        <v>0</v>
      </c>
      <c r="L1585" s="24">
        <f t="shared" si="338"/>
        <v>0</v>
      </c>
      <c r="M1585" s="24" t="str">
        <f t="shared" si="339"/>
        <v>-</v>
      </c>
      <c r="N1585" s="25">
        <v>0</v>
      </c>
      <c r="O1585" s="26" t="str">
        <f t="shared" si="340"/>
        <v>June</v>
      </c>
      <c r="P1585" s="25">
        <f t="shared" si="341"/>
        <v>0</v>
      </c>
      <c r="Q1585" s="27">
        <f t="shared" si="342"/>
        <v>0</v>
      </c>
      <c r="R1585" s="26" t="b">
        <f t="shared" si="343"/>
        <v>0</v>
      </c>
      <c r="S1585" s="28" t="b">
        <f t="shared" si="344"/>
        <v>0</v>
      </c>
      <c r="T1585" s="24">
        <v>0</v>
      </c>
      <c r="U1585" s="29" t="str">
        <f t="shared" si="345"/>
        <v>May</v>
      </c>
      <c r="V1585" s="24">
        <f t="shared" si="346"/>
        <v>0</v>
      </c>
      <c r="W1585" s="30">
        <f t="shared" si="347"/>
        <v>0</v>
      </c>
      <c r="X1585" s="31" t="b">
        <f t="shared" si="348"/>
        <v>0</v>
      </c>
      <c r="Y1585" s="32" t="b">
        <f t="shared" si="349"/>
        <v>0</v>
      </c>
      <c r="Z1585" s="41">
        <v>0</v>
      </c>
      <c r="AA1585" s="36"/>
      <c r="AB1585" s="36" t="s">
        <v>24</v>
      </c>
      <c r="AC1585" s="54" t="s">
        <v>848</v>
      </c>
      <c r="AD1585" s="34"/>
      <c r="AE1585" s="35">
        <f>IFERROR(INDEX([1]Last6M_AvgSales_Ref!$B$2:$B$12659,MATCH(D1585,[1]Last6M_AvgSales_Ref!$A$2:$A$12659,0)),"")</f>
        <v>5</v>
      </c>
    </row>
    <row r="1586" spans="1:31" ht="14.25" customHeight="1" x14ac:dyDescent="0.3">
      <c r="A1586" s="54" t="s">
        <v>2027</v>
      </c>
      <c r="B1586" s="55" t="s">
        <v>2118</v>
      </c>
      <c r="C1586" s="56" t="s">
        <v>3226</v>
      </c>
      <c r="D1586" s="36">
        <v>1000004626</v>
      </c>
      <c r="E1586" s="55" t="s">
        <v>3227</v>
      </c>
      <c r="F1586" s="57">
        <v>46059</v>
      </c>
      <c r="G1586" s="22" t="str">
        <f t="shared" si="336"/>
        <v>Targeted Dealer</v>
      </c>
      <c r="H1586" s="58"/>
      <c r="I1586" s="23">
        <v>50</v>
      </c>
      <c r="J1586" s="23">
        <f t="shared" si="337"/>
        <v>50</v>
      </c>
      <c r="K1586" s="24">
        <v>50</v>
      </c>
      <c r="L1586" s="24">
        <f t="shared" si="338"/>
        <v>0</v>
      </c>
      <c r="M1586" s="24">
        <f t="shared" si="339"/>
        <v>100</v>
      </c>
      <c r="N1586" s="25">
        <v>0</v>
      </c>
      <c r="O1586" s="26" t="str">
        <f t="shared" si="340"/>
        <v>June</v>
      </c>
      <c r="P1586" s="25">
        <f t="shared" si="341"/>
        <v>0</v>
      </c>
      <c r="Q1586" s="27">
        <f t="shared" si="342"/>
        <v>50</v>
      </c>
      <c r="R1586" s="26" t="b">
        <f t="shared" si="343"/>
        <v>0</v>
      </c>
      <c r="S1586" s="28" t="b">
        <f t="shared" si="344"/>
        <v>0</v>
      </c>
      <c r="T1586" s="24">
        <v>0</v>
      </c>
      <c r="U1586" s="29" t="str">
        <f t="shared" si="345"/>
        <v>May</v>
      </c>
      <c r="V1586" s="24">
        <f t="shared" si="346"/>
        <v>0</v>
      </c>
      <c r="W1586" s="30">
        <f t="shared" si="347"/>
        <v>50</v>
      </c>
      <c r="X1586" s="31" t="b">
        <f t="shared" si="348"/>
        <v>0</v>
      </c>
      <c r="Y1586" s="32" t="b">
        <f t="shared" si="349"/>
        <v>0</v>
      </c>
      <c r="Z1586" s="41">
        <v>0</v>
      </c>
      <c r="AA1586" s="36"/>
      <c r="AB1586" s="36" t="s">
        <v>24</v>
      </c>
      <c r="AC1586" s="54" t="s">
        <v>2027</v>
      </c>
      <c r="AD1586" s="34"/>
      <c r="AE1586" s="35">
        <f>IFERROR(INDEX([1]Last6M_AvgSales_Ref!$B$2:$B$12659,MATCH(D1586,[1]Last6M_AvgSales_Ref!$A$2:$A$12659,0)),"")</f>
        <v>17.5</v>
      </c>
    </row>
    <row r="1587" spans="1:31" ht="14.25" customHeight="1" x14ac:dyDescent="0.3">
      <c r="A1587" s="54" t="s">
        <v>2027</v>
      </c>
      <c r="B1587" s="55" t="s">
        <v>2118</v>
      </c>
      <c r="C1587" s="56" t="s">
        <v>3228</v>
      </c>
      <c r="D1587" s="36">
        <v>1000002023</v>
      </c>
      <c r="E1587" s="55" t="s">
        <v>3229</v>
      </c>
      <c r="F1587" s="57">
        <v>44739</v>
      </c>
      <c r="G1587" s="22" t="str">
        <f t="shared" si="336"/>
        <v>-</v>
      </c>
      <c r="H1587" s="58"/>
      <c r="I1587" s="23">
        <v>0</v>
      </c>
      <c r="J1587" s="23">
        <f t="shared" si="337"/>
        <v>0</v>
      </c>
      <c r="K1587" s="24">
        <v>0</v>
      </c>
      <c r="L1587" s="24">
        <f t="shared" si="338"/>
        <v>0</v>
      </c>
      <c r="M1587" s="24" t="str">
        <f t="shared" si="339"/>
        <v>-</v>
      </c>
      <c r="N1587" s="25">
        <v>0</v>
      </c>
      <c r="O1587" s="26" t="str">
        <f t="shared" si="340"/>
        <v>June</v>
      </c>
      <c r="P1587" s="25">
        <f t="shared" si="341"/>
        <v>0</v>
      </c>
      <c r="Q1587" s="27">
        <f t="shared" si="342"/>
        <v>0</v>
      </c>
      <c r="R1587" s="26" t="b">
        <f t="shared" si="343"/>
        <v>0</v>
      </c>
      <c r="S1587" s="28" t="b">
        <f t="shared" si="344"/>
        <v>0</v>
      </c>
      <c r="T1587" s="24">
        <v>0</v>
      </c>
      <c r="U1587" s="29" t="str">
        <f t="shared" si="345"/>
        <v>May</v>
      </c>
      <c r="V1587" s="24">
        <f t="shared" si="346"/>
        <v>0</v>
      </c>
      <c r="W1587" s="30">
        <f t="shared" si="347"/>
        <v>0</v>
      </c>
      <c r="X1587" s="31" t="b">
        <f t="shared" si="348"/>
        <v>0</v>
      </c>
      <c r="Y1587" s="32" t="b">
        <f t="shared" si="349"/>
        <v>0</v>
      </c>
      <c r="Z1587" s="41">
        <v>0</v>
      </c>
      <c r="AA1587" s="36"/>
      <c r="AB1587" s="36" t="s">
        <v>24</v>
      </c>
      <c r="AC1587" s="54" t="s">
        <v>2027</v>
      </c>
      <c r="AD1587" s="34"/>
      <c r="AE1587" s="35">
        <f>IFERROR(INDEX([1]Last6M_AvgSales_Ref!$B$2:$B$12659,MATCH(D1587,[1]Last6M_AvgSales_Ref!$A$2:$A$12659,0)),"")</f>
        <v>2.1666666666666701</v>
      </c>
    </row>
    <row r="1588" spans="1:31" ht="14.25" customHeight="1" x14ac:dyDescent="0.3">
      <c r="A1588" s="54" t="s">
        <v>24</v>
      </c>
      <c r="B1588" s="55" t="s">
        <v>752</v>
      </c>
      <c r="C1588" s="56" t="s">
        <v>3230</v>
      </c>
      <c r="D1588" s="36">
        <v>1000004329</v>
      </c>
      <c r="E1588" s="55" t="s">
        <v>3231</v>
      </c>
      <c r="F1588" s="57">
        <v>45770</v>
      </c>
      <c r="G1588" s="22" t="str">
        <f t="shared" si="336"/>
        <v>Targeted Dealer</v>
      </c>
      <c r="H1588" s="58"/>
      <c r="I1588" s="23">
        <v>35</v>
      </c>
      <c r="J1588" s="23">
        <f t="shared" si="337"/>
        <v>35</v>
      </c>
      <c r="K1588" s="24">
        <v>67</v>
      </c>
      <c r="L1588" s="24">
        <f t="shared" si="338"/>
        <v>-32</v>
      </c>
      <c r="M1588" s="24">
        <f t="shared" si="339"/>
        <v>191.42857142857144</v>
      </c>
      <c r="N1588" s="25">
        <v>0</v>
      </c>
      <c r="O1588" s="26" t="str">
        <f t="shared" si="340"/>
        <v>June</v>
      </c>
      <c r="P1588" s="25">
        <f t="shared" si="341"/>
        <v>0</v>
      </c>
      <c r="Q1588" s="27">
        <f t="shared" si="342"/>
        <v>67</v>
      </c>
      <c r="R1588" s="26" t="b">
        <f t="shared" si="343"/>
        <v>0</v>
      </c>
      <c r="S1588" s="28" t="b">
        <f t="shared" si="344"/>
        <v>0</v>
      </c>
      <c r="T1588" s="24">
        <v>0</v>
      </c>
      <c r="U1588" s="29" t="str">
        <f t="shared" si="345"/>
        <v>May</v>
      </c>
      <c r="V1588" s="24">
        <f t="shared" si="346"/>
        <v>0</v>
      </c>
      <c r="W1588" s="30">
        <f t="shared" si="347"/>
        <v>67</v>
      </c>
      <c r="X1588" s="31" t="b">
        <f t="shared" si="348"/>
        <v>0</v>
      </c>
      <c r="Y1588" s="32" t="b">
        <f t="shared" si="349"/>
        <v>0</v>
      </c>
      <c r="Z1588" s="41">
        <v>0</v>
      </c>
      <c r="AA1588" s="36"/>
      <c r="AB1588" s="36" t="s">
        <v>24</v>
      </c>
      <c r="AC1588" s="54" t="s">
        <v>24</v>
      </c>
      <c r="AD1588" s="34"/>
      <c r="AE1588" s="35">
        <f>IFERROR(INDEX([1]Last6M_AvgSales_Ref!$B$2:$B$12659,MATCH(D1588,[1]Last6M_AvgSales_Ref!$A$2:$A$12659,0)),"")</f>
        <v>44</v>
      </c>
    </row>
    <row r="1589" spans="1:31" ht="14.25" customHeight="1" x14ac:dyDescent="0.3">
      <c r="A1589" s="54" t="s">
        <v>24</v>
      </c>
      <c r="B1589" s="55" t="s">
        <v>752</v>
      </c>
      <c r="C1589" s="56" t="s">
        <v>3232</v>
      </c>
      <c r="D1589" s="36">
        <v>1000004564</v>
      </c>
      <c r="E1589" s="55" t="s">
        <v>3233</v>
      </c>
      <c r="F1589" s="57">
        <v>46007</v>
      </c>
      <c r="G1589" s="22" t="str">
        <f t="shared" si="336"/>
        <v>-</v>
      </c>
      <c r="H1589" s="58"/>
      <c r="I1589" s="23">
        <v>0</v>
      </c>
      <c r="J1589" s="23">
        <f t="shared" si="337"/>
        <v>0</v>
      </c>
      <c r="K1589" s="24">
        <v>0</v>
      </c>
      <c r="L1589" s="24">
        <f t="shared" si="338"/>
        <v>0</v>
      </c>
      <c r="M1589" s="24" t="str">
        <f t="shared" si="339"/>
        <v>-</v>
      </c>
      <c r="N1589" s="25">
        <v>0</v>
      </c>
      <c r="O1589" s="26" t="str">
        <f t="shared" si="340"/>
        <v>June</v>
      </c>
      <c r="P1589" s="25">
        <f t="shared" si="341"/>
        <v>0</v>
      </c>
      <c r="Q1589" s="27">
        <f t="shared" si="342"/>
        <v>0</v>
      </c>
      <c r="R1589" s="26" t="b">
        <f t="shared" si="343"/>
        <v>0</v>
      </c>
      <c r="S1589" s="28" t="b">
        <f t="shared" si="344"/>
        <v>0</v>
      </c>
      <c r="T1589" s="24">
        <v>0</v>
      </c>
      <c r="U1589" s="29" t="str">
        <f t="shared" si="345"/>
        <v>May</v>
      </c>
      <c r="V1589" s="24">
        <f t="shared" si="346"/>
        <v>0</v>
      </c>
      <c r="W1589" s="30">
        <f t="shared" si="347"/>
        <v>0</v>
      </c>
      <c r="X1589" s="31" t="b">
        <f t="shared" si="348"/>
        <v>0</v>
      </c>
      <c r="Y1589" s="32" t="b">
        <f t="shared" si="349"/>
        <v>0</v>
      </c>
      <c r="Z1589" s="41">
        <v>0</v>
      </c>
      <c r="AA1589" s="36"/>
      <c r="AB1589" s="36" t="s">
        <v>24</v>
      </c>
      <c r="AC1589" s="54" t="s">
        <v>24</v>
      </c>
      <c r="AD1589" s="34"/>
      <c r="AE1589" s="35">
        <f>IFERROR(INDEX([1]Last6M_AvgSales_Ref!$B$2:$B$12659,MATCH(D1589,[1]Last6M_AvgSales_Ref!$A$2:$A$12659,0)),"")</f>
        <v>9.1666666666666696</v>
      </c>
    </row>
    <row r="1590" spans="1:31" ht="14.25" customHeight="1" x14ac:dyDescent="0.3">
      <c r="A1590" s="54" t="s">
        <v>24</v>
      </c>
      <c r="B1590" s="55" t="s">
        <v>752</v>
      </c>
      <c r="C1590" s="56" t="s">
        <v>3234</v>
      </c>
      <c r="D1590" s="36">
        <v>1000004627</v>
      </c>
      <c r="E1590" s="55" t="s">
        <v>3235</v>
      </c>
      <c r="F1590" s="57">
        <v>46059</v>
      </c>
      <c r="G1590" s="22" t="str">
        <f t="shared" si="336"/>
        <v>Targeted Dealer</v>
      </c>
      <c r="H1590" s="58"/>
      <c r="I1590" s="23">
        <v>105</v>
      </c>
      <c r="J1590" s="23">
        <f t="shared" si="337"/>
        <v>105</v>
      </c>
      <c r="K1590" s="24">
        <v>147</v>
      </c>
      <c r="L1590" s="24">
        <f t="shared" si="338"/>
        <v>-42</v>
      </c>
      <c r="M1590" s="24">
        <f t="shared" si="339"/>
        <v>140</v>
      </c>
      <c r="N1590" s="25">
        <v>87.4</v>
      </c>
      <c r="O1590" s="26" t="str">
        <f t="shared" si="340"/>
        <v>June</v>
      </c>
      <c r="P1590" s="25">
        <f t="shared" si="341"/>
        <v>87.4</v>
      </c>
      <c r="Q1590" s="27">
        <f t="shared" si="342"/>
        <v>59.599999999999994</v>
      </c>
      <c r="R1590" s="26" t="b">
        <f t="shared" si="343"/>
        <v>0</v>
      </c>
      <c r="S1590" s="28" t="str">
        <f t="shared" si="344"/>
        <v>GROWTH</v>
      </c>
      <c r="T1590" s="24">
        <v>0</v>
      </c>
      <c r="U1590" s="29" t="str">
        <f t="shared" si="345"/>
        <v>May</v>
      </c>
      <c r="V1590" s="24">
        <f t="shared" si="346"/>
        <v>0</v>
      </c>
      <c r="W1590" s="30">
        <f t="shared" si="347"/>
        <v>147</v>
      </c>
      <c r="X1590" s="31" t="b">
        <f t="shared" si="348"/>
        <v>0</v>
      </c>
      <c r="Y1590" s="32" t="b">
        <f t="shared" si="349"/>
        <v>0</v>
      </c>
      <c r="Z1590" s="41">
        <v>0</v>
      </c>
      <c r="AA1590" s="36"/>
      <c r="AB1590" s="36" t="s">
        <v>24</v>
      </c>
      <c r="AC1590" s="54" t="s">
        <v>24</v>
      </c>
      <c r="AD1590" s="34"/>
      <c r="AE1590" s="35">
        <f>IFERROR(INDEX([1]Last6M_AvgSales_Ref!$B$2:$B$12659,MATCH(D1590,[1]Last6M_AvgSales_Ref!$A$2:$A$12659,0)),"")</f>
        <v>112.666666666667</v>
      </c>
    </row>
    <row r="1591" spans="1:31" ht="14.25" customHeight="1" x14ac:dyDescent="0.3">
      <c r="A1591" s="54" t="s">
        <v>848</v>
      </c>
      <c r="B1591" s="55" t="s">
        <v>1702</v>
      </c>
      <c r="C1591" s="56" t="s">
        <v>3236</v>
      </c>
      <c r="D1591" s="36">
        <v>1000004535</v>
      </c>
      <c r="E1591" s="55" t="s">
        <v>3237</v>
      </c>
      <c r="F1591" s="57">
        <v>45976</v>
      </c>
      <c r="G1591" s="22" t="str">
        <f t="shared" si="336"/>
        <v>Targeted Dealer</v>
      </c>
      <c r="H1591" s="58"/>
      <c r="I1591" s="23">
        <v>200</v>
      </c>
      <c r="J1591" s="23">
        <f t="shared" si="337"/>
        <v>200</v>
      </c>
      <c r="K1591" s="24">
        <v>122.75</v>
      </c>
      <c r="L1591" s="24">
        <f t="shared" si="338"/>
        <v>77.25</v>
      </c>
      <c r="M1591" s="24">
        <f t="shared" si="339"/>
        <v>61.375</v>
      </c>
      <c r="N1591" s="25">
        <v>132.5</v>
      </c>
      <c r="O1591" s="26" t="str">
        <f t="shared" si="340"/>
        <v>June</v>
      </c>
      <c r="P1591" s="25">
        <f t="shared" si="341"/>
        <v>132.5</v>
      </c>
      <c r="Q1591" s="27">
        <f t="shared" si="342"/>
        <v>-9.75</v>
      </c>
      <c r="R1591" s="26" t="b">
        <f t="shared" si="343"/>
        <v>0</v>
      </c>
      <c r="S1591" s="28" t="str">
        <f t="shared" si="344"/>
        <v>GROWTH</v>
      </c>
      <c r="T1591" s="24">
        <v>0</v>
      </c>
      <c r="U1591" s="29" t="str">
        <f t="shared" si="345"/>
        <v>May</v>
      </c>
      <c r="V1591" s="24">
        <f t="shared" si="346"/>
        <v>0</v>
      </c>
      <c r="W1591" s="30">
        <f t="shared" si="347"/>
        <v>122.75</v>
      </c>
      <c r="X1591" s="31" t="b">
        <f t="shared" si="348"/>
        <v>0</v>
      </c>
      <c r="Y1591" s="32" t="b">
        <f t="shared" si="349"/>
        <v>0</v>
      </c>
      <c r="Z1591" s="41">
        <v>0</v>
      </c>
      <c r="AA1591" s="36"/>
      <c r="AB1591" s="36" t="s">
        <v>24</v>
      </c>
      <c r="AC1591" s="54" t="s">
        <v>848</v>
      </c>
      <c r="AD1591" s="34"/>
      <c r="AE1591" s="35">
        <f>IFERROR(INDEX([1]Last6M_AvgSales_Ref!$B$2:$B$12659,MATCH(D1591,[1]Last6M_AvgSales_Ref!$A$2:$A$12659,0)),"")</f>
        <v>55.8333333333333</v>
      </c>
    </row>
    <row r="1592" spans="1:31" ht="14.25" customHeight="1" x14ac:dyDescent="0.3">
      <c r="A1592" s="54" t="s">
        <v>848</v>
      </c>
      <c r="B1592" s="55" t="s">
        <v>1702</v>
      </c>
      <c r="C1592" s="56" t="s">
        <v>3238</v>
      </c>
      <c r="D1592" s="36">
        <v>1000004632</v>
      </c>
      <c r="E1592" s="55" t="s">
        <v>3239</v>
      </c>
      <c r="F1592" s="57">
        <v>46060</v>
      </c>
      <c r="G1592" s="22" t="str">
        <f t="shared" si="336"/>
        <v>Targeted Dealer</v>
      </c>
      <c r="H1592" s="58"/>
      <c r="I1592" s="23">
        <v>40</v>
      </c>
      <c r="J1592" s="23">
        <f t="shared" si="337"/>
        <v>40</v>
      </c>
      <c r="K1592" s="24">
        <v>31.5</v>
      </c>
      <c r="L1592" s="24">
        <f t="shared" si="338"/>
        <v>8.5</v>
      </c>
      <c r="M1592" s="24">
        <f t="shared" si="339"/>
        <v>78.75</v>
      </c>
      <c r="N1592" s="25">
        <v>22.5</v>
      </c>
      <c r="O1592" s="26" t="str">
        <f t="shared" si="340"/>
        <v>June</v>
      </c>
      <c r="P1592" s="25">
        <f t="shared" si="341"/>
        <v>22.5</v>
      </c>
      <c r="Q1592" s="27">
        <f t="shared" si="342"/>
        <v>9</v>
      </c>
      <c r="R1592" s="26" t="b">
        <f t="shared" si="343"/>
        <v>0</v>
      </c>
      <c r="S1592" s="28" t="str">
        <f t="shared" si="344"/>
        <v>GROWTH</v>
      </c>
      <c r="T1592" s="24">
        <v>0</v>
      </c>
      <c r="U1592" s="29" t="str">
        <f t="shared" si="345"/>
        <v>May</v>
      </c>
      <c r="V1592" s="24">
        <f t="shared" si="346"/>
        <v>0</v>
      </c>
      <c r="W1592" s="30">
        <f t="shared" si="347"/>
        <v>31.5</v>
      </c>
      <c r="X1592" s="31" t="b">
        <f t="shared" si="348"/>
        <v>0</v>
      </c>
      <c r="Y1592" s="32" t="b">
        <f t="shared" si="349"/>
        <v>0</v>
      </c>
      <c r="Z1592" s="41">
        <v>0</v>
      </c>
      <c r="AA1592" s="36"/>
      <c r="AB1592" s="36" t="s">
        <v>24</v>
      </c>
      <c r="AC1592" s="54" t="s">
        <v>848</v>
      </c>
      <c r="AD1592" s="34"/>
      <c r="AE1592" s="35">
        <f>IFERROR(INDEX([1]Last6M_AvgSales_Ref!$B$2:$B$12659,MATCH(D1592,[1]Last6M_AvgSales_Ref!$A$2:$A$12659,0)),"")</f>
        <v>8.6666666666666696</v>
      </c>
    </row>
    <row r="1593" spans="1:31" ht="14.25" customHeight="1" x14ac:dyDescent="0.3">
      <c r="A1593" s="54" t="s">
        <v>848</v>
      </c>
      <c r="B1593" s="55" t="s">
        <v>1065</v>
      </c>
      <c r="C1593" s="56" t="s">
        <v>3240</v>
      </c>
      <c r="D1593" s="36">
        <v>1000003169</v>
      </c>
      <c r="E1593" s="55" t="s">
        <v>3241</v>
      </c>
      <c r="F1593" s="57">
        <v>44918</v>
      </c>
      <c r="G1593" s="22" t="str">
        <f t="shared" si="336"/>
        <v>Targeted Dealer</v>
      </c>
      <c r="H1593" s="58"/>
      <c r="I1593" s="23">
        <v>40</v>
      </c>
      <c r="J1593" s="23">
        <f t="shared" si="337"/>
        <v>40</v>
      </c>
      <c r="K1593" s="24">
        <v>100</v>
      </c>
      <c r="L1593" s="24">
        <f t="shared" si="338"/>
        <v>-60</v>
      </c>
      <c r="M1593" s="24">
        <f t="shared" si="339"/>
        <v>250</v>
      </c>
      <c r="N1593" s="25">
        <v>80</v>
      </c>
      <c r="O1593" s="26" t="str">
        <f t="shared" si="340"/>
        <v>June</v>
      </c>
      <c r="P1593" s="25">
        <f t="shared" si="341"/>
        <v>80</v>
      </c>
      <c r="Q1593" s="27">
        <f t="shared" si="342"/>
        <v>20</v>
      </c>
      <c r="R1593" s="26" t="b">
        <f t="shared" si="343"/>
        <v>0</v>
      </c>
      <c r="S1593" s="28" t="str">
        <f t="shared" si="344"/>
        <v>GROWTH</v>
      </c>
      <c r="T1593" s="24">
        <v>0</v>
      </c>
      <c r="U1593" s="29" t="str">
        <f t="shared" si="345"/>
        <v>May</v>
      </c>
      <c r="V1593" s="24">
        <f t="shared" si="346"/>
        <v>0</v>
      </c>
      <c r="W1593" s="30">
        <f t="shared" si="347"/>
        <v>100</v>
      </c>
      <c r="X1593" s="31" t="b">
        <f t="shared" si="348"/>
        <v>0</v>
      </c>
      <c r="Y1593" s="32" t="b">
        <f t="shared" si="349"/>
        <v>0</v>
      </c>
      <c r="Z1593" s="41">
        <v>0</v>
      </c>
      <c r="AA1593" s="36"/>
      <c r="AB1593" s="36" t="s">
        <v>24</v>
      </c>
      <c r="AC1593" s="54" t="s">
        <v>848</v>
      </c>
      <c r="AD1593" s="34"/>
      <c r="AE1593" s="35">
        <f>IFERROR(INDEX([1]Last6M_AvgSales_Ref!$B$2:$B$12659,MATCH(D1593,[1]Last6M_AvgSales_Ref!$A$2:$A$12659,0)),"")</f>
        <v>40</v>
      </c>
    </row>
    <row r="1594" spans="1:31" ht="14.25" customHeight="1" x14ac:dyDescent="0.3">
      <c r="A1594" s="54" t="s">
        <v>848</v>
      </c>
      <c r="B1594" s="55" t="s">
        <v>1065</v>
      </c>
      <c r="C1594" s="56" t="s">
        <v>3242</v>
      </c>
      <c r="D1594" s="36">
        <v>1000000612</v>
      </c>
      <c r="E1594" s="55" t="s">
        <v>3243</v>
      </c>
      <c r="F1594" s="57">
        <v>44738</v>
      </c>
      <c r="G1594" s="22" t="str">
        <f t="shared" si="336"/>
        <v>-</v>
      </c>
      <c r="H1594" s="58"/>
      <c r="I1594" s="23">
        <v>0</v>
      </c>
      <c r="J1594" s="23">
        <f t="shared" si="337"/>
        <v>0</v>
      </c>
      <c r="K1594" s="24">
        <v>0</v>
      </c>
      <c r="L1594" s="24">
        <f t="shared" si="338"/>
        <v>0</v>
      </c>
      <c r="M1594" s="24" t="str">
        <f t="shared" si="339"/>
        <v>-</v>
      </c>
      <c r="N1594" s="25">
        <v>0</v>
      </c>
      <c r="O1594" s="26" t="str">
        <f t="shared" si="340"/>
        <v>June</v>
      </c>
      <c r="P1594" s="25">
        <f t="shared" si="341"/>
        <v>0</v>
      </c>
      <c r="Q1594" s="27">
        <f t="shared" si="342"/>
        <v>0</v>
      </c>
      <c r="R1594" s="26" t="b">
        <f t="shared" si="343"/>
        <v>0</v>
      </c>
      <c r="S1594" s="28" t="b">
        <f t="shared" si="344"/>
        <v>0</v>
      </c>
      <c r="T1594" s="24">
        <v>0</v>
      </c>
      <c r="U1594" s="29" t="str">
        <f t="shared" si="345"/>
        <v>May</v>
      </c>
      <c r="V1594" s="24">
        <f t="shared" si="346"/>
        <v>0</v>
      </c>
      <c r="W1594" s="30">
        <f t="shared" si="347"/>
        <v>0</v>
      </c>
      <c r="X1594" s="31" t="b">
        <f t="shared" si="348"/>
        <v>0</v>
      </c>
      <c r="Y1594" s="32" t="b">
        <f t="shared" si="349"/>
        <v>0</v>
      </c>
      <c r="Z1594" s="41">
        <v>0</v>
      </c>
      <c r="AA1594" s="36"/>
      <c r="AB1594" s="36" t="s">
        <v>24</v>
      </c>
      <c r="AC1594" s="54" t="s">
        <v>848</v>
      </c>
      <c r="AD1594" s="34"/>
      <c r="AE1594" s="35">
        <f>IFERROR(INDEX([1]Last6M_AvgSales_Ref!$B$2:$B$12659,MATCH(D1594,[1]Last6M_AvgSales_Ref!$A$2:$A$12659,0)),"")</f>
        <v>3.3333333333333299</v>
      </c>
    </row>
    <row r="1595" spans="1:31" ht="14.25" customHeight="1" x14ac:dyDescent="0.3">
      <c r="A1595" s="54" t="s">
        <v>2185</v>
      </c>
      <c r="B1595" s="55" t="s">
        <v>2353</v>
      </c>
      <c r="C1595" s="56" t="s">
        <v>3244</v>
      </c>
      <c r="D1595" s="36">
        <v>1000001859</v>
      </c>
      <c r="E1595" s="55" t="s">
        <v>3245</v>
      </c>
      <c r="F1595" s="57">
        <v>44739</v>
      </c>
      <c r="G1595" s="22" t="str">
        <f t="shared" si="336"/>
        <v>Targeted Dealer</v>
      </c>
      <c r="H1595" s="58"/>
      <c r="I1595" s="23">
        <v>25</v>
      </c>
      <c r="J1595" s="23">
        <f t="shared" si="337"/>
        <v>25</v>
      </c>
      <c r="K1595" s="24">
        <v>25</v>
      </c>
      <c r="L1595" s="24">
        <f t="shared" si="338"/>
        <v>0</v>
      </c>
      <c r="M1595" s="24">
        <f t="shared" si="339"/>
        <v>100</v>
      </c>
      <c r="N1595" s="25">
        <v>25</v>
      </c>
      <c r="O1595" s="26" t="str">
        <f t="shared" si="340"/>
        <v>June</v>
      </c>
      <c r="P1595" s="25">
        <f t="shared" si="341"/>
        <v>25</v>
      </c>
      <c r="Q1595" s="27">
        <f t="shared" si="342"/>
        <v>0</v>
      </c>
      <c r="R1595" s="26" t="b">
        <f t="shared" si="343"/>
        <v>0</v>
      </c>
      <c r="S1595" s="28" t="str">
        <f t="shared" si="344"/>
        <v>GROWTH</v>
      </c>
      <c r="T1595" s="24">
        <v>0</v>
      </c>
      <c r="U1595" s="29" t="str">
        <f t="shared" si="345"/>
        <v>May</v>
      </c>
      <c r="V1595" s="24">
        <f t="shared" si="346"/>
        <v>0</v>
      </c>
      <c r="W1595" s="30">
        <f t="shared" si="347"/>
        <v>25</v>
      </c>
      <c r="X1595" s="31" t="b">
        <f t="shared" si="348"/>
        <v>0</v>
      </c>
      <c r="Y1595" s="32" t="b">
        <f t="shared" si="349"/>
        <v>0</v>
      </c>
      <c r="Z1595" s="41">
        <v>0</v>
      </c>
      <c r="AA1595" s="36"/>
      <c r="AB1595" s="36" t="s">
        <v>24</v>
      </c>
      <c r="AC1595" s="54" t="s">
        <v>2185</v>
      </c>
      <c r="AD1595" s="34"/>
      <c r="AE1595" s="35">
        <f>IFERROR(INDEX([1]Last6M_AvgSales_Ref!$B$2:$B$12659,MATCH(D1595,[1]Last6M_AvgSales_Ref!$A$2:$A$12659,0)),"")</f>
        <v>9.1666666666666696</v>
      </c>
    </row>
    <row r="1596" spans="1:31" ht="14.25" customHeight="1" x14ac:dyDescent="0.3">
      <c r="A1596" s="54" t="s">
        <v>2185</v>
      </c>
      <c r="B1596" s="55" t="s">
        <v>2353</v>
      </c>
      <c r="C1596" s="56" t="s">
        <v>3246</v>
      </c>
      <c r="D1596" s="36">
        <v>1000004621</v>
      </c>
      <c r="E1596" s="55" t="s">
        <v>3247</v>
      </c>
      <c r="F1596" s="57">
        <v>46060</v>
      </c>
      <c r="G1596" s="22" t="str">
        <f t="shared" si="336"/>
        <v>Targeted Dealer</v>
      </c>
      <c r="H1596" s="58"/>
      <c r="I1596" s="23">
        <v>30</v>
      </c>
      <c r="J1596" s="23">
        <f t="shared" si="337"/>
        <v>30</v>
      </c>
      <c r="K1596" s="24">
        <v>30</v>
      </c>
      <c r="L1596" s="24">
        <f t="shared" si="338"/>
        <v>0</v>
      </c>
      <c r="M1596" s="24">
        <f t="shared" si="339"/>
        <v>100</v>
      </c>
      <c r="N1596" s="25">
        <v>0</v>
      </c>
      <c r="O1596" s="26" t="str">
        <f t="shared" si="340"/>
        <v>June</v>
      </c>
      <c r="P1596" s="25">
        <f t="shared" si="341"/>
        <v>0</v>
      </c>
      <c r="Q1596" s="27">
        <f t="shared" si="342"/>
        <v>30</v>
      </c>
      <c r="R1596" s="26" t="b">
        <f t="shared" si="343"/>
        <v>0</v>
      </c>
      <c r="S1596" s="28" t="b">
        <f t="shared" si="344"/>
        <v>0</v>
      </c>
      <c r="T1596" s="24">
        <v>0</v>
      </c>
      <c r="U1596" s="29" t="str">
        <f t="shared" si="345"/>
        <v>May</v>
      </c>
      <c r="V1596" s="24">
        <f t="shared" si="346"/>
        <v>0</v>
      </c>
      <c r="W1596" s="30">
        <f t="shared" si="347"/>
        <v>30</v>
      </c>
      <c r="X1596" s="31" t="b">
        <f t="shared" si="348"/>
        <v>0</v>
      </c>
      <c r="Y1596" s="32" t="b">
        <f t="shared" si="349"/>
        <v>0</v>
      </c>
      <c r="Z1596" s="41">
        <v>0</v>
      </c>
      <c r="AA1596" s="36"/>
      <c r="AB1596" s="36" t="s">
        <v>24</v>
      </c>
      <c r="AC1596" s="54" t="s">
        <v>2185</v>
      </c>
      <c r="AD1596" s="34"/>
      <c r="AE1596" s="35">
        <f>IFERROR(INDEX([1]Last6M_AvgSales_Ref!$B$2:$B$12659,MATCH(D1596,[1]Last6M_AvgSales_Ref!$A$2:$A$12659,0)),"")</f>
        <v>8.3333333333333304</v>
      </c>
    </row>
    <row r="1597" spans="1:31" ht="14.25" customHeight="1" x14ac:dyDescent="0.3">
      <c r="A1597" s="54" t="s">
        <v>24</v>
      </c>
      <c r="B1597" s="55" t="s">
        <v>801</v>
      </c>
      <c r="C1597" s="56" t="s">
        <v>3248</v>
      </c>
      <c r="D1597" s="36">
        <v>1000003000</v>
      </c>
      <c r="E1597" s="55" t="s">
        <v>3249</v>
      </c>
      <c r="F1597" s="57">
        <v>44833</v>
      </c>
      <c r="G1597" s="22" t="str">
        <f t="shared" si="336"/>
        <v>Targeted Dealer</v>
      </c>
      <c r="H1597" s="58"/>
      <c r="I1597" s="23">
        <v>35</v>
      </c>
      <c r="J1597" s="23">
        <f t="shared" si="337"/>
        <v>35</v>
      </c>
      <c r="K1597" s="24">
        <v>55</v>
      </c>
      <c r="L1597" s="24">
        <f t="shared" si="338"/>
        <v>-20</v>
      </c>
      <c r="M1597" s="24">
        <f t="shared" si="339"/>
        <v>157.14285714285714</v>
      </c>
      <c r="N1597" s="25">
        <v>0</v>
      </c>
      <c r="O1597" s="26" t="str">
        <f t="shared" si="340"/>
        <v>June</v>
      </c>
      <c r="P1597" s="25">
        <f t="shared" si="341"/>
        <v>0</v>
      </c>
      <c r="Q1597" s="27">
        <f t="shared" si="342"/>
        <v>55</v>
      </c>
      <c r="R1597" s="26" t="b">
        <f t="shared" si="343"/>
        <v>0</v>
      </c>
      <c r="S1597" s="28" t="b">
        <f t="shared" si="344"/>
        <v>0</v>
      </c>
      <c r="T1597" s="24">
        <v>0</v>
      </c>
      <c r="U1597" s="29" t="str">
        <f t="shared" si="345"/>
        <v>May</v>
      </c>
      <c r="V1597" s="24">
        <f t="shared" si="346"/>
        <v>0</v>
      </c>
      <c r="W1597" s="30">
        <f t="shared" si="347"/>
        <v>55</v>
      </c>
      <c r="X1597" s="31" t="b">
        <f t="shared" si="348"/>
        <v>0</v>
      </c>
      <c r="Y1597" s="32" t="b">
        <f t="shared" si="349"/>
        <v>0</v>
      </c>
      <c r="Z1597" s="41">
        <v>0</v>
      </c>
      <c r="AA1597" s="36"/>
      <c r="AB1597" s="36" t="s">
        <v>24</v>
      </c>
      <c r="AC1597" s="54" t="s">
        <v>24</v>
      </c>
      <c r="AD1597" s="34"/>
      <c r="AE1597" s="35">
        <f>IFERROR(INDEX([1]Last6M_AvgSales_Ref!$B$2:$B$12659,MATCH(D1597,[1]Last6M_AvgSales_Ref!$A$2:$A$12659,0)),"")</f>
        <v>38.141666666666701</v>
      </c>
    </row>
    <row r="1598" spans="1:31" ht="14.25" customHeight="1" x14ac:dyDescent="0.3">
      <c r="A1598" s="54" t="s">
        <v>24</v>
      </c>
      <c r="B1598" s="55" t="s">
        <v>698</v>
      </c>
      <c r="C1598" s="56" t="s">
        <v>3250</v>
      </c>
      <c r="D1598" s="36">
        <v>1000004635</v>
      </c>
      <c r="E1598" s="55" t="s">
        <v>3251</v>
      </c>
      <c r="F1598" s="57">
        <v>46066</v>
      </c>
      <c r="G1598" s="22" t="str">
        <f t="shared" si="336"/>
        <v>Targeted Dealer</v>
      </c>
      <c r="H1598" s="58"/>
      <c r="I1598" s="23">
        <v>304</v>
      </c>
      <c r="J1598" s="23">
        <f t="shared" si="337"/>
        <v>304</v>
      </c>
      <c r="K1598" s="24">
        <v>559</v>
      </c>
      <c r="L1598" s="24">
        <f t="shared" si="338"/>
        <v>-255</v>
      </c>
      <c r="M1598" s="24">
        <f t="shared" si="339"/>
        <v>183.88157894736841</v>
      </c>
      <c r="N1598" s="25">
        <v>492</v>
      </c>
      <c r="O1598" s="26" t="str">
        <f t="shared" si="340"/>
        <v>June</v>
      </c>
      <c r="P1598" s="25">
        <f t="shared" si="341"/>
        <v>492</v>
      </c>
      <c r="Q1598" s="27">
        <f t="shared" si="342"/>
        <v>67</v>
      </c>
      <c r="R1598" s="26" t="b">
        <f t="shared" si="343"/>
        <v>0</v>
      </c>
      <c r="S1598" s="28" t="str">
        <f t="shared" si="344"/>
        <v>GROWTH</v>
      </c>
      <c r="T1598" s="24">
        <v>0</v>
      </c>
      <c r="U1598" s="29" t="str">
        <f t="shared" si="345"/>
        <v>May</v>
      </c>
      <c r="V1598" s="24">
        <f t="shared" si="346"/>
        <v>0</v>
      </c>
      <c r="W1598" s="30">
        <f t="shared" si="347"/>
        <v>559</v>
      </c>
      <c r="X1598" s="31" t="b">
        <f t="shared" si="348"/>
        <v>0</v>
      </c>
      <c r="Y1598" s="32" t="b">
        <f t="shared" si="349"/>
        <v>0</v>
      </c>
      <c r="Z1598" s="41">
        <v>0</v>
      </c>
      <c r="AA1598" s="36"/>
      <c r="AB1598" s="36" t="s">
        <v>24</v>
      </c>
      <c r="AC1598" s="54" t="s">
        <v>24</v>
      </c>
      <c r="AD1598" s="34"/>
      <c r="AE1598" s="35">
        <f>IFERROR(INDEX([1]Last6M_AvgSales_Ref!$B$2:$B$12659,MATCH(D1598,[1]Last6M_AvgSales_Ref!$A$2:$A$12659,0)),"")</f>
        <v>183.5</v>
      </c>
    </row>
    <row r="1599" spans="1:31" ht="14.25" customHeight="1" x14ac:dyDescent="0.3">
      <c r="A1599" s="54" t="s">
        <v>24</v>
      </c>
      <c r="B1599" s="55" t="s">
        <v>698</v>
      </c>
      <c r="C1599" s="56" t="s">
        <v>3252</v>
      </c>
      <c r="D1599" s="36">
        <v>1000000681</v>
      </c>
      <c r="E1599" s="55" t="s">
        <v>3253</v>
      </c>
      <c r="F1599" s="57">
        <v>44738</v>
      </c>
      <c r="G1599" s="22" t="str">
        <f t="shared" si="336"/>
        <v>Targeted Dealer</v>
      </c>
      <c r="H1599" s="58"/>
      <c r="I1599" s="23">
        <v>23</v>
      </c>
      <c r="J1599" s="23">
        <f t="shared" si="337"/>
        <v>23</v>
      </c>
      <c r="K1599" s="24">
        <v>0</v>
      </c>
      <c r="L1599" s="24">
        <f t="shared" si="338"/>
        <v>23</v>
      </c>
      <c r="M1599" s="24">
        <f t="shared" si="339"/>
        <v>0</v>
      </c>
      <c r="N1599" s="25">
        <v>0</v>
      </c>
      <c r="O1599" s="26" t="str">
        <f t="shared" si="340"/>
        <v>June</v>
      </c>
      <c r="P1599" s="25">
        <f t="shared" si="341"/>
        <v>0</v>
      </c>
      <c r="Q1599" s="27">
        <f t="shared" si="342"/>
        <v>0</v>
      </c>
      <c r="R1599" s="26" t="b">
        <f t="shared" si="343"/>
        <v>0</v>
      </c>
      <c r="S1599" s="28" t="b">
        <f t="shared" si="344"/>
        <v>0</v>
      </c>
      <c r="T1599" s="24">
        <v>0</v>
      </c>
      <c r="U1599" s="29" t="str">
        <f t="shared" si="345"/>
        <v>May</v>
      </c>
      <c r="V1599" s="24">
        <f t="shared" si="346"/>
        <v>0</v>
      </c>
      <c r="W1599" s="30">
        <f t="shared" si="347"/>
        <v>0</v>
      </c>
      <c r="X1599" s="31" t="b">
        <f t="shared" si="348"/>
        <v>0</v>
      </c>
      <c r="Y1599" s="32" t="b">
        <f t="shared" si="349"/>
        <v>0</v>
      </c>
      <c r="Z1599" s="41">
        <v>0</v>
      </c>
      <c r="AA1599" s="36"/>
      <c r="AB1599" s="36" t="s">
        <v>24</v>
      </c>
      <c r="AC1599" s="54" t="s">
        <v>24</v>
      </c>
      <c r="AD1599" s="34"/>
      <c r="AE1599" s="35">
        <f>IFERROR(INDEX([1]Last6M_AvgSales_Ref!$B$2:$B$12659,MATCH(D1599,[1]Last6M_AvgSales_Ref!$A$2:$A$12659,0)),"")</f>
        <v>1.25</v>
      </c>
    </row>
    <row r="1600" spans="1:31" ht="14.25" customHeight="1" x14ac:dyDescent="0.3">
      <c r="A1600" s="54" t="s">
        <v>24</v>
      </c>
      <c r="B1600" s="55" t="s">
        <v>535</v>
      </c>
      <c r="C1600" s="56" t="s">
        <v>3254</v>
      </c>
      <c r="D1600" s="36">
        <v>1000004622</v>
      </c>
      <c r="E1600" s="55" t="s">
        <v>3255</v>
      </c>
      <c r="F1600" s="57">
        <v>46044</v>
      </c>
      <c r="G1600" s="22" t="str">
        <f t="shared" si="336"/>
        <v>Targeted Dealer</v>
      </c>
      <c r="H1600" s="58"/>
      <c r="I1600" s="23">
        <v>20</v>
      </c>
      <c r="J1600" s="23">
        <f t="shared" si="337"/>
        <v>20</v>
      </c>
      <c r="K1600" s="24">
        <v>20</v>
      </c>
      <c r="L1600" s="24">
        <f t="shared" si="338"/>
        <v>0</v>
      </c>
      <c r="M1600" s="24">
        <f t="shared" si="339"/>
        <v>100</v>
      </c>
      <c r="N1600" s="25">
        <v>31.5</v>
      </c>
      <c r="O1600" s="26" t="str">
        <f t="shared" si="340"/>
        <v>June</v>
      </c>
      <c r="P1600" s="25">
        <f t="shared" si="341"/>
        <v>31.5</v>
      </c>
      <c r="Q1600" s="27">
        <f t="shared" si="342"/>
        <v>-11.5</v>
      </c>
      <c r="R1600" s="26" t="b">
        <f t="shared" si="343"/>
        <v>0</v>
      </c>
      <c r="S1600" s="28" t="str">
        <f t="shared" si="344"/>
        <v>GROWTH</v>
      </c>
      <c r="T1600" s="24">
        <v>0</v>
      </c>
      <c r="U1600" s="29" t="str">
        <f t="shared" si="345"/>
        <v>May</v>
      </c>
      <c r="V1600" s="24">
        <f t="shared" si="346"/>
        <v>0</v>
      </c>
      <c r="W1600" s="30">
        <f t="shared" si="347"/>
        <v>20</v>
      </c>
      <c r="X1600" s="31" t="b">
        <f t="shared" si="348"/>
        <v>0</v>
      </c>
      <c r="Y1600" s="32" t="b">
        <f t="shared" si="349"/>
        <v>0</v>
      </c>
      <c r="Z1600" s="41">
        <v>0</v>
      </c>
      <c r="AA1600" s="36"/>
      <c r="AB1600" s="36" t="s">
        <v>24</v>
      </c>
      <c r="AC1600" s="54" t="s">
        <v>24</v>
      </c>
      <c r="AD1600" s="34"/>
      <c r="AE1600" s="35">
        <f>IFERROR(INDEX([1]Last6M_AvgSales_Ref!$B$2:$B$12659,MATCH(D1600,[1]Last6M_AvgSales_Ref!$A$2:$A$12659,0)),"")</f>
        <v>15.8333333333333</v>
      </c>
    </row>
    <row r="1601" spans="1:31" ht="14.25" customHeight="1" x14ac:dyDescent="0.3">
      <c r="A1601" s="54" t="s">
        <v>24</v>
      </c>
      <c r="B1601" s="55" t="s">
        <v>535</v>
      </c>
      <c r="C1601" s="56" t="s">
        <v>3256</v>
      </c>
      <c r="D1601" s="36">
        <v>1000004264</v>
      </c>
      <c r="E1601" s="55" t="s">
        <v>3257</v>
      </c>
      <c r="F1601" s="57">
        <v>45699</v>
      </c>
      <c r="G1601" s="22" t="str">
        <f t="shared" si="336"/>
        <v>Targeted Dealer</v>
      </c>
      <c r="H1601" s="58"/>
      <c r="I1601" s="23">
        <v>20</v>
      </c>
      <c r="J1601" s="23">
        <f t="shared" si="337"/>
        <v>20</v>
      </c>
      <c r="K1601" s="24">
        <v>15</v>
      </c>
      <c r="L1601" s="24">
        <f t="shared" si="338"/>
        <v>5</v>
      </c>
      <c r="M1601" s="24">
        <f t="shared" si="339"/>
        <v>75</v>
      </c>
      <c r="N1601" s="25">
        <v>23</v>
      </c>
      <c r="O1601" s="26" t="str">
        <f t="shared" si="340"/>
        <v>June</v>
      </c>
      <c r="P1601" s="25">
        <f t="shared" si="341"/>
        <v>23</v>
      </c>
      <c r="Q1601" s="27">
        <f t="shared" si="342"/>
        <v>-8</v>
      </c>
      <c r="R1601" s="26" t="b">
        <f t="shared" si="343"/>
        <v>0</v>
      </c>
      <c r="S1601" s="28" t="str">
        <f t="shared" si="344"/>
        <v>GROWTH</v>
      </c>
      <c r="T1601" s="24">
        <v>30</v>
      </c>
      <c r="U1601" s="29" t="str">
        <f t="shared" si="345"/>
        <v>May</v>
      </c>
      <c r="V1601" s="24">
        <f t="shared" si="346"/>
        <v>30</v>
      </c>
      <c r="W1601" s="30">
        <f t="shared" si="347"/>
        <v>-15</v>
      </c>
      <c r="X1601" s="31" t="b">
        <f t="shared" si="348"/>
        <v>0</v>
      </c>
      <c r="Y1601" s="32" t="str">
        <f t="shared" si="349"/>
        <v>GROWTH</v>
      </c>
      <c r="Z1601" s="41">
        <v>0</v>
      </c>
      <c r="AA1601" s="36"/>
      <c r="AB1601" s="36" t="s">
        <v>24</v>
      </c>
      <c r="AC1601" s="54" t="s">
        <v>24</v>
      </c>
      <c r="AD1601" s="34"/>
      <c r="AE1601" s="35">
        <f>IFERROR(INDEX([1]Last6M_AvgSales_Ref!$B$2:$B$12659,MATCH(D1601,[1]Last6M_AvgSales_Ref!$A$2:$A$12659,0)),"")</f>
        <v>6.6666666666666696</v>
      </c>
    </row>
    <row r="1602" spans="1:31" ht="14.25" customHeight="1" x14ac:dyDescent="0.3">
      <c r="A1602" s="54" t="s">
        <v>2185</v>
      </c>
      <c r="B1602" s="55" t="s">
        <v>2268</v>
      </c>
      <c r="C1602" s="56" t="s">
        <v>3258</v>
      </c>
      <c r="D1602" s="36">
        <v>1000003804</v>
      </c>
      <c r="E1602" s="55" t="s">
        <v>3259</v>
      </c>
      <c r="F1602" s="57">
        <v>45287</v>
      </c>
      <c r="G1602" s="22" t="str">
        <f t="shared" si="336"/>
        <v>Targeted Dealer</v>
      </c>
      <c r="H1602" s="58"/>
      <c r="I1602" s="23">
        <v>70</v>
      </c>
      <c r="J1602" s="23">
        <f t="shared" si="337"/>
        <v>70</v>
      </c>
      <c r="K1602" s="24">
        <v>0</v>
      </c>
      <c r="L1602" s="24">
        <f t="shared" si="338"/>
        <v>70</v>
      </c>
      <c r="M1602" s="24">
        <f t="shared" si="339"/>
        <v>0</v>
      </c>
      <c r="N1602" s="25">
        <v>0</v>
      </c>
      <c r="O1602" s="26" t="str">
        <f t="shared" si="340"/>
        <v>June</v>
      </c>
      <c r="P1602" s="25">
        <f t="shared" si="341"/>
        <v>0</v>
      </c>
      <c r="Q1602" s="27">
        <f t="shared" si="342"/>
        <v>0</v>
      </c>
      <c r="R1602" s="26" t="b">
        <f t="shared" si="343"/>
        <v>0</v>
      </c>
      <c r="S1602" s="28" t="b">
        <f t="shared" si="344"/>
        <v>0</v>
      </c>
      <c r="T1602" s="24">
        <v>0</v>
      </c>
      <c r="U1602" s="29" t="str">
        <f t="shared" si="345"/>
        <v>May</v>
      </c>
      <c r="V1602" s="24">
        <f t="shared" si="346"/>
        <v>0</v>
      </c>
      <c r="W1602" s="30">
        <f t="shared" si="347"/>
        <v>0</v>
      </c>
      <c r="X1602" s="31" t="b">
        <f t="shared" si="348"/>
        <v>0</v>
      </c>
      <c r="Y1602" s="32" t="b">
        <f t="shared" si="349"/>
        <v>0</v>
      </c>
      <c r="Z1602" s="41">
        <v>0</v>
      </c>
      <c r="AA1602" s="36"/>
      <c r="AB1602" s="36" t="s">
        <v>24</v>
      </c>
      <c r="AC1602" s="54" t="s">
        <v>2185</v>
      </c>
      <c r="AD1602" s="34"/>
      <c r="AE1602" s="35">
        <f>IFERROR(INDEX([1]Last6M_AvgSales_Ref!$B$2:$B$12659,MATCH(D1602,[1]Last6M_AvgSales_Ref!$A$2:$A$12659,0)),"")</f>
        <v>2.5</v>
      </c>
    </row>
    <row r="1603" spans="1:31" ht="14.25" customHeight="1" x14ac:dyDescent="0.3">
      <c r="A1603" s="54" t="s">
        <v>24</v>
      </c>
      <c r="B1603" s="55" t="s">
        <v>656</v>
      </c>
      <c r="C1603" s="56" t="s">
        <v>3260</v>
      </c>
      <c r="D1603" s="36">
        <v>1000004659</v>
      </c>
      <c r="E1603" s="55" t="s">
        <v>3261</v>
      </c>
      <c r="F1603" s="57">
        <v>46076</v>
      </c>
      <c r="G1603" s="22" t="str">
        <f t="shared" ref="G1603:G1666" si="350">IF(I1603&gt;0,"Targeted Dealer","-")</f>
        <v>-</v>
      </c>
      <c r="H1603" s="58"/>
      <c r="I1603" s="23">
        <v>0</v>
      </c>
      <c r="J1603" s="23">
        <f t="shared" ref="J1603:J1666" si="351">I1603/$J$1*($J$1-$E$1)</f>
        <v>0</v>
      </c>
      <c r="K1603" s="24">
        <v>0</v>
      </c>
      <c r="L1603" s="24">
        <f t="shared" ref="L1603:L1666" si="352">I1603-K1603</f>
        <v>0</v>
      </c>
      <c r="M1603" s="24" t="str">
        <f t="shared" ref="M1603:M1666" si="353">IFERROR((K1603/J1603%),"-")</f>
        <v>-</v>
      </c>
      <c r="N1603" s="25">
        <v>0</v>
      </c>
      <c r="O1603" s="26" t="str">
        <f t="shared" ref="O1603:O1666" si="354">IF(F1603&lt;=$P$2,"June","")</f>
        <v>June</v>
      </c>
      <c r="P1603" s="25">
        <f t="shared" ref="P1603:P1666" si="355">N1603</f>
        <v>0</v>
      </c>
      <c r="Q1603" s="27">
        <f t="shared" ref="Q1603:Q1666" si="356">K1603-P1603</f>
        <v>0</v>
      </c>
      <c r="R1603" s="26" t="b">
        <f t="shared" ref="R1603:R1666" si="357">IFERROR(IF(O1603="May",(K1603/P1603-1))," ")</f>
        <v>0</v>
      </c>
      <c r="S1603" s="28" t="b">
        <f t="shared" ref="S1603:S1666" si="358">IF(N1603&gt;0,IF(O1603="","-",IF(R1603&lt;0%,"DEGROWTH","GROWTH")))</f>
        <v>0</v>
      </c>
      <c r="T1603" s="24">
        <v>0</v>
      </c>
      <c r="U1603" s="29" t="str">
        <f t="shared" ref="U1603:U1666" si="359">IF(F1603&lt;=$V$2,"May","")</f>
        <v>May</v>
      </c>
      <c r="V1603" s="24">
        <f t="shared" ref="V1603:V1666" si="360">T1603</f>
        <v>0</v>
      </c>
      <c r="W1603" s="30">
        <f t="shared" ref="W1603:W1666" si="361">K1603-V1603</f>
        <v>0</v>
      </c>
      <c r="X1603" s="31" t="b">
        <f t="shared" ref="X1603:X1666" si="362">IFERROR(IF(U1603="June",(K1603/V1603-1)),0)</f>
        <v>0</v>
      </c>
      <c r="Y1603" s="32" t="b">
        <f t="shared" ref="Y1603:Y1666" si="363">IF(T1603&gt;0,IF(U1603="","-",IF(X1603&lt;0%,"DEGROWTH","GROWTH")))</f>
        <v>0</v>
      </c>
      <c r="Z1603" s="41">
        <v>0</v>
      </c>
      <c r="AA1603" s="36"/>
      <c r="AB1603" s="36" t="s">
        <v>24</v>
      </c>
      <c r="AC1603" s="54" t="s">
        <v>24</v>
      </c>
      <c r="AD1603" s="34"/>
      <c r="AE1603" s="35">
        <f>IFERROR(INDEX([1]Last6M_AvgSales_Ref!$B$2:$B$12659,MATCH(D1603,[1]Last6M_AvgSales_Ref!$A$2:$A$12659,0)),"")</f>
        <v>10</v>
      </c>
    </row>
    <row r="1604" spans="1:31" ht="14.25" customHeight="1" x14ac:dyDescent="0.3">
      <c r="A1604" s="54" t="s">
        <v>1836</v>
      </c>
      <c r="B1604" s="55" t="s">
        <v>1901</v>
      </c>
      <c r="C1604" s="56" t="s">
        <v>3262</v>
      </c>
      <c r="D1604" s="36">
        <v>1000004682</v>
      </c>
      <c r="E1604" s="55" t="s">
        <v>3263</v>
      </c>
      <c r="F1604" s="57">
        <v>46099</v>
      </c>
      <c r="G1604" s="22" t="str">
        <f t="shared" si="350"/>
        <v>Targeted Dealer</v>
      </c>
      <c r="H1604" s="58"/>
      <c r="I1604" s="23">
        <v>110</v>
      </c>
      <c r="J1604" s="23">
        <f t="shared" si="351"/>
        <v>110</v>
      </c>
      <c r="K1604" s="24">
        <v>210</v>
      </c>
      <c r="L1604" s="24">
        <f t="shared" si="352"/>
        <v>-100</v>
      </c>
      <c r="M1604" s="24">
        <f t="shared" si="353"/>
        <v>190.90909090909091</v>
      </c>
      <c r="N1604" s="25">
        <v>168</v>
      </c>
      <c r="O1604" s="26" t="str">
        <f t="shared" si="354"/>
        <v>June</v>
      </c>
      <c r="P1604" s="25">
        <f t="shared" si="355"/>
        <v>168</v>
      </c>
      <c r="Q1604" s="27">
        <f t="shared" si="356"/>
        <v>42</v>
      </c>
      <c r="R1604" s="26" t="b">
        <f t="shared" si="357"/>
        <v>0</v>
      </c>
      <c r="S1604" s="28" t="str">
        <f t="shared" si="358"/>
        <v>GROWTH</v>
      </c>
      <c r="T1604" s="24">
        <v>0</v>
      </c>
      <c r="U1604" s="29" t="str">
        <f t="shared" si="359"/>
        <v>May</v>
      </c>
      <c r="V1604" s="24">
        <f t="shared" si="360"/>
        <v>0</v>
      </c>
      <c r="W1604" s="30">
        <f t="shared" si="361"/>
        <v>210</v>
      </c>
      <c r="X1604" s="31" t="b">
        <f t="shared" si="362"/>
        <v>0</v>
      </c>
      <c r="Y1604" s="32" t="b">
        <f t="shared" si="363"/>
        <v>0</v>
      </c>
      <c r="Z1604" s="41">
        <v>0</v>
      </c>
      <c r="AA1604" s="36"/>
      <c r="AB1604" s="36" t="s">
        <v>24</v>
      </c>
      <c r="AC1604" s="54"/>
      <c r="AD1604" s="34"/>
      <c r="AE1604" s="35">
        <f>IFERROR(INDEX([1]Last6M_AvgSales_Ref!$B$2:$B$12659,MATCH(D1604,[1]Last6M_AvgSales_Ref!$A$2:$A$12659,0)),"")</f>
        <v>43</v>
      </c>
    </row>
    <row r="1605" spans="1:31" ht="14.25" customHeight="1" x14ac:dyDescent="0.3">
      <c r="A1605" s="54" t="s">
        <v>24</v>
      </c>
      <c r="B1605" s="55" t="s">
        <v>358</v>
      </c>
      <c r="C1605" s="56" t="s">
        <v>3264</v>
      </c>
      <c r="D1605" s="36">
        <v>1000004681</v>
      </c>
      <c r="E1605" s="55" t="s">
        <v>3265</v>
      </c>
      <c r="F1605" s="57">
        <v>46099</v>
      </c>
      <c r="G1605" s="22" t="str">
        <f t="shared" si="350"/>
        <v>Targeted Dealer</v>
      </c>
      <c r="H1605" s="58"/>
      <c r="I1605" s="23">
        <v>40</v>
      </c>
      <c r="J1605" s="23">
        <f t="shared" si="351"/>
        <v>40</v>
      </c>
      <c r="K1605" s="24">
        <v>0</v>
      </c>
      <c r="L1605" s="24">
        <f t="shared" si="352"/>
        <v>40</v>
      </c>
      <c r="M1605" s="24">
        <f t="shared" si="353"/>
        <v>0</v>
      </c>
      <c r="N1605" s="25">
        <v>0</v>
      </c>
      <c r="O1605" s="26" t="str">
        <f t="shared" si="354"/>
        <v>June</v>
      </c>
      <c r="P1605" s="25">
        <f t="shared" si="355"/>
        <v>0</v>
      </c>
      <c r="Q1605" s="27">
        <f t="shared" si="356"/>
        <v>0</v>
      </c>
      <c r="R1605" s="26" t="b">
        <f t="shared" si="357"/>
        <v>0</v>
      </c>
      <c r="S1605" s="28" t="b">
        <f t="shared" si="358"/>
        <v>0</v>
      </c>
      <c r="T1605" s="24">
        <v>0</v>
      </c>
      <c r="U1605" s="29" t="str">
        <f t="shared" si="359"/>
        <v>May</v>
      </c>
      <c r="V1605" s="24">
        <f t="shared" si="360"/>
        <v>0</v>
      </c>
      <c r="W1605" s="30">
        <f t="shared" si="361"/>
        <v>0</v>
      </c>
      <c r="X1605" s="31" t="b">
        <f t="shared" si="362"/>
        <v>0</v>
      </c>
      <c r="Y1605" s="32" t="b">
        <f t="shared" si="363"/>
        <v>0</v>
      </c>
      <c r="Z1605" s="41">
        <v>0</v>
      </c>
      <c r="AA1605" s="36"/>
      <c r="AB1605" s="36" t="s">
        <v>24</v>
      </c>
      <c r="AC1605" s="54"/>
      <c r="AD1605" s="34"/>
      <c r="AE1605" s="35">
        <f>IFERROR(INDEX([1]Last6M_AvgSales_Ref!$B$2:$B$12659,MATCH(D1605,[1]Last6M_AvgSales_Ref!$A$2:$A$12659,0)),"")</f>
        <v>8.3333333333333304</v>
      </c>
    </row>
    <row r="1606" spans="1:31" ht="14.25" customHeight="1" x14ac:dyDescent="0.3">
      <c r="A1606" s="54" t="s">
        <v>24</v>
      </c>
      <c r="B1606" s="55" t="s">
        <v>399</v>
      </c>
      <c r="C1606" s="56" t="s">
        <v>3266</v>
      </c>
      <c r="D1606" s="36">
        <v>1000000093</v>
      </c>
      <c r="E1606" s="55" t="s">
        <v>3267</v>
      </c>
      <c r="F1606" s="57">
        <v>44738</v>
      </c>
      <c r="G1606" s="22" t="str">
        <f t="shared" si="350"/>
        <v>Targeted Dealer</v>
      </c>
      <c r="H1606" s="58"/>
      <c r="I1606" s="23">
        <v>20</v>
      </c>
      <c r="J1606" s="23">
        <f t="shared" si="351"/>
        <v>20</v>
      </c>
      <c r="K1606" s="24">
        <v>50</v>
      </c>
      <c r="L1606" s="24">
        <f t="shared" si="352"/>
        <v>-30</v>
      </c>
      <c r="M1606" s="24">
        <f t="shared" si="353"/>
        <v>250</v>
      </c>
      <c r="N1606" s="25">
        <v>0</v>
      </c>
      <c r="O1606" s="26" t="str">
        <f t="shared" si="354"/>
        <v>June</v>
      </c>
      <c r="P1606" s="25">
        <f t="shared" si="355"/>
        <v>0</v>
      </c>
      <c r="Q1606" s="27">
        <f t="shared" si="356"/>
        <v>50</v>
      </c>
      <c r="R1606" s="26" t="b">
        <f t="shared" si="357"/>
        <v>0</v>
      </c>
      <c r="S1606" s="28" t="b">
        <f t="shared" si="358"/>
        <v>0</v>
      </c>
      <c r="T1606" s="24">
        <v>0</v>
      </c>
      <c r="U1606" s="29" t="str">
        <f t="shared" si="359"/>
        <v>May</v>
      </c>
      <c r="V1606" s="24">
        <f t="shared" si="360"/>
        <v>0</v>
      </c>
      <c r="W1606" s="30">
        <f t="shared" si="361"/>
        <v>50</v>
      </c>
      <c r="X1606" s="31" t="b">
        <f t="shared" si="362"/>
        <v>0</v>
      </c>
      <c r="Y1606" s="32" t="b">
        <f t="shared" si="363"/>
        <v>0</v>
      </c>
      <c r="Z1606" s="41">
        <v>0</v>
      </c>
      <c r="AA1606" s="36"/>
      <c r="AB1606" s="36" t="s">
        <v>24</v>
      </c>
      <c r="AC1606" s="54"/>
      <c r="AD1606" s="34"/>
      <c r="AE1606" s="35">
        <f>IFERROR(INDEX([1]Last6M_AvgSales_Ref!$B$2:$B$12659,MATCH(D1606,[1]Last6M_AvgSales_Ref!$A$2:$A$12659,0)),"")</f>
        <v>5.8333333333333304</v>
      </c>
    </row>
    <row r="1607" spans="1:31" ht="14.25" customHeight="1" x14ac:dyDescent="0.3">
      <c r="A1607" s="54" t="s">
        <v>848</v>
      </c>
      <c r="B1607" s="55" t="s">
        <v>1558</v>
      </c>
      <c r="C1607" s="56" t="s">
        <v>3268</v>
      </c>
      <c r="D1607" s="36">
        <v>1000004676</v>
      </c>
      <c r="E1607" s="55" t="s">
        <v>3269</v>
      </c>
      <c r="F1607" s="57">
        <v>46078</v>
      </c>
      <c r="G1607" s="22" t="str">
        <f t="shared" si="350"/>
        <v>Targeted Dealer</v>
      </c>
      <c r="H1607" s="58"/>
      <c r="I1607" s="23">
        <v>20</v>
      </c>
      <c r="J1607" s="23">
        <f t="shared" si="351"/>
        <v>20</v>
      </c>
      <c r="K1607" s="24">
        <v>5</v>
      </c>
      <c r="L1607" s="24">
        <f t="shared" si="352"/>
        <v>15</v>
      </c>
      <c r="M1607" s="24">
        <f t="shared" si="353"/>
        <v>25</v>
      </c>
      <c r="N1607" s="25">
        <v>15</v>
      </c>
      <c r="O1607" s="26" t="str">
        <f t="shared" si="354"/>
        <v>June</v>
      </c>
      <c r="P1607" s="25">
        <f t="shared" si="355"/>
        <v>15</v>
      </c>
      <c r="Q1607" s="27">
        <f t="shared" si="356"/>
        <v>-10</v>
      </c>
      <c r="R1607" s="26" t="b">
        <f t="shared" si="357"/>
        <v>0</v>
      </c>
      <c r="S1607" s="28" t="str">
        <f t="shared" si="358"/>
        <v>GROWTH</v>
      </c>
      <c r="T1607" s="24">
        <v>0</v>
      </c>
      <c r="U1607" s="29" t="str">
        <f t="shared" si="359"/>
        <v>May</v>
      </c>
      <c r="V1607" s="24">
        <f t="shared" si="360"/>
        <v>0</v>
      </c>
      <c r="W1607" s="30">
        <f t="shared" si="361"/>
        <v>5</v>
      </c>
      <c r="X1607" s="31" t="b">
        <f t="shared" si="362"/>
        <v>0</v>
      </c>
      <c r="Y1607" s="32" t="b">
        <f t="shared" si="363"/>
        <v>0</v>
      </c>
      <c r="Z1607" s="41">
        <v>0</v>
      </c>
      <c r="AA1607" s="36"/>
      <c r="AB1607" s="36" t="s">
        <v>24</v>
      </c>
      <c r="AC1607" s="54"/>
      <c r="AD1607" s="34"/>
      <c r="AE1607" s="35">
        <f>IFERROR(INDEX([1]Last6M_AvgSales_Ref!$B$2:$B$12659,MATCH(D1607,[1]Last6M_AvgSales_Ref!$A$2:$A$12659,0)),"")</f>
        <v>5</v>
      </c>
    </row>
    <row r="1608" spans="1:31" ht="14.25" customHeight="1" x14ac:dyDescent="0.3">
      <c r="A1608" s="54" t="s">
        <v>1836</v>
      </c>
      <c r="B1608" s="55" t="s">
        <v>1837</v>
      </c>
      <c r="C1608" s="56" t="s">
        <v>3270</v>
      </c>
      <c r="D1608" s="36">
        <v>1000004677</v>
      </c>
      <c r="E1608" s="55" t="s">
        <v>3271</v>
      </c>
      <c r="F1608" s="57">
        <v>46080</v>
      </c>
      <c r="G1608" s="22" t="str">
        <f t="shared" si="350"/>
        <v>Targeted Dealer</v>
      </c>
      <c r="H1608" s="58"/>
      <c r="I1608" s="23">
        <v>30</v>
      </c>
      <c r="J1608" s="23">
        <f t="shared" si="351"/>
        <v>30</v>
      </c>
      <c r="K1608" s="24">
        <v>32</v>
      </c>
      <c r="L1608" s="24">
        <f t="shared" si="352"/>
        <v>-2</v>
      </c>
      <c r="M1608" s="24">
        <f t="shared" si="353"/>
        <v>106.66666666666667</v>
      </c>
      <c r="N1608" s="25">
        <v>32</v>
      </c>
      <c r="O1608" s="26" t="str">
        <f t="shared" si="354"/>
        <v>June</v>
      </c>
      <c r="P1608" s="25">
        <f t="shared" si="355"/>
        <v>32</v>
      </c>
      <c r="Q1608" s="27">
        <f t="shared" si="356"/>
        <v>0</v>
      </c>
      <c r="R1608" s="26" t="b">
        <f t="shared" si="357"/>
        <v>0</v>
      </c>
      <c r="S1608" s="28" t="str">
        <f t="shared" si="358"/>
        <v>GROWTH</v>
      </c>
      <c r="T1608" s="24">
        <v>0</v>
      </c>
      <c r="U1608" s="29" t="str">
        <f t="shared" si="359"/>
        <v>May</v>
      </c>
      <c r="V1608" s="24">
        <f t="shared" si="360"/>
        <v>0</v>
      </c>
      <c r="W1608" s="30">
        <f t="shared" si="361"/>
        <v>32</v>
      </c>
      <c r="X1608" s="31" t="b">
        <f t="shared" si="362"/>
        <v>0</v>
      </c>
      <c r="Y1608" s="32" t="b">
        <f t="shared" si="363"/>
        <v>0</v>
      </c>
      <c r="Z1608" s="41">
        <v>0</v>
      </c>
      <c r="AA1608" s="36"/>
      <c r="AB1608" s="36" t="s">
        <v>24</v>
      </c>
      <c r="AC1608" s="54"/>
      <c r="AD1608" s="34"/>
      <c r="AE1608" s="35">
        <f>IFERROR(INDEX([1]Last6M_AvgSales_Ref!$B$2:$B$12659,MATCH(D1608,[1]Last6M_AvgSales_Ref!$A$2:$A$12659,0)),"")</f>
        <v>22.8333333333333</v>
      </c>
    </row>
    <row r="1609" spans="1:31" ht="14.25" customHeight="1" x14ac:dyDescent="0.3">
      <c r="A1609" s="54" t="s">
        <v>848</v>
      </c>
      <c r="B1609" s="55" t="s">
        <v>917</v>
      </c>
      <c r="C1609" s="56" t="s">
        <v>3272</v>
      </c>
      <c r="D1609" s="36">
        <v>1000004263</v>
      </c>
      <c r="E1609" s="55" t="s">
        <v>3273</v>
      </c>
      <c r="F1609" s="57">
        <v>45695</v>
      </c>
      <c r="G1609" s="22" t="str">
        <f t="shared" si="350"/>
        <v>-</v>
      </c>
      <c r="H1609" s="58"/>
      <c r="I1609" s="23">
        <v>0</v>
      </c>
      <c r="J1609" s="23">
        <f t="shared" si="351"/>
        <v>0</v>
      </c>
      <c r="K1609" s="24">
        <v>0</v>
      </c>
      <c r="L1609" s="24">
        <f t="shared" si="352"/>
        <v>0</v>
      </c>
      <c r="M1609" s="24" t="str">
        <f t="shared" si="353"/>
        <v>-</v>
      </c>
      <c r="N1609" s="25">
        <v>0</v>
      </c>
      <c r="O1609" s="26" t="str">
        <f t="shared" si="354"/>
        <v>June</v>
      </c>
      <c r="P1609" s="25">
        <f t="shared" si="355"/>
        <v>0</v>
      </c>
      <c r="Q1609" s="27">
        <f t="shared" si="356"/>
        <v>0</v>
      </c>
      <c r="R1609" s="26" t="b">
        <f t="shared" si="357"/>
        <v>0</v>
      </c>
      <c r="S1609" s="28" t="b">
        <f t="shared" si="358"/>
        <v>0</v>
      </c>
      <c r="T1609" s="24">
        <v>0</v>
      </c>
      <c r="U1609" s="29" t="str">
        <f t="shared" si="359"/>
        <v>May</v>
      </c>
      <c r="V1609" s="24">
        <f t="shared" si="360"/>
        <v>0</v>
      </c>
      <c r="W1609" s="30">
        <f t="shared" si="361"/>
        <v>0</v>
      </c>
      <c r="X1609" s="31" t="b">
        <f t="shared" si="362"/>
        <v>0</v>
      </c>
      <c r="Y1609" s="32" t="b">
        <f t="shared" si="363"/>
        <v>0</v>
      </c>
      <c r="Z1609" s="41">
        <v>0</v>
      </c>
      <c r="AA1609" s="36"/>
      <c r="AB1609" s="36" t="s">
        <v>24</v>
      </c>
      <c r="AC1609" s="54"/>
      <c r="AD1609" s="34"/>
      <c r="AE1609" s="35">
        <f>IFERROR(INDEX([1]Last6M_AvgSales_Ref!$B$2:$B$12659,MATCH(D1609,[1]Last6M_AvgSales_Ref!$A$2:$A$12659,0)),"")</f>
        <v>2.0833333333333299</v>
      </c>
    </row>
    <row r="1610" spans="1:31" ht="14.25" customHeight="1" x14ac:dyDescent="0.3">
      <c r="A1610" s="54" t="s">
        <v>1836</v>
      </c>
      <c r="B1610" s="55" t="s">
        <v>2145</v>
      </c>
      <c r="C1610" s="56" t="s">
        <v>3274</v>
      </c>
      <c r="D1610" s="36">
        <v>1000001383</v>
      </c>
      <c r="E1610" s="55" t="s">
        <v>3275</v>
      </c>
      <c r="F1610" s="57">
        <v>44739</v>
      </c>
      <c r="G1610" s="22" t="str">
        <f t="shared" si="350"/>
        <v>Targeted Dealer</v>
      </c>
      <c r="H1610" s="58"/>
      <c r="I1610" s="23">
        <v>50</v>
      </c>
      <c r="J1610" s="23">
        <f t="shared" si="351"/>
        <v>50</v>
      </c>
      <c r="K1610" s="24">
        <v>6</v>
      </c>
      <c r="L1610" s="24">
        <f t="shared" si="352"/>
        <v>44</v>
      </c>
      <c r="M1610" s="24">
        <f t="shared" si="353"/>
        <v>12</v>
      </c>
      <c r="N1610" s="25">
        <v>0</v>
      </c>
      <c r="O1610" s="26" t="str">
        <f t="shared" si="354"/>
        <v>June</v>
      </c>
      <c r="P1610" s="25">
        <f t="shared" si="355"/>
        <v>0</v>
      </c>
      <c r="Q1610" s="27">
        <f t="shared" si="356"/>
        <v>6</v>
      </c>
      <c r="R1610" s="26" t="b">
        <f t="shared" si="357"/>
        <v>0</v>
      </c>
      <c r="S1610" s="28" t="b">
        <f t="shared" si="358"/>
        <v>0</v>
      </c>
      <c r="T1610" s="24">
        <v>85.95</v>
      </c>
      <c r="U1610" s="29" t="str">
        <f t="shared" si="359"/>
        <v>May</v>
      </c>
      <c r="V1610" s="24">
        <f t="shared" si="360"/>
        <v>85.95</v>
      </c>
      <c r="W1610" s="30">
        <f t="shared" si="361"/>
        <v>-79.95</v>
      </c>
      <c r="X1610" s="31" t="b">
        <f t="shared" si="362"/>
        <v>0</v>
      </c>
      <c r="Y1610" s="32" t="str">
        <f t="shared" si="363"/>
        <v>GROWTH</v>
      </c>
      <c r="Z1610" s="41">
        <v>0</v>
      </c>
      <c r="AA1610" s="36"/>
      <c r="AB1610" s="36" t="s">
        <v>24</v>
      </c>
      <c r="AC1610" s="54"/>
      <c r="AD1610" s="34"/>
      <c r="AE1610" s="35">
        <f>IFERROR(INDEX([1]Last6M_AvgSales_Ref!$B$2:$B$12659,MATCH(D1610,[1]Last6M_AvgSales_Ref!$A$2:$A$12659,0)),"")</f>
        <v>4.1666666666666696</v>
      </c>
    </row>
    <row r="1611" spans="1:31" ht="14.25" customHeight="1" x14ac:dyDescent="0.3">
      <c r="A1611" s="54" t="s">
        <v>1836</v>
      </c>
      <c r="B1611" s="55" t="s">
        <v>2145</v>
      </c>
      <c r="C1611" s="56" t="s">
        <v>3276</v>
      </c>
      <c r="D1611" s="36">
        <v>1000004673</v>
      </c>
      <c r="E1611" s="55" t="s">
        <v>3277</v>
      </c>
      <c r="F1611" s="57">
        <v>46078</v>
      </c>
      <c r="G1611" s="22" t="str">
        <f t="shared" si="350"/>
        <v>Targeted Dealer</v>
      </c>
      <c r="H1611" s="58"/>
      <c r="I1611" s="23">
        <v>160</v>
      </c>
      <c r="J1611" s="23">
        <f t="shared" si="351"/>
        <v>160</v>
      </c>
      <c r="K1611" s="24">
        <v>275.25</v>
      </c>
      <c r="L1611" s="24">
        <f t="shared" si="352"/>
        <v>-115.25</v>
      </c>
      <c r="M1611" s="24">
        <f t="shared" si="353"/>
        <v>172.03125</v>
      </c>
      <c r="N1611" s="25">
        <v>170.5</v>
      </c>
      <c r="O1611" s="26" t="str">
        <f t="shared" si="354"/>
        <v>June</v>
      </c>
      <c r="P1611" s="25">
        <f t="shared" si="355"/>
        <v>170.5</v>
      </c>
      <c r="Q1611" s="27">
        <f t="shared" si="356"/>
        <v>104.75</v>
      </c>
      <c r="R1611" s="26" t="b">
        <f t="shared" si="357"/>
        <v>0</v>
      </c>
      <c r="S1611" s="28" t="str">
        <f t="shared" si="358"/>
        <v>GROWTH</v>
      </c>
      <c r="T1611" s="24">
        <v>0</v>
      </c>
      <c r="U1611" s="29" t="str">
        <f t="shared" si="359"/>
        <v>May</v>
      </c>
      <c r="V1611" s="24">
        <f t="shared" si="360"/>
        <v>0</v>
      </c>
      <c r="W1611" s="30">
        <f t="shared" si="361"/>
        <v>275.25</v>
      </c>
      <c r="X1611" s="31" t="b">
        <f t="shared" si="362"/>
        <v>0</v>
      </c>
      <c r="Y1611" s="32" t="b">
        <f t="shared" si="363"/>
        <v>0</v>
      </c>
      <c r="Z1611" s="41">
        <v>0</v>
      </c>
      <c r="AA1611" s="36"/>
      <c r="AB1611" s="36" t="s">
        <v>24</v>
      </c>
      <c r="AC1611" s="54"/>
      <c r="AD1611" s="34"/>
      <c r="AE1611" s="35">
        <f>IFERROR(INDEX([1]Last6M_AvgSales_Ref!$B$2:$B$12659,MATCH(D1611,[1]Last6M_AvgSales_Ref!$A$2:$A$12659,0)),"")</f>
        <v>126.708333333333</v>
      </c>
    </row>
    <row r="1612" spans="1:31" ht="14.25" customHeight="1" x14ac:dyDescent="0.3">
      <c r="A1612" s="54" t="s">
        <v>24</v>
      </c>
      <c r="B1612" s="55" t="s">
        <v>570</v>
      </c>
      <c r="C1612" s="56" t="s">
        <v>3278</v>
      </c>
      <c r="D1612" s="36">
        <v>1000003197</v>
      </c>
      <c r="E1612" s="55" t="s">
        <v>3279</v>
      </c>
      <c r="F1612" s="57">
        <v>44925</v>
      </c>
      <c r="G1612" s="22" t="str">
        <f t="shared" si="350"/>
        <v>-</v>
      </c>
      <c r="H1612" s="58"/>
      <c r="I1612" s="23">
        <v>0</v>
      </c>
      <c r="J1612" s="23">
        <f t="shared" si="351"/>
        <v>0</v>
      </c>
      <c r="K1612" s="24">
        <v>0</v>
      </c>
      <c r="L1612" s="24">
        <f t="shared" si="352"/>
        <v>0</v>
      </c>
      <c r="M1612" s="24" t="str">
        <f t="shared" si="353"/>
        <v>-</v>
      </c>
      <c r="N1612" s="25">
        <v>0</v>
      </c>
      <c r="O1612" s="26" t="str">
        <f t="shared" si="354"/>
        <v>June</v>
      </c>
      <c r="P1612" s="25">
        <f t="shared" si="355"/>
        <v>0</v>
      </c>
      <c r="Q1612" s="27">
        <f t="shared" si="356"/>
        <v>0</v>
      </c>
      <c r="R1612" s="26" t="b">
        <f t="shared" si="357"/>
        <v>0</v>
      </c>
      <c r="S1612" s="28" t="b">
        <f t="shared" si="358"/>
        <v>0</v>
      </c>
      <c r="T1612" s="24">
        <v>0</v>
      </c>
      <c r="U1612" s="29" t="str">
        <f t="shared" si="359"/>
        <v>May</v>
      </c>
      <c r="V1612" s="24">
        <f t="shared" si="360"/>
        <v>0</v>
      </c>
      <c r="W1612" s="30">
        <f t="shared" si="361"/>
        <v>0</v>
      </c>
      <c r="X1612" s="31" t="b">
        <f t="shared" si="362"/>
        <v>0</v>
      </c>
      <c r="Y1612" s="32" t="b">
        <f t="shared" si="363"/>
        <v>0</v>
      </c>
      <c r="Z1612" s="41">
        <v>0</v>
      </c>
      <c r="AA1612" s="36"/>
      <c r="AB1612" s="36" t="s">
        <v>24</v>
      </c>
      <c r="AC1612" s="54"/>
      <c r="AD1612" s="34"/>
      <c r="AE1612" s="35">
        <f>IFERROR(INDEX([1]Last6M_AvgSales_Ref!$B$2:$B$12659,MATCH(D1612,[1]Last6M_AvgSales_Ref!$A$2:$A$12659,0)),"")</f>
        <v>2.5</v>
      </c>
    </row>
    <row r="1613" spans="1:31" ht="14.25" customHeight="1" x14ac:dyDescent="0.3">
      <c r="A1613" s="54" t="s">
        <v>24</v>
      </c>
      <c r="B1613" s="55" t="s">
        <v>570</v>
      </c>
      <c r="C1613" s="56" t="s">
        <v>3280</v>
      </c>
      <c r="D1613" s="36">
        <v>1000003683</v>
      </c>
      <c r="E1613" s="55" t="s">
        <v>3281</v>
      </c>
      <c r="F1613" s="57">
        <v>45148</v>
      </c>
      <c r="G1613" s="22" t="str">
        <f t="shared" si="350"/>
        <v>Targeted Dealer</v>
      </c>
      <c r="H1613" s="58"/>
      <c r="I1613" s="23">
        <v>40</v>
      </c>
      <c r="J1613" s="23">
        <f t="shared" si="351"/>
        <v>40</v>
      </c>
      <c r="K1613" s="24">
        <v>26.5</v>
      </c>
      <c r="L1613" s="24">
        <f t="shared" si="352"/>
        <v>13.5</v>
      </c>
      <c r="M1613" s="24">
        <f t="shared" si="353"/>
        <v>66.25</v>
      </c>
      <c r="N1613" s="25">
        <v>0</v>
      </c>
      <c r="O1613" s="26" t="str">
        <f t="shared" si="354"/>
        <v>June</v>
      </c>
      <c r="P1613" s="25">
        <f t="shared" si="355"/>
        <v>0</v>
      </c>
      <c r="Q1613" s="27">
        <f t="shared" si="356"/>
        <v>26.5</v>
      </c>
      <c r="R1613" s="26" t="b">
        <f t="shared" si="357"/>
        <v>0</v>
      </c>
      <c r="S1613" s="28" t="b">
        <f t="shared" si="358"/>
        <v>0</v>
      </c>
      <c r="T1613" s="24">
        <v>0</v>
      </c>
      <c r="U1613" s="29" t="str">
        <f t="shared" si="359"/>
        <v>May</v>
      </c>
      <c r="V1613" s="24">
        <f t="shared" si="360"/>
        <v>0</v>
      </c>
      <c r="W1613" s="30">
        <f t="shared" si="361"/>
        <v>26.5</v>
      </c>
      <c r="X1613" s="31" t="b">
        <f t="shared" si="362"/>
        <v>0</v>
      </c>
      <c r="Y1613" s="32" t="b">
        <f t="shared" si="363"/>
        <v>0</v>
      </c>
      <c r="Z1613" s="41">
        <v>0</v>
      </c>
      <c r="AA1613" s="36"/>
      <c r="AB1613" s="36" t="s">
        <v>24</v>
      </c>
      <c r="AC1613" s="54"/>
      <c r="AD1613" s="34"/>
      <c r="AE1613" s="35">
        <f>IFERROR(INDEX([1]Last6M_AvgSales_Ref!$B$2:$B$12659,MATCH(D1613,[1]Last6M_AvgSales_Ref!$A$2:$A$12659,0)),"")</f>
        <v>8.3333333333333304</v>
      </c>
    </row>
    <row r="1614" spans="1:31" ht="14.25" customHeight="1" x14ac:dyDescent="0.3">
      <c r="A1614" s="54" t="s">
        <v>24</v>
      </c>
      <c r="B1614" s="55" t="s">
        <v>504</v>
      </c>
      <c r="C1614" s="56" t="s">
        <v>3282</v>
      </c>
      <c r="D1614" s="36">
        <v>1000004666</v>
      </c>
      <c r="E1614" s="55" t="s">
        <v>3283</v>
      </c>
      <c r="F1614" s="57">
        <v>46081</v>
      </c>
      <c r="G1614" s="22" t="str">
        <f t="shared" si="350"/>
        <v>Targeted Dealer</v>
      </c>
      <c r="H1614" s="58"/>
      <c r="I1614" s="23">
        <v>20</v>
      </c>
      <c r="J1614" s="23">
        <f t="shared" si="351"/>
        <v>20</v>
      </c>
      <c r="K1614" s="24">
        <v>0</v>
      </c>
      <c r="L1614" s="24">
        <f t="shared" si="352"/>
        <v>20</v>
      </c>
      <c r="M1614" s="24">
        <f t="shared" si="353"/>
        <v>0</v>
      </c>
      <c r="N1614" s="25">
        <v>0</v>
      </c>
      <c r="O1614" s="26" t="str">
        <f t="shared" si="354"/>
        <v>June</v>
      </c>
      <c r="P1614" s="25">
        <f t="shared" si="355"/>
        <v>0</v>
      </c>
      <c r="Q1614" s="27">
        <f t="shared" si="356"/>
        <v>0</v>
      </c>
      <c r="R1614" s="26" t="b">
        <f t="shared" si="357"/>
        <v>0</v>
      </c>
      <c r="S1614" s="28" t="b">
        <f t="shared" si="358"/>
        <v>0</v>
      </c>
      <c r="T1614" s="24">
        <v>0</v>
      </c>
      <c r="U1614" s="29" t="str">
        <f t="shared" si="359"/>
        <v>May</v>
      </c>
      <c r="V1614" s="24">
        <f t="shared" si="360"/>
        <v>0</v>
      </c>
      <c r="W1614" s="30">
        <f t="shared" si="361"/>
        <v>0</v>
      </c>
      <c r="X1614" s="31" t="b">
        <f t="shared" si="362"/>
        <v>0</v>
      </c>
      <c r="Y1614" s="32" t="b">
        <f t="shared" si="363"/>
        <v>0</v>
      </c>
      <c r="Z1614" s="41">
        <v>0</v>
      </c>
      <c r="AA1614" s="36"/>
      <c r="AB1614" s="36" t="s">
        <v>24</v>
      </c>
      <c r="AC1614" s="54"/>
      <c r="AD1614" s="34"/>
      <c r="AE1614" s="35">
        <f>IFERROR(INDEX([1]Last6M_AvgSales_Ref!$B$2:$B$12659,MATCH(D1614,[1]Last6M_AvgSales_Ref!$A$2:$A$12659,0)),"")</f>
        <v>2.5</v>
      </c>
    </row>
    <row r="1615" spans="1:31" ht="14.25" customHeight="1" x14ac:dyDescent="0.3">
      <c r="A1615" s="54" t="s">
        <v>24</v>
      </c>
      <c r="B1615" s="55" t="s">
        <v>504</v>
      </c>
      <c r="C1615" s="56" t="s">
        <v>3284</v>
      </c>
      <c r="D1615" s="36">
        <v>1000004670</v>
      </c>
      <c r="E1615" s="55" t="s">
        <v>3285</v>
      </c>
      <c r="F1615" s="57">
        <v>46091</v>
      </c>
      <c r="G1615" s="22" t="str">
        <f t="shared" si="350"/>
        <v>Targeted Dealer</v>
      </c>
      <c r="H1615" s="58"/>
      <c r="I1615" s="23">
        <v>20</v>
      </c>
      <c r="J1615" s="23">
        <f t="shared" si="351"/>
        <v>20</v>
      </c>
      <c r="K1615" s="24">
        <v>0</v>
      </c>
      <c r="L1615" s="24">
        <f t="shared" si="352"/>
        <v>20</v>
      </c>
      <c r="M1615" s="24">
        <f t="shared" si="353"/>
        <v>0</v>
      </c>
      <c r="N1615" s="25">
        <v>20</v>
      </c>
      <c r="O1615" s="26" t="str">
        <f t="shared" si="354"/>
        <v>June</v>
      </c>
      <c r="P1615" s="25">
        <f t="shared" si="355"/>
        <v>20</v>
      </c>
      <c r="Q1615" s="27">
        <f t="shared" si="356"/>
        <v>-20</v>
      </c>
      <c r="R1615" s="26" t="b">
        <f t="shared" si="357"/>
        <v>0</v>
      </c>
      <c r="S1615" s="28" t="str">
        <f t="shared" si="358"/>
        <v>GROWTH</v>
      </c>
      <c r="T1615" s="24">
        <v>0</v>
      </c>
      <c r="U1615" s="29" t="str">
        <f t="shared" si="359"/>
        <v>May</v>
      </c>
      <c r="V1615" s="24">
        <f t="shared" si="360"/>
        <v>0</v>
      </c>
      <c r="W1615" s="30">
        <f t="shared" si="361"/>
        <v>0</v>
      </c>
      <c r="X1615" s="31" t="b">
        <f t="shared" si="362"/>
        <v>0</v>
      </c>
      <c r="Y1615" s="32" t="b">
        <f t="shared" si="363"/>
        <v>0</v>
      </c>
      <c r="Z1615" s="41">
        <v>0</v>
      </c>
      <c r="AA1615" s="36"/>
      <c r="AB1615" s="36" t="s">
        <v>24</v>
      </c>
      <c r="AC1615" s="54"/>
      <c r="AD1615" s="34"/>
      <c r="AE1615" s="35">
        <f>IFERROR(INDEX([1]Last6M_AvgSales_Ref!$B$2:$B$12659,MATCH(D1615,[1]Last6M_AvgSales_Ref!$A$2:$A$12659,0)),"")</f>
        <v>2.5</v>
      </c>
    </row>
    <row r="1616" spans="1:31" ht="14.25" customHeight="1" x14ac:dyDescent="0.3">
      <c r="A1616" s="54" t="s">
        <v>24</v>
      </c>
      <c r="B1616" s="55" t="s">
        <v>504</v>
      </c>
      <c r="C1616" s="56" t="s">
        <v>3286</v>
      </c>
      <c r="D1616" s="36">
        <v>1000004683</v>
      </c>
      <c r="E1616" s="55" t="s">
        <v>3287</v>
      </c>
      <c r="F1616" s="57">
        <v>46099</v>
      </c>
      <c r="G1616" s="22" t="str">
        <f t="shared" si="350"/>
        <v>Targeted Dealer</v>
      </c>
      <c r="H1616" s="58"/>
      <c r="I1616" s="23">
        <v>30</v>
      </c>
      <c r="J1616" s="23">
        <f t="shared" si="351"/>
        <v>30</v>
      </c>
      <c r="K1616" s="24">
        <v>50</v>
      </c>
      <c r="L1616" s="24">
        <f t="shared" si="352"/>
        <v>-20</v>
      </c>
      <c r="M1616" s="24">
        <f t="shared" si="353"/>
        <v>166.66666666666669</v>
      </c>
      <c r="N1616" s="25">
        <v>40</v>
      </c>
      <c r="O1616" s="26" t="str">
        <f t="shared" si="354"/>
        <v>June</v>
      </c>
      <c r="P1616" s="25">
        <f t="shared" si="355"/>
        <v>40</v>
      </c>
      <c r="Q1616" s="27">
        <f t="shared" si="356"/>
        <v>10</v>
      </c>
      <c r="R1616" s="26" t="b">
        <f t="shared" si="357"/>
        <v>0</v>
      </c>
      <c r="S1616" s="28" t="str">
        <f t="shared" si="358"/>
        <v>GROWTH</v>
      </c>
      <c r="T1616" s="24">
        <v>0</v>
      </c>
      <c r="U1616" s="29" t="str">
        <f t="shared" si="359"/>
        <v>May</v>
      </c>
      <c r="V1616" s="24">
        <f t="shared" si="360"/>
        <v>0</v>
      </c>
      <c r="W1616" s="30">
        <f t="shared" si="361"/>
        <v>50</v>
      </c>
      <c r="X1616" s="31" t="b">
        <f t="shared" si="362"/>
        <v>0</v>
      </c>
      <c r="Y1616" s="32" t="b">
        <f t="shared" si="363"/>
        <v>0</v>
      </c>
      <c r="Z1616" s="41">
        <v>0</v>
      </c>
      <c r="AA1616" s="36"/>
      <c r="AB1616" s="36" t="s">
        <v>24</v>
      </c>
      <c r="AC1616" s="54"/>
      <c r="AD1616" s="34"/>
      <c r="AE1616" s="35">
        <f>IFERROR(INDEX([1]Last6M_AvgSales_Ref!$B$2:$B$12659,MATCH(D1616,[1]Last6M_AvgSales_Ref!$A$2:$A$12659,0)),"")</f>
        <v>10.8333333333333</v>
      </c>
    </row>
    <row r="1617" spans="1:31" ht="14.25" customHeight="1" x14ac:dyDescent="0.3">
      <c r="A1617" s="54" t="s">
        <v>848</v>
      </c>
      <c r="B1617" s="55" t="s">
        <v>849</v>
      </c>
      <c r="C1617" s="56" t="s">
        <v>3288</v>
      </c>
      <c r="D1617" s="36">
        <v>1000004667</v>
      </c>
      <c r="E1617" s="55" t="s">
        <v>3289</v>
      </c>
      <c r="F1617" s="57">
        <v>46086</v>
      </c>
      <c r="G1617" s="22" t="str">
        <f t="shared" si="350"/>
        <v>Targeted Dealer</v>
      </c>
      <c r="H1617" s="58"/>
      <c r="I1617" s="23">
        <v>80</v>
      </c>
      <c r="J1617" s="23">
        <f t="shared" si="351"/>
        <v>80</v>
      </c>
      <c r="K1617" s="24">
        <v>43</v>
      </c>
      <c r="L1617" s="24">
        <f t="shared" si="352"/>
        <v>37</v>
      </c>
      <c r="M1617" s="24">
        <f t="shared" si="353"/>
        <v>53.75</v>
      </c>
      <c r="N1617" s="25">
        <v>50</v>
      </c>
      <c r="O1617" s="26" t="str">
        <f t="shared" si="354"/>
        <v>June</v>
      </c>
      <c r="P1617" s="25">
        <f t="shared" si="355"/>
        <v>50</v>
      </c>
      <c r="Q1617" s="27">
        <f t="shared" si="356"/>
        <v>-7</v>
      </c>
      <c r="R1617" s="26" t="b">
        <f t="shared" si="357"/>
        <v>0</v>
      </c>
      <c r="S1617" s="28" t="str">
        <f t="shared" si="358"/>
        <v>GROWTH</v>
      </c>
      <c r="T1617" s="24">
        <v>0</v>
      </c>
      <c r="U1617" s="29" t="str">
        <f t="shared" si="359"/>
        <v>May</v>
      </c>
      <c r="V1617" s="24">
        <f t="shared" si="360"/>
        <v>0</v>
      </c>
      <c r="W1617" s="30">
        <f t="shared" si="361"/>
        <v>43</v>
      </c>
      <c r="X1617" s="31" t="b">
        <f t="shared" si="362"/>
        <v>0</v>
      </c>
      <c r="Y1617" s="32" t="b">
        <f t="shared" si="363"/>
        <v>0</v>
      </c>
      <c r="Z1617" s="41">
        <v>0</v>
      </c>
      <c r="AA1617" s="36"/>
      <c r="AB1617" s="36" t="s">
        <v>24</v>
      </c>
      <c r="AC1617" s="54"/>
      <c r="AD1617" s="34"/>
      <c r="AE1617" s="35">
        <f>IFERROR(INDEX([1]Last6M_AvgSales_Ref!$B$2:$B$12659,MATCH(D1617,[1]Last6M_AvgSales_Ref!$A$2:$A$12659,0)),"")</f>
        <v>12.3333333333333</v>
      </c>
    </row>
    <row r="1618" spans="1:31" ht="14.25" customHeight="1" x14ac:dyDescent="0.3">
      <c r="A1618" s="54" t="s">
        <v>848</v>
      </c>
      <c r="B1618" s="55" t="s">
        <v>996</v>
      </c>
      <c r="C1618" s="56" t="s">
        <v>3290</v>
      </c>
      <c r="D1618" s="36">
        <v>1000000309</v>
      </c>
      <c r="E1618" s="55" t="s">
        <v>3291</v>
      </c>
      <c r="F1618" s="57">
        <v>44738</v>
      </c>
      <c r="G1618" s="22" t="str">
        <f t="shared" si="350"/>
        <v>-</v>
      </c>
      <c r="H1618" s="58"/>
      <c r="I1618" s="23">
        <v>0</v>
      </c>
      <c r="J1618" s="23">
        <f t="shared" si="351"/>
        <v>0</v>
      </c>
      <c r="K1618" s="24">
        <v>0</v>
      </c>
      <c r="L1618" s="24">
        <f t="shared" si="352"/>
        <v>0</v>
      </c>
      <c r="M1618" s="24" t="str">
        <f t="shared" si="353"/>
        <v>-</v>
      </c>
      <c r="N1618" s="25">
        <v>0</v>
      </c>
      <c r="O1618" s="26" t="str">
        <f t="shared" si="354"/>
        <v>June</v>
      </c>
      <c r="P1618" s="25">
        <f t="shared" si="355"/>
        <v>0</v>
      </c>
      <c r="Q1618" s="27">
        <f t="shared" si="356"/>
        <v>0</v>
      </c>
      <c r="R1618" s="26" t="b">
        <f t="shared" si="357"/>
        <v>0</v>
      </c>
      <c r="S1618" s="28" t="b">
        <f t="shared" si="358"/>
        <v>0</v>
      </c>
      <c r="T1618" s="24">
        <v>0</v>
      </c>
      <c r="U1618" s="29" t="str">
        <f t="shared" si="359"/>
        <v>May</v>
      </c>
      <c r="V1618" s="24">
        <f t="shared" si="360"/>
        <v>0</v>
      </c>
      <c r="W1618" s="30">
        <f t="shared" si="361"/>
        <v>0</v>
      </c>
      <c r="X1618" s="31" t="b">
        <f t="shared" si="362"/>
        <v>0</v>
      </c>
      <c r="Y1618" s="32" t="b">
        <f t="shared" si="363"/>
        <v>0</v>
      </c>
      <c r="Z1618" s="41">
        <v>0</v>
      </c>
      <c r="AA1618" s="36"/>
      <c r="AB1618" s="36" t="s">
        <v>24</v>
      </c>
      <c r="AC1618" s="54"/>
      <c r="AD1618" s="34"/>
      <c r="AE1618" s="35">
        <f>IFERROR(INDEX([1]Last6M_AvgSales_Ref!$B$2:$B$12659,MATCH(D1618,[1]Last6M_AvgSales_Ref!$A$2:$A$12659,0)),"")</f>
        <v>1.75</v>
      </c>
    </row>
    <row r="1619" spans="1:31" ht="14.25" customHeight="1" x14ac:dyDescent="0.3">
      <c r="A1619" s="54" t="s">
        <v>848</v>
      </c>
      <c r="B1619" s="55" t="s">
        <v>996</v>
      </c>
      <c r="C1619" s="56" t="s">
        <v>3292</v>
      </c>
      <c r="D1619" s="36">
        <v>1000003115</v>
      </c>
      <c r="E1619" s="55" t="s">
        <v>3293</v>
      </c>
      <c r="F1619" s="57">
        <v>44893</v>
      </c>
      <c r="G1619" s="22" t="str">
        <f t="shared" si="350"/>
        <v>Targeted Dealer</v>
      </c>
      <c r="H1619" s="58"/>
      <c r="I1619" s="23">
        <v>40</v>
      </c>
      <c r="J1619" s="23">
        <f t="shared" si="351"/>
        <v>40</v>
      </c>
      <c r="K1619" s="24">
        <v>17.5</v>
      </c>
      <c r="L1619" s="24">
        <f t="shared" si="352"/>
        <v>22.5</v>
      </c>
      <c r="M1619" s="24">
        <f t="shared" si="353"/>
        <v>43.75</v>
      </c>
      <c r="N1619" s="25">
        <v>10.5</v>
      </c>
      <c r="O1619" s="26" t="str">
        <f t="shared" si="354"/>
        <v>June</v>
      </c>
      <c r="P1619" s="25">
        <f t="shared" si="355"/>
        <v>10.5</v>
      </c>
      <c r="Q1619" s="27">
        <f t="shared" si="356"/>
        <v>7</v>
      </c>
      <c r="R1619" s="26" t="b">
        <f t="shared" si="357"/>
        <v>0</v>
      </c>
      <c r="S1619" s="28" t="str">
        <f t="shared" si="358"/>
        <v>GROWTH</v>
      </c>
      <c r="T1619" s="24">
        <v>0</v>
      </c>
      <c r="U1619" s="29" t="str">
        <f t="shared" si="359"/>
        <v>May</v>
      </c>
      <c r="V1619" s="24">
        <f t="shared" si="360"/>
        <v>0</v>
      </c>
      <c r="W1619" s="30">
        <f t="shared" si="361"/>
        <v>17.5</v>
      </c>
      <c r="X1619" s="31" t="b">
        <f t="shared" si="362"/>
        <v>0</v>
      </c>
      <c r="Y1619" s="32" t="b">
        <f t="shared" si="363"/>
        <v>0</v>
      </c>
      <c r="Z1619" s="41">
        <v>0</v>
      </c>
      <c r="AA1619" s="36"/>
      <c r="AB1619" s="36" t="s">
        <v>24</v>
      </c>
      <c r="AC1619" s="54"/>
      <c r="AD1619" s="34"/>
      <c r="AE1619" s="35">
        <f>IFERROR(INDEX([1]Last6M_AvgSales_Ref!$B$2:$B$12659,MATCH(D1619,[1]Last6M_AvgSales_Ref!$A$2:$A$12659,0)),"")</f>
        <v>2.9166666666666701</v>
      </c>
    </row>
    <row r="1620" spans="1:31" ht="14.25" customHeight="1" x14ac:dyDescent="0.3">
      <c r="A1620" s="54" t="s">
        <v>24</v>
      </c>
      <c r="B1620" s="55" t="s">
        <v>28</v>
      </c>
      <c r="C1620" s="56" t="s">
        <v>3294</v>
      </c>
      <c r="D1620" s="36">
        <v>1000003906</v>
      </c>
      <c r="E1620" s="55" t="s">
        <v>3295</v>
      </c>
      <c r="F1620" s="57">
        <v>45392</v>
      </c>
      <c r="G1620" s="22" t="str">
        <f t="shared" si="350"/>
        <v>Targeted Dealer</v>
      </c>
      <c r="H1620" s="58"/>
      <c r="I1620" s="23">
        <v>13</v>
      </c>
      <c r="J1620" s="23">
        <f t="shared" si="351"/>
        <v>13</v>
      </c>
      <c r="K1620" s="24">
        <v>13</v>
      </c>
      <c r="L1620" s="24">
        <f t="shared" si="352"/>
        <v>0</v>
      </c>
      <c r="M1620" s="24">
        <f t="shared" si="353"/>
        <v>100</v>
      </c>
      <c r="N1620" s="25">
        <v>0</v>
      </c>
      <c r="O1620" s="26" t="str">
        <f t="shared" si="354"/>
        <v>June</v>
      </c>
      <c r="P1620" s="25">
        <f t="shared" si="355"/>
        <v>0</v>
      </c>
      <c r="Q1620" s="27">
        <f t="shared" si="356"/>
        <v>13</v>
      </c>
      <c r="R1620" s="26" t="b">
        <f t="shared" si="357"/>
        <v>0</v>
      </c>
      <c r="S1620" s="28" t="b">
        <f t="shared" si="358"/>
        <v>0</v>
      </c>
      <c r="T1620" s="24">
        <v>13</v>
      </c>
      <c r="U1620" s="29" t="str">
        <f t="shared" si="359"/>
        <v>May</v>
      </c>
      <c r="V1620" s="24">
        <f t="shared" si="360"/>
        <v>13</v>
      </c>
      <c r="W1620" s="30">
        <f t="shared" si="361"/>
        <v>0</v>
      </c>
      <c r="X1620" s="31" t="b">
        <f t="shared" si="362"/>
        <v>0</v>
      </c>
      <c r="Y1620" s="32" t="str">
        <f t="shared" si="363"/>
        <v>GROWTH</v>
      </c>
      <c r="Z1620" s="41">
        <v>0</v>
      </c>
      <c r="AA1620" s="36"/>
      <c r="AB1620" s="36" t="s">
        <v>24</v>
      </c>
      <c r="AC1620" s="54"/>
      <c r="AD1620" s="34"/>
      <c r="AE1620" s="35">
        <f>IFERROR(INDEX([1]Last6M_AvgSales_Ref!$B$2:$B$12659,MATCH(D1620,[1]Last6M_AvgSales_Ref!$A$2:$A$12659,0)),"")</f>
        <v>8.1666666666666696</v>
      </c>
    </row>
    <row r="1621" spans="1:31" ht="14.25" customHeight="1" x14ac:dyDescent="0.3">
      <c r="A1621" s="54" t="s">
        <v>24</v>
      </c>
      <c r="B1621" s="55" t="s">
        <v>741</v>
      </c>
      <c r="C1621" s="56" t="s">
        <v>3296</v>
      </c>
      <c r="D1621" s="36">
        <v>1000003923</v>
      </c>
      <c r="E1621" s="55" t="s">
        <v>3297</v>
      </c>
      <c r="F1621" s="57">
        <v>45412</v>
      </c>
      <c r="G1621" s="22" t="str">
        <f t="shared" si="350"/>
        <v>Targeted Dealer</v>
      </c>
      <c r="H1621" s="58"/>
      <c r="I1621" s="23">
        <v>23</v>
      </c>
      <c r="J1621" s="23">
        <f t="shared" si="351"/>
        <v>23</v>
      </c>
      <c r="K1621" s="24">
        <v>48</v>
      </c>
      <c r="L1621" s="24">
        <f t="shared" si="352"/>
        <v>-25</v>
      </c>
      <c r="M1621" s="24">
        <f t="shared" si="353"/>
        <v>208.69565217391303</v>
      </c>
      <c r="N1621" s="25">
        <v>48</v>
      </c>
      <c r="O1621" s="26" t="str">
        <f t="shared" si="354"/>
        <v>June</v>
      </c>
      <c r="P1621" s="25">
        <f t="shared" si="355"/>
        <v>48</v>
      </c>
      <c r="Q1621" s="27">
        <f t="shared" si="356"/>
        <v>0</v>
      </c>
      <c r="R1621" s="26" t="b">
        <f t="shared" si="357"/>
        <v>0</v>
      </c>
      <c r="S1621" s="28" t="str">
        <f t="shared" si="358"/>
        <v>GROWTH</v>
      </c>
      <c r="T1621" s="24">
        <v>0</v>
      </c>
      <c r="U1621" s="29" t="str">
        <f t="shared" si="359"/>
        <v>May</v>
      </c>
      <c r="V1621" s="24">
        <f t="shared" si="360"/>
        <v>0</v>
      </c>
      <c r="W1621" s="30">
        <f t="shared" si="361"/>
        <v>48</v>
      </c>
      <c r="X1621" s="31" t="b">
        <f t="shared" si="362"/>
        <v>0</v>
      </c>
      <c r="Y1621" s="32" t="b">
        <f t="shared" si="363"/>
        <v>0</v>
      </c>
      <c r="Z1621" s="41">
        <v>0</v>
      </c>
      <c r="AA1621" s="36"/>
      <c r="AB1621" s="36" t="s">
        <v>24</v>
      </c>
      <c r="AC1621" s="54"/>
      <c r="AD1621" s="34"/>
      <c r="AE1621" s="35">
        <f>IFERROR(INDEX([1]Last6M_AvgSales_Ref!$B$2:$B$12659,MATCH(D1621,[1]Last6M_AvgSales_Ref!$A$2:$A$12659,0)),"")</f>
        <v>8</v>
      </c>
    </row>
    <row r="1622" spans="1:31" ht="14.25" customHeight="1" x14ac:dyDescent="0.3">
      <c r="A1622" s="54" t="s">
        <v>24</v>
      </c>
      <c r="B1622" s="55" t="s">
        <v>741</v>
      </c>
      <c r="C1622" s="56" t="s">
        <v>3298</v>
      </c>
      <c r="D1622" s="36">
        <v>1000004593</v>
      </c>
      <c r="E1622" s="55" t="s">
        <v>3299</v>
      </c>
      <c r="F1622" s="57">
        <v>46020</v>
      </c>
      <c r="G1622" s="22" t="str">
        <f t="shared" si="350"/>
        <v>Targeted Dealer</v>
      </c>
      <c r="H1622" s="58"/>
      <c r="I1622" s="23">
        <v>23</v>
      </c>
      <c r="J1622" s="23">
        <f t="shared" si="351"/>
        <v>23</v>
      </c>
      <c r="K1622" s="24">
        <v>0</v>
      </c>
      <c r="L1622" s="24">
        <f t="shared" si="352"/>
        <v>23</v>
      </c>
      <c r="M1622" s="24">
        <f t="shared" si="353"/>
        <v>0</v>
      </c>
      <c r="N1622" s="25">
        <v>50</v>
      </c>
      <c r="O1622" s="26" t="str">
        <f t="shared" si="354"/>
        <v>June</v>
      </c>
      <c r="P1622" s="25">
        <f t="shared" si="355"/>
        <v>50</v>
      </c>
      <c r="Q1622" s="27">
        <f t="shared" si="356"/>
        <v>-50</v>
      </c>
      <c r="R1622" s="26" t="b">
        <f t="shared" si="357"/>
        <v>0</v>
      </c>
      <c r="S1622" s="28" t="str">
        <f t="shared" si="358"/>
        <v>GROWTH</v>
      </c>
      <c r="T1622" s="24">
        <v>0</v>
      </c>
      <c r="U1622" s="29" t="str">
        <f t="shared" si="359"/>
        <v>May</v>
      </c>
      <c r="V1622" s="24">
        <f t="shared" si="360"/>
        <v>0</v>
      </c>
      <c r="W1622" s="30">
        <f t="shared" si="361"/>
        <v>0</v>
      </c>
      <c r="X1622" s="31" t="b">
        <f t="shared" si="362"/>
        <v>0</v>
      </c>
      <c r="Y1622" s="32" t="b">
        <f t="shared" si="363"/>
        <v>0</v>
      </c>
      <c r="Z1622" s="41">
        <v>0</v>
      </c>
      <c r="AA1622" s="36"/>
      <c r="AB1622" s="36" t="s">
        <v>24</v>
      </c>
      <c r="AC1622" s="54"/>
      <c r="AD1622" s="34"/>
      <c r="AE1622" s="35">
        <f>IFERROR(INDEX([1]Last6M_AvgSales_Ref!$B$2:$B$12659,MATCH(D1622,[1]Last6M_AvgSales_Ref!$A$2:$A$12659,0)),"")</f>
        <v>8</v>
      </c>
    </row>
    <row r="1623" spans="1:31" ht="14.25" customHeight="1" x14ac:dyDescent="0.3">
      <c r="A1623" s="54" t="s">
        <v>848</v>
      </c>
      <c r="B1623" s="55" t="s">
        <v>1666</v>
      </c>
      <c r="C1623" s="56" t="s">
        <v>3300</v>
      </c>
      <c r="D1623" s="36">
        <v>1000002603</v>
      </c>
      <c r="E1623" s="55" t="s">
        <v>3301</v>
      </c>
      <c r="F1623" s="57">
        <v>44738</v>
      </c>
      <c r="G1623" s="22" t="str">
        <f t="shared" si="350"/>
        <v>Targeted Dealer</v>
      </c>
      <c r="H1623" s="58"/>
      <c r="I1623" s="23">
        <v>20</v>
      </c>
      <c r="J1623" s="23">
        <f t="shared" si="351"/>
        <v>20</v>
      </c>
      <c r="K1623" s="24">
        <v>10</v>
      </c>
      <c r="L1623" s="24">
        <f t="shared" si="352"/>
        <v>10</v>
      </c>
      <c r="M1623" s="24">
        <f t="shared" si="353"/>
        <v>50</v>
      </c>
      <c r="N1623" s="25">
        <v>0</v>
      </c>
      <c r="O1623" s="26" t="str">
        <f t="shared" si="354"/>
        <v>June</v>
      </c>
      <c r="P1623" s="25">
        <f t="shared" si="355"/>
        <v>0</v>
      </c>
      <c r="Q1623" s="27">
        <f t="shared" si="356"/>
        <v>10</v>
      </c>
      <c r="R1623" s="26" t="b">
        <f t="shared" si="357"/>
        <v>0</v>
      </c>
      <c r="S1623" s="28" t="b">
        <f t="shared" si="358"/>
        <v>0</v>
      </c>
      <c r="T1623" s="24">
        <v>10</v>
      </c>
      <c r="U1623" s="29" t="str">
        <f t="shared" si="359"/>
        <v>May</v>
      </c>
      <c r="V1623" s="24">
        <f t="shared" si="360"/>
        <v>10</v>
      </c>
      <c r="W1623" s="30">
        <f t="shared" si="361"/>
        <v>0</v>
      </c>
      <c r="X1623" s="31" t="b">
        <f t="shared" si="362"/>
        <v>0</v>
      </c>
      <c r="Y1623" s="32" t="str">
        <f t="shared" si="363"/>
        <v>GROWTH</v>
      </c>
      <c r="Z1623" s="41">
        <v>0</v>
      </c>
      <c r="AA1623" s="36"/>
      <c r="AB1623" s="36" t="s">
        <v>24</v>
      </c>
      <c r="AC1623" s="54"/>
      <c r="AD1623" s="34"/>
      <c r="AE1623" s="35">
        <f>IFERROR(INDEX([1]Last6M_AvgSales_Ref!$B$2:$B$12659,MATCH(D1623,[1]Last6M_AvgSales_Ref!$A$2:$A$12659,0)),"")</f>
        <v>1.6666666666666701</v>
      </c>
    </row>
    <row r="1624" spans="1:31" ht="14.25" customHeight="1" x14ac:dyDescent="0.3">
      <c r="A1624" s="54" t="s">
        <v>848</v>
      </c>
      <c r="B1624" s="55" t="s">
        <v>1666</v>
      </c>
      <c r="C1624" s="56" t="s">
        <v>3302</v>
      </c>
      <c r="D1624" s="36">
        <v>1000002729</v>
      </c>
      <c r="E1624" s="55" t="s">
        <v>3303</v>
      </c>
      <c r="F1624" s="57">
        <v>44739</v>
      </c>
      <c r="G1624" s="22" t="str">
        <f t="shared" si="350"/>
        <v>Targeted Dealer</v>
      </c>
      <c r="H1624" s="58"/>
      <c r="I1624" s="23">
        <v>80</v>
      </c>
      <c r="J1624" s="23">
        <f t="shared" si="351"/>
        <v>80</v>
      </c>
      <c r="K1624" s="24">
        <v>5</v>
      </c>
      <c r="L1624" s="24">
        <f t="shared" si="352"/>
        <v>75</v>
      </c>
      <c r="M1624" s="24">
        <f t="shared" si="353"/>
        <v>6.25</v>
      </c>
      <c r="N1624" s="25">
        <v>20</v>
      </c>
      <c r="O1624" s="26" t="str">
        <f t="shared" si="354"/>
        <v>June</v>
      </c>
      <c r="P1624" s="25">
        <f t="shared" si="355"/>
        <v>20</v>
      </c>
      <c r="Q1624" s="27">
        <f t="shared" si="356"/>
        <v>-15</v>
      </c>
      <c r="R1624" s="26" t="b">
        <f t="shared" si="357"/>
        <v>0</v>
      </c>
      <c r="S1624" s="28" t="str">
        <f t="shared" si="358"/>
        <v>GROWTH</v>
      </c>
      <c r="T1624" s="24">
        <v>0</v>
      </c>
      <c r="U1624" s="29" t="str">
        <f t="shared" si="359"/>
        <v>May</v>
      </c>
      <c r="V1624" s="24">
        <f t="shared" si="360"/>
        <v>0</v>
      </c>
      <c r="W1624" s="30">
        <f t="shared" si="361"/>
        <v>5</v>
      </c>
      <c r="X1624" s="31" t="b">
        <f t="shared" si="362"/>
        <v>0</v>
      </c>
      <c r="Y1624" s="32" t="b">
        <f t="shared" si="363"/>
        <v>0</v>
      </c>
      <c r="Z1624" s="41">
        <v>0</v>
      </c>
      <c r="AA1624" s="36"/>
      <c r="AB1624" s="36" t="s">
        <v>24</v>
      </c>
      <c r="AC1624" s="54"/>
      <c r="AD1624" s="34"/>
      <c r="AE1624" s="35">
        <f>IFERROR(INDEX([1]Last6M_AvgSales_Ref!$B$2:$B$12659,MATCH(D1624,[1]Last6M_AvgSales_Ref!$A$2:$A$12659,0)),"")</f>
        <v>3.4166666666666701</v>
      </c>
    </row>
    <row r="1625" spans="1:31" ht="14.25" customHeight="1" x14ac:dyDescent="0.3">
      <c r="A1625" s="54" t="s">
        <v>2185</v>
      </c>
      <c r="B1625" s="55" t="s">
        <v>2186</v>
      </c>
      <c r="C1625" s="56" t="s">
        <v>3304</v>
      </c>
      <c r="D1625" s="36">
        <v>1000004675</v>
      </c>
      <c r="E1625" s="55" t="s">
        <v>3305</v>
      </c>
      <c r="F1625" s="57">
        <v>46078</v>
      </c>
      <c r="G1625" s="22" t="str">
        <f t="shared" si="350"/>
        <v>Targeted Dealer</v>
      </c>
      <c r="H1625" s="58"/>
      <c r="I1625" s="23">
        <v>150</v>
      </c>
      <c r="J1625" s="23">
        <f t="shared" si="351"/>
        <v>150</v>
      </c>
      <c r="K1625" s="24">
        <v>105</v>
      </c>
      <c r="L1625" s="24">
        <f t="shared" si="352"/>
        <v>45</v>
      </c>
      <c r="M1625" s="24">
        <f t="shared" si="353"/>
        <v>70</v>
      </c>
      <c r="N1625" s="25">
        <v>72</v>
      </c>
      <c r="O1625" s="26" t="str">
        <f t="shared" si="354"/>
        <v>June</v>
      </c>
      <c r="P1625" s="25">
        <f t="shared" si="355"/>
        <v>72</v>
      </c>
      <c r="Q1625" s="27">
        <f t="shared" si="356"/>
        <v>33</v>
      </c>
      <c r="R1625" s="26" t="b">
        <f t="shared" si="357"/>
        <v>0</v>
      </c>
      <c r="S1625" s="28" t="str">
        <f t="shared" si="358"/>
        <v>GROWTH</v>
      </c>
      <c r="T1625" s="24">
        <v>0</v>
      </c>
      <c r="U1625" s="29" t="str">
        <f t="shared" si="359"/>
        <v>May</v>
      </c>
      <c r="V1625" s="24">
        <f t="shared" si="360"/>
        <v>0</v>
      </c>
      <c r="W1625" s="30">
        <f t="shared" si="361"/>
        <v>105</v>
      </c>
      <c r="X1625" s="31" t="b">
        <f t="shared" si="362"/>
        <v>0</v>
      </c>
      <c r="Y1625" s="32" t="b">
        <f t="shared" si="363"/>
        <v>0</v>
      </c>
      <c r="Z1625" s="41">
        <v>0</v>
      </c>
      <c r="AA1625" s="36"/>
      <c r="AB1625" s="36" t="s">
        <v>24</v>
      </c>
      <c r="AC1625" s="54"/>
      <c r="AD1625" s="34"/>
      <c r="AE1625" s="35">
        <f>IFERROR(INDEX([1]Last6M_AvgSales_Ref!$B$2:$B$12659,MATCH(D1625,[1]Last6M_AvgSales_Ref!$A$2:$A$12659,0)),"")</f>
        <v>35.6666666666667</v>
      </c>
    </row>
    <row r="1626" spans="1:31" ht="14.25" customHeight="1" x14ac:dyDescent="0.3">
      <c r="A1626" s="54" t="s">
        <v>24</v>
      </c>
      <c r="B1626" s="55" t="s">
        <v>264</v>
      </c>
      <c r="C1626" s="56" t="s">
        <v>3306</v>
      </c>
      <c r="D1626" s="36">
        <v>1000000920</v>
      </c>
      <c r="E1626" s="55" t="s">
        <v>3307</v>
      </c>
      <c r="F1626" s="57">
        <v>44738</v>
      </c>
      <c r="G1626" s="22" t="str">
        <f t="shared" si="350"/>
        <v>Targeted Dealer</v>
      </c>
      <c r="H1626" s="58"/>
      <c r="I1626" s="23">
        <v>80</v>
      </c>
      <c r="J1626" s="23">
        <f t="shared" si="351"/>
        <v>80</v>
      </c>
      <c r="K1626" s="24">
        <v>20</v>
      </c>
      <c r="L1626" s="24">
        <f t="shared" si="352"/>
        <v>60</v>
      </c>
      <c r="M1626" s="24">
        <f t="shared" si="353"/>
        <v>25</v>
      </c>
      <c r="N1626" s="25">
        <v>0</v>
      </c>
      <c r="O1626" s="26" t="str">
        <f t="shared" si="354"/>
        <v>June</v>
      </c>
      <c r="P1626" s="25">
        <f t="shared" si="355"/>
        <v>0</v>
      </c>
      <c r="Q1626" s="27">
        <f t="shared" si="356"/>
        <v>20</v>
      </c>
      <c r="R1626" s="26" t="b">
        <f t="shared" si="357"/>
        <v>0</v>
      </c>
      <c r="S1626" s="28" t="b">
        <f t="shared" si="358"/>
        <v>0</v>
      </c>
      <c r="T1626" s="24">
        <v>60</v>
      </c>
      <c r="U1626" s="29" t="str">
        <f t="shared" si="359"/>
        <v>May</v>
      </c>
      <c r="V1626" s="24">
        <f t="shared" si="360"/>
        <v>60</v>
      </c>
      <c r="W1626" s="30">
        <f t="shared" si="361"/>
        <v>-40</v>
      </c>
      <c r="X1626" s="31" t="b">
        <f t="shared" si="362"/>
        <v>0</v>
      </c>
      <c r="Y1626" s="32" t="str">
        <f t="shared" si="363"/>
        <v>GROWTH</v>
      </c>
      <c r="Z1626" s="41">
        <v>0</v>
      </c>
      <c r="AA1626" s="36"/>
      <c r="AB1626" s="36" t="s">
        <v>24</v>
      </c>
      <c r="AC1626" s="54"/>
      <c r="AD1626" s="34"/>
      <c r="AE1626" s="35">
        <f>IFERROR(INDEX([1]Last6M_AvgSales_Ref!$B$2:$B$12659,MATCH(D1626,[1]Last6M_AvgSales_Ref!$A$2:$A$12659,0)),"")</f>
        <v>30</v>
      </c>
    </row>
    <row r="1627" spans="1:31" ht="14.25" customHeight="1" x14ac:dyDescent="0.3">
      <c r="A1627" s="54" t="s">
        <v>848</v>
      </c>
      <c r="B1627" s="55" t="s">
        <v>1101</v>
      </c>
      <c r="C1627" s="56" t="s">
        <v>3308</v>
      </c>
      <c r="D1627" s="36">
        <v>1000004661</v>
      </c>
      <c r="E1627" s="55" t="s">
        <v>3309</v>
      </c>
      <c r="F1627" s="57">
        <v>46076</v>
      </c>
      <c r="G1627" s="22" t="str">
        <f t="shared" si="350"/>
        <v>Targeted Dealer</v>
      </c>
      <c r="H1627" s="58"/>
      <c r="I1627" s="23">
        <v>100</v>
      </c>
      <c r="J1627" s="23">
        <f t="shared" si="351"/>
        <v>100</v>
      </c>
      <c r="K1627" s="24">
        <v>50</v>
      </c>
      <c r="L1627" s="24">
        <f t="shared" si="352"/>
        <v>50</v>
      </c>
      <c r="M1627" s="24">
        <f t="shared" si="353"/>
        <v>50</v>
      </c>
      <c r="N1627" s="25">
        <v>25</v>
      </c>
      <c r="O1627" s="26" t="str">
        <f t="shared" si="354"/>
        <v>June</v>
      </c>
      <c r="P1627" s="25">
        <f t="shared" si="355"/>
        <v>25</v>
      </c>
      <c r="Q1627" s="27">
        <f t="shared" si="356"/>
        <v>25</v>
      </c>
      <c r="R1627" s="26" t="b">
        <f t="shared" si="357"/>
        <v>0</v>
      </c>
      <c r="S1627" s="28" t="str">
        <f t="shared" si="358"/>
        <v>GROWTH</v>
      </c>
      <c r="T1627" s="24">
        <v>0</v>
      </c>
      <c r="U1627" s="29" t="str">
        <f t="shared" si="359"/>
        <v>May</v>
      </c>
      <c r="V1627" s="24">
        <f t="shared" si="360"/>
        <v>0</v>
      </c>
      <c r="W1627" s="30">
        <f t="shared" si="361"/>
        <v>50</v>
      </c>
      <c r="X1627" s="31" t="b">
        <f t="shared" si="362"/>
        <v>0</v>
      </c>
      <c r="Y1627" s="32" t="b">
        <f t="shared" si="363"/>
        <v>0</v>
      </c>
      <c r="Z1627" s="41">
        <v>0</v>
      </c>
      <c r="AA1627" s="36"/>
      <c r="AB1627" s="36" t="s">
        <v>24</v>
      </c>
      <c r="AC1627" s="54"/>
      <c r="AD1627" s="34"/>
      <c r="AE1627" s="35">
        <f>IFERROR(INDEX([1]Last6M_AvgSales_Ref!$B$2:$B$12659,MATCH(D1627,[1]Last6M_AvgSales_Ref!$A$2:$A$12659,0)),"")</f>
        <v>20.3333333333333</v>
      </c>
    </row>
    <row r="1628" spans="1:31" ht="14.25" customHeight="1" x14ac:dyDescent="0.3">
      <c r="A1628" s="54" t="s">
        <v>2027</v>
      </c>
      <c r="B1628" s="55" t="s">
        <v>2118</v>
      </c>
      <c r="C1628" s="56" t="s">
        <v>3310</v>
      </c>
      <c r="D1628" s="36">
        <v>1000004642</v>
      </c>
      <c r="E1628" s="55" t="s">
        <v>3311</v>
      </c>
      <c r="F1628" s="57">
        <v>46066</v>
      </c>
      <c r="G1628" s="22" t="str">
        <f t="shared" si="350"/>
        <v>Targeted Dealer</v>
      </c>
      <c r="H1628" s="58"/>
      <c r="I1628" s="23">
        <v>40</v>
      </c>
      <c r="J1628" s="23">
        <f t="shared" si="351"/>
        <v>40</v>
      </c>
      <c r="K1628" s="24">
        <v>10</v>
      </c>
      <c r="L1628" s="24">
        <f t="shared" si="352"/>
        <v>30</v>
      </c>
      <c r="M1628" s="24">
        <f t="shared" si="353"/>
        <v>25</v>
      </c>
      <c r="N1628" s="25">
        <v>0</v>
      </c>
      <c r="O1628" s="26" t="str">
        <f t="shared" si="354"/>
        <v>June</v>
      </c>
      <c r="P1628" s="25">
        <f t="shared" si="355"/>
        <v>0</v>
      </c>
      <c r="Q1628" s="27">
        <f t="shared" si="356"/>
        <v>10</v>
      </c>
      <c r="R1628" s="26" t="b">
        <f t="shared" si="357"/>
        <v>0</v>
      </c>
      <c r="S1628" s="28" t="b">
        <f t="shared" si="358"/>
        <v>0</v>
      </c>
      <c r="T1628" s="24">
        <v>0</v>
      </c>
      <c r="U1628" s="29" t="str">
        <f t="shared" si="359"/>
        <v>May</v>
      </c>
      <c r="V1628" s="24">
        <f t="shared" si="360"/>
        <v>0</v>
      </c>
      <c r="W1628" s="30">
        <f t="shared" si="361"/>
        <v>10</v>
      </c>
      <c r="X1628" s="31" t="b">
        <f t="shared" si="362"/>
        <v>0</v>
      </c>
      <c r="Y1628" s="32" t="b">
        <f t="shared" si="363"/>
        <v>0</v>
      </c>
      <c r="Z1628" s="41">
        <v>0</v>
      </c>
      <c r="AA1628" s="36"/>
      <c r="AB1628" s="36" t="s">
        <v>24</v>
      </c>
      <c r="AC1628" s="54"/>
      <c r="AD1628" s="34"/>
      <c r="AE1628" s="35">
        <f>IFERROR(INDEX([1]Last6M_AvgSales_Ref!$B$2:$B$12659,MATCH(D1628,[1]Last6M_AvgSales_Ref!$A$2:$A$12659,0)),"")</f>
        <v>8.3333333333333304</v>
      </c>
    </row>
    <row r="1629" spans="1:31" ht="14.25" customHeight="1" x14ac:dyDescent="0.3">
      <c r="A1629" s="54" t="s">
        <v>2027</v>
      </c>
      <c r="B1629" s="55" t="s">
        <v>2118</v>
      </c>
      <c r="C1629" s="56" t="s">
        <v>3312</v>
      </c>
      <c r="D1629" s="36">
        <v>1000004657</v>
      </c>
      <c r="E1629" s="55" t="s">
        <v>3313</v>
      </c>
      <c r="F1629" s="57">
        <v>46075</v>
      </c>
      <c r="G1629" s="22" t="str">
        <f t="shared" si="350"/>
        <v>Targeted Dealer</v>
      </c>
      <c r="H1629" s="58"/>
      <c r="I1629" s="23">
        <v>600</v>
      </c>
      <c r="J1629" s="23">
        <f t="shared" si="351"/>
        <v>600</v>
      </c>
      <c r="K1629" s="24">
        <v>430</v>
      </c>
      <c r="L1629" s="24">
        <f t="shared" si="352"/>
        <v>170</v>
      </c>
      <c r="M1629" s="24">
        <f t="shared" si="353"/>
        <v>71.666666666666671</v>
      </c>
      <c r="N1629" s="25">
        <v>530</v>
      </c>
      <c r="O1629" s="26" t="str">
        <f t="shared" si="354"/>
        <v>June</v>
      </c>
      <c r="P1629" s="25">
        <f t="shared" si="355"/>
        <v>530</v>
      </c>
      <c r="Q1629" s="27">
        <f t="shared" si="356"/>
        <v>-100</v>
      </c>
      <c r="R1629" s="26" t="b">
        <f t="shared" si="357"/>
        <v>0</v>
      </c>
      <c r="S1629" s="28" t="str">
        <f t="shared" si="358"/>
        <v>GROWTH</v>
      </c>
      <c r="T1629" s="24">
        <v>0</v>
      </c>
      <c r="U1629" s="29" t="str">
        <f t="shared" si="359"/>
        <v>May</v>
      </c>
      <c r="V1629" s="24">
        <f t="shared" si="360"/>
        <v>0</v>
      </c>
      <c r="W1629" s="30">
        <f t="shared" si="361"/>
        <v>430</v>
      </c>
      <c r="X1629" s="31" t="b">
        <f t="shared" si="362"/>
        <v>0</v>
      </c>
      <c r="Y1629" s="32" t="b">
        <f t="shared" si="363"/>
        <v>0</v>
      </c>
      <c r="Z1629" s="41">
        <v>0</v>
      </c>
      <c r="AA1629" s="36"/>
      <c r="AB1629" s="36" t="s">
        <v>24</v>
      </c>
      <c r="AC1629" s="54"/>
      <c r="AD1629" s="34"/>
      <c r="AE1629" s="35">
        <f>IFERROR(INDEX([1]Last6M_AvgSales_Ref!$B$2:$B$12659,MATCH(D1629,[1]Last6M_AvgSales_Ref!$A$2:$A$12659,0)),"")</f>
        <v>195.5</v>
      </c>
    </row>
    <row r="1630" spans="1:31" ht="14.25" customHeight="1" x14ac:dyDescent="0.3">
      <c r="A1630" s="54" t="s">
        <v>2027</v>
      </c>
      <c r="B1630" s="55" t="s">
        <v>2118</v>
      </c>
      <c r="C1630" s="56" t="s">
        <v>3314</v>
      </c>
      <c r="D1630" s="36">
        <v>1000004658</v>
      </c>
      <c r="E1630" s="55" t="s">
        <v>3315</v>
      </c>
      <c r="F1630" s="57">
        <v>46076</v>
      </c>
      <c r="G1630" s="22" t="str">
        <f t="shared" si="350"/>
        <v>Targeted Dealer</v>
      </c>
      <c r="H1630" s="58"/>
      <c r="I1630" s="23">
        <v>200</v>
      </c>
      <c r="J1630" s="23">
        <f t="shared" si="351"/>
        <v>200</v>
      </c>
      <c r="K1630" s="24">
        <v>211</v>
      </c>
      <c r="L1630" s="24">
        <f t="shared" si="352"/>
        <v>-11</v>
      </c>
      <c r="M1630" s="24">
        <f t="shared" si="353"/>
        <v>105.5</v>
      </c>
      <c r="N1630" s="25">
        <v>130</v>
      </c>
      <c r="O1630" s="26" t="str">
        <f t="shared" si="354"/>
        <v>June</v>
      </c>
      <c r="P1630" s="25">
        <f t="shared" si="355"/>
        <v>130</v>
      </c>
      <c r="Q1630" s="27">
        <f t="shared" si="356"/>
        <v>81</v>
      </c>
      <c r="R1630" s="26" t="b">
        <f t="shared" si="357"/>
        <v>0</v>
      </c>
      <c r="S1630" s="28" t="str">
        <f t="shared" si="358"/>
        <v>GROWTH</v>
      </c>
      <c r="T1630" s="24">
        <v>0</v>
      </c>
      <c r="U1630" s="29" t="str">
        <f t="shared" si="359"/>
        <v>May</v>
      </c>
      <c r="V1630" s="24">
        <f t="shared" si="360"/>
        <v>0</v>
      </c>
      <c r="W1630" s="30">
        <f t="shared" si="361"/>
        <v>211</v>
      </c>
      <c r="X1630" s="31" t="b">
        <f t="shared" si="362"/>
        <v>0</v>
      </c>
      <c r="Y1630" s="32" t="b">
        <f t="shared" si="363"/>
        <v>0</v>
      </c>
      <c r="Z1630" s="41">
        <v>0</v>
      </c>
      <c r="AA1630" s="36"/>
      <c r="AB1630" s="36" t="s">
        <v>24</v>
      </c>
      <c r="AC1630" s="54"/>
      <c r="AD1630" s="34"/>
      <c r="AE1630" s="35">
        <f>IFERROR(INDEX([1]Last6M_AvgSales_Ref!$B$2:$B$12659,MATCH(D1630,[1]Last6M_AvgSales_Ref!$A$2:$A$12659,0)),"")</f>
        <v>85.5</v>
      </c>
    </row>
    <row r="1631" spans="1:31" ht="14.25" customHeight="1" x14ac:dyDescent="0.3">
      <c r="A1631" s="54" t="s">
        <v>2027</v>
      </c>
      <c r="B1631" s="55" t="s">
        <v>2118</v>
      </c>
      <c r="C1631" s="56" t="s">
        <v>3316</v>
      </c>
      <c r="D1631" s="36">
        <v>1000004664</v>
      </c>
      <c r="E1631" s="55" t="s">
        <v>3317</v>
      </c>
      <c r="F1631" s="57">
        <v>46079</v>
      </c>
      <c r="G1631" s="22" t="str">
        <f t="shared" si="350"/>
        <v>Targeted Dealer</v>
      </c>
      <c r="H1631" s="58"/>
      <c r="I1631" s="23">
        <v>150</v>
      </c>
      <c r="J1631" s="23">
        <f t="shared" si="351"/>
        <v>150</v>
      </c>
      <c r="K1631" s="24">
        <v>101</v>
      </c>
      <c r="L1631" s="24">
        <f t="shared" si="352"/>
        <v>49</v>
      </c>
      <c r="M1631" s="24">
        <f t="shared" si="353"/>
        <v>67.333333333333329</v>
      </c>
      <c r="N1631" s="25">
        <v>59</v>
      </c>
      <c r="O1631" s="26" t="str">
        <f t="shared" si="354"/>
        <v>June</v>
      </c>
      <c r="P1631" s="25">
        <f t="shared" si="355"/>
        <v>59</v>
      </c>
      <c r="Q1631" s="27">
        <f t="shared" si="356"/>
        <v>42</v>
      </c>
      <c r="R1631" s="26" t="b">
        <f t="shared" si="357"/>
        <v>0</v>
      </c>
      <c r="S1631" s="28" t="str">
        <f t="shared" si="358"/>
        <v>GROWTH</v>
      </c>
      <c r="T1631" s="24">
        <v>0</v>
      </c>
      <c r="U1631" s="29" t="str">
        <f t="shared" si="359"/>
        <v>May</v>
      </c>
      <c r="V1631" s="24">
        <f t="shared" si="360"/>
        <v>0</v>
      </c>
      <c r="W1631" s="30">
        <f t="shared" si="361"/>
        <v>101</v>
      </c>
      <c r="X1631" s="31" t="b">
        <f t="shared" si="362"/>
        <v>0</v>
      </c>
      <c r="Y1631" s="32" t="b">
        <f t="shared" si="363"/>
        <v>0</v>
      </c>
      <c r="Z1631" s="41">
        <v>0</v>
      </c>
      <c r="AA1631" s="36"/>
      <c r="AB1631" s="36" t="s">
        <v>24</v>
      </c>
      <c r="AC1631" s="54"/>
      <c r="AD1631" s="34"/>
      <c r="AE1631" s="35">
        <f>IFERROR(INDEX([1]Last6M_AvgSales_Ref!$B$2:$B$12659,MATCH(D1631,[1]Last6M_AvgSales_Ref!$A$2:$A$12659,0)),"")</f>
        <v>38.3333333333333</v>
      </c>
    </row>
    <row r="1632" spans="1:31" ht="14.25" customHeight="1" x14ac:dyDescent="0.3">
      <c r="A1632" s="54" t="s">
        <v>2027</v>
      </c>
      <c r="B1632" s="55" t="s">
        <v>2118</v>
      </c>
      <c r="C1632" s="56" t="s">
        <v>3318</v>
      </c>
      <c r="D1632" s="36">
        <v>1000004665</v>
      </c>
      <c r="E1632" s="55" t="s">
        <v>3319</v>
      </c>
      <c r="F1632" s="57">
        <v>46079</v>
      </c>
      <c r="G1632" s="22" t="str">
        <f t="shared" si="350"/>
        <v>Targeted Dealer</v>
      </c>
      <c r="H1632" s="58"/>
      <c r="I1632" s="23">
        <v>250</v>
      </c>
      <c r="J1632" s="23">
        <f t="shared" si="351"/>
        <v>250.00000000000003</v>
      </c>
      <c r="K1632" s="24">
        <v>93</v>
      </c>
      <c r="L1632" s="24">
        <f t="shared" si="352"/>
        <v>157</v>
      </c>
      <c r="M1632" s="24">
        <f t="shared" si="353"/>
        <v>37.199999999999996</v>
      </c>
      <c r="N1632" s="25">
        <v>35</v>
      </c>
      <c r="O1632" s="26" t="str">
        <f t="shared" si="354"/>
        <v>June</v>
      </c>
      <c r="P1632" s="25">
        <f t="shared" si="355"/>
        <v>35</v>
      </c>
      <c r="Q1632" s="27">
        <f t="shared" si="356"/>
        <v>58</v>
      </c>
      <c r="R1632" s="26" t="b">
        <f t="shared" si="357"/>
        <v>0</v>
      </c>
      <c r="S1632" s="28" t="str">
        <f t="shared" si="358"/>
        <v>GROWTH</v>
      </c>
      <c r="T1632" s="24">
        <v>0</v>
      </c>
      <c r="U1632" s="29" t="str">
        <f t="shared" si="359"/>
        <v>May</v>
      </c>
      <c r="V1632" s="24">
        <f t="shared" si="360"/>
        <v>0</v>
      </c>
      <c r="W1632" s="30">
        <f t="shared" si="361"/>
        <v>93</v>
      </c>
      <c r="X1632" s="31" t="b">
        <f t="shared" si="362"/>
        <v>0</v>
      </c>
      <c r="Y1632" s="32" t="b">
        <f t="shared" si="363"/>
        <v>0</v>
      </c>
      <c r="Z1632" s="41">
        <v>0</v>
      </c>
      <c r="AA1632" s="36"/>
      <c r="AB1632" s="36" t="s">
        <v>24</v>
      </c>
      <c r="AC1632" s="54"/>
      <c r="AD1632" s="34"/>
      <c r="AE1632" s="35">
        <f>IFERROR(INDEX([1]Last6M_AvgSales_Ref!$B$2:$B$12659,MATCH(D1632,[1]Last6M_AvgSales_Ref!$A$2:$A$12659,0)),"")</f>
        <v>83.6666666666667</v>
      </c>
    </row>
    <row r="1633" spans="1:31" ht="14.25" customHeight="1" x14ac:dyDescent="0.3">
      <c r="A1633" s="54" t="s">
        <v>848</v>
      </c>
      <c r="B1633" s="55" t="s">
        <v>1702</v>
      </c>
      <c r="C1633" s="56" t="s">
        <v>3320</v>
      </c>
      <c r="D1633" s="36">
        <v>1000004679</v>
      </c>
      <c r="E1633" s="55" t="s">
        <v>3321</v>
      </c>
      <c r="F1633" s="57">
        <v>46092</v>
      </c>
      <c r="G1633" s="22" t="str">
        <f t="shared" si="350"/>
        <v>Targeted Dealer</v>
      </c>
      <c r="H1633" s="58"/>
      <c r="I1633" s="23">
        <v>20</v>
      </c>
      <c r="J1633" s="23">
        <f t="shared" si="351"/>
        <v>20</v>
      </c>
      <c r="K1633" s="24">
        <v>0</v>
      </c>
      <c r="L1633" s="24">
        <f t="shared" si="352"/>
        <v>20</v>
      </c>
      <c r="M1633" s="24">
        <f t="shared" si="353"/>
        <v>0</v>
      </c>
      <c r="N1633" s="25">
        <v>20</v>
      </c>
      <c r="O1633" s="26" t="str">
        <f t="shared" si="354"/>
        <v>June</v>
      </c>
      <c r="P1633" s="25">
        <f t="shared" si="355"/>
        <v>20</v>
      </c>
      <c r="Q1633" s="27">
        <f t="shared" si="356"/>
        <v>-20</v>
      </c>
      <c r="R1633" s="26" t="b">
        <f t="shared" si="357"/>
        <v>0</v>
      </c>
      <c r="S1633" s="28" t="str">
        <f t="shared" si="358"/>
        <v>GROWTH</v>
      </c>
      <c r="T1633" s="24">
        <v>0</v>
      </c>
      <c r="U1633" s="29" t="str">
        <f t="shared" si="359"/>
        <v>May</v>
      </c>
      <c r="V1633" s="24">
        <f t="shared" si="360"/>
        <v>0</v>
      </c>
      <c r="W1633" s="30">
        <f t="shared" si="361"/>
        <v>0</v>
      </c>
      <c r="X1633" s="31" t="b">
        <f t="shared" si="362"/>
        <v>0</v>
      </c>
      <c r="Y1633" s="32" t="b">
        <f t="shared" si="363"/>
        <v>0</v>
      </c>
      <c r="Z1633" s="41">
        <v>0</v>
      </c>
      <c r="AA1633" s="36"/>
      <c r="AB1633" s="36" t="s">
        <v>24</v>
      </c>
      <c r="AC1633" s="54"/>
      <c r="AD1633" s="34"/>
      <c r="AE1633" s="35">
        <f>IFERROR(INDEX([1]Last6M_AvgSales_Ref!$B$2:$B$12659,MATCH(D1633,[1]Last6M_AvgSales_Ref!$A$2:$A$12659,0)),"")</f>
        <v>3.1666666666666701</v>
      </c>
    </row>
    <row r="1634" spans="1:31" ht="14.25" customHeight="1" x14ac:dyDescent="0.3">
      <c r="A1634" s="54" t="s">
        <v>848</v>
      </c>
      <c r="B1634" s="55" t="s">
        <v>1065</v>
      </c>
      <c r="C1634" s="56" t="s">
        <v>3322</v>
      </c>
      <c r="D1634" s="36">
        <v>1000000606</v>
      </c>
      <c r="E1634" s="55" t="s">
        <v>3323</v>
      </c>
      <c r="F1634" s="57">
        <v>44738</v>
      </c>
      <c r="G1634" s="22" t="str">
        <f t="shared" si="350"/>
        <v>-</v>
      </c>
      <c r="H1634" s="58"/>
      <c r="I1634" s="23">
        <v>0</v>
      </c>
      <c r="J1634" s="23">
        <f t="shared" si="351"/>
        <v>0</v>
      </c>
      <c r="K1634" s="24">
        <v>0</v>
      </c>
      <c r="L1634" s="24">
        <f t="shared" si="352"/>
        <v>0</v>
      </c>
      <c r="M1634" s="24" t="str">
        <f t="shared" si="353"/>
        <v>-</v>
      </c>
      <c r="N1634" s="25">
        <v>0</v>
      </c>
      <c r="O1634" s="26" t="str">
        <f t="shared" si="354"/>
        <v>June</v>
      </c>
      <c r="P1634" s="25">
        <f t="shared" si="355"/>
        <v>0</v>
      </c>
      <c r="Q1634" s="27">
        <f t="shared" si="356"/>
        <v>0</v>
      </c>
      <c r="R1634" s="26" t="b">
        <f t="shared" si="357"/>
        <v>0</v>
      </c>
      <c r="S1634" s="28" t="b">
        <f t="shared" si="358"/>
        <v>0</v>
      </c>
      <c r="T1634" s="24">
        <v>0</v>
      </c>
      <c r="U1634" s="29" t="str">
        <f t="shared" si="359"/>
        <v>May</v>
      </c>
      <c r="V1634" s="24">
        <f t="shared" si="360"/>
        <v>0</v>
      </c>
      <c r="W1634" s="30">
        <f t="shared" si="361"/>
        <v>0</v>
      </c>
      <c r="X1634" s="31" t="b">
        <f t="shared" si="362"/>
        <v>0</v>
      </c>
      <c r="Y1634" s="32" t="b">
        <f t="shared" si="363"/>
        <v>0</v>
      </c>
      <c r="Z1634" s="41">
        <v>0</v>
      </c>
      <c r="AA1634" s="36"/>
      <c r="AB1634" s="36" t="s">
        <v>24</v>
      </c>
      <c r="AC1634" s="54"/>
      <c r="AD1634" s="34"/>
      <c r="AE1634" s="35">
        <f>IFERROR(INDEX([1]Last6M_AvgSales_Ref!$B$2:$B$12659,MATCH(D1634,[1]Last6M_AvgSales_Ref!$A$2:$A$12659,0)),"")</f>
        <v>6.6666666666666696</v>
      </c>
    </row>
    <row r="1635" spans="1:31" ht="14.25" customHeight="1" x14ac:dyDescent="0.3">
      <c r="A1635" s="54" t="s">
        <v>2185</v>
      </c>
      <c r="B1635" s="55" t="s">
        <v>2353</v>
      </c>
      <c r="C1635" s="56" t="s">
        <v>3324</v>
      </c>
      <c r="D1635" s="36">
        <v>1000001656</v>
      </c>
      <c r="E1635" s="55" t="s">
        <v>3325</v>
      </c>
      <c r="F1635" s="57">
        <v>44739</v>
      </c>
      <c r="G1635" s="22" t="str">
        <f t="shared" si="350"/>
        <v>Targeted Dealer</v>
      </c>
      <c r="H1635" s="58"/>
      <c r="I1635" s="23">
        <v>20</v>
      </c>
      <c r="J1635" s="23">
        <f t="shared" si="351"/>
        <v>20</v>
      </c>
      <c r="K1635" s="24">
        <v>10</v>
      </c>
      <c r="L1635" s="24">
        <f t="shared" si="352"/>
        <v>10</v>
      </c>
      <c r="M1635" s="24">
        <f t="shared" si="353"/>
        <v>50</v>
      </c>
      <c r="N1635" s="25">
        <v>0</v>
      </c>
      <c r="O1635" s="26" t="str">
        <f t="shared" si="354"/>
        <v>June</v>
      </c>
      <c r="P1635" s="25">
        <f t="shared" si="355"/>
        <v>0</v>
      </c>
      <c r="Q1635" s="27">
        <f t="shared" si="356"/>
        <v>10</v>
      </c>
      <c r="R1635" s="26" t="b">
        <f t="shared" si="357"/>
        <v>0</v>
      </c>
      <c r="S1635" s="28" t="b">
        <f t="shared" si="358"/>
        <v>0</v>
      </c>
      <c r="T1635" s="24">
        <v>0</v>
      </c>
      <c r="U1635" s="29" t="str">
        <f t="shared" si="359"/>
        <v>May</v>
      </c>
      <c r="V1635" s="24">
        <f t="shared" si="360"/>
        <v>0</v>
      </c>
      <c r="W1635" s="30">
        <f t="shared" si="361"/>
        <v>10</v>
      </c>
      <c r="X1635" s="31" t="b">
        <f t="shared" si="362"/>
        <v>0</v>
      </c>
      <c r="Y1635" s="32" t="b">
        <f t="shared" si="363"/>
        <v>0</v>
      </c>
      <c r="Z1635" s="41">
        <v>0</v>
      </c>
      <c r="AA1635" s="36"/>
      <c r="AB1635" s="36" t="s">
        <v>24</v>
      </c>
      <c r="AC1635" s="54"/>
      <c r="AD1635" s="34"/>
      <c r="AE1635" s="35">
        <f>IFERROR(INDEX([1]Last6M_AvgSales_Ref!$B$2:$B$12659,MATCH(D1635,[1]Last6M_AvgSales_Ref!$A$2:$A$12659,0)),"")</f>
        <v>1.6666666666666701</v>
      </c>
    </row>
    <row r="1636" spans="1:31" ht="14.25" customHeight="1" x14ac:dyDescent="0.3">
      <c r="A1636" s="54" t="s">
        <v>24</v>
      </c>
      <c r="B1636" s="55" t="s">
        <v>801</v>
      </c>
      <c r="C1636" s="56" t="s">
        <v>3326</v>
      </c>
      <c r="D1636" s="36">
        <v>1000003570</v>
      </c>
      <c r="E1636" s="55" t="s">
        <v>3327</v>
      </c>
      <c r="F1636" s="57">
        <v>45078</v>
      </c>
      <c r="G1636" s="22" t="str">
        <f t="shared" si="350"/>
        <v>-</v>
      </c>
      <c r="H1636" s="58"/>
      <c r="I1636" s="23">
        <v>0</v>
      </c>
      <c r="J1636" s="23">
        <f t="shared" si="351"/>
        <v>0</v>
      </c>
      <c r="K1636" s="24">
        <v>0</v>
      </c>
      <c r="L1636" s="24">
        <f t="shared" si="352"/>
        <v>0</v>
      </c>
      <c r="M1636" s="24" t="str">
        <f t="shared" si="353"/>
        <v>-</v>
      </c>
      <c r="N1636" s="25">
        <v>0</v>
      </c>
      <c r="O1636" s="26" t="str">
        <f t="shared" si="354"/>
        <v>June</v>
      </c>
      <c r="P1636" s="25">
        <f t="shared" si="355"/>
        <v>0</v>
      </c>
      <c r="Q1636" s="27">
        <f t="shared" si="356"/>
        <v>0</v>
      </c>
      <c r="R1636" s="26" t="b">
        <f t="shared" si="357"/>
        <v>0</v>
      </c>
      <c r="S1636" s="28" t="b">
        <f t="shared" si="358"/>
        <v>0</v>
      </c>
      <c r="T1636" s="24">
        <v>0</v>
      </c>
      <c r="U1636" s="29" t="str">
        <f t="shared" si="359"/>
        <v>May</v>
      </c>
      <c r="V1636" s="24">
        <f t="shared" si="360"/>
        <v>0</v>
      </c>
      <c r="W1636" s="30">
        <f t="shared" si="361"/>
        <v>0</v>
      </c>
      <c r="X1636" s="31" t="b">
        <f t="shared" si="362"/>
        <v>0</v>
      </c>
      <c r="Y1636" s="32" t="b">
        <f t="shared" si="363"/>
        <v>0</v>
      </c>
      <c r="Z1636" s="41">
        <v>0</v>
      </c>
      <c r="AA1636" s="36"/>
      <c r="AB1636" s="36" t="s">
        <v>24</v>
      </c>
      <c r="AC1636" s="54"/>
      <c r="AD1636" s="34"/>
      <c r="AE1636" s="35">
        <f>IFERROR(INDEX([1]Last6M_AvgSales_Ref!$B$2:$B$12659,MATCH(D1636,[1]Last6M_AvgSales_Ref!$A$2:$A$12659,0)),"")</f>
        <v>11.6666666666667</v>
      </c>
    </row>
    <row r="1637" spans="1:31" ht="14.25" customHeight="1" x14ac:dyDescent="0.3">
      <c r="A1637" s="54" t="s">
        <v>24</v>
      </c>
      <c r="B1637" s="55" t="s">
        <v>25</v>
      </c>
      <c r="C1637" s="56" t="s">
        <v>3328</v>
      </c>
      <c r="D1637" s="36">
        <v>1000004669</v>
      </c>
      <c r="E1637" s="55" t="s">
        <v>3329</v>
      </c>
      <c r="F1637" s="57">
        <v>46091</v>
      </c>
      <c r="G1637" s="22" t="str">
        <f t="shared" si="350"/>
        <v>Targeted Dealer</v>
      </c>
      <c r="H1637" s="58"/>
      <c r="I1637" s="23">
        <v>30</v>
      </c>
      <c r="J1637" s="23">
        <f t="shared" si="351"/>
        <v>30</v>
      </c>
      <c r="K1637" s="24">
        <v>31</v>
      </c>
      <c r="L1637" s="24">
        <f t="shared" si="352"/>
        <v>-1</v>
      </c>
      <c r="M1637" s="24">
        <f t="shared" si="353"/>
        <v>103.33333333333334</v>
      </c>
      <c r="N1637" s="25">
        <v>20</v>
      </c>
      <c r="O1637" s="26" t="str">
        <f t="shared" si="354"/>
        <v>June</v>
      </c>
      <c r="P1637" s="25">
        <f t="shared" si="355"/>
        <v>20</v>
      </c>
      <c r="Q1637" s="27">
        <f t="shared" si="356"/>
        <v>11</v>
      </c>
      <c r="R1637" s="26" t="b">
        <f t="shared" si="357"/>
        <v>0</v>
      </c>
      <c r="S1637" s="28" t="str">
        <f t="shared" si="358"/>
        <v>GROWTH</v>
      </c>
      <c r="T1637" s="24">
        <v>0</v>
      </c>
      <c r="U1637" s="29" t="str">
        <f t="shared" si="359"/>
        <v>May</v>
      </c>
      <c r="V1637" s="24">
        <f t="shared" si="360"/>
        <v>0</v>
      </c>
      <c r="W1637" s="30">
        <f t="shared" si="361"/>
        <v>31</v>
      </c>
      <c r="X1637" s="31" t="b">
        <f t="shared" si="362"/>
        <v>0</v>
      </c>
      <c r="Y1637" s="32" t="b">
        <f t="shared" si="363"/>
        <v>0</v>
      </c>
      <c r="Z1637" s="41">
        <v>0</v>
      </c>
      <c r="AA1637" s="36"/>
      <c r="AB1637" s="36" t="s">
        <v>24</v>
      </c>
      <c r="AC1637" s="54"/>
      <c r="AD1637" s="34"/>
      <c r="AE1637" s="35">
        <f>IFERROR(INDEX([1]Last6M_AvgSales_Ref!$B$2:$B$12659,MATCH(D1637,[1]Last6M_AvgSales_Ref!$A$2:$A$12659,0)),"")</f>
        <v>7.5</v>
      </c>
    </row>
    <row r="1638" spans="1:31" ht="14.25" customHeight="1" x14ac:dyDescent="0.3">
      <c r="A1638" s="54" t="s">
        <v>2185</v>
      </c>
      <c r="B1638" s="55" t="s">
        <v>2425</v>
      </c>
      <c r="C1638" s="56" t="s">
        <v>3330</v>
      </c>
      <c r="D1638" s="36">
        <v>1000002793</v>
      </c>
      <c r="E1638" s="55" t="s">
        <v>3331</v>
      </c>
      <c r="F1638" s="57">
        <v>44741</v>
      </c>
      <c r="G1638" s="22" t="str">
        <f t="shared" si="350"/>
        <v>-</v>
      </c>
      <c r="H1638" s="58"/>
      <c r="I1638" s="23">
        <v>0</v>
      </c>
      <c r="J1638" s="23">
        <f t="shared" si="351"/>
        <v>0</v>
      </c>
      <c r="K1638" s="24">
        <v>0</v>
      </c>
      <c r="L1638" s="24">
        <f t="shared" si="352"/>
        <v>0</v>
      </c>
      <c r="M1638" s="24" t="str">
        <f t="shared" si="353"/>
        <v>-</v>
      </c>
      <c r="N1638" s="25">
        <v>0</v>
      </c>
      <c r="O1638" s="26" t="str">
        <f t="shared" si="354"/>
        <v>June</v>
      </c>
      <c r="P1638" s="25">
        <f t="shared" si="355"/>
        <v>0</v>
      </c>
      <c r="Q1638" s="27">
        <f t="shared" si="356"/>
        <v>0</v>
      </c>
      <c r="R1638" s="26" t="b">
        <f t="shared" si="357"/>
        <v>0</v>
      </c>
      <c r="S1638" s="28" t="b">
        <f t="shared" si="358"/>
        <v>0</v>
      </c>
      <c r="T1638" s="24">
        <v>0</v>
      </c>
      <c r="U1638" s="29" t="str">
        <f t="shared" si="359"/>
        <v>May</v>
      </c>
      <c r="V1638" s="24">
        <f t="shared" si="360"/>
        <v>0</v>
      </c>
      <c r="W1638" s="30">
        <f t="shared" si="361"/>
        <v>0</v>
      </c>
      <c r="X1638" s="31" t="b">
        <f t="shared" si="362"/>
        <v>0</v>
      </c>
      <c r="Y1638" s="32" t="b">
        <f t="shared" si="363"/>
        <v>0</v>
      </c>
      <c r="Z1638" s="41">
        <v>0</v>
      </c>
      <c r="AA1638" s="36"/>
      <c r="AB1638" s="36" t="s">
        <v>24</v>
      </c>
      <c r="AC1638" s="54"/>
      <c r="AD1638" s="34"/>
      <c r="AE1638" s="35">
        <f>IFERROR(INDEX([1]Last6M_AvgSales_Ref!$B$2:$B$12659,MATCH(D1638,[1]Last6M_AvgSales_Ref!$A$2:$A$12659,0)),"")</f>
        <v>1.1666666666666701</v>
      </c>
    </row>
    <row r="1639" spans="1:31" ht="14.25" customHeight="1" x14ac:dyDescent="0.3">
      <c r="A1639" s="54" t="s">
        <v>2185</v>
      </c>
      <c r="B1639" s="55" t="s">
        <v>2857</v>
      </c>
      <c r="C1639" s="56" t="s">
        <v>3332</v>
      </c>
      <c r="D1639" s="36">
        <v>1000001809</v>
      </c>
      <c r="E1639" s="55" t="s">
        <v>3333</v>
      </c>
      <c r="F1639" s="57">
        <v>44739</v>
      </c>
      <c r="G1639" s="22" t="str">
        <f t="shared" si="350"/>
        <v>Targeted Dealer</v>
      </c>
      <c r="H1639" s="58"/>
      <c r="I1639" s="23">
        <v>50</v>
      </c>
      <c r="J1639" s="23">
        <f t="shared" si="351"/>
        <v>50</v>
      </c>
      <c r="K1639" s="24">
        <v>55</v>
      </c>
      <c r="L1639" s="24">
        <f t="shared" si="352"/>
        <v>-5</v>
      </c>
      <c r="M1639" s="24">
        <f t="shared" si="353"/>
        <v>110</v>
      </c>
      <c r="N1639" s="25">
        <v>60</v>
      </c>
      <c r="O1639" s="26" t="str">
        <f t="shared" si="354"/>
        <v>June</v>
      </c>
      <c r="P1639" s="25">
        <f t="shared" si="355"/>
        <v>60</v>
      </c>
      <c r="Q1639" s="27">
        <f t="shared" si="356"/>
        <v>-5</v>
      </c>
      <c r="R1639" s="26" t="b">
        <f t="shared" si="357"/>
        <v>0</v>
      </c>
      <c r="S1639" s="28" t="str">
        <f t="shared" si="358"/>
        <v>GROWTH</v>
      </c>
      <c r="T1639" s="24">
        <v>0</v>
      </c>
      <c r="U1639" s="29" t="str">
        <f t="shared" si="359"/>
        <v>May</v>
      </c>
      <c r="V1639" s="24">
        <f t="shared" si="360"/>
        <v>0</v>
      </c>
      <c r="W1639" s="30">
        <f t="shared" si="361"/>
        <v>55</v>
      </c>
      <c r="X1639" s="31" t="b">
        <f t="shared" si="362"/>
        <v>0</v>
      </c>
      <c r="Y1639" s="32" t="b">
        <f t="shared" si="363"/>
        <v>0</v>
      </c>
      <c r="Z1639" s="41">
        <v>0</v>
      </c>
      <c r="AA1639" s="36"/>
      <c r="AB1639" s="36" t="s">
        <v>24</v>
      </c>
      <c r="AC1639" s="54"/>
      <c r="AD1639" s="34"/>
      <c r="AE1639" s="35">
        <f>IFERROR(INDEX([1]Last6M_AvgSales_Ref!$B$2:$B$12659,MATCH(D1639,[1]Last6M_AvgSales_Ref!$A$2:$A$12659,0)),"")</f>
        <v>13.3333333333333</v>
      </c>
    </row>
    <row r="1640" spans="1:31" ht="14.25" customHeight="1" x14ac:dyDescent="0.3">
      <c r="A1640" s="54" t="s">
        <v>24</v>
      </c>
      <c r="B1640" s="55" t="s">
        <v>698</v>
      </c>
      <c r="C1640" s="56" t="s">
        <v>3334</v>
      </c>
      <c r="D1640" s="36">
        <v>1000004684</v>
      </c>
      <c r="E1640" s="55" t="s">
        <v>3335</v>
      </c>
      <c r="F1640" s="57">
        <v>46101</v>
      </c>
      <c r="G1640" s="22" t="str">
        <f t="shared" si="350"/>
        <v>Targeted Dealer</v>
      </c>
      <c r="H1640" s="58"/>
      <c r="I1640" s="23">
        <v>250</v>
      </c>
      <c r="J1640" s="23">
        <f t="shared" si="351"/>
        <v>250.00000000000003</v>
      </c>
      <c r="K1640" s="24">
        <v>535</v>
      </c>
      <c r="L1640" s="24">
        <f t="shared" si="352"/>
        <v>-285</v>
      </c>
      <c r="M1640" s="24">
        <f t="shared" si="353"/>
        <v>213.99999999999997</v>
      </c>
      <c r="N1640" s="25">
        <v>437.5</v>
      </c>
      <c r="O1640" s="26" t="str">
        <f t="shared" si="354"/>
        <v>June</v>
      </c>
      <c r="P1640" s="25">
        <f t="shared" si="355"/>
        <v>437.5</v>
      </c>
      <c r="Q1640" s="27">
        <f t="shared" si="356"/>
        <v>97.5</v>
      </c>
      <c r="R1640" s="26" t="b">
        <f t="shared" si="357"/>
        <v>0</v>
      </c>
      <c r="S1640" s="28" t="str">
        <f t="shared" si="358"/>
        <v>GROWTH</v>
      </c>
      <c r="T1640" s="24">
        <v>0</v>
      </c>
      <c r="U1640" s="29" t="str">
        <f t="shared" si="359"/>
        <v>May</v>
      </c>
      <c r="V1640" s="24">
        <f t="shared" si="360"/>
        <v>0</v>
      </c>
      <c r="W1640" s="30">
        <f t="shared" si="361"/>
        <v>535</v>
      </c>
      <c r="X1640" s="31" t="b">
        <f t="shared" si="362"/>
        <v>0</v>
      </c>
      <c r="Y1640" s="32" t="b">
        <f t="shared" si="363"/>
        <v>0</v>
      </c>
      <c r="Z1640" s="41">
        <v>0</v>
      </c>
      <c r="AA1640" s="36"/>
      <c r="AB1640" s="36" t="s">
        <v>24</v>
      </c>
      <c r="AC1640" s="54"/>
      <c r="AD1640" s="34"/>
      <c r="AE1640" s="35">
        <f>IFERROR(INDEX([1]Last6M_AvgSales_Ref!$B$2:$B$12659,MATCH(D1640,[1]Last6M_AvgSales_Ref!$A$2:$A$12659,0)),"")</f>
        <v>81</v>
      </c>
    </row>
    <row r="1641" spans="1:31" ht="14.25" customHeight="1" x14ac:dyDescent="0.3">
      <c r="A1641" s="54" t="s">
        <v>24</v>
      </c>
      <c r="B1641" s="55" t="s">
        <v>698</v>
      </c>
      <c r="C1641" s="56" t="s">
        <v>3336</v>
      </c>
      <c r="D1641" s="36">
        <v>1000004692</v>
      </c>
      <c r="E1641" s="55" t="s">
        <v>3337</v>
      </c>
      <c r="F1641" s="57">
        <v>46104</v>
      </c>
      <c r="G1641" s="22" t="str">
        <f t="shared" si="350"/>
        <v>Targeted Dealer</v>
      </c>
      <c r="H1641" s="58"/>
      <c r="I1641" s="23">
        <v>160</v>
      </c>
      <c r="J1641" s="23">
        <f t="shared" si="351"/>
        <v>160</v>
      </c>
      <c r="K1641" s="24">
        <v>200</v>
      </c>
      <c r="L1641" s="24">
        <f t="shared" si="352"/>
        <v>-40</v>
      </c>
      <c r="M1641" s="24">
        <f t="shared" si="353"/>
        <v>125</v>
      </c>
      <c r="N1641" s="25">
        <v>173</v>
      </c>
      <c r="O1641" s="26" t="str">
        <f t="shared" si="354"/>
        <v>June</v>
      </c>
      <c r="P1641" s="25">
        <f t="shared" si="355"/>
        <v>173</v>
      </c>
      <c r="Q1641" s="27">
        <f t="shared" si="356"/>
        <v>27</v>
      </c>
      <c r="R1641" s="26" t="b">
        <f t="shared" si="357"/>
        <v>0</v>
      </c>
      <c r="S1641" s="28" t="str">
        <f t="shared" si="358"/>
        <v>GROWTH</v>
      </c>
      <c r="T1641" s="24">
        <v>0</v>
      </c>
      <c r="U1641" s="29" t="str">
        <f t="shared" si="359"/>
        <v>May</v>
      </c>
      <c r="V1641" s="24">
        <f t="shared" si="360"/>
        <v>0</v>
      </c>
      <c r="W1641" s="30">
        <f t="shared" si="361"/>
        <v>200</v>
      </c>
      <c r="X1641" s="31" t="b">
        <f t="shared" si="362"/>
        <v>0</v>
      </c>
      <c r="Y1641" s="32" t="b">
        <f t="shared" si="363"/>
        <v>0</v>
      </c>
      <c r="Z1641" s="41">
        <v>0</v>
      </c>
      <c r="AA1641" s="36"/>
      <c r="AB1641" s="36" t="s">
        <v>24</v>
      </c>
      <c r="AC1641" s="54"/>
      <c r="AD1641" s="34"/>
      <c r="AE1641" s="35">
        <f>IFERROR(INDEX([1]Last6M_AvgSales_Ref!$B$2:$B$12659,MATCH(D1641,[1]Last6M_AvgSales_Ref!$A$2:$A$12659,0)),"")</f>
        <v>40.1666666666667</v>
      </c>
    </row>
    <row r="1642" spans="1:31" ht="14.25" customHeight="1" x14ac:dyDescent="0.3">
      <c r="A1642" s="54" t="s">
        <v>24</v>
      </c>
      <c r="B1642" s="55" t="s">
        <v>535</v>
      </c>
      <c r="C1642" s="56" t="s">
        <v>3338</v>
      </c>
      <c r="D1642" s="36">
        <v>1000004678</v>
      </c>
      <c r="E1642" s="55" t="s">
        <v>3339</v>
      </c>
      <c r="F1642" s="57">
        <v>46092</v>
      </c>
      <c r="G1642" s="22" t="str">
        <f t="shared" si="350"/>
        <v>Targeted Dealer</v>
      </c>
      <c r="H1642" s="58"/>
      <c r="I1642" s="23">
        <v>15</v>
      </c>
      <c r="J1642" s="23">
        <f t="shared" si="351"/>
        <v>15</v>
      </c>
      <c r="K1642" s="24">
        <v>0</v>
      </c>
      <c r="L1642" s="24">
        <f t="shared" si="352"/>
        <v>15</v>
      </c>
      <c r="M1642" s="24">
        <f t="shared" si="353"/>
        <v>0</v>
      </c>
      <c r="N1642" s="25">
        <v>6</v>
      </c>
      <c r="O1642" s="26" t="str">
        <f t="shared" si="354"/>
        <v>June</v>
      </c>
      <c r="P1642" s="25">
        <f t="shared" si="355"/>
        <v>6</v>
      </c>
      <c r="Q1642" s="27">
        <f t="shared" si="356"/>
        <v>-6</v>
      </c>
      <c r="R1642" s="26" t="b">
        <f t="shared" si="357"/>
        <v>0</v>
      </c>
      <c r="S1642" s="28" t="str">
        <f t="shared" si="358"/>
        <v>GROWTH</v>
      </c>
      <c r="T1642" s="24">
        <v>0</v>
      </c>
      <c r="U1642" s="29" t="str">
        <f t="shared" si="359"/>
        <v>May</v>
      </c>
      <c r="V1642" s="24">
        <f t="shared" si="360"/>
        <v>0</v>
      </c>
      <c r="W1642" s="30">
        <f t="shared" si="361"/>
        <v>0</v>
      </c>
      <c r="X1642" s="31" t="b">
        <f t="shared" si="362"/>
        <v>0</v>
      </c>
      <c r="Y1642" s="32" t="b">
        <f t="shared" si="363"/>
        <v>0</v>
      </c>
      <c r="Z1642" s="41">
        <v>0</v>
      </c>
      <c r="AA1642" s="36"/>
      <c r="AB1642" s="36" t="s">
        <v>24</v>
      </c>
      <c r="AC1642" s="54"/>
      <c r="AD1642" s="34"/>
      <c r="AE1642" s="35">
        <f>IFERROR(INDEX([1]Last6M_AvgSales_Ref!$B$2:$B$12659,MATCH(D1642,[1]Last6M_AvgSales_Ref!$A$2:$A$12659,0)),"")</f>
        <v>5</v>
      </c>
    </row>
    <row r="1643" spans="1:31" ht="14.25" customHeight="1" x14ac:dyDescent="0.3">
      <c r="A1643" s="54" t="s">
        <v>24</v>
      </c>
      <c r="B1643" s="55" t="s">
        <v>174</v>
      </c>
      <c r="C1643" s="56" t="s">
        <v>3340</v>
      </c>
      <c r="D1643" s="36">
        <v>1000000743</v>
      </c>
      <c r="E1643" s="55" t="s">
        <v>3341</v>
      </c>
      <c r="F1643" s="57">
        <v>44738</v>
      </c>
      <c r="G1643" s="22" t="str">
        <f t="shared" si="350"/>
        <v>-</v>
      </c>
      <c r="H1643" s="58"/>
      <c r="I1643" s="23">
        <v>0</v>
      </c>
      <c r="J1643" s="23">
        <f t="shared" si="351"/>
        <v>0</v>
      </c>
      <c r="K1643" s="24">
        <v>3.5</v>
      </c>
      <c r="L1643" s="24">
        <f t="shared" si="352"/>
        <v>-3.5</v>
      </c>
      <c r="M1643" s="24" t="str">
        <f t="shared" si="353"/>
        <v>-</v>
      </c>
      <c r="N1643" s="25">
        <v>0</v>
      </c>
      <c r="O1643" s="26" t="str">
        <f t="shared" si="354"/>
        <v>June</v>
      </c>
      <c r="P1643" s="25">
        <f t="shared" si="355"/>
        <v>0</v>
      </c>
      <c r="Q1643" s="27">
        <f t="shared" si="356"/>
        <v>3.5</v>
      </c>
      <c r="R1643" s="26" t="b">
        <f t="shared" si="357"/>
        <v>0</v>
      </c>
      <c r="S1643" s="28" t="b">
        <f t="shared" si="358"/>
        <v>0</v>
      </c>
      <c r="T1643" s="24">
        <v>0</v>
      </c>
      <c r="U1643" s="29" t="str">
        <f t="shared" si="359"/>
        <v>May</v>
      </c>
      <c r="V1643" s="24">
        <f t="shared" si="360"/>
        <v>0</v>
      </c>
      <c r="W1643" s="30">
        <f t="shared" si="361"/>
        <v>3.5</v>
      </c>
      <c r="X1643" s="31" t="b">
        <f t="shared" si="362"/>
        <v>0</v>
      </c>
      <c r="Y1643" s="32" t="b">
        <f t="shared" si="363"/>
        <v>0</v>
      </c>
      <c r="Z1643" s="41">
        <v>0</v>
      </c>
      <c r="AA1643" s="36"/>
      <c r="AB1643" s="36" t="s">
        <v>24</v>
      </c>
      <c r="AC1643" s="54"/>
      <c r="AD1643" s="34"/>
      <c r="AE1643" s="35">
        <f>IFERROR(INDEX([1]Last6M_AvgSales_Ref!$B$2:$B$12659,MATCH(D1643,[1]Last6M_AvgSales_Ref!$A$2:$A$12659,0)),"")</f>
        <v>5</v>
      </c>
    </row>
    <row r="1644" spans="1:31" ht="14.25" customHeight="1" x14ac:dyDescent="0.3">
      <c r="A1644" s="54" t="s">
        <v>24</v>
      </c>
      <c r="B1644" s="55" t="s">
        <v>656</v>
      </c>
      <c r="C1644" s="56" t="s">
        <v>3342</v>
      </c>
      <c r="D1644" s="36">
        <v>1000000762</v>
      </c>
      <c r="E1644" s="55" t="s">
        <v>3343</v>
      </c>
      <c r="F1644" s="57">
        <v>44738</v>
      </c>
      <c r="G1644" s="22" t="str">
        <f t="shared" si="350"/>
        <v>-</v>
      </c>
      <c r="H1644" s="58"/>
      <c r="I1644" s="23">
        <v>0</v>
      </c>
      <c r="J1644" s="23">
        <f t="shared" si="351"/>
        <v>0</v>
      </c>
      <c r="K1644" s="24">
        <v>0</v>
      </c>
      <c r="L1644" s="24">
        <f t="shared" si="352"/>
        <v>0</v>
      </c>
      <c r="M1644" s="24" t="str">
        <f t="shared" si="353"/>
        <v>-</v>
      </c>
      <c r="N1644" s="25">
        <v>50</v>
      </c>
      <c r="O1644" s="26" t="str">
        <f t="shared" si="354"/>
        <v>June</v>
      </c>
      <c r="P1644" s="25">
        <f t="shared" si="355"/>
        <v>50</v>
      </c>
      <c r="Q1644" s="27">
        <f t="shared" si="356"/>
        <v>-50</v>
      </c>
      <c r="R1644" s="26" t="b">
        <f t="shared" si="357"/>
        <v>0</v>
      </c>
      <c r="S1644" s="28" t="str">
        <f t="shared" si="358"/>
        <v>GROWTH</v>
      </c>
      <c r="T1644" s="24">
        <v>0</v>
      </c>
      <c r="U1644" s="29" t="str">
        <f t="shared" si="359"/>
        <v>May</v>
      </c>
      <c r="V1644" s="24">
        <f t="shared" si="360"/>
        <v>0</v>
      </c>
      <c r="W1644" s="30">
        <f t="shared" si="361"/>
        <v>0</v>
      </c>
      <c r="X1644" s="31" t="b">
        <f t="shared" si="362"/>
        <v>0</v>
      </c>
      <c r="Y1644" s="32" t="b">
        <f t="shared" si="363"/>
        <v>0</v>
      </c>
      <c r="Z1644" s="41">
        <v>0</v>
      </c>
      <c r="AA1644" s="36"/>
      <c r="AB1644" s="36" t="s">
        <v>24</v>
      </c>
      <c r="AC1644" s="54"/>
      <c r="AD1644" s="34"/>
      <c r="AE1644" s="35">
        <f>IFERROR(INDEX([1]Last6M_AvgSales_Ref!$B$2:$B$12659,MATCH(D1644,[1]Last6M_AvgSales_Ref!$A$2:$A$12659,0)),"")</f>
        <v>5</v>
      </c>
    </row>
    <row r="1645" spans="1:31" ht="14.25" customHeight="1" x14ac:dyDescent="0.3">
      <c r="A1645" s="54" t="s">
        <v>24</v>
      </c>
      <c r="B1645" s="55" t="s">
        <v>656</v>
      </c>
      <c r="C1645" s="56" t="s">
        <v>3344</v>
      </c>
      <c r="D1645" s="36">
        <v>1000004680</v>
      </c>
      <c r="E1645" s="55" t="s">
        <v>3345</v>
      </c>
      <c r="F1645" s="57">
        <v>46097</v>
      </c>
      <c r="G1645" s="22" t="str">
        <f t="shared" si="350"/>
        <v>Targeted Dealer</v>
      </c>
      <c r="H1645" s="58"/>
      <c r="I1645" s="23">
        <v>75</v>
      </c>
      <c r="J1645" s="23">
        <f t="shared" si="351"/>
        <v>75</v>
      </c>
      <c r="K1645" s="24">
        <v>70</v>
      </c>
      <c r="L1645" s="24">
        <f t="shared" si="352"/>
        <v>5</v>
      </c>
      <c r="M1645" s="24">
        <f t="shared" si="353"/>
        <v>93.333333333333329</v>
      </c>
      <c r="N1645" s="25">
        <v>70</v>
      </c>
      <c r="O1645" s="26" t="str">
        <f t="shared" si="354"/>
        <v>June</v>
      </c>
      <c r="P1645" s="25">
        <f t="shared" si="355"/>
        <v>70</v>
      </c>
      <c r="Q1645" s="27">
        <f t="shared" si="356"/>
        <v>0</v>
      </c>
      <c r="R1645" s="26" t="b">
        <f t="shared" si="357"/>
        <v>0</v>
      </c>
      <c r="S1645" s="28" t="str">
        <f t="shared" si="358"/>
        <v>GROWTH</v>
      </c>
      <c r="T1645" s="24">
        <v>0</v>
      </c>
      <c r="U1645" s="29" t="str">
        <f t="shared" si="359"/>
        <v>May</v>
      </c>
      <c r="V1645" s="24">
        <f t="shared" si="360"/>
        <v>0</v>
      </c>
      <c r="W1645" s="30">
        <f t="shared" si="361"/>
        <v>70</v>
      </c>
      <c r="X1645" s="31" t="b">
        <f t="shared" si="362"/>
        <v>0</v>
      </c>
      <c r="Y1645" s="32" t="b">
        <f t="shared" si="363"/>
        <v>0</v>
      </c>
      <c r="Z1645" s="41">
        <v>0</v>
      </c>
      <c r="AA1645" s="36"/>
      <c r="AB1645" s="36" t="s">
        <v>24</v>
      </c>
      <c r="AC1645" s="54"/>
      <c r="AD1645" s="34"/>
      <c r="AE1645" s="35">
        <f>IFERROR(INDEX([1]Last6M_AvgSales_Ref!$B$2:$B$12659,MATCH(D1645,[1]Last6M_AvgSales_Ref!$A$2:$A$12659,0)),"")</f>
        <v>18.3333333333333</v>
      </c>
    </row>
    <row r="1646" spans="1:31" ht="14.25" customHeight="1" x14ac:dyDescent="0.3">
      <c r="A1646" s="54" t="s">
        <v>848</v>
      </c>
      <c r="B1646" s="55" t="s">
        <v>1420</v>
      </c>
      <c r="C1646" s="56" t="s">
        <v>3346</v>
      </c>
      <c r="D1646" s="36">
        <v>1000004668</v>
      </c>
      <c r="E1646" s="55" t="s">
        <v>3347</v>
      </c>
      <c r="F1646" s="57">
        <v>46091</v>
      </c>
      <c r="G1646" s="22" t="str">
        <f t="shared" si="350"/>
        <v>Targeted Dealer</v>
      </c>
      <c r="H1646" s="58"/>
      <c r="I1646" s="23">
        <v>110</v>
      </c>
      <c r="J1646" s="23">
        <f t="shared" si="351"/>
        <v>110</v>
      </c>
      <c r="K1646" s="24">
        <v>75.5</v>
      </c>
      <c r="L1646" s="24">
        <f t="shared" si="352"/>
        <v>34.5</v>
      </c>
      <c r="M1646" s="24">
        <f t="shared" si="353"/>
        <v>68.636363636363626</v>
      </c>
      <c r="N1646" s="25">
        <v>109</v>
      </c>
      <c r="O1646" s="26" t="str">
        <f t="shared" si="354"/>
        <v>June</v>
      </c>
      <c r="P1646" s="25">
        <f t="shared" si="355"/>
        <v>109</v>
      </c>
      <c r="Q1646" s="27">
        <f t="shared" si="356"/>
        <v>-33.5</v>
      </c>
      <c r="R1646" s="26" t="b">
        <f t="shared" si="357"/>
        <v>0</v>
      </c>
      <c r="S1646" s="28" t="str">
        <f t="shared" si="358"/>
        <v>GROWTH</v>
      </c>
      <c r="T1646" s="24">
        <v>0</v>
      </c>
      <c r="U1646" s="29" t="str">
        <f t="shared" si="359"/>
        <v>May</v>
      </c>
      <c r="V1646" s="24">
        <f t="shared" si="360"/>
        <v>0</v>
      </c>
      <c r="W1646" s="30">
        <f t="shared" si="361"/>
        <v>75.5</v>
      </c>
      <c r="X1646" s="31" t="b">
        <f t="shared" si="362"/>
        <v>0</v>
      </c>
      <c r="Y1646" s="32" t="b">
        <f t="shared" si="363"/>
        <v>0</v>
      </c>
      <c r="Z1646" s="41">
        <v>0</v>
      </c>
      <c r="AA1646" s="36"/>
      <c r="AB1646" s="36" t="s">
        <v>24</v>
      </c>
      <c r="AC1646" s="54"/>
      <c r="AD1646" s="34"/>
      <c r="AE1646" s="35">
        <f>IFERROR(INDEX([1]Last6M_AvgSales_Ref!$B$2:$B$12659,MATCH(D1646,[1]Last6M_AvgSales_Ref!$A$2:$A$12659,0)),"")</f>
        <v>20.9166666666667</v>
      </c>
    </row>
    <row r="1647" spans="1:31" ht="14.25" customHeight="1" x14ac:dyDescent="0.3">
      <c r="A1647" s="54" t="s">
        <v>2027</v>
      </c>
      <c r="B1647" s="55" t="s">
        <v>2028</v>
      </c>
      <c r="C1647" s="56" t="s">
        <v>3348</v>
      </c>
      <c r="D1647" s="36">
        <v>1000004578</v>
      </c>
      <c r="E1647" s="55" t="s">
        <v>3349</v>
      </c>
      <c r="F1647" s="57">
        <v>46016</v>
      </c>
      <c r="G1647" s="22" t="str">
        <f t="shared" si="350"/>
        <v>Targeted Dealer</v>
      </c>
      <c r="H1647" s="58"/>
      <c r="I1647" s="23">
        <v>40</v>
      </c>
      <c r="J1647" s="23">
        <f t="shared" si="351"/>
        <v>40</v>
      </c>
      <c r="K1647" s="24">
        <v>5</v>
      </c>
      <c r="L1647" s="24">
        <f t="shared" si="352"/>
        <v>35</v>
      </c>
      <c r="M1647" s="24">
        <f t="shared" si="353"/>
        <v>12.5</v>
      </c>
      <c r="N1647" s="25">
        <v>8.75</v>
      </c>
      <c r="O1647" s="26" t="str">
        <f t="shared" si="354"/>
        <v>June</v>
      </c>
      <c r="P1647" s="25">
        <f t="shared" si="355"/>
        <v>8.75</v>
      </c>
      <c r="Q1647" s="27">
        <f t="shared" si="356"/>
        <v>-3.75</v>
      </c>
      <c r="R1647" s="26" t="b">
        <f t="shared" si="357"/>
        <v>0</v>
      </c>
      <c r="S1647" s="28" t="str">
        <f t="shared" si="358"/>
        <v>GROWTH</v>
      </c>
      <c r="T1647" s="24">
        <v>0</v>
      </c>
      <c r="U1647" s="29" t="str">
        <f t="shared" si="359"/>
        <v>May</v>
      </c>
      <c r="V1647" s="24">
        <f t="shared" si="360"/>
        <v>0</v>
      </c>
      <c r="W1647" s="30">
        <f t="shared" si="361"/>
        <v>5</v>
      </c>
      <c r="X1647" s="31" t="b">
        <f t="shared" si="362"/>
        <v>0</v>
      </c>
      <c r="Y1647" s="32" t="b">
        <f t="shared" si="363"/>
        <v>0</v>
      </c>
      <c r="Z1647" s="41">
        <v>0</v>
      </c>
      <c r="AA1647" s="36"/>
      <c r="AB1647" s="36" t="s">
        <v>24</v>
      </c>
      <c r="AC1647" s="54"/>
      <c r="AD1647" s="34"/>
      <c r="AE1647" s="35">
        <f>IFERROR(INDEX([1]Last6M_AvgSales_Ref!$B$2:$B$12659,MATCH(D1647,[1]Last6M_AvgSales_Ref!$A$2:$A$12659,0)),"")</f>
        <v>7.4166666666666696</v>
      </c>
    </row>
    <row r="1648" spans="1:31" ht="14.25" customHeight="1" x14ac:dyDescent="0.3">
      <c r="A1648" s="54" t="s">
        <v>848</v>
      </c>
      <c r="B1648" s="55" t="s">
        <v>1329</v>
      </c>
      <c r="C1648" s="56" t="s">
        <v>3350</v>
      </c>
      <c r="D1648" s="36">
        <v>1000004685</v>
      </c>
      <c r="E1648" s="55" t="s">
        <v>3351</v>
      </c>
      <c r="F1648" s="57">
        <v>46122</v>
      </c>
      <c r="G1648" s="22" t="str">
        <f t="shared" si="350"/>
        <v>Targeted Dealer</v>
      </c>
      <c r="H1648" s="58"/>
      <c r="I1648" s="23">
        <v>500</v>
      </c>
      <c r="J1648" s="23">
        <f t="shared" si="351"/>
        <v>500.00000000000006</v>
      </c>
      <c r="K1648" s="24">
        <v>420.5</v>
      </c>
      <c r="L1648" s="24">
        <f t="shared" si="352"/>
        <v>79.5</v>
      </c>
      <c r="M1648" s="24">
        <f t="shared" si="353"/>
        <v>84.09999999999998</v>
      </c>
      <c r="N1648" s="25">
        <v>270</v>
      </c>
      <c r="O1648" s="26" t="str">
        <f t="shared" si="354"/>
        <v>June</v>
      </c>
      <c r="P1648" s="25">
        <f t="shared" si="355"/>
        <v>270</v>
      </c>
      <c r="Q1648" s="27">
        <f t="shared" si="356"/>
        <v>150.5</v>
      </c>
      <c r="R1648" s="26" t="b">
        <f t="shared" si="357"/>
        <v>0</v>
      </c>
      <c r="S1648" s="28" t="str">
        <f t="shared" si="358"/>
        <v>GROWTH</v>
      </c>
      <c r="T1648" s="24">
        <v>0</v>
      </c>
      <c r="U1648" s="29" t="str">
        <f t="shared" si="359"/>
        <v>May</v>
      </c>
      <c r="V1648" s="24">
        <f t="shared" si="360"/>
        <v>0</v>
      </c>
      <c r="W1648" s="30">
        <f t="shared" si="361"/>
        <v>420.5</v>
      </c>
      <c r="X1648" s="31" t="b">
        <f t="shared" si="362"/>
        <v>0</v>
      </c>
      <c r="Y1648" s="32" t="b">
        <f t="shared" si="363"/>
        <v>0</v>
      </c>
      <c r="Z1648" s="41">
        <v>0</v>
      </c>
      <c r="AA1648" s="36"/>
      <c r="AB1648" s="36" t="s">
        <v>24</v>
      </c>
      <c r="AC1648" s="54"/>
      <c r="AD1648" s="34"/>
      <c r="AE1648" s="35">
        <f>IFERROR(INDEX([1]Last6M_AvgSales_Ref!$B$2:$B$12659,MATCH(D1648,[1]Last6M_AvgSales_Ref!$A$2:$A$12659,0)),"")</f>
        <v>39.1666666666667</v>
      </c>
    </row>
    <row r="1649" spans="1:31" ht="14.25" customHeight="1" x14ac:dyDescent="0.3">
      <c r="A1649" s="54" t="s">
        <v>848</v>
      </c>
      <c r="B1649" s="55" t="s">
        <v>1558</v>
      </c>
      <c r="C1649" s="56" t="s">
        <v>3352</v>
      </c>
      <c r="D1649" s="36">
        <v>1000004707</v>
      </c>
      <c r="E1649" s="55" t="s">
        <v>3353</v>
      </c>
      <c r="F1649" s="57">
        <v>46139</v>
      </c>
      <c r="G1649" s="22" t="str">
        <f t="shared" si="350"/>
        <v>Targeted Dealer</v>
      </c>
      <c r="H1649" s="58"/>
      <c r="I1649" s="23">
        <v>100</v>
      </c>
      <c r="J1649" s="23">
        <f t="shared" si="351"/>
        <v>100</v>
      </c>
      <c r="K1649" s="24">
        <v>194.7</v>
      </c>
      <c r="L1649" s="24">
        <f t="shared" si="352"/>
        <v>-94.699999999999989</v>
      </c>
      <c r="M1649" s="24">
        <f t="shared" si="353"/>
        <v>194.7</v>
      </c>
      <c r="N1649" s="25">
        <v>143</v>
      </c>
      <c r="O1649" s="26" t="str">
        <f t="shared" si="354"/>
        <v>June</v>
      </c>
      <c r="P1649" s="25">
        <f t="shared" si="355"/>
        <v>143</v>
      </c>
      <c r="Q1649" s="27">
        <f t="shared" si="356"/>
        <v>51.699999999999989</v>
      </c>
      <c r="R1649" s="26" t="b">
        <f t="shared" si="357"/>
        <v>0</v>
      </c>
      <c r="S1649" s="28" t="str">
        <f t="shared" si="358"/>
        <v>GROWTH</v>
      </c>
      <c r="T1649" s="24">
        <v>0</v>
      </c>
      <c r="U1649" s="29" t="str">
        <f t="shared" si="359"/>
        <v>May</v>
      </c>
      <c r="V1649" s="24">
        <f t="shared" si="360"/>
        <v>0</v>
      </c>
      <c r="W1649" s="30">
        <f t="shared" si="361"/>
        <v>194.7</v>
      </c>
      <c r="X1649" s="31" t="b">
        <f t="shared" si="362"/>
        <v>0</v>
      </c>
      <c r="Y1649" s="32" t="b">
        <f t="shared" si="363"/>
        <v>0</v>
      </c>
      <c r="Z1649" s="41">
        <v>0</v>
      </c>
      <c r="AA1649" s="36"/>
      <c r="AB1649" s="36" t="s">
        <v>24</v>
      </c>
      <c r="AC1649" s="54"/>
      <c r="AD1649" s="34"/>
      <c r="AE1649" s="35">
        <f>IFERROR(INDEX([1]Last6M_AvgSales_Ref!$B$2:$B$12659,MATCH(D1649,[1]Last6M_AvgSales_Ref!$A$2:$A$12659,0)),"")</f>
        <v>5</v>
      </c>
    </row>
    <row r="1650" spans="1:31" ht="14.25" customHeight="1" x14ac:dyDescent="0.3">
      <c r="A1650" s="54" t="s">
        <v>1836</v>
      </c>
      <c r="B1650" s="55" t="s">
        <v>2145</v>
      </c>
      <c r="C1650" s="56" t="s">
        <v>3354</v>
      </c>
      <c r="D1650" s="36">
        <v>1000004689</v>
      </c>
      <c r="E1650" s="55" t="s">
        <v>3355</v>
      </c>
      <c r="F1650" s="57">
        <v>46128</v>
      </c>
      <c r="G1650" s="22" t="str">
        <f t="shared" si="350"/>
        <v>Targeted Dealer</v>
      </c>
      <c r="H1650" s="58"/>
      <c r="I1650" s="23">
        <v>100</v>
      </c>
      <c r="J1650" s="23">
        <f t="shared" si="351"/>
        <v>100</v>
      </c>
      <c r="K1650" s="24">
        <v>112.75</v>
      </c>
      <c r="L1650" s="24">
        <f t="shared" si="352"/>
        <v>-12.75</v>
      </c>
      <c r="M1650" s="24">
        <f t="shared" si="353"/>
        <v>112.75</v>
      </c>
      <c r="N1650" s="25">
        <v>23</v>
      </c>
      <c r="O1650" s="26" t="str">
        <f t="shared" si="354"/>
        <v>June</v>
      </c>
      <c r="P1650" s="25">
        <f t="shared" si="355"/>
        <v>23</v>
      </c>
      <c r="Q1650" s="27">
        <f t="shared" si="356"/>
        <v>89.75</v>
      </c>
      <c r="R1650" s="26" t="b">
        <f t="shared" si="357"/>
        <v>0</v>
      </c>
      <c r="S1650" s="28" t="str">
        <f t="shared" si="358"/>
        <v>GROWTH</v>
      </c>
      <c r="T1650" s="24">
        <v>0</v>
      </c>
      <c r="U1650" s="29" t="str">
        <f t="shared" si="359"/>
        <v>May</v>
      </c>
      <c r="V1650" s="24">
        <f t="shared" si="360"/>
        <v>0</v>
      </c>
      <c r="W1650" s="30">
        <f t="shared" si="361"/>
        <v>112.75</v>
      </c>
      <c r="X1650" s="31" t="b">
        <f t="shared" si="362"/>
        <v>0</v>
      </c>
      <c r="Y1650" s="32" t="b">
        <f t="shared" si="363"/>
        <v>0</v>
      </c>
      <c r="Z1650" s="41">
        <v>0</v>
      </c>
      <c r="AA1650" s="36"/>
      <c r="AB1650" s="36" t="s">
        <v>24</v>
      </c>
      <c r="AC1650" s="54"/>
      <c r="AD1650" s="34"/>
      <c r="AE1650" s="35">
        <f>IFERROR(INDEX([1]Last6M_AvgSales_Ref!$B$2:$B$12659,MATCH(D1650,[1]Last6M_AvgSales_Ref!$A$2:$A$12659,0)),"")</f>
        <v>12.6666666666667</v>
      </c>
    </row>
    <row r="1651" spans="1:31" ht="14.25" customHeight="1" x14ac:dyDescent="0.3">
      <c r="A1651" s="54" t="s">
        <v>848</v>
      </c>
      <c r="B1651" s="55" t="s">
        <v>849</v>
      </c>
      <c r="C1651" s="56" t="s">
        <v>3356</v>
      </c>
      <c r="D1651" s="36">
        <v>1000004199</v>
      </c>
      <c r="E1651" s="55" t="s">
        <v>3357</v>
      </c>
      <c r="F1651" s="57">
        <v>45656</v>
      </c>
      <c r="G1651" s="22" t="str">
        <f t="shared" si="350"/>
        <v>Targeted Dealer</v>
      </c>
      <c r="H1651" s="58"/>
      <c r="I1651" s="23">
        <v>26</v>
      </c>
      <c r="J1651" s="23">
        <f t="shared" si="351"/>
        <v>26</v>
      </c>
      <c r="K1651" s="24">
        <v>13</v>
      </c>
      <c r="L1651" s="24">
        <f t="shared" si="352"/>
        <v>13</v>
      </c>
      <c r="M1651" s="24">
        <f t="shared" si="353"/>
        <v>50</v>
      </c>
      <c r="N1651" s="25">
        <v>13</v>
      </c>
      <c r="O1651" s="26" t="str">
        <f t="shared" si="354"/>
        <v>June</v>
      </c>
      <c r="P1651" s="25">
        <f t="shared" si="355"/>
        <v>13</v>
      </c>
      <c r="Q1651" s="27">
        <f t="shared" si="356"/>
        <v>0</v>
      </c>
      <c r="R1651" s="26" t="b">
        <f t="shared" si="357"/>
        <v>0</v>
      </c>
      <c r="S1651" s="28" t="str">
        <f t="shared" si="358"/>
        <v>GROWTH</v>
      </c>
      <c r="T1651" s="24">
        <v>25</v>
      </c>
      <c r="U1651" s="29" t="str">
        <f t="shared" si="359"/>
        <v>May</v>
      </c>
      <c r="V1651" s="24">
        <f t="shared" si="360"/>
        <v>25</v>
      </c>
      <c r="W1651" s="30">
        <f t="shared" si="361"/>
        <v>-12</v>
      </c>
      <c r="X1651" s="31" t="b">
        <f t="shared" si="362"/>
        <v>0</v>
      </c>
      <c r="Y1651" s="32" t="str">
        <f t="shared" si="363"/>
        <v>GROWTH</v>
      </c>
      <c r="Z1651" s="41">
        <v>0</v>
      </c>
      <c r="AA1651" s="36"/>
      <c r="AB1651" s="36" t="s">
        <v>24</v>
      </c>
      <c r="AC1651" s="54"/>
      <c r="AD1651" s="34"/>
      <c r="AE1651" s="35">
        <f>IFERROR(INDEX([1]Last6M_AvgSales_Ref!$B$2:$B$12659,MATCH(D1651,[1]Last6M_AvgSales_Ref!$A$2:$A$12659,0)),"")</f>
        <v>4.3333333333333304</v>
      </c>
    </row>
    <row r="1652" spans="1:31" ht="14.25" customHeight="1" x14ac:dyDescent="0.3">
      <c r="A1652" s="54" t="s">
        <v>848</v>
      </c>
      <c r="B1652" s="55" t="s">
        <v>996</v>
      </c>
      <c r="C1652" s="56" t="s">
        <v>3358</v>
      </c>
      <c r="D1652" s="36">
        <v>1000002626</v>
      </c>
      <c r="E1652" s="55" t="s">
        <v>3215</v>
      </c>
      <c r="F1652" s="57">
        <v>44738</v>
      </c>
      <c r="G1652" s="22" t="str">
        <f t="shared" si="350"/>
        <v>Targeted Dealer</v>
      </c>
      <c r="H1652" s="58"/>
      <c r="I1652" s="23">
        <v>100</v>
      </c>
      <c r="J1652" s="23">
        <f t="shared" si="351"/>
        <v>100</v>
      </c>
      <c r="K1652" s="24">
        <v>44</v>
      </c>
      <c r="L1652" s="24">
        <f t="shared" si="352"/>
        <v>56</v>
      </c>
      <c r="M1652" s="24">
        <f t="shared" si="353"/>
        <v>44</v>
      </c>
      <c r="N1652" s="25">
        <v>46</v>
      </c>
      <c r="O1652" s="26" t="str">
        <f t="shared" si="354"/>
        <v>June</v>
      </c>
      <c r="P1652" s="25">
        <f t="shared" si="355"/>
        <v>46</v>
      </c>
      <c r="Q1652" s="27">
        <f t="shared" si="356"/>
        <v>-2</v>
      </c>
      <c r="R1652" s="26" t="b">
        <f t="shared" si="357"/>
        <v>0</v>
      </c>
      <c r="S1652" s="28" t="str">
        <f t="shared" si="358"/>
        <v>GROWTH</v>
      </c>
      <c r="T1652" s="24">
        <v>0</v>
      </c>
      <c r="U1652" s="29" t="str">
        <f t="shared" si="359"/>
        <v>May</v>
      </c>
      <c r="V1652" s="24">
        <f t="shared" si="360"/>
        <v>0</v>
      </c>
      <c r="W1652" s="30">
        <f t="shared" si="361"/>
        <v>44</v>
      </c>
      <c r="X1652" s="31" t="b">
        <f t="shared" si="362"/>
        <v>0</v>
      </c>
      <c r="Y1652" s="32" t="b">
        <f t="shared" si="363"/>
        <v>0</v>
      </c>
      <c r="Z1652" s="41">
        <v>0</v>
      </c>
      <c r="AA1652" s="36"/>
      <c r="AB1652" s="36" t="s">
        <v>24</v>
      </c>
      <c r="AC1652" s="54"/>
      <c r="AD1652" s="34"/>
      <c r="AE1652" s="35">
        <f>IFERROR(INDEX([1]Last6M_AvgSales_Ref!$B$2:$B$12659,MATCH(D1652,[1]Last6M_AvgSales_Ref!$A$2:$A$12659,0)),"")</f>
        <v>8.6666666666666696</v>
      </c>
    </row>
    <row r="1653" spans="1:31" ht="14.25" customHeight="1" x14ac:dyDescent="0.3">
      <c r="A1653" s="54" t="s">
        <v>848</v>
      </c>
      <c r="B1653" s="55" t="s">
        <v>996</v>
      </c>
      <c r="C1653" s="56" t="s">
        <v>3359</v>
      </c>
      <c r="D1653" s="36">
        <v>1000004693</v>
      </c>
      <c r="E1653" s="55" t="s">
        <v>3360</v>
      </c>
      <c r="F1653" s="57">
        <v>46108</v>
      </c>
      <c r="G1653" s="22" t="str">
        <f t="shared" si="350"/>
        <v>Targeted Dealer</v>
      </c>
      <c r="H1653" s="58"/>
      <c r="I1653" s="23">
        <v>1400</v>
      </c>
      <c r="J1653" s="23">
        <f t="shared" si="351"/>
        <v>1400</v>
      </c>
      <c r="K1653" s="24">
        <v>1068.75</v>
      </c>
      <c r="L1653" s="24">
        <f t="shared" si="352"/>
        <v>331.25</v>
      </c>
      <c r="M1653" s="24">
        <f t="shared" si="353"/>
        <v>76.339285714285708</v>
      </c>
      <c r="N1653" s="25">
        <v>1075.5</v>
      </c>
      <c r="O1653" s="26" t="str">
        <f t="shared" si="354"/>
        <v>June</v>
      </c>
      <c r="P1653" s="25">
        <f t="shared" si="355"/>
        <v>1075.5</v>
      </c>
      <c r="Q1653" s="27">
        <f t="shared" si="356"/>
        <v>-6.75</v>
      </c>
      <c r="R1653" s="26" t="b">
        <f t="shared" si="357"/>
        <v>0</v>
      </c>
      <c r="S1653" s="28" t="str">
        <f t="shared" si="358"/>
        <v>GROWTH</v>
      </c>
      <c r="T1653" s="24">
        <v>0</v>
      </c>
      <c r="U1653" s="29" t="str">
        <f t="shared" si="359"/>
        <v>May</v>
      </c>
      <c r="V1653" s="24">
        <f t="shared" si="360"/>
        <v>0</v>
      </c>
      <c r="W1653" s="30">
        <f t="shared" si="361"/>
        <v>1068.75</v>
      </c>
      <c r="X1653" s="31" t="b">
        <f t="shared" si="362"/>
        <v>0</v>
      </c>
      <c r="Y1653" s="32" t="b">
        <f t="shared" si="363"/>
        <v>0</v>
      </c>
      <c r="Z1653" s="41">
        <v>0</v>
      </c>
      <c r="AA1653" s="36"/>
      <c r="AB1653" s="36" t="s">
        <v>24</v>
      </c>
      <c r="AC1653" s="54"/>
      <c r="AD1653" s="34"/>
      <c r="AE1653" s="35">
        <f>IFERROR(INDEX([1]Last6M_AvgSales_Ref!$B$2:$B$12659,MATCH(D1653,[1]Last6M_AvgSales_Ref!$A$2:$A$12659,0)),"")</f>
        <v>89.7083333333333</v>
      </c>
    </row>
    <row r="1654" spans="1:31" ht="14.25" customHeight="1" x14ac:dyDescent="0.3">
      <c r="A1654" s="54" t="s">
        <v>848</v>
      </c>
      <c r="B1654" s="55" t="s">
        <v>996</v>
      </c>
      <c r="C1654" s="56" t="s">
        <v>3361</v>
      </c>
      <c r="D1654" s="36">
        <v>1000004697</v>
      </c>
      <c r="E1654" s="55" t="s">
        <v>3362</v>
      </c>
      <c r="F1654" s="57">
        <v>46120</v>
      </c>
      <c r="G1654" s="22" t="str">
        <f t="shared" si="350"/>
        <v>Targeted Dealer</v>
      </c>
      <c r="H1654" s="58"/>
      <c r="I1654" s="23">
        <v>40</v>
      </c>
      <c r="J1654" s="23">
        <f t="shared" si="351"/>
        <v>40</v>
      </c>
      <c r="K1654" s="24">
        <v>59.5</v>
      </c>
      <c r="L1654" s="24">
        <f t="shared" si="352"/>
        <v>-19.5</v>
      </c>
      <c r="M1654" s="24">
        <f t="shared" si="353"/>
        <v>148.75</v>
      </c>
      <c r="N1654" s="25">
        <v>14</v>
      </c>
      <c r="O1654" s="26" t="str">
        <f t="shared" si="354"/>
        <v>June</v>
      </c>
      <c r="P1654" s="25">
        <f t="shared" si="355"/>
        <v>14</v>
      </c>
      <c r="Q1654" s="27">
        <f t="shared" si="356"/>
        <v>45.5</v>
      </c>
      <c r="R1654" s="26" t="b">
        <f t="shared" si="357"/>
        <v>0</v>
      </c>
      <c r="S1654" s="28" t="str">
        <f t="shared" si="358"/>
        <v>GROWTH</v>
      </c>
      <c r="T1654" s="24">
        <v>0</v>
      </c>
      <c r="U1654" s="29" t="str">
        <f t="shared" si="359"/>
        <v>May</v>
      </c>
      <c r="V1654" s="24">
        <f t="shared" si="360"/>
        <v>0</v>
      </c>
      <c r="W1654" s="30">
        <f t="shared" si="361"/>
        <v>59.5</v>
      </c>
      <c r="X1654" s="31" t="b">
        <f t="shared" si="362"/>
        <v>0</v>
      </c>
      <c r="Y1654" s="32" t="b">
        <f t="shared" si="363"/>
        <v>0</v>
      </c>
      <c r="Z1654" s="41">
        <v>0</v>
      </c>
      <c r="AA1654" s="36"/>
      <c r="AB1654" s="36" t="s">
        <v>24</v>
      </c>
      <c r="AC1654" s="54"/>
      <c r="AD1654" s="34"/>
      <c r="AE1654" s="35">
        <f>IFERROR(INDEX([1]Last6M_AvgSales_Ref!$B$2:$B$12659,MATCH(D1654,[1]Last6M_AvgSales_Ref!$A$2:$A$12659,0)),"")</f>
        <v>1.75</v>
      </c>
    </row>
    <row r="1655" spans="1:31" ht="14.25" customHeight="1" x14ac:dyDescent="0.3">
      <c r="A1655" s="54" t="s">
        <v>848</v>
      </c>
      <c r="B1655" s="55" t="s">
        <v>996</v>
      </c>
      <c r="C1655" s="56" t="s">
        <v>3363</v>
      </c>
      <c r="D1655" s="36">
        <v>1000004687</v>
      </c>
      <c r="E1655" s="55" t="s">
        <v>3364</v>
      </c>
      <c r="F1655" s="57">
        <v>46122</v>
      </c>
      <c r="G1655" s="22" t="str">
        <f t="shared" si="350"/>
        <v>Targeted Dealer</v>
      </c>
      <c r="H1655" s="58"/>
      <c r="I1655" s="23">
        <v>80</v>
      </c>
      <c r="J1655" s="23">
        <f t="shared" si="351"/>
        <v>80</v>
      </c>
      <c r="K1655" s="24">
        <v>93.5</v>
      </c>
      <c r="L1655" s="24">
        <f t="shared" si="352"/>
        <v>-13.5</v>
      </c>
      <c r="M1655" s="24">
        <f t="shared" si="353"/>
        <v>116.875</v>
      </c>
      <c r="N1655" s="25">
        <v>132.5</v>
      </c>
      <c r="O1655" s="26" t="str">
        <f t="shared" si="354"/>
        <v>June</v>
      </c>
      <c r="P1655" s="25">
        <f t="shared" si="355"/>
        <v>132.5</v>
      </c>
      <c r="Q1655" s="27">
        <f t="shared" si="356"/>
        <v>-39</v>
      </c>
      <c r="R1655" s="26" t="b">
        <f t="shared" si="357"/>
        <v>0</v>
      </c>
      <c r="S1655" s="28" t="str">
        <f t="shared" si="358"/>
        <v>GROWTH</v>
      </c>
      <c r="T1655" s="24">
        <v>0</v>
      </c>
      <c r="U1655" s="29" t="str">
        <f t="shared" si="359"/>
        <v>May</v>
      </c>
      <c r="V1655" s="24">
        <f t="shared" si="360"/>
        <v>0</v>
      </c>
      <c r="W1655" s="30">
        <f t="shared" si="361"/>
        <v>93.5</v>
      </c>
      <c r="X1655" s="31" t="b">
        <f t="shared" si="362"/>
        <v>0</v>
      </c>
      <c r="Y1655" s="32" t="b">
        <f t="shared" si="363"/>
        <v>0</v>
      </c>
      <c r="Z1655" s="41">
        <v>0</v>
      </c>
      <c r="AA1655" s="36"/>
      <c r="AB1655" s="36" t="s">
        <v>24</v>
      </c>
      <c r="AC1655" s="54"/>
      <c r="AD1655" s="34"/>
      <c r="AE1655" s="35">
        <f>IFERROR(INDEX([1]Last6M_AvgSales_Ref!$B$2:$B$12659,MATCH(D1655,[1]Last6M_AvgSales_Ref!$A$2:$A$12659,0)),"")</f>
        <v>6.0833333333333304</v>
      </c>
    </row>
    <row r="1656" spans="1:31" ht="14.25" customHeight="1" x14ac:dyDescent="0.3">
      <c r="A1656" s="54" t="s">
        <v>848</v>
      </c>
      <c r="B1656" s="55" t="s">
        <v>1647</v>
      </c>
      <c r="C1656" s="56" t="s">
        <v>3365</v>
      </c>
      <c r="D1656" s="36">
        <v>1000004712</v>
      </c>
      <c r="E1656" s="55" t="s">
        <v>3366</v>
      </c>
      <c r="F1656" s="57">
        <v>46136</v>
      </c>
      <c r="G1656" s="22" t="str">
        <f t="shared" si="350"/>
        <v>Targeted Dealer</v>
      </c>
      <c r="H1656" s="58"/>
      <c r="I1656" s="23">
        <v>70</v>
      </c>
      <c r="J1656" s="23">
        <f t="shared" si="351"/>
        <v>70</v>
      </c>
      <c r="K1656" s="24">
        <v>27.4</v>
      </c>
      <c r="L1656" s="24">
        <f t="shared" si="352"/>
        <v>42.6</v>
      </c>
      <c r="M1656" s="24">
        <f t="shared" si="353"/>
        <v>39.142857142857146</v>
      </c>
      <c r="N1656" s="25">
        <v>21</v>
      </c>
      <c r="O1656" s="26" t="str">
        <f t="shared" si="354"/>
        <v>June</v>
      </c>
      <c r="P1656" s="25">
        <f t="shared" si="355"/>
        <v>21</v>
      </c>
      <c r="Q1656" s="27">
        <f t="shared" si="356"/>
        <v>6.3999999999999986</v>
      </c>
      <c r="R1656" s="26" t="b">
        <f t="shared" si="357"/>
        <v>0</v>
      </c>
      <c r="S1656" s="28" t="str">
        <f t="shared" si="358"/>
        <v>GROWTH</v>
      </c>
      <c r="T1656" s="24">
        <v>0</v>
      </c>
      <c r="U1656" s="29" t="str">
        <f t="shared" si="359"/>
        <v>May</v>
      </c>
      <c r="V1656" s="24">
        <f t="shared" si="360"/>
        <v>0</v>
      </c>
      <c r="W1656" s="30">
        <f t="shared" si="361"/>
        <v>27.4</v>
      </c>
      <c r="X1656" s="31" t="b">
        <f t="shared" si="362"/>
        <v>0</v>
      </c>
      <c r="Y1656" s="32" t="b">
        <f t="shared" si="363"/>
        <v>0</v>
      </c>
      <c r="Z1656" s="41">
        <v>0</v>
      </c>
      <c r="AA1656" s="36"/>
      <c r="AB1656" s="36" t="s">
        <v>24</v>
      </c>
      <c r="AC1656" s="54"/>
      <c r="AD1656" s="34"/>
      <c r="AE1656" s="35">
        <f>IFERROR(INDEX([1]Last6M_AvgSales_Ref!$B$2:$B$12659,MATCH(D1656,[1]Last6M_AvgSales_Ref!$A$2:$A$12659,0)),"")</f>
        <v>3.3333333333333299</v>
      </c>
    </row>
    <row r="1657" spans="1:31" ht="14.25" customHeight="1" x14ac:dyDescent="0.3">
      <c r="A1657" s="54" t="s">
        <v>24</v>
      </c>
      <c r="B1657" s="55" t="s">
        <v>28</v>
      </c>
      <c r="C1657" s="56" t="s">
        <v>3367</v>
      </c>
      <c r="D1657" s="36">
        <v>1000004705</v>
      </c>
      <c r="E1657" s="55" t="s">
        <v>1716</v>
      </c>
      <c r="F1657" s="57">
        <v>46137</v>
      </c>
      <c r="G1657" s="22" t="str">
        <f t="shared" si="350"/>
        <v>Targeted Dealer</v>
      </c>
      <c r="H1657" s="58"/>
      <c r="I1657" s="23">
        <v>40</v>
      </c>
      <c r="J1657" s="23">
        <f t="shared" si="351"/>
        <v>40</v>
      </c>
      <c r="K1657" s="24">
        <v>40</v>
      </c>
      <c r="L1657" s="24">
        <f t="shared" si="352"/>
        <v>0</v>
      </c>
      <c r="M1657" s="24">
        <f t="shared" si="353"/>
        <v>100</v>
      </c>
      <c r="N1657" s="25">
        <v>110</v>
      </c>
      <c r="O1657" s="26" t="str">
        <f t="shared" si="354"/>
        <v>June</v>
      </c>
      <c r="P1657" s="25">
        <f t="shared" si="355"/>
        <v>110</v>
      </c>
      <c r="Q1657" s="27">
        <f t="shared" si="356"/>
        <v>-70</v>
      </c>
      <c r="R1657" s="26" t="b">
        <f t="shared" si="357"/>
        <v>0</v>
      </c>
      <c r="S1657" s="28" t="str">
        <f t="shared" si="358"/>
        <v>GROWTH</v>
      </c>
      <c r="T1657" s="24">
        <v>0</v>
      </c>
      <c r="U1657" s="29" t="str">
        <f t="shared" si="359"/>
        <v>May</v>
      </c>
      <c r="V1657" s="24">
        <f t="shared" si="360"/>
        <v>0</v>
      </c>
      <c r="W1657" s="30">
        <f t="shared" si="361"/>
        <v>40</v>
      </c>
      <c r="X1657" s="31" t="b">
        <f t="shared" si="362"/>
        <v>0</v>
      </c>
      <c r="Y1657" s="32" t="b">
        <f t="shared" si="363"/>
        <v>0</v>
      </c>
      <c r="Z1657" s="41">
        <v>0</v>
      </c>
      <c r="AA1657" s="36"/>
      <c r="AB1657" s="36" t="s">
        <v>24</v>
      </c>
      <c r="AC1657" s="54"/>
      <c r="AD1657" s="34"/>
      <c r="AE1657" s="35">
        <f>IFERROR(INDEX([1]Last6M_AvgSales_Ref!$B$2:$B$12659,MATCH(D1657,[1]Last6M_AvgSales_Ref!$A$2:$A$12659,0)),"")</f>
        <v>3.3333333333333299</v>
      </c>
    </row>
    <row r="1658" spans="1:31" ht="14.25" customHeight="1" x14ac:dyDescent="0.3">
      <c r="A1658" s="54" t="s">
        <v>1836</v>
      </c>
      <c r="B1658" s="55" t="s">
        <v>1932</v>
      </c>
      <c r="C1658" s="56" t="s">
        <v>3368</v>
      </c>
      <c r="D1658" s="36">
        <v>1000004704</v>
      </c>
      <c r="E1658" s="55" t="s">
        <v>3369</v>
      </c>
      <c r="F1658" s="57">
        <v>46136</v>
      </c>
      <c r="G1658" s="22" t="str">
        <f t="shared" si="350"/>
        <v>Targeted Dealer</v>
      </c>
      <c r="H1658" s="58"/>
      <c r="I1658" s="23">
        <v>100</v>
      </c>
      <c r="J1658" s="23">
        <f t="shared" si="351"/>
        <v>100</v>
      </c>
      <c r="K1658" s="24">
        <v>85</v>
      </c>
      <c r="L1658" s="24">
        <f t="shared" si="352"/>
        <v>15</v>
      </c>
      <c r="M1658" s="24">
        <f t="shared" si="353"/>
        <v>85</v>
      </c>
      <c r="N1658" s="25">
        <v>60</v>
      </c>
      <c r="O1658" s="26" t="str">
        <f t="shared" si="354"/>
        <v>June</v>
      </c>
      <c r="P1658" s="25">
        <f t="shared" si="355"/>
        <v>60</v>
      </c>
      <c r="Q1658" s="27">
        <f t="shared" si="356"/>
        <v>25</v>
      </c>
      <c r="R1658" s="26" t="b">
        <f t="shared" si="357"/>
        <v>0</v>
      </c>
      <c r="S1658" s="28" t="str">
        <f t="shared" si="358"/>
        <v>GROWTH</v>
      </c>
      <c r="T1658" s="24">
        <v>0</v>
      </c>
      <c r="U1658" s="29" t="str">
        <f t="shared" si="359"/>
        <v>May</v>
      </c>
      <c r="V1658" s="24">
        <f t="shared" si="360"/>
        <v>0</v>
      </c>
      <c r="W1658" s="30">
        <f t="shared" si="361"/>
        <v>85</v>
      </c>
      <c r="X1658" s="31" t="b">
        <f t="shared" si="362"/>
        <v>0</v>
      </c>
      <c r="Y1658" s="32" t="b">
        <f t="shared" si="363"/>
        <v>0</v>
      </c>
      <c r="Z1658" s="41">
        <v>0</v>
      </c>
      <c r="AA1658" s="36"/>
      <c r="AB1658" s="36" t="s">
        <v>24</v>
      </c>
      <c r="AC1658" s="54"/>
      <c r="AD1658" s="34"/>
      <c r="AE1658" s="35">
        <f>IFERROR(INDEX([1]Last6M_AvgSales_Ref!$B$2:$B$12659,MATCH(D1658,[1]Last6M_AvgSales_Ref!$A$2:$A$12659,0)),"")</f>
        <v>2</v>
      </c>
    </row>
    <row r="1659" spans="1:31" ht="14.25" customHeight="1" x14ac:dyDescent="0.3">
      <c r="A1659" s="54" t="s">
        <v>24</v>
      </c>
      <c r="B1659" s="55" t="s">
        <v>449</v>
      </c>
      <c r="C1659" s="56" t="s">
        <v>3370</v>
      </c>
      <c r="D1659" s="36">
        <v>1000004702</v>
      </c>
      <c r="E1659" s="55" t="s">
        <v>3371</v>
      </c>
      <c r="F1659" s="57">
        <v>46130</v>
      </c>
      <c r="G1659" s="22" t="str">
        <f t="shared" si="350"/>
        <v>Targeted Dealer</v>
      </c>
      <c r="H1659" s="58"/>
      <c r="I1659" s="23">
        <v>20</v>
      </c>
      <c r="J1659" s="23">
        <f t="shared" si="351"/>
        <v>20</v>
      </c>
      <c r="K1659" s="24">
        <v>25.25</v>
      </c>
      <c r="L1659" s="24">
        <f t="shared" si="352"/>
        <v>-5.25</v>
      </c>
      <c r="M1659" s="24">
        <f t="shared" si="353"/>
        <v>126.25</v>
      </c>
      <c r="N1659" s="25">
        <v>34</v>
      </c>
      <c r="O1659" s="26" t="str">
        <f t="shared" si="354"/>
        <v>June</v>
      </c>
      <c r="P1659" s="25">
        <f t="shared" si="355"/>
        <v>34</v>
      </c>
      <c r="Q1659" s="27">
        <f t="shared" si="356"/>
        <v>-8.75</v>
      </c>
      <c r="R1659" s="26" t="b">
        <f t="shared" si="357"/>
        <v>0</v>
      </c>
      <c r="S1659" s="28" t="str">
        <f t="shared" si="358"/>
        <v>GROWTH</v>
      </c>
      <c r="T1659" s="24">
        <v>0</v>
      </c>
      <c r="U1659" s="29" t="str">
        <f t="shared" si="359"/>
        <v>May</v>
      </c>
      <c r="V1659" s="24">
        <f t="shared" si="360"/>
        <v>0</v>
      </c>
      <c r="W1659" s="30">
        <f t="shared" si="361"/>
        <v>25.25</v>
      </c>
      <c r="X1659" s="31" t="b">
        <f t="shared" si="362"/>
        <v>0</v>
      </c>
      <c r="Y1659" s="32" t="b">
        <f t="shared" si="363"/>
        <v>0</v>
      </c>
      <c r="Z1659" s="41">
        <v>0</v>
      </c>
      <c r="AA1659" s="36"/>
      <c r="AB1659" s="36" t="s">
        <v>24</v>
      </c>
      <c r="AC1659" s="54"/>
      <c r="AD1659" s="34"/>
      <c r="AE1659" s="35">
        <f>IFERROR(INDEX([1]Last6M_AvgSales_Ref!$B$2:$B$12659,MATCH(D1659,[1]Last6M_AvgSales_Ref!$A$2:$A$12659,0)),"")</f>
        <v>3.75</v>
      </c>
    </row>
    <row r="1660" spans="1:31" ht="14.25" customHeight="1" x14ac:dyDescent="0.3">
      <c r="A1660" s="54" t="s">
        <v>2185</v>
      </c>
      <c r="B1660" s="55" t="s">
        <v>2388</v>
      </c>
      <c r="C1660" s="56" t="s">
        <v>3372</v>
      </c>
      <c r="D1660" s="36">
        <v>1000004690</v>
      </c>
      <c r="E1660" s="55" t="s">
        <v>3373</v>
      </c>
      <c r="F1660" s="57">
        <v>46128</v>
      </c>
      <c r="G1660" s="22" t="str">
        <f t="shared" si="350"/>
        <v>Targeted Dealer</v>
      </c>
      <c r="H1660" s="58"/>
      <c r="I1660" s="23">
        <v>35</v>
      </c>
      <c r="J1660" s="23">
        <f t="shared" si="351"/>
        <v>35</v>
      </c>
      <c r="K1660" s="24">
        <v>34</v>
      </c>
      <c r="L1660" s="24">
        <f t="shared" si="352"/>
        <v>1</v>
      </c>
      <c r="M1660" s="24">
        <f t="shared" si="353"/>
        <v>97.142857142857153</v>
      </c>
      <c r="N1660" s="25">
        <v>143</v>
      </c>
      <c r="O1660" s="26" t="str">
        <f t="shared" si="354"/>
        <v>June</v>
      </c>
      <c r="P1660" s="25">
        <f t="shared" si="355"/>
        <v>143</v>
      </c>
      <c r="Q1660" s="27">
        <f t="shared" si="356"/>
        <v>-109</v>
      </c>
      <c r="R1660" s="26" t="b">
        <f t="shared" si="357"/>
        <v>0</v>
      </c>
      <c r="S1660" s="28" t="str">
        <f t="shared" si="358"/>
        <v>GROWTH</v>
      </c>
      <c r="T1660" s="24">
        <v>0</v>
      </c>
      <c r="U1660" s="29" t="str">
        <f t="shared" si="359"/>
        <v>May</v>
      </c>
      <c r="V1660" s="24">
        <f t="shared" si="360"/>
        <v>0</v>
      </c>
      <c r="W1660" s="30">
        <f t="shared" si="361"/>
        <v>34</v>
      </c>
      <c r="X1660" s="31" t="b">
        <f t="shared" si="362"/>
        <v>0</v>
      </c>
      <c r="Y1660" s="32" t="b">
        <f t="shared" si="363"/>
        <v>0</v>
      </c>
      <c r="Z1660" s="41">
        <v>0</v>
      </c>
      <c r="AA1660" s="36"/>
      <c r="AB1660" s="36" t="s">
        <v>24</v>
      </c>
      <c r="AC1660" s="54"/>
      <c r="AD1660" s="34"/>
      <c r="AE1660" s="35">
        <f>IFERROR(INDEX([1]Last6M_AvgSales_Ref!$B$2:$B$12659,MATCH(D1660,[1]Last6M_AvgSales_Ref!$A$2:$A$12659,0)),"")</f>
        <v>5</v>
      </c>
    </row>
    <row r="1661" spans="1:31" ht="14.25" customHeight="1" x14ac:dyDescent="0.3">
      <c r="A1661" s="54" t="s">
        <v>848</v>
      </c>
      <c r="B1661" s="55" t="s">
        <v>1257</v>
      </c>
      <c r="C1661" s="56" t="s">
        <v>3374</v>
      </c>
      <c r="D1661" s="36">
        <v>1000004686</v>
      </c>
      <c r="E1661" s="55" t="s">
        <v>1314</v>
      </c>
      <c r="F1661" s="57">
        <v>46122</v>
      </c>
      <c r="G1661" s="22" t="str">
        <f t="shared" si="350"/>
        <v>Targeted Dealer</v>
      </c>
      <c r="H1661" s="58"/>
      <c r="I1661" s="23">
        <v>200</v>
      </c>
      <c r="J1661" s="23">
        <f t="shared" si="351"/>
        <v>200</v>
      </c>
      <c r="K1661" s="24">
        <v>117</v>
      </c>
      <c r="L1661" s="24">
        <f t="shared" si="352"/>
        <v>83</v>
      </c>
      <c r="M1661" s="24">
        <f t="shared" si="353"/>
        <v>58.5</v>
      </c>
      <c r="N1661" s="25">
        <v>52</v>
      </c>
      <c r="O1661" s="26" t="str">
        <f t="shared" si="354"/>
        <v>June</v>
      </c>
      <c r="P1661" s="25">
        <f t="shared" si="355"/>
        <v>52</v>
      </c>
      <c r="Q1661" s="27">
        <f t="shared" si="356"/>
        <v>65</v>
      </c>
      <c r="R1661" s="26" t="b">
        <f t="shared" si="357"/>
        <v>0</v>
      </c>
      <c r="S1661" s="28" t="str">
        <f t="shared" si="358"/>
        <v>GROWTH</v>
      </c>
      <c r="T1661" s="24">
        <v>0</v>
      </c>
      <c r="U1661" s="29" t="str">
        <f t="shared" si="359"/>
        <v>May</v>
      </c>
      <c r="V1661" s="24">
        <f t="shared" si="360"/>
        <v>0</v>
      </c>
      <c r="W1661" s="30">
        <f t="shared" si="361"/>
        <v>117</v>
      </c>
      <c r="X1661" s="31" t="b">
        <f t="shared" si="362"/>
        <v>0</v>
      </c>
      <c r="Y1661" s="32" t="b">
        <f t="shared" si="363"/>
        <v>0</v>
      </c>
      <c r="Z1661" s="41">
        <v>0</v>
      </c>
      <c r="AA1661" s="36"/>
      <c r="AB1661" s="36" t="s">
        <v>24</v>
      </c>
      <c r="AC1661" s="54"/>
      <c r="AD1661" s="34"/>
      <c r="AE1661" s="35">
        <f>IFERROR(INDEX([1]Last6M_AvgSales_Ref!$B$2:$B$12659,MATCH(D1661,[1]Last6M_AvgSales_Ref!$A$2:$A$12659,0)),"")</f>
        <v>12.9166666666667</v>
      </c>
    </row>
    <row r="1662" spans="1:31" ht="14.25" customHeight="1" x14ac:dyDescent="0.3">
      <c r="A1662" s="54" t="s">
        <v>2185</v>
      </c>
      <c r="B1662" s="55" t="s">
        <v>2353</v>
      </c>
      <c r="C1662" s="56" t="s">
        <v>3375</v>
      </c>
      <c r="D1662" s="36">
        <v>1000002000</v>
      </c>
      <c r="E1662" s="55" t="s">
        <v>3376</v>
      </c>
      <c r="F1662" s="57">
        <v>44739</v>
      </c>
      <c r="G1662" s="22" t="str">
        <f t="shared" si="350"/>
        <v>Targeted Dealer</v>
      </c>
      <c r="H1662" s="58"/>
      <c r="I1662" s="23">
        <v>50</v>
      </c>
      <c r="J1662" s="23">
        <f t="shared" si="351"/>
        <v>50</v>
      </c>
      <c r="K1662" s="24">
        <v>10</v>
      </c>
      <c r="L1662" s="24">
        <f t="shared" si="352"/>
        <v>40</v>
      </c>
      <c r="M1662" s="24">
        <f t="shared" si="353"/>
        <v>20</v>
      </c>
      <c r="N1662" s="25">
        <v>0</v>
      </c>
      <c r="O1662" s="26" t="str">
        <f t="shared" si="354"/>
        <v>June</v>
      </c>
      <c r="P1662" s="25">
        <f t="shared" si="355"/>
        <v>0</v>
      </c>
      <c r="Q1662" s="27">
        <f t="shared" si="356"/>
        <v>10</v>
      </c>
      <c r="R1662" s="26" t="b">
        <f t="shared" si="357"/>
        <v>0</v>
      </c>
      <c r="S1662" s="28" t="b">
        <f t="shared" si="358"/>
        <v>0</v>
      </c>
      <c r="T1662" s="24">
        <v>25</v>
      </c>
      <c r="U1662" s="29" t="str">
        <f t="shared" si="359"/>
        <v>May</v>
      </c>
      <c r="V1662" s="24">
        <f t="shared" si="360"/>
        <v>25</v>
      </c>
      <c r="W1662" s="30">
        <f t="shared" si="361"/>
        <v>-15</v>
      </c>
      <c r="X1662" s="31" t="b">
        <f t="shared" si="362"/>
        <v>0</v>
      </c>
      <c r="Y1662" s="32" t="str">
        <f t="shared" si="363"/>
        <v>GROWTH</v>
      </c>
      <c r="Z1662" s="41">
        <v>0</v>
      </c>
      <c r="AA1662" s="36"/>
      <c r="AB1662" s="36" t="s">
        <v>24</v>
      </c>
      <c r="AC1662" s="54"/>
      <c r="AD1662" s="34"/>
      <c r="AE1662" s="35">
        <f>IFERROR(INDEX([1]Last6M_AvgSales_Ref!$B$2:$B$12659,MATCH(D1662,[1]Last6M_AvgSales_Ref!$A$2:$A$12659,0)),"")</f>
        <v>0.83333333333333304</v>
      </c>
    </row>
    <row r="1663" spans="1:31" ht="14.25" customHeight="1" x14ac:dyDescent="0.3">
      <c r="A1663" s="54" t="s">
        <v>2185</v>
      </c>
      <c r="B1663" s="55" t="s">
        <v>2353</v>
      </c>
      <c r="C1663" s="56" t="s">
        <v>3377</v>
      </c>
      <c r="D1663" s="36">
        <v>1000004694</v>
      </c>
      <c r="E1663" s="55" t="s">
        <v>3378</v>
      </c>
      <c r="F1663" s="57">
        <v>46111</v>
      </c>
      <c r="G1663" s="22" t="str">
        <f t="shared" si="350"/>
        <v>Targeted Dealer</v>
      </c>
      <c r="H1663" s="58"/>
      <c r="I1663" s="23">
        <v>20</v>
      </c>
      <c r="J1663" s="23">
        <f t="shared" si="351"/>
        <v>20</v>
      </c>
      <c r="K1663" s="24">
        <v>15</v>
      </c>
      <c r="L1663" s="24">
        <f t="shared" si="352"/>
        <v>5</v>
      </c>
      <c r="M1663" s="24">
        <f t="shared" si="353"/>
        <v>75</v>
      </c>
      <c r="N1663" s="25">
        <v>0</v>
      </c>
      <c r="O1663" s="26" t="str">
        <f t="shared" si="354"/>
        <v>June</v>
      </c>
      <c r="P1663" s="25">
        <f t="shared" si="355"/>
        <v>0</v>
      </c>
      <c r="Q1663" s="27">
        <f t="shared" si="356"/>
        <v>15</v>
      </c>
      <c r="R1663" s="26" t="b">
        <f t="shared" si="357"/>
        <v>0</v>
      </c>
      <c r="S1663" s="28" t="b">
        <f t="shared" si="358"/>
        <v>0</v>
      </c>
      <c r="T1663" s="24">
        <v>0</v>
      </c>
      <c r="U1663" s="29" t="str">
        <f t="shared" si="359"/>
        <v>May</v>
      </c>
      <c r="V1663" s="24">
        <f t="shared" si="360"/>
        <v>0</v>
      </c>
      <c r="W1663" s="30">
        <f t="shared" si="361"/>
        <v>15</v>
      </c>
      <c r="X1663" s="31" t="b">
        <f t="shared" si="362"/>
        <v>0</v>
      </c>
      <c r="Y1663" s="32" t="b">
        <f t="shared" si="363"/>
        <v>0</v>
      </c>
      <c r="Z1663" s="41">
        <v>0</v>
      </c>
      <c r="AA1663" s="36"/>
      <c r="AB1663" s="36" t="s">
        <v>24</v>
      </c>
      <c r="AC1663" s="54"/>
      <c r="AD1663" s="34"/>
      <c r="AE1663" s="35">
        <f>IFERROR(INDEX([1]Last6M_AvgSales_Ref!$B$2:$B$12659,MATCH(D1663,[1]Last6M_AvgSales_Ref!$A$2:$A$12659,0)),"")</f>
        <v>1.6666666666666701</v>
      </c>
    </row>
    <row r="1664" spans="1:31" ht="14.25" customHeight="1" x14ac:dyDescent="0.3">
      <c r="A1664" s="54" t="s">
        <v>24</v>
      </c>
      <c r="B1664" s="55" t="s">
        <v>801</v>
      </c>
      <c r="C1664" s="56" t="s">
        <v>3379</v>
      </c>
      <c r="D1664" s="36">
        <v>1000004696</v>
      </c>
      <c r="E1664" s="55" t="s">
        <v>3380</v>
      </c>
      <c r="F1664" s="57">
        <v>46118</v>
      </c>
      <c r="G1664" s="22" t="str">
        <f t="shared" si="350"/>
        <v>Targeted Dealer</v>
      </c>
      <c r="H1664" s="58"/>
      <c r="I1664" s="23">
        <v>70</v>
      </c>
      <c r="J1664" s="23">
        <f t="shared" si="351"/>
        <v>70</v>
      </c>
      <c r="K1664" s="24">
        <v>70</v>
      </c>
      <c r="L1664" s="24">
        <f t="shared" si="352"/>
        <v>0</v>
      </c>
      <c r="M1664" s="24">
        <f t="shared" si="353"/>
        <v>100</v>
      </c>
      <c r="N1664" s="25">
        <v>35</v>
      </c>
      <c r="O1664" s="26" t="str">
        <f t="shared" si="354"/>
        <v>June</v>
      </c>
      <c r="P1664" s="25">
        <f t="shared" si="355"/>
        <v>35</v>
      </c>
      <c r="Q1664" s="27">
        <f t="shared" si="356"/>
        <v>35</v>
      </c>
      <c r="R1664" s="26" t="b">
        <f t="shared" si="357"/>
        <v>0</v>
      </c>
      <c r="S1664" s="28" t="str">
        <f t="shared" si="358"/>
        <v>GROWTH</v>
      </c>
      <c r="T1664" s="24">
        <v>0</v>
      </c>
      <c r="U1664" s="29" t="str">
        <f t="shared" si="359"/>
        <v>May</v>
      </c>
      <c r="V1664" s="24">
        <f t="shared" si="360"/>
        <v>0</v>
      </c>
      <c r="W1664" s="30">
        <f t="shared" si="361"/>
        <v>70</v>
      </c>
      <c r="X1664" s="31" t="b">
        <f t="shared" si="362"/>
        <v>0</v>
      </c>
      <c r="Y1664" s="32" t="b">
        <f t="shared" si="363"/>
        <v>0</v>
      </c>
      <c r="Z1664" s="41">
        <v>0</v>
      </c>
      <c r="AA1664" s="36"/>
      <c r="AB1664" s="36" t="s">
        <v>24</v>
      </c>
      <c r="AC1664" s="54"/>
      <c r="AD1664" s="34"/>
      <c r="AE1664" s="35">
        <f>IFERROR(INDEX([1]Last6M_AvgSales_Ref!$B$2:$B$12659,MATCH(D1664,[1]Last6M_AvgSales_Ref!$A$2:$A$12659,0)),"")</f>
        <v>5.8333333333333304</v>
      </c>
    </row>
    <row r="1665" spans="1:31" ht="14.25" customHeight="1" x14ac:dyDescent="0.3">
      <c r="A1665" s="54" t="s">
        <v>24</v>
      </c>
      <c r="B1665" s="55" t="s">
        <v>25</v>
      </c>
      <c r="C1665" s="56" t="s">
        <v>3381</v>
      </c>
      <c r="D1665" s="36">
        <v>1000004443</v>
      </c>
      <c r="E1665" s="55" t="s">
        <v>3382</v>
      </c>
      <c r="F1665" s="57">
        <v>45876</v>
      </c>
      <c r="G1665" s="22" t="str">
        <f t="shared" si="350"/>
        <v>Targeted Dealer</v>
      </c>
      <c r="H1665" s="58"/>
      <c r="I1665" s="23">
        <v>39</v>
      </c>
      <c r="J1665" s="23">
        <f t="shared" si="351"/>
        <v>39</v>
      </c>
      <c r="K1665" s="24">
        <v>39</v>
      </c>
      <c r="L1665" s="24">
        <f t="shared" si="352"/>
        <v>0</v>
      </c>
      <c r="M1665" s="24">
        <f t="shared" si="353"/>
        <v>100</v>
      </c>
      <c r="N1665" s="25">
        <v>26</v>
      </c>
      <c r="O1665" s="26" t="str">
        <f t="shared" si="354"/>
        <v>June</v>
      </c>
      <c r="P1665" s="25">
        <f t="shared" si="355"/>
        <v>26</v>
      </c>
      <c r="Q1665" s="27">
        <f t="shared" si="356"/>
        <v>13</v>
      </c>
      <c r="R1665" s="26" t="b">
        <f t="shared" si="357"/>
        <v>0</v>
      </c>
      <c r="S1665" s="28" t="str">
        <f t="shared" si="358"/>
        <v>GROWTH</v>
      </c>
      <c r="T1665" s="24">
        <v>0</v>
      </c>
      <c r="U1665" s="29" t="str">
        <f t="shared" si="359"/>
        <v>May</v>
      </c>
      <c r="V1665" s="24">
        <f t="shared" si="360"/>
        <v>0</v>
      </c>
      <c r="W1665" s="30">
        <f t="shared" si="361"/>
        <v>39</v>
      </c>
      <c r="X1665" s="31" t="b">
        <f t="shared" si="362"/>
        <v>0</v>
      </c>
      <c r="Y1665" s="32" t="b">
        <f t="shared" si="363"/>
        <v>0</v>
      </c>
      <c r="Z1665" s="41">
        <v>0</v>
      </c>
      <c r="AA1665" s="36"/>
      <c r="AB1665" s="36" t="s">
        <v>24</v>
      </c>
      <c r="AC1665" s="54"/>
      <c r="AD1665" s="34"/>
      <c r="AE1665" s="35">
        <f>IFERROR(INDEX([1]Last6M_AvgSales_Ref!$B$2:$B$12659,MATCH(D1665,[1]Last6M_AvgSales_Ref!$A$2:$A$12659,0)),"")</f>
        <v>2.1666666666666701</v>
      </c>
    </row>
    <row r="1666" spans="1:31" ht="14.25" customHeight="1" x14ac:dyDescent="0.3">
      <c r="A1666" s="54" t="s">
        <v>24</v>
      </c>
      <c r="B1666" s="55" t="s">
        <v>25</v>
      </c>
      <c r="C1666" s="56" t="s">
        <v>3383</v>
      </c>
      <c r="D1666" s="36">
        <v>1000004701</v>
      </c>
      <c r="E1666" s="55" t="s">
        <v>3384</v>
      </c>
      <c r="F1666" s="57">
        <v>46129</v>
      </c>
      <c r="G1666" s="22" t="str">
        <f t="shared" si="350"/>
        <v>Targeted Dealer</v>
      </c>
      <c r="H1666" s="58"/>
      <c r="I1666" s="23">
        <v>550</v>
      </c>
      <c r="J1666" s="23">
        <f t="shared" si="351"/>
        <v>550</v>
      </c>
      <c r="K1666" s="24">
        <v>578</v>
      </c>
      <c r="L1666" s="24">
        <f t="shared" si="352"/>
        <v>-28</v>
      </c>
      <c r="M1666" s="24">
        <f t="shared" si="353"/>
        <v>105.09090909090909</v>
      </c>
      <c r="N1666" s="25">
        <v>560</v>
      </c>
      <c r="O1666" s="26" t="str">
        <f t="shared" si="354"/>
        <v>June</v>
      </c>
      <c r="P1666" s="25">
        <f t="shared" si="355"/>
        <v>560</v>
      </c>
      <c r="Q1666" s="27">
        <f t="shared" si="356"/>
        <v>18</v>
      </c>
      <c r="R1666" s="26" t="b">
        <f t="shared" si="357"/>
        <v>0</v>
      </c>
      <c r="S1666" s="28" t="str">
        <f t="shared" si="358"/>
        <v>GROWTH</v>
      </c>
      <c r="T1666" s="24">
        <v>0</v>
      </c>
      <c r="U1666" s="29" t="str">
        <f t="shared" si="359"/>
        <v>May</v>
      </c>
      <c r="V1666" s="24">
        <f t="shared" si="360"/>
        <v>0</v>
      </c>
      <c r="W1666" s="30">
        <f t="shared" si="361"/>
        <v>578</v>
      </c>
      <c r="X1666" s="31" t="b">
        <f t="shared" si="362"/>
        <v>0</v>
      </c>
      <c r="Y1666" s="32" t="b">
        <f t="shared" si="363"/>
        <v>0</v>
      </c>
      <c r="Z1666" s="41">
        <v>0</v>
      </c>
      <c r="AA1666" s="36"/>
      <c r="AB1666" s="36" t="s">
        <v>24</v>
      </c>
      <c r="AC1666" s="54"/>
      <c r="AD1666" s="34"/>
      <c r="AE1666" s="35">
        <f>IFERROR(INDEX([1]Last6M_AvgSales_Ref!$B$2:$B$12659,MATCH(D1666,[1]Last6M_AvgSales_Ref!$A$2:$A$12659,0)),"")</f>
        <v>64</v>
      </c>
    </row>
    <row r="1667" spans="1:31" ht="14.25" customHeight="1" x14ac:dyDescent="0.3">
      <c r="A1667" s="54" t="s">
        <v>2185</v>
      </c>
      <c r="B1667" s="55" t="s">
        <v>2857</v>
      </c>
      <c r="C1667" s="56" t="s">
        <v>3385</v>
      </c>
      <c r="D1667" s="36">
        <v>1000001828</v>
      </c>
      <c r="E1667" s="55" t="s">
        <v>3386</v>
      </c>
      <c r="F1667" s="57">
        <v>44739</v>
      </c>
      <c r="G1667" s="22" t="str">
        <f t="shared" ref="G1667:G1712" si="364">IF(I1667&gt;0,"Targeted Dealer","-")</f>
        <v>Targeted Dealer</v>
      </c>
      <c r="H1667" s="58"/>
      <c r="I1667" s="23">
        <v>25</v>
      </c>
      <c r="J1667" s="23">
        <f t="shared" ref="J1667:J1730" si="365">I1667/$J$1*($J$1-$E$1)</f>
        <v>25</v>
      </c>
      <c r="K1667" s="24">
        <v>25</v>
      </c>
      <c r="L1667" s="24">
        <f t="shared" ref="L1667:L1730" si="366">I1667-K1667</f>
        <v>0</v>
      </c>
      <c r="M1667" s="24">
        <f t="shared" ref="M1667:M1730" si="367">IFERROR((K1667/J1667%),"-")</f>
        <v>100</v>
      </c>
      <c r="N1667" s="25">
        <v>0</v>
      </c>
      <c r="O1667" s="26" t="str">
        <f t="shared" ref="O1667:O1730" si="368">IF(F1667&lt;=$P$2,"June","")</f>
        <v>June</v>
      </c>
      <c r="P1667" s="25">
        <f t="shared" ref="P1667:P1730" si="369">N1667</f>
        <v>0</v>
      </c>
      <c r="Q1667" s="27">
        <f t="shared" ref="Q1667:Q1730" si="370">K1667-P1667</f>
        <v>25</v>
      </c>
      <c r="R1667" s="26" t="b">
        <f t="shared" ref="R1667:R1730" si="371">IFERROR(IF(O1667="May",(K1667/P1667-1))," ")</f>
        <v>0</v>
      </c>
      <c r="S1667" s="28" t="b">
        <f t="shared" ref="S1667:S1730" si="372">IF(N1667&gt;0,IF(O1667="","-",IF(R1667&lt;0%,"DEGROWTH","GROWTH")))</f>
        <v>0</v>
      </c>
      <c r="T1667" s="24">
        <v>0</v>
      </c>
      <c r="U1667" s="29" t="str">
        <f t="shared" ref="U1667:U1730" si="373">IF(F1667&lt;=$V$2,"May","")</f>
        <v>May</v>
      </c>
      <c r="V1667" s="24">
        <f t="shared" ref="V1667:V1730" si="374">T1667</f>
        <v>0</v>
      </c>
      <c r="W1667" s="30">
        <f t="shared" ref="W1667:W1730" si="375">K1667-V1667</f>
        <v>25</v>
      </c>
      <c r="X1667" s="31" t="b">
        <f t="shared" ref="X1667:X1730" si="376">IFERROR(IF(U1667="June",(K1667/V1667-1)),0)</f>
        <v>0</v>
      </c>
      <c r="Y1667" s="32" t="b">
        <f t="shared" ref="Y1667:Y1730" si="377">IF(T1667&gt;0,IF(U1667="","-",IF(X1667&lt;0%,"DEGROWTH","GROWTH")))</f>
        <v>0</v>
      </c>
      <c r="Z1667" s="41">
        <v>0</v>
      </c>
      <c r="AA1667" s="36"/>
      <c r="AB1667" s="36" t="s">
        <v>24</v>
      </c>
      <c r="AC1667" s="54"/>
      <c r="AD1667" s="34"/>
      <c r="AE1667" s="35">
        <f>IFERROR(INDEX([1]Last6M_AvgSales_Ref!$B$2:$B$12659,MATCH(D1667,[1]Last6M_AvgSales_Ref!$A$2:$A$12659,0)),"")</f>
        <v>4.1666666666666696</v>
      </c>
    </row>
    <row r="1668" spans="1:31" ht="14.25" customHeight="1" x14ac:dyDescent="0.3">
      <c r="A1668" s="54" t="s">
        <v>1836</v>
      </c>
      <c r="B1668" s="55" t="s">
        <v>2004</v>
      </c>
      <c r="C1668" s="56" t="s">
        <v>3387</v>
      </c>
      <c r="D1668" s="36">
        <v>1000004698</v>
      </c>
      <c r="E1668" s="55" t="s">
        <v>3388</v>
      </c>
      <c r="F1668" s="57">
        <v>46120</v>
      </c>
      <c r="G1668" s="22" t="str">
        <f t="shared" si="364"/>
        <v>Targeted Dealer</v>
      </c>
      <c r="H1668" s="58"/>
      <c r="I1668" s="23">
        <v>390</v>
      </c>
      <c r="J1668" s="23">
        <f t="shared" si="365"/>
        <v>390</v>
      </c>
      <c r="K1668" s="24">
        <v>417.25</v>
      </c>
      <c r="L1668" s="24">
        <f t="shared" si="366"/>
        <v>-27.25</v>
      </c>
      <c r="M1668" s="24">
        <f t="shared" si="367"/>
        <v>106.98717948717949</v>
      </c>
      <c r="N1668" s="25">
        <v>433.5</v>
      </c>
      <c r="O1668" s="26" t="str">
        <f t="shared" si="368"/>
        <v>June</v>
      </c>
      <c r="P1668" s="25">
        <f t="shared" si="369"/>
        <v>433.5</v>
      </c>
      <c r="Q1668" s="27">
        <f t="shared" si="370"/>
        <v>-16.25</v>
      </c>
      <c r="R1668" s="26" t="b">
        <f t="shared" si="371"/>
        <v>0</v>
      </c>
      <c r="S1668" s="28" t="str">
        <f t="shared" si="372"/>
        <v>GROWTH</v>
      </c>
      <c r="T1668" s="24">
        <v>0</v>
      </c>
      <c r="U1668" s="29" t="str">
        <f t="shared" si="373"/>
        <v>May</v>
      </c>
      <c r="V1668" s="24">
        <f t="shared" si="374"/>
        <v>0</v>
      </c>
      <c r="W1668" s="30">
        <f t="shared" si="375"/>
        <v>417.25</v>
      </c>
      <c r="X1668" s="31" t="b">
        <f t="shared" si="376"/>
        <v>0</v>
      </c>
      <c r="Y1668" s="32" t="b">
        <f t="shared" si="377"/>
        <v>0</v>
      </c>
      <c r="Z1668" s="41">
        <v>0</v>
      </c>
      <c r="AA1668" s="36"/>
      <c r="AB1668" s="36" t="s">
        <v>24</v>
      </c>
      <c r="AC1668" s="54"/>
      <c r="AD1668" s="34"/>
      <c r="AE1668" s="35">
        <f>IFERROR(INDEX([1]Last6M_AvgSales_Ref!$B$2:$B$12659,MATCH(D1668,[1]Last6M_AvgSales_Ref!$A$2:$A$12659,0)),"")</f>
        <v>52.3333333333333</v>
      </c>
    </row>
    <row r="1669" spans="1:31" ht="14.25" customHeight="1" x14ac:dyDescent="0.3">
      <c r="A1669" s="54" t="s">
        <v>2185</v>
      </c>
      <c r="B1669" s="55" t="s">
        <v>2268</v>
      </c>
      <c r="C1669" s="56" t="s">
        <v>3389</v>
      </c>
      <c r="D1669" s="36">
        <v>1000002074</v>
      </c>
      <c r="E1669" s="55" t="s">
        <v>3390</v>
      </c>
      <c r="F1669" s="57">
        <v>44739</v>
      </c>
      <c r="G1669" s="22" t="str">
        <f t="shared" si="364"/>
        <v>Targeted Dealer</v>
      </c>
      <c r="H1669" s="58"/>
      <c r="I1669" s="23">
        <v>50</v>
      </c>
      <c r="J1669" s="23">
        <f t="shared" si="365"/>
        <v>50</v>
      </c>
      <c r="K1669" s="24">
        <v>50</v>
      </c>
      <c r="L1669" s="24">
        <f t="shared" si="366"/>
        <v>0</v>
      </c>
      <c r="M1669" s="24">
        <f t="shared" si="367"/>
        <v>100</v>
      </c>
      <c r="N1669" s="25">
        <v>25</v>
      </c>
      <c r="O1669" s="26" t="str">
        <f t="shared" si="368"/>
        <v>June</v>
      </c>
      <c r="P1669" s="25">
        <f t="shared" si="369"/>
        <v>25</v>
      </c>
      <c r="Q1669" s="27">
        <f t="shared" si="370"/>
        <v>25</v>
      </c>
      <c r="R1669" s="26" t="b">
        <f t="shared" si="371"/>
        <v>0</v>
      </c>
      <c r="S1669" s="28" t="str">
        <f t="shared" si="372"/>
        <v>GROWTH</v>
      </c>
      <c r="T1669" s="24">
        <v>0</v>
      </c>
      <c r="U1669" s="29" t="str">
        <f t="shared" si="373"/>
        <v>May</v>
      </c>
      <c r="V1669" s="24">
        <f t="shared" si="374"/>
        <v>0</v>
      </c>
      <c r="W1669" s="30">
        <f t="shared" si="375"/>
        <v>50</v>
      </c>
      <c r="X1669" s="31" t="b">
        <f t="shared" si="376"/>
        <v>0</v>
      </c>
      <c r="Y1669" s="32" t="b">
        <f t="shared" si="377"/>
        <v>0</v>
      </c>
      <c r="Z1669" s="41">
        <v>0</v>
      </c>
      <c r="AA1669" s="36"/>
      <c r="AB1669" s="36" t="s">
        <v>24</v>
      </c>
      <c r="AC1669" s="54"/>
      <c r="AD1669" s="34"/>
      <c r="AE1669" s="35">
        <f>IFERROR(INDEX([1]Last6M_AvgSales_Ref!$B$2:$B$12659,MATCH(D1669,[1]Last6M_AvgSales_Ref!$A$2:$A$12659,0)),"")</f>
        <v>4.1666666666666696</v>
      </c>
    </row>
    <row r="1670" spans="1:31" ht="14.25" customHeight="1" x14ac:dyDescent="0.3">
      <c r="A1670" s="54" t="s">
        <v>848</v>
      </c>
      <c r="B1670" s="55" t="s">
        <v>1769</v>
      </c>
      <c r="C1670" s="56" t="s">
        <v>3391</v>
      </c>
      <c r="D1670" s="36">
        <v>1000004484</v>
      </c>
      <c r="E1670" s="55" t="s">
        <v>3392</v>
      </c>
      <c r="F1670" s="57">
        <v>45936</v>
      </c>
      <c r="G1670" s="22" t="str">
        <f t="shared" si="364"/>
        <v>-</v>
      </c>
      <c r="H1670" s="58"/>
      <c r="I1670" s="23">
        <v>0</v>
      </c>
      <c r="J1670" s="23">
        <f t="shared" si="365"/>
        <v>0</v>
      </c>
      <c r="K1670" s="24">
        <v>90</v>
      </c>
      <c r="L1670" s="24">
        <f t="shared" si="366"/>
        <v>-90</v>
      </c>
      <c r="M1670" s="24" t="str">
        <f t="shared" si="367"/>
        <v>-</v>
      </c>
      <c r="N1670" s="25">
        <v>60</v>
      </c>
      <c r="O1670" s="26" t="str">
        <f t="shared" si="368"/>
        <v>June</v>
      </c>
      <c r="P1670" s="25">
        <f t="shared" si="369"/>
        <v>60</v>
      </c>
      <c r="Q1670" s="27">
        <f t="shared" si="370"/>
        <v>30</v>
      </c>
      <c r="R1670" s="26" t="b">
        <f t="shared" si="371"/>
        <v>0</v>
      </c>
      <c r="S1670" s="28" t="str">
        <f t="shared" si="372"/>
        <v>GROWTH</v>
      </c>
      <c r="T1670" s="24">
        <v>0</v>
      </c>
      <c r="U1670" s="29" t="str">
        <f t="shared" si="373"/>
        <v>May</v>
      </c>
      <c r="V1670" s="24">
        <f t="shared" si="374"/>
        <v>0</v>
      </c>
      <c r="W1670" s="30">
        <f t="shared" si="375"/>
        <v>90</v>
      </c>
      <c r="X1670" s="31" t="b">
        <f t="shared" si="376"/>
        <v>0</v>
      </c>
      <c r="Y1670" s="32" t="b">
        <f t="shared" si="377"/>
        <v>0</v>
      </c>
      <c r="Z1670" s="41">
        <v>0</v>
      </c>
      <c r="AA1670" s="36"/>
      <c r="AB1670" s="36" t="s">
        <v>24</v>
      </c>
      <c r="AC1670" s="54"/>
      <c r="AD1670" s="34"/>
      <c r="AE1670" s="35">
        <f>IFERROR(INDEX([1]Last6M_AvgSales_Ref!$B$2:$B$12659,MATCH(D1670,[1]Last6M_AvgSales_Ref!$A$2:$A$12659,0)),"")</f>
        <v>9.1666666666666696</v>
      </c>
    </row>
    <row r="1671" spans="1:31" ht="14.25" customHeight="1" x14ac:dyDescent="0.3">
      <c r="A1671" s="54" t="s">
        <v>848</v>
      </c>
      <c r="B1671" s="55" t="s">
        <v>1420</v>
      </c>
      <c r="C1671" s="56" t="s">
        <v>3393</v>
      </c>
      <c r="D1671" s="36">
        <v>1000004699</v>
      </c>
      <c r="E1671" s="55" t="s">
        <v>1352</v>
      </c>
      <c r="F1671" s="57">
        <v>46123</v>
      </c>
      <c r="G1671" s="22" t="str">
        <f t="shared" si="364"/>
        <v>Targeted Dealer</v>
      </c>
      <c r="H1671" s="58"/>
      <c r="I1671" s="23">
        <v>70</v>
      </c>
      <c r="J1671" s="23">
        <f t="shared" si="365"/>
        <v>70</v>
      </c>
      <c r="K1671" s="24">
        <v>25</v>
      </c>
      <c r="L1671" s="24">
        <f t="shared" si="366"/>
        <v>45</v>
      </c>
      <c r="M1671" s="24">
        <f t="shared" si="367"/>
        <v>35.714285714285715</v>
      </c>
      <c r="N1671" s="25">
        <v>15</v>
      </c>
      <c r="O1671" s="26" t="str">
        <f t="shared" si="368"/>
        <v>June</v>
      </c>
      <c r="P1671" s="25">
        <f t="shared" si="369"/>
        <v>15</v>
      </c>
      <c r="Q1671" s="27">
        <f t="shared" si="370"/>
        <v>10</v>
      </c>
      <c r="R1671" s="26" t="b">
        <f t="shared" si="371"/>
        <v>0</v>
      </c>
      <c r="S1671" s="28" t="str">
        <f t="shared" si="372"/>
        <v>GROWTH</v>
      </c>
      <c r="T1671" s="24">
        <v>0</v>
      </c>
      <c r="U1671" s="29" t="str">
        <f t="shared" si="373"/>
        <v>May</v>
      </c>
      <c r="V1671" s="24">
        <f t="shared" si="374"/>
        <v>0</v>
      </c>
      <c r="W1671" s="30">
        <f t="shared" si="375"/>
        <v>25</v>
      </c>
      <c r="X1671" s="31" t="b">
        <f t="shared" si="376"/>
        <v>0</v>
      </c>
      <c r="Y1671" s="32" t="b">
        <f t="shared" si="377"/>
        <v>0</v>
      </c>
      <c r="Z1671" s="41">
        <v>0</v>
      </c>
      <c r="AA1671" s="36"/>
      <c r="AB1671" s="36" t="s">
        <v>24</v>
      </c>
      <c r="AC1671" s="54"/>
      <c r="AD1671" s="34"/>
      <c r="AE1671" s="35">
        <f>IFERROR(INDEX([1]Last6M_AvgSales_Ref!$B$2:$B$12659,MATCH(D1671,[1]Last6M_AvgSales_Ref!$A$2:$A$12659,0)),"")</f>
        <v>1.9166666666666701</v>
      </c>
    </row>
    <row r="1672" spans="1:31" ht="14.25" customHeight="1" x14ac:dyDescent="0.3">
      <c r="A1672" s="54" t="s">
        <v>848</v>
      </c>
      <c r="B1672" s="55" t="s">
        <v>1420</v>
      </c>
      <c r="C1672" s="56" t="s">
        <v>3394</v>
      </c>
      <c r="D1672" s="36">
        <v>1000004691</v>
      </c>
      <c r="E1672" s="55" t="s">
        <v>3395</v>
      </c>
      <c r="F1672" s="57">
        <v>46133</v>
      </c>
      <c r="G1672" s="22" t="str">
        <f t="shared" si="364"/>
        <v>Targeted Dealer</v>
      </c>
      <c r="H1672" s="58"/>
      <c r="I1672" s="23">
        <v>150</v>
      </c>
      <c r="J1672" s="23">
        <f t="shared" si="365"/>
        <v>150</v>
      </c>
      <c r="K1672" s="24">
        <v>159.5</v>
      </c>
      <c r="L1672" s="24">
        <f t="shared" si="366"/>
        <v>-9.5</v>
      </c>
      <c r="M1672" s="24">
        <f t="shared" si="367"/>
        <v>106.33333333333333</v>
      </c>
      <c r="N1672" s="25">
        <v>130.5</v>
      </c>
      <c r="O1672" s="26" t="str">
        <f t="shared" si="368"/>
        <v>June</v>
      </c>
      <c r="P1672" s="25">
        <f t="shared" si="369"/>
        <v>130.5</v>
      </c>
      <c r="Q1672" s="27">
        <f t="shared" si="370"/>
        <v>29</v>
      </c>
      <c r="R1672" s="26" t="b">
        <f t="shared" si="371"/>
        <v>0</v>
      </c>
      <c r="S1672" s="28" t="str">
        <f t="shared" si="372"/>
        <v>GROWTH</v>
      </c>
      <c r="T1672" s="24">
        <v>0</v>
      </c>
      <c r="U1672" s="29" t="str">
        <f t="shared" si="373"/>
        <v>May</v>
      </c>
      <c r="V1672" s="24">
        <f t="shared" si="374"/>
        <v>0</v>
      </c>
      <c r="W1672" s="30">
        <f t="shared" si="375"/>
        <v>159.5</v>
      </c>
      <c r="X1672" s="31" t="b">
        <f t="shared" si="376"/>
        <v>0</v>
      </c>
      <c r="Y1672" s="32" t="b">
        <f t="shared" si="377"/>
        <v>0</v>
      </c>
      <c r="Z1672" s="41">
        <v>0</v>
      </c>
      <c r="AA1672" s="36"/>
      <c r="AB1672" s="36" t="s">
        <v>24</v>
      </c>
      <c r="AC1672" s="54"/>
      <c r="AD1672" s="34"/>
      <c r="AE1672" s="35">
        <f>IFERROR(INDEX([1]Last6M_AvgSales_Ref!$B$2:$B$12659,MATCH(D1672,[1]Last6M_AvgSales_Ref!$A$2:$A$12659,0)),"")</f>
        <v>10.25</v>
      </c>
    </row>
    <row r="1673" spans="1:31" ht="14.25" customHeight="1" x14ac:dyDescent="0.3">
      <c r="A1673" s="54" t="s">
        <v>2027</v>
      </c>
      <c r="B1673" s="55" t="s">
        <v>3396</v>
      </c>
      <c r="C1673" s="56" t="s">
        <v>3397</v>
      </c>
      <c r="D1673" s="36">
        <v>1000004695</v>
      </c>
      <c r="E1673" s="55" t="s">
        <v>3398</v>
      </c>
      <c r="F1673" s="57">
        <v>46112</v>
      </c>
      <c r="G1673" s="22" t="str">
        <f t="shared" si="364"/>
        <v>Targeted Dealer</v>
      </c>
      <c r="H1673" s="58"/>
      <c r="I1673" s="23">
        <v>300</v>
      </c>
      <c r="J1673" s="23">
        <f t="shared" si="365"/>
        <v>300</v>
      </c>
      <c r="K1673" s="24">
        <v>225</v>
      </c>
      <c r="L1673" s="24">
        <f t="shared" si="366"/>
        <v>75</v>
      </c>
      <c r="M1673" s="24">
        <f t="shared" si="367"/>
        <v>75</v>
      </c>
      <c r="N1673" s="25">
        <v>180</v>
      </c>
      <c r="O1673" s="26" t="str">
        <f t="shared" si="368"/>
        <v>June</v>
      </c>
      <c r="P1673" s="25">
        <f t="shared" si="369"/>
        <v>180</v>
      </c>
      <c r="Q1673" s="27">
        <f t="shared" si="370"/>
        <v>45</v>
      </c>
      <c r="R1673" s="26" t="b">
        <f t="shared" si="371"/>
        <v>0</v>
      </c>
      <c r="S1673" s="28" t="str">
        <f t="shared" si="372"/>
        <v>GROWTH</v>
      </c>
      <c r="T1673" s="24">
        <v>0</v>
      </c>
      <c r="U1673" s="29" t="str">
        <f t="shared" si="373"/>
        <v>May</v>
      </c>
      <c r="V1673" s="24">
        <f t="shared" si="374"/>
        <v>0</v>
      </c>
      <c r="W1673" s="30">
        <f t="shared" si="375"/>
        <v>225</v>
      </c>
      <c r="X1673" s="31" t="b">
        <f t="shared" si="376"/>
        <v>0</v>
      </c>
      <c r="Y1673" s="32" t="b">
        <f t="shared" si="377"/>
        <v>0</v>
      </c>
      <c r="Z1673" s="41">
        <v>0</v>
      </c>
      <c r="AA1673" s="36"/>
      <c r="AB1673" s="36" t="s">
        <v>24</v>
      </c>
      <c r="AC1673" s="54"/>
      <c r="AD1673" s="34"/>
      <c r="AE1673" s="35">
        <f>IFERROR(INDEX([1]Last6M_AvgSales_Ref!$B$2:$B$12659,MATCH(D1673,[1]Last6M_AvgSales_Ref!$A$2:$A$12659,0)),"")</f>
        <v>55.3333333333333</v>
      </c>
    </row>
    <row r="1674" spans="1:31" ht="14.25" customHeight="1" x14ac:dyDescent="0.3">
      <c r="A1674" s="54" t="s">
        <v>2185</v>
      </c>
      <c r="B1674" s="55" t="s">
        <v>2287</v>
      </c>
      <c r="C1674" s="56" t="s">
        <v>3399</v>
      </c>
      <c r="D1674" s="36">
        <v>1000002689</v>
      </c>
      <c r="E1674" s="55" t="s">
        <v>3400</v>
      </c>
      <c r="F1674" s="57">
        <v>44739</v>
      </c>
      <c r="G1674" s="22" t="str">
        <f t="shared" si="364"/>
        <v>Targeted Dealer</v>
      </c>
      <c r="H1674" s="58"/>
      <c r="I1674" s="23">
        <v>30</v>
      </c>
      <c r="J1674" s="23">
        <f t="shared" si="365"/>
        <v>30</v>
      </c>
      <c r="K1674" s="24">
        <v>25</v>
      </c>
      <c r="L1674" s="24">
        <f t="shared" si="366"/>
        <v>5</v>
      </c>
      <c r="M1674" s="24">
        <f t="shared" si="367"/>
        <v>83.333333333333343</v>
      </c>
      <c r="N1674" s="25">
        <v>0</v>
      </c>
      <c r="O1674" s="26" t="str">
        <f t="shared" si="368"/>
        <v>June</v>
      </c>
      <c r="P1674" s="25">
        <f t="shared" si="369"/>
        <v>0</v>
      </c>
      <c r="Q1674" s="27">
        <f t="shared" si="370"/>
        <v>25</v>
      </c>
      <c r="R1674" s="26" t="b">
        <f t="shared" si="371"/>
        <v>0</v>
      </c>
      <c r="S1674" s="28" t="b">
        <f t="shared" si="372"/>
        <v>0</v>
      </c>
      <c r="T1674" s="24">
        <v>0</v>
      </c>
      <c r="U1674" s="29" t="str">
        <f t="shared" si="373"/>
        <v>May</v>
      </c>
      <c r="V1674" s="24">
        <f t="shared" si="374"/>
        <v>0</v>
      </c>
      <c r="W1674" s="30">
        <f t="shared" si="375"/>
        <v>25</v>
      </c>
      <c r="X1674" s="31" t="b">
        <f t="shared" si="376"/>
        <v>0</v>
      </c>
      <c r="Y1674" s="32" t="b">
        <f t="shared" si="377"/>
        <v>0</v>
      </c>
      <c r="Z1674" s="41">
        <v>0</v>
      </c>
      <c r="AA1674" s="36"/>
      <c r="AB1674" s="36" t="s">
        <v>24</v>
      </c>
      <c r="AC1674" s="54"/>
      <c r="AD1674" s="34"/>
      <c r="AE1674" s="35">
        <f>IFERROR(INDEX([1]Last6M_AvgSales_Ref!$B$2:$B$12659,MATCH(D1674,[1]Last6M_AvgSales_Ref!$A$2:$A$12659,0)),"")</f>
        <v>4.1666666666666696</v>
      </c>
    </row>
    <row r="1675" spans="1:31" ht="14.25" customHeight="1" x14ac:dyDescent="0.3">
      <c r="A1675" s="54" t="s">
        <v>2185</v>
      </c>
      <c r="B1675" s="55" t="s">
        <v>2186</v>
      </c>
      <c r="C1675" s="56" t="s">
        <v>3401</v>
      </c>
      <c r="D1675" s="36">
        <v>1000002772</v>
      </c>
      <c r="E1675" s="55" t="s">
        <v>3402</v>
      </c>
      <c r="F1675" s="57">
        <v>44741</v>
      </c>
      <c r="G1675" s="22" t="str">
        <f t="shared" si="364"/>
        <v>-</v>
      </c>
      <c r="H1675" s="58"/>
      <c r="I1675" s="23">
        <v>0</v>
      </c>
      <c r="J1675" s="23">
        <f t="shared" si="365"/>
        <v>0</v>
      </c>
      <c r="K1675" s="24">
        <v>0</v>
      </c>
      <c r="L1675" s="24">
        <f t="shared" si="366"/>
        <v>0</v>
      </c>
      <c r="M1675" s="24" t="str">
        <f t="shared" si="367"/>
        <v>-</v>
      </c>
      <c r="N1675" s="25">
        <v>0</v>
      </c>
      <c r="O1675" s="26" t="str">
        <f t="shared" si="368"/>
        <v>June</v>
      </c>
      <c r="P1675" s="25">
        <f t="shared" si="369"/>
        <v>0</v>
      </c>
      <c r="Q1675" s="27">
        <f t="shared" si="370"/>
        <v>0</v>
      </c>
      <c r="R1675" s="26" t="b">
        <f t="shared" si="371"/>
        <v>0</v>
      </c>
      <c r="S1675" s="28" t="b">
        <f t="shared" si="372"/>
        <v>0</v>
      </c>
      <c r="T1675" s="24">
        <v>0</v>
      </c>
      <c r="U1675" s="29" t="str">
        <f t="shared" si="373"/>
        <v>May</v>
      </c>
      <c r="V1675" s="24">
        <f t="shared" si="374"/>
        <v>0</v>
      </c>
      <c r="W1675" s="30">
        <f t="shared" si="375"/>
        <v>0</v>
      </c>
      <c r="X1675" s="31" t="b">
        <f t="shared" si="376"/>
        <v>0</v>
      </c>
      <c r="Y1675" s="32" t="b">
        <f t="shared" si="377"/>
        <v>0</v>
      </c>
      <c r="Z1675" s="41">
        <v>0</v>
      </c>
      <c r="AA1675" s="36"/>
      <c r="AB1675" s="36" t="s">
        <v>24</v>
      </c>
      <c r="AC1675" s="54"/>
      <c r="AD1675" s="34"/>
      <c r="AE1675" s="35">
        <f>IFERROR(INDEX([1]Last6M_AvgSales_Ref!$B$2:$B$12659,MATCH(D1675,[1]Last6M_AvgSales_Ref!$A$2:$A$12659,0)),"")</f>
        <v>0.58333333333333304</v>
      </c>
    </row>
    <row r="1676" spans="1:31" ht="14.25" customHeight="1" x14ac:dyDescent="0.3">
      <c r="A1676" s="54" t="s">
        <v>2027</v>
      </c>
      <c r="B1676" s="55" t="s">
        <v>2028</v>
      </c>
      <c r="C1676" s="56" t="s">
        <v>3403</v>
      </c>
      <c r="D1676" s="36">
        <v>1000004706</v>
      </c>
      <c r="E1676" s="55" t="s">
        <v>3404</v>
      </c>
      <c r="F1676" s="57">
        <v>46139</v>
      </c>
      <c r="G1676" s="22" t="str">
        <f t="shared" si="364"/>
        <v>Targeted Dealer</v>
      </c>
      <c r="H1676" s="58"/>
      <c r="I1676" s="23">
        <v>70</v>
      </c>
      <c r="J1676" s="23">
        <f t="shared" si="365"/>
        <v>70</v>
      </c>
      <c r="K1676" s="24">
        <v>113.5</v>
      </c>
      <c r="L1676" s="24">
        <f t="shared" si="366"/>
        <v>-43.5</v>
      </c>
      <c r="M1676" s="24">
        <f t="shared" si="367"/>
        <v>162.14285714285717</v>
      </c>
      <c r="N1676" s="25">
        <v>91.15</v>
      </c>
      <c r="O1676" s="26" t="str">
        <f t="shared" si="368"/>
        <v>June</v>
      </c>
      <c r="P1676" s="25">
        <f t="shared" si="369"/>
        <v>91.15</v>
      </c>
      <c r="Q1676" s="27">
        <f t="shared" si="370"/>
        <v>22.349999999999994</v>
      </c>
      <c r="R1676" s="26" t="b">
        <f t="shared" si="371"/>
        <v>0</v>
      </c>
      <c r="S1676" s="28" t="str">
        <f t="shared" si="372"/>
        <v>GROWTH</v>
      </c>
      <c r="T1676" s="24">
        <v>0</v>
      </c>
      <c r="U1676" s="29" t="str">
        <f t="shared" si="373"/>
        <v>May</v>
      </c>
      <c r="V1676" s="24">
        <f t="shared" si="374"/>
        <v>0</v>
      </c>
      <c r="W1676" s="30">
        <f t="shared" si="375"/>
        <v>113.5</v>
      </c>
      <c r="X1676" s="31" t="b">
        <f t="shared" si="376"/>
        <v>0</v>
      </c>
      <c r="Y1676" s="32" t="b">
        <f t="shared" si="377"/>
        <v>0</v>
      </c>
      <c r="Z1676" s="41">
        <v>0</v>
      </c>
      <c r="AA1676" s="36"/>
      <c r="AB1676" s="36" t="s">
        <v>24</v>
      </c>
      <c r="AC1676" s="54"/>
      <c r="AD1676" s="34"/>
      <c r="AE1676" s="35">
        <f>IFERROR(INDEX([1]Last6M_AvgSales_Ref!$B$2:$B$12659,MATCH(D1676,[1]Last6M_AvgSales_Ref!$A$2:$A$12659,0)),"")</f>
        <v>3.5</v>
      </c>
    </row>
    <row r="1677" spans="1:31" ht="14.25" customHeight="1" x14ac:dyDescent="0.3">
      <c r="A1677" s="54" t="str">
        <f t="shared" ref="A1677:A1712" si="378">VLOOKUP(B1677,$B$2:$AC$1673,28,0)</f>
        <v>NB 1</v>
      </c>
      <c r="B1677" s="55" t="s">
        <v>1901</v>
      </c>
      <c r="C1677" s="56" t="s">
        <v>3405</v>
      </c>
      <c r="D1677" s="36">
        <v>1000004709</v>
      </c>
      <c r="E1677" s="55" t="s">
        <v>3406</v>
      </c>
      <c r="F1677" s="57">
        <v>46141</v>
      </c>
      <c r="G1677" s="22" t="str">
        <f t="shared" si="364"/>
        <v>Targeted Dealer</v>
      </c>
      <c r="H1677" s="58"/>
      <c r="I1677" s="23">
        <v>420</v>
      </c>
      <c r="J1677" s="23">
        <f t="shared" si="365"/>
        <v>420</v>
      </c>
      <c r="K1677" s="24">
        <v>375</v>
      </c>
      <c r="L1677" s="24">
        <f t="shared" si="366"/>
        <v>45</v>
      </c>
      <c r="M1677" s="24">
        <f t="shared" si="367"/>
        <v>89.285714285714278</v>
      </c>
      <c r="N1677" s="25">
        <v>247</v>
      </c>
      <c r="O1677" s="26" t="str">
        <f t="shared" si="368"/>
        <v>June</v>
      </c>
      <c r="P1677" s="25">
        <f t="shared" si="369"/>
        <v>247</v>
      </c>
      <c r="Q1677" s="27">
        <f t="shared" si="370"/>
        <v>128</v>
      </c>
      <c r="R1677" s="26" t="b">
        <f t="shared" si="371"/>
        <v>0</v>
      </c>
      <c r="S1677" s="28" t="str">
        <f t="shared" si="372"/>
        <v>GROWTH</v>
      </c>
      <c r="T1677" s="24">
        <v>0</v>
      </c>
      <c r="U1677" s="29" t="str">
        <f t="shared" si="373"/>
        <v>May</v>
      </c>
      <c r="V1677" s="24">
        <f t="shared" si="374"/>
        <v>0</v>
      </c>
      <c r="W1677" s="30">
        <f t="shared" si="375"/>
        <v>375</v>
      </c>
      <c r="X1677" s="31" t="b">
        <f t="shared" si="376"/>
        <v>0</v>
      </c>
      <c r="Y1677" s="32" t="b">
        <f t="shared" si="377"/>
        <v>0</v>
      </c>
      <c r="Z1677" s="41"/>
      <c r="AA1677" s="36"/>
      <c r="AB1677" s="36"/>
      <c r="AC1677" s="54"/>
      <c r="AD1677" s="34"/>
      <c r="AE1677" s="35">
        <f>IFERROR(INDEX([1]Last6M_AvgSales_Ref!$B$2:$B$12659,MATCH(D1677,[1]Last6M_AvgSales_Ref!$A$2:$A$12659,0)),"")</f>
        <v>0</v>
      </c>
    </row>
    <row r="1678" spans="1:31" ht="14.25" customHeight="1" x14ac:dyDescent="0.3">
      <c r="A1678" s="54" t="str">
        <f t="shared" si="378"/>
        <v>NB 1</v>
      </c>
      <c r="B1678" s="55" t="s">
        <v>1901</v>
      </c>
      <c r="C1678" s="56" t="s">
        <v>3407</v>
      </c>
      <c r="D1678" s="36">
        <v>1000004703</v>
      </c>
      <c r="E1678" s="55" t="s">
        <v>3408</v>
      </c>
      <c r="F1678" s="57">
        <v>46132</v>
      </c>
      <c r="G1678" s="22" t="str">
        <f t="shared" si="364"/>
        <v>Targeted Dealer</v>
      </c>
      <c r="H1678" s="58"/>
      <c r="I1678" s="23">
        <v>70</v>
      </c>
      <c r="J1678" s="23">
        <f t="shared" si="365"/>
        <v>70</v>
      </c>
      <c r="K1678" s="24">
        <v>12</v>
      </c>
      <c r="L1678" s="24">
        <f t="shared" si="366"/>
        <v>58</v>
      </c>
      <c r="M1678" s="24">
        <f t="shared" si="367"/>
        <v>17.142857142857142</v>
      </c>
      <c r="N1678" s="25">
        <v>12</v>
      </c>
      <c r="O1678" s="26" t="str">
        <f t="shared" si="368"/>
        <v>June</v>
      </c>
      <c r="P1678" s="25">
        <f t="shared" si="369"/>
        <v>12</v>
      </c>
      <c r="Q1678" s="27">
        <f t="shared" si="370"/>
        <v>0</v>
      </c>
      <c r="R1678" s="26" t="b">
        <f t="shared" si="371"/>
        <v>0</v>
      </c>
      <c r="S1678" s="28" t="str">
        <f t="shared" si="372"/>
        <v>GROWTH</v>
      </c>
      <c r="T1678" s="24">
        <v>0</v>
      </c>
      <c r="U1678" s="29" t="str">
        <f t="shared" si="373"/>
        <v>May</v>
      </c>
      <c r="V1678" s="24">
        <f t="shared" si="374"/>
        <v>0</v>
      </c>
      <c r="W1678" s="30">
        <f t="shared" si="375"/>
        <v>12</v>
      </c>
      <c r="X1678" s="31" t="b">
        <f t="shared" si="376"/>
        <v>0</v>
      </c>
      <c r="Y1678" s="32" t="b">
        <f t="shared" si="377"/>
        <v>0</v>
      </c>
      <c r="Z1678" s="41"/>
      <c r="AA1678" s="36"/>
      <c r="AB1678" s="36"/>
      <c r="AC1678" s="54"/>
      <c r="AD1678" s="34"/>
      <c r="AE1678" s="35">
        <f>IFERROR(INDEX([1]Last6M_AvgSales_Ref!$B$2:$B$12659,MATCH(D1678,[1]Last6M_AvgSales_Ref!$A$2:$A$12659,0)),"")</f>
        <v>0</v>
      </c>
    </row>
    <row r="1679" spans="1:31" ht="14.25" customHeight="1" x14ac:dyDescent="0.3">
      <c r="A1679" s="54" t="str">
        <f t="shared" si="378"/>
        <v>NE 1</v>
      </c>
      <c r="B1679" s="55" t="s">
        <v>358</v>
      </c>
      <c r="C1679" s="56" t="s">
        <v>3409</v>
      </c>
      <c r="D1679" s="36">
        <v>1000000832</v>
      </c>
      <c r="E1679" s="55" t="s">
        <v>3410</v>
      </c>
      <c r="F1679" s="57">
        <v>44738</v>
      </c>
      <c r="G1679" s="22" t="str">
        <f t="shared" si="364"/>
        <v>-</v>
      </c>
      <c r="H1679" s="58"/>
      <c r="I1679" s="23">
        <v>0</v>
      </c>
      <c r="J1679" s="23">
        <f t="shared" si="365"/>
        <v>0</v>
      </c>
      <c r="K1679" s="24">
        <v>1.4</v>
      </c>
      <c r="L1679" s="24">
        <f t="shared" si="366"/>
        <v>-1.4</v>
      </c>
      <c r="M1679" s="24" t="str">
        <f t="shared" si="367"/>
        <v>-</v>
      </c>
      <c r="N1679" s="25">
        <v>0</v>
      </c>
      <c r="O1679" s="26" t="str">
        <f t="shared" si="368"/>
        <v>June</v>
      </c>
      <c r="P1679" s="25">
        <f t="shared" si="369"/>
        <v>0</v>
      </c>
      <c r="Q1679" s="27">
        <f t="shared" si="370"/>
        <v>1.4</v>
      </c>
      <c r="R1679" s="26" t="b">
        <f t="shared" si="371"/>
        <v>0</v>
      </c>
      <c r="S1679" s="28" t="b">
        <f t="shared" si="372"/>
        <v>0</v>
      </c>
      <c r="T1679" s="24">
        <v>16</v>
      </c>
      <c r="U1679" s="29" t="str">
        <f t="shared" si="373"/>
        <v>May</v>
      </c>
      <c r="V1679" s="24">
        <f t="shared" si="374"/>
        <v>16</v>
      </c>
      <c r="W1679" s="30">
        <f t="shared" si="375"/>
        <v>-14.6</v>
      </c>
      <c r="X1679" s="31" t="b">
        <f t="shared" si="376"/>
        <v>0</v>
      </c>
      <c r="Y1679" s="32" t="str">
        <f t="shared" si="377"/>
        <v>GROWTH</v>
      </c>
      <c r="Z1679" s="41"/>
      <c r="AA1679" s="36"/>
      <c r="AB1679" s="36"/>
      <c r="AC1679" s="54"/>
      <c r="AD1679" s="34"/>
      <c r="AE1679" s="35">
        <f>IFERROR(INDEX([1]Last6M_AvgSales_Ref!$B$2:$B$12659,MATCH(D1679,[1]Last6M_AvgSales_Ref!$A$2:$A$12659,0)),"")</f>
        <v>0</v>
      </c>
    </row>
    <row r="1680" spans="1:31" ht="14.25" customHeight="1" x14ac:dyDescent="0.3">
      <c r="A1680" s="54" t="str">
        <f t="shared" si="378"/>
        <v>NE 1</v>
      </c>
      <c r="B1680" s="55" t="s">
        <v>358</v>
      </c>
      <c r="C1680" s="56" t="s">
        <v>3411</v>
      </c>
      <c r="D1680" s="36">
        <v>1000003127</v>
      </c>
      <c r="E1680" s="55" t="s">
        <v>3412</v>
      </c>
      <c r="F1680" s="57">
        <v>44908</v>
      </c>
      <c r="G1680" s="22" t="str">
        <f t="shared" si="364"/>
        <v>-</v>
      </c>
      <c r="H1680" s="58"/>
      <c r="I1680" s="23">
        <v>0</v>
      </c>
      <c r="J1680" s="23">
        <f t="shared" si="365"/>
        <v>0</v>
      </c>
      <c r="K1680" s="24">
        <v>40</v>
      </c>
      <c r="L1680" s="24">
        <f t="shared" si="366"/>
        <v>-40</v>
      </c>
      <c r="M1680" s="24" t="str">
        <f t="shared" si="367"/>
        <v>-</v>
      </c>
      <c r="N1680" s="25">
        <v>0</v>
      </c>
      <c r="O1680" s="26" t="str">
        <f t="shared" si="368"/>
        <v>June</v>
      </c>
      <c r="P1680" s="25">
        <f t="shared" si="369"/>
        <v>0</v>
      </c>
      <c r="Q1680" s="27">
        <f t="shared" si="370"/>
        <v>40</v>
      </c>
      <c r="R1680" s="26" t="b">
        <f t="shared" si="371"/>
        <v>0</v>
      </c>
      <c r="S1680" s="28" t="b">
        <f t="shared" si="372"/>
        <v>0</v>
      </c>
      <c r="T1680" s="24">
        <v>0</v>
      </c>
      <c r="U1680" s="29" t="str">
        <f t="shared" si="373"/>
        <v>May</v>
      </c>
      <c r="V1680" s="24">
        <f t="shared" si="374"/>
        <v>0</v>
      </c>
      <c r="W1680" s="30">
        <f t="shared" si="375"/>
        <v>40</v>
      </c>
      <c r="X1680" s="31" t="b">
        <f t="shared" si="376"/>
        <v>0</v>
      </c>
      <c r="Y1680" s="32" t="b">
        <f t="shared" si="377"/>
        <v>0</v>
      </c>
      <c r="Z1680" s="41"/>
      <c r="AA1680" s="36"/>
      <c r="AB1680" s="36"/>
      <c r="AC1680" s="54"/>
      <c r="AD1680" s="34"/>
      <c r="AE1680" s="35">
        <f>IFERROR(INDEX([1]Last6M_AvgSales_Ref!$B$2:$B$12659,MATCH(D1680,[1]Last6M_AvgSales_Ref!$A$2:$A$12659,0)),"")</f>
        <v>0</v>
      </c>
    </row>
    <row r="1681" spans="1:31" ht="14.25" customHeight="1" x14ac:dyDescent="0.3">
      <c r="A1681" s="54" t="str">
        <f t="shared" si="378"/>
        <v>NE 2</v>
      </c>
      <c r="B1681" s="55" t="s">
        <v>1558</v>
      </c>
      <c r="C1681" s="56" t="s">
        <v>3413</v>
      </c>
      <c r="D1681" s="36">
        <v>1000000128</v>
      </c>
      <c r="E1681" s="55" t="s">
        <v>3414</v>
      </c>
      <c r="F1681" s="57">
        <v>44738</v>
      </c>
      <c r="G1681" s="22" t="str">
        <f t="shared" si="364"/>
        <v>-</v>
      </c>
      <c r="H1681" s="58"/>
      <c r="I1681" s="23">
        <v>0</v>
      </c>
      <c r="J1681" s="23">
        <f t="shared" si="365"/>
        <v>0</v>
      </c>
      <c r="K1681" s="24">
        <v>2.5</v>
      </c>
      <c r="L1681" s="24">
        <f t="shared" si="366"/>
        <v>-2.5</v>
      </c>
      <c r="M1681" s="24" t="str">
        <f t="shared" si="367"/>
        <v>-</v>
      </c>
      <c r="N1681" s="25">
        <v>0</v>
      </c>
      <c r="O1681" s="26" t="str">
        <f t="shared" si="368"/>
        <v>June</v>
      </c>
      <c r="P1681" s="25">
        <f t="shared" si="369"/>
        <v>0</v>
      </c>
      <c r="Q1681" s="27">
        <f t="shared" si="370"/>
        <v>2.5</v>
      </c>
      <c r="R1681" s="26" t="b">
        <f t="shared" si="371"/>
        <v>0</v>
      </c>
      <c r="S1681" s="28" t="b">
        <f t="shared" si="372"/>
        <v>0</v>
      </c>
      <c r="T1681" s="24">
        <v>0</v>
      </c>
      <c r="U1681" s="29" t="str">
        <f t="shared" si="373"/>
        <v>May</v>
      </c>
      <c r="V1681" s="24">
        <f t="shared" si="374"/>
        <v>0</v>
      </c>
      <c r="W1681" s="30">
        <f t="shared" si="375"/>
        <v>2.5</v>
      </c>
      <c r="X1681" s="31" t="b">
        <f t="shared" si="376"/>
        <v>0</v>
      </c>
      <c r="Y1681" s="32" t="b">
        <f t="shared" si="377"/>
        <v>0</v>
      </c>
      <c r="Z1681" s="41"/>
      <c r="AA1681" s="36"/>
      <c r="AB1681" s="36"/>
      <c r="AC1681" s="54"/>
      <c r="AD1681" s="34"/>
      <c r="AE1681" s="35">
        <f>IFERROR(INDEX([1]Last6M_AvgSales_Ref!$B$2:$B$12659,MATCH(D1681,[1]Last6M_AvgSales_Ref!$A$2:$A$12659,0)),"")</f>
        <v>0</v>
      </c>
    </row>
    <row r="1682" spans="1:31" ht="14.25" customHeight="1" x14ac:dyDescent="0.3">
      <c r="A1682" s="54" t="str">
        <f t="shared" si="378"/>
        <v>NE 2</v>
      </c>
      <c r="B1682" s="55" t="s">
        <v>1558</v>
      </c>
      <c r="C1682" s="56" t="s">
        <v>3415</v>
      </c>
      <c r="D1682" s="36">
        <v>1000004718</v>
      </c>
      <c r="E1682" s="55" t="s">
        <v>3416</v>
      </c>
      <c r="F1682" s="57">
        <v>46165</v>
      </c>
      <c r="G1682" s="22" t="str">
        <f t="shared" si="364"/>
        <v>Targeted Dealer</v>
      </c>
      <c r="H1682" s="58"/>
      <c r="I1682" s="23">
        <v>50</v>
      </c>
      <c r="J1682" s="23">
        <f t="shared" si="365"/>
        <v>50</v>
      </c>
      <c r="K1682" s="24">
        <v>20</v>
      </c>
      <c r="L1682" s="24">
        <f t="shared" si="366"/>
        <v>30</v>
      </c>
      <c r="M1682" s="24">
        <f t="shared" si="367"/>
        <v>40</v>
      </c>
      <c r="N1682" s="25">
        <v>61</v>
      </c>
      <c r="O1682" s="26" t="str">
        <f t="shared" si="368"/>
        <v>June</v>
      </c>
      <c r="P1682" s="25">
        <f t="shared" si="369"/>
        <v>61</v>
      </c>
      <c r="Q1682" s="27">
        <f t="shared" si="370"/>
        <v>-41</v>
      </c>
      <c r="R1682" s="26" t="b">
        <f t="shared" si="371"/>
        <v>0</v>
      </c>
      <c r="S1682" s="28" t="str">
        <f t="shared" si="372"/>
        <v>GROWTH</v>
      </c>
      <c r="T1682" s="24">
        <v>0</v>
      </c>
      <c r="U1682" s="29" t="str">
        <f t="shared" si="373"/>
        <v>May</v>
      </c>
      <c r="V1682" s="24">
        <f t="shared" si="374"/>
        <v>0</v>
      </c>
      <c r="W1682" s="30">
        <f t="shared" si="375"/>
        <v>20</v>
      </c>
      <c r="X1682" s="31" t="b">
        <f t="shared" si="376"/>
        <v>0</v>
      </c>
      <c r="Y1682" s="32" t="b">
        <f t="shared" si="377"/>
        <v>0</v>
      </c>
      <c r="Z1682" s="41"/>
      <c r="AA1682" s="36"/>
      <c r="AB1682" s="36"/>
      <c r="AC1682" s="54"/>
      <c r="AD1682" s="34"/>
      <c r="AE1682" s="35">
        <f>IFERROR(INDEX([1]Last6M_AvgSales_Ref!$B$2:$B$12659,MATCH(D1682,[1]Last6M_AvgSales_Ref!$A$2:$A$12659,0)),"")</f>
        <v>0</v>
      </c>
    </row>
    <row r="1683" spans="1:31" ht="14.25" customHeight="1" x14ac:dyDescent="0.3">
      <c r="A1683" s="54" t="str">
        <f t="shared" si="378"/>
        <v>NB 2</v>
      </c>
      <c r="B1683" s="55" t="s">
        <v>2095</v>
      </c>
      <c r="C1683" s="56" t="s">
        <v>3417</v>
      </c>
      <c r="D1683" s="36">
        <v>1000004319</v>
      </c>
      <c r="E1683" s="55" t="s">
        <v>3418</v>
      </c>
      <c r="F1683" s="57">
        <v>45766</v>
      </c>
      <c r="G1683" s="22" t="str">
        <f t="shared" si="364"/>
        <v>Targeted Dealer</v>
      </c>
      <c r="H1683" s="58"/>
      <c r="I1683" s="23">
        <v>30</v>
      </c>
      <c r="J1683" s="23">
        <f t="shared" si="365"/>
        <v>30</v>
      </c>
      <c r="K1683" s="24">
        <v>5</v>
      </c>
      <c r="L1683" s="24">
        <f t="shared" si="366"/>
        <v>25</v>
      </c>
      <c r="M1683" s="24">
        <f t="shared" si="367"/>
        <v>16.666666666666668</v>
      </c>
      <c r="N1683" s="25">
        <v>0</v>
      </c>
      <c r="O1683" s="26" t="str">
        <f t="shared" si="368"/>
        <v>June</v>
      </c>
      <c r="P1683" s="25">
        <f t="shared" si="369"/>
        <v>0</v>
      </c>
      <c r="Q1683" s="27">
        <f t="shared" si="370"/>
        <v>5</v>
      </c>
      <c r="R1683" s="26" t="b">
        <f t="shared" si="371"/>
        <v>0</v>
      </c>
      <c r="S1683" s="28" t="b">
        <f t="shared" si="372"/>
        <v>0</v>
      </c>
      <c r="T1683" s="24">
        <v>0</v>
      </c>
      <c r="U1683" s="29" t="str">
        <f t="shared" si="373"/>
        <v>May</v>
      </c>
      <c r="V1683" s="24">
        <f t="shared" si="374"/>
        <v>0</v>
      </c>
      <c r="W1683" s="30">
        <f t="shared" si="375"/>
        <v>5</v>
      </c>
      <c r="X1683" s="31" t="b">
        <f t="shared" si="376"/>
        <v>0</v>
      </c>
      <c r="Y1683" s="32" t="b">
        <f t="shared" si="377"/>
        <v>0</v>
      </c>
      <c r="Z1683" s="41"/>
      <c r="AA1683" s="36"/>
      <c r="AB1683" s="36"/>
      <c r="AC1683" s="54"/>
      <c r="AD1683" s="34"/>
      <c r="AE1683" s="35">
        <f>IFERROR(INDEX([1]Last6M_AvgSales_Ref!$B$2:$B$12659,MATCH(D1683,[1]Last6M_AvgSales_Ref!$A$2:$A$12659,0)),"")</f>
        <v>0</v>
      </c>
    </row>
    <row r="1684" spans="1:31" ht="14.25" customHeight="1" x14ac:dyDescent="0.3">
      <c r="A1684" s="54" t="str">
        <f t="shared" si="378"/>
        <v>NB 2</v>
      </c>
      <c r="B1684" s="55" t="s">
        <v>2095</v>
      </c>
      <c r="C1684" s="56" t="s">
        <v>3419</v>
      </c>
      <c r="D1684" s="36">
        <v>1000004729</v>
      </c>
      <c r="E1684" s="55" t="s">
        <v>3420</v>
      </c>
      <c r="F1684" s="57">
        <v>46158</v>
      </c>
      <c r="G1684" s="22" t="str">
        <f t="shared" si="364"/>
        <v>Targeted Dealer</v>
      </c>
      <c r="H1684" s="58"/>
      <c r="I1684" s="23">
        <v>50</v>
      </c>
      <c r="J1684" s="23">
        <f t="shared" si="365"/>
        <v>50</v>
      </c>
      <c r="K1684" s="24">
        <v>22</v>
      </c>
      <c r="L1684" s="24">
        <f t="shared" si="366"/>
        <v>28</v>
      </c>
      <c r="M1684" s="24">
        <f t="shared" si="367"/>
        <v>44</v>
      </c>
      <c r="N1684" s="25">
        <v>50</v>
      </c>
      <c r="O1684" s="26" t="str">
        <f t="shared" si="368"/>
        <v>June</v>
      </c>
      <c r="P1684" s="25">
        <f t="shared" si="369"/>
        <v>50</v>
      </c>
      <c r="Q1684" s="27">
        <f t="shared" si="370"/>
        <v>-28</v>
      </c>
      <c r="R1684" s="26" t="b">
        <f t="shared" si="371"/>
        <v>0</v>
      </c>
      <c r="S1684" s="28" t="str">
        <f t="shared" si="372"/>
        <v>GROWTH</v>
      </c>
      <c r="T1684" s="24">
        <v>0</v>
      </c>
      <c r="U1684" s="29" t="str">
        <f t="shared" si="373"/>
        <v>May</v>
      </c>
      <c r="V1684" s="24">
        <f t="shared" si="374"/>
        <v>0</v>
      </c>
      <c r="W1684" s="30">
        <f t="shared" si="375"/>
        <v>22</v>
      </c>
      <c r="X1684" s="31" t="b">
        <f t="shared" si="376"/>
        <v>0</v>
      </c>
      <c r="Y1684" s="32" t="b">
        <f t="shared" si="377"/>
        <v>0</v>
      </c>
      <c r="Z1684" s="41"/>
      <c r="AA1684" s="36"/>
      <c r="AB1684" s="36"/>
      <c r="AC1684" s="54"/>
      <c r="AD1684" s="34"/>
      <c r="AE1684" s="35">
        <f>IFERROR(INDEX([1]Last6M_AvgSales_Ref!$B$2:$B$12659,MATCH(D1684,[1]Last6M_AvgSales_Ref!$A$2:$A$12659,0)),"")</f>
        <v>0</v>
      </c>
    </row>
    <row r="1685" spans="1:31" ht="14.25" customHeight="1" x14ac:dyDescent="0.3">
      <c r="A1685" s="54" t="str">
        <f t="shared" si="378"/>
        <v>NE 1</v>
      </c>
      <c r="B1685" s="55" t="s">
        <v>570</v>
      </c>
      <c r="C1685" s="56" t="s">
        <v>3421</v>
      </c>
      <c r="D1685" s="36">
        <v>1000004715</v>
      </c>
      <c r="E1685" s="55" t="s">
        <v>3422</v>
      </c>
      <c r="F1685" s="57">
        <v>46142</v>
      </c>
      <c r="G1685" s="22" t="str">
        <f t="shared" si="364"/>
        <v>Targeted Dealer</v>
      </c>
      <c r="H1685" s="58"/>
      <c r="I1685" s="23">
        <v>100</v>
      </c>
      <c r="J1685" s="23">
        <f t="shared" si="365"/>
        <v>100</v>
      </c>
      <c r="K1685" s="24">
        <v>170</v>
      </c>
      <c r="L1685" s="24">
        <f t="shared" si="366"/>
        <v>-70</v>
      </c>
      <c r="M1685" s="24">
        <f t="shared" si="367"/>
        <v>170</v>
      </c>
      <c r="N1685" s="25">
        <v>160</v>
      </c>
      <c r="O1685" s="26" t="str">
        <f t="shared" si="368"/>
        <v>June</v>
      </c>
      <c r="P1685" s="25">
        <f t="shared" si="369"/>
        <v>160</v>
      </c>
      <c r="Q1685" s="27">
        <f t="shared" si="370"/>
        <v>10</v>
      </c>
      <c r="R1685" s="26" t="b">
        <f t="shared" si="371"/>
        <v>0</v>
      </c>
      <c r="S1685" s="28" t="str">
        <f t="shared" si="372"/>
        <v>GROWTH</v>
      </c>
      <c r="T1685" s="24">
        <v>0</v>
      </c>
      <c r="U1685" s="29" t="str">
        <f t="shared" si="373"/>
        <v>May</v>
      </c>
      <c r="V1685" s="24">
        <f t="shared" si="374"/>
        <v>0</v>
      </c>
      <c r="W1685" s="30">
        <f t="shared" si="375"/>
        <v>170</v>
      </c>
      <c r="X1685" s="31" t="b">
        <f t="shared" si="376"/>
        <v>0</v>
      </c>
      <c r="Y1685" s="32" t="b">
        <f t="shared" si="377"/>
        <v>0</v>
      </c>
      <c r="Z1685" s="41"/>
      <c r="AA1685" s="36"/>
      <c r="AB1685" s="36"/>
      <c r="AC1685" s="54"/>
      <c r="AD1685" s="34"/>
      <c r="AE1685" s="35">
        <f>IFERROR(INDEX([1]Last6M_AvgSales_Ref!$B$2:$B$12659,MATCH(D1685,[1]Last6M_AvgSales_Ref!$A$2:$A$12659,0)),"")</f>
        <v>0</v>
      </c>
    </row>
    <row r="1686" spans="1:31" ht="14.25" customHeight="1" x14ac:dyDescent="0.3">
      <c r="A1686" s="54" t="str">
        <f t="shared" si="378"/>
        <v>NE 1</v>
      </c>
      <c r="B1686" s="55" t="s">
        <v>504</v>
      </c>
      <c r="C1686" s="56" t="s">
        <v>3423</v>
      </c>
      <c r="D1686" s="36">
        <v>1000000271</v>
      </c>
      <c r="E1686" s="55" t="s">
        <v>3424</v>
      </c>
      <c r="F1686" s="57">
        <v>44738</v>
      </c>
      <c r="G1686" s="22" t="str">
        <f t="shared" si="364"/>
        <v>-</v>
      </c>
      <c r="H1686" s="58"/>
      <c r="I1686" s="23">
        <v>0</v>
      </c>
      <c r="J1686" s="23">
        <f t="shared" si="365"/>
        <v>0</v>
      </c>
      <c r="K1686" s="24">
        <v>10</v>
      </c>
      <c r="L1686" s="24">
        <f t="shared" si="366"/>
        <v>-10</v>
      </c>
      <c r="M1686" s="24" t="str">
        <f t="shared" si="367"/>
        <v>-</v>
      </c>
      <c r="N1686" s="25">
        <v>0</v>
      </c>
      <c r="O1686" s="26" t="str">
        <f t="shared" si="368"/>
        <v>June</v>
      </c>
      <c r="P1686" s="25">
        <f t="shared" si="369"/>
        <v>0</v>
      </c>
      <c r="Q1686" s="27">
        <f t="shared" si="370"/>
        <v>10</v>
      </c>
      <c r="R1686" s="26" t="b">
        <f t="shared" si="371"/>
        <v>0</v>
      </c>
      <c r="S1686" s="28" t="b">
        <f t="shared" si="372"/>
        <v>0</v>
      </c>
      <c r="T1686" s="24">
        <v>26</v>
      </c>
      <c r="U1686" s="29" t="str">
        <f t="shared" si="373"/>
        <v>May</v>
      </c>
      <c r="V1686" s="24">
        <f t="shared" si="374"/>
        <v>26</v>
      </c>
      <c r="W1686" s="30">
        <f t="shared" si="375"/>
        <v>-16</v>
      </c>
      <c r="X1686" s="31" t="b">
        <f t="shared" si="376"/>
        <v>0</v>
      </c>
      <c r="Y1686" s="32" t="str">
        <f t="shared" si="377"/>
        <v>GROWTH</v>
      </c>
      <c r="Z1686" s="41"/>
      <c r="AA1686" s="36"/>
      <c r="AB1686" s="36"/>
      <c r="AC1686" s="54"/>
      <c r="AD1686" s="34"/>
      <c r="AE1686" s="35">
        <f>IFERROR(INDEX([1]Last6M_AvgSales_Ref!$B$2:$B$12659,MATCH(D1686,[1]Last6M_AvgSales_Ref!$A$2:$A$12659,0)),"")</f>
        <v>0</v>
      </c>
    </row>
    <row r="1687" spans="1:31" ht="14.25" customHeight="1" x14ac:dyDescent="0.3">
      <c r="A1687" s="54" t="str">
        <f t="shared" si="378"/>
        <v>NE 2</v>
      </c>
      <c r="B1687" s="55" t="s">
        <v>996</v>
      </c>
      <c r="C1687" s="56" t="s">
        <v>3425</v>
      </c>
      <c r="D1687" s="36">
        <v>1000000354</v>
      </c>
      <c r="E1687" s="55" t="s">
        <v>3426</v>
      </c>
      <c r="F1687" s="57">
        <v>44738</v>
      </c>
      <c r="G1687" s="22" t="str">
        <f t="shared" si="364"/>
        <v>-</v>
      </c>
      <c r="H1687" s="58"/>
      <c r="I1687" s="23">
        <v>0</v>
      </c>
      <c r="J1687" s="23">
        <f t="shared" si="365"/>
        <v>0</v>
      </c>
      <c r="K1687" s="24">
        <v>3.5</v>
      </c>
      <c r="L1687" s="24">
        <f t="shared" si="366"/>
        <v>-3.5</v>
      </c>
      <c r="M1687" s="24" t="str">
        <f t="shared" si="367"/>
        <v>-</v>
      </c>
      <c r="N1687" s="25">
        <v>0</v>
      </c>
      <c r="O1687" s="26" t="str">
        <f t="shared" si="368"/>
        <v>June</v>
      </c>
      <c r="P1687" s="25">
        <f t="shared" si="369"/>
        <v>0</v>
      </c>
      <c r="Q1687" s="27">
        <f t="shared" si="370"/>
        <v>3.5</v>
      </c>
      <c r="R1687" s="26" t="b">
        <f t="shared" si="371"/>
        <v>0</v>
      </c>
      <c r="S1687" s="28" t="b">
        <f t="shared" si="372"/>
        <v>0</v>
      </c>
      <c r="T1687" s="24">
        <v>0</v>
      </c>
      <c r="U1687" s="29" t="str">
        <f t="shared" si="373"/>
        <v>May</v>
      </c>
      <c r="V1687" s="24">
        <f t="shared" si="374"/>
        <v>0</v>
      </c>
      <c r="W1687" s="30">
        <f t="shared" si="375"/>
        <v>3.5</v>
      </c>
      <c r="X1687" s="31" t="b">
        <f t="shared" si="376"/>
        <v>0</v>
      </c>
      <c r="Y1687" s="32" t="b">
        <f t="shared" si="377"/>
        <v>0</v>
      </c>
      <c r="Z1687" s="41"/>
      <c r="AA1687" s="36"/>
      <c r="AB1687" s="36"/>
      <c r="AC1687" s="54"/>
      <c r="AD1687" s="34"/>
      <c r="AE1687" s="35">
        <f>IFERROR(INDEX([1]Last6M_AvgSales_Ref!$B$2:$B$12659,MATCH(D1687,[1]Last6M_AvgSales_Ref!$A$2:$A$12659,0)),"")</f>
        <v>0</v>
      </c>
    </row>
    <row r="1688" spans="1:31" ht="14.25" customHeight="1" x14ac:dyDescent="0.3">
      <c r="A1688" s="54" t="str">
        <f t="shared" si="378"/>
        <v>NE 1</v>
      </c>
      <c r="B1688" s="55" t="s">
        <v>28</v>
      </c>
      <c r="C1688" s="56" t="s">
        <v>3427</v>
      </c>
      <c r="D1688" s="36">
        <v>1000002848</v>
      </c>
      <c r="E1688" s="55" t="s">
        <v>3428</v>
      </c>
      <c r="F1688" s="57">
        <v>44772</v>
      </c>
      <c r="G1688" s="22" t="str">
        <f t="shared" si="364"/>
        <v>Targeted Dealer</v>
      </c>
      <c r="H1688" s="58"/>
      <c r="I1688" s="23">
        <v>20</v>
      </c>
      <c r="J1688" s="23">
        <f t="shared" si="365"/>
        <v>20</v>
      </c>
      <c r="K1688" s="24">
        <v>26</v>
      </c>
      <c r="L1688" s="24">
        <f t="shared" si="366"/>
        <v>-6</v>
      </c>
      <c r="M1688" s="24">
        <f t="shared" si="367"/>
        <v>130</v>
      </c>
      <c r="N1688" s="25">
        <v>0</v>
      </c>
      <c r="O1688" s="26" t="str">
        <f t="shared" si="368"/>
        <v>June</v>
      </c>
      <c r="P1688" s="25">
        <f t="shared" si="369"/>
        <v>0</v>
      </c>
      <c r="Q1688" s="27">
        <f t="shared" si="370"/>
        <v>26</v>
      </c>
      <c r="R1688" s="26" t="b">
        <f t="shared" si="371"/>
        <v>0</v>
      </c>
      <c r="S1688" s="28" t="b">
        <f t="shared" si="372"/>
        <v>0</v>
      </c>
      <c r="T1688" s="24">
        <v>10</v>
      </c>
      <c r="U1688" s="29" t="str">
        <f t="shared" si="373"/>
        <v>May</v>
      </c>
      <c r="V1688" s="24">
        <f t="shared" si="374"/>
        <v>10</v>
      </c>
      <c r="W1688" s="30">
        <f t="shared" si="375"/>
        <v>16</v>
      </c>
      <c r="X1688" s="31" t="b">
        <f t="shared" si="376"/>
        <v>0</v>
      </c>
      <c r="Y1688" s="32" t="str">
        <f t="shared" si="377"/>
        <v>GROWTH</v>
      </c>
      <c r="Z1688" s="41"/>
      <c r="AA1688" s="36"/>
      <c r="AB1688" s="36"/>
      <c r="AC1688" s="54"/>
      <c r="AD1688" s="34"/>
      <c r="AE1688" s="35">
        <f>IFERROR(INDEX([1]Last6M_AvgSales_Ref!$B$2:$B$12659,MATCH(D1688,[1]Last6M_AvgSales_Ref!$A$2:$A$12659,0)),"")</f>
        <v>0</v>
      </c>
    </row>
    <row r="1689" spans="1:31" ht="14.25" customHeight="1" x14ac:dyDescent="0.3">
      <c r="A1689" s="54" t="str">
        <f t="shared" si="378"/>
        <v>NB 1</v>
      </c>
      <c r="B1689" s="55" t="s">
        <v>1932</v>
      </c>
      <c r="C1689" s="56" t="s">
        <v>3429</v>
      </c>
      <c r="D1689" s="36">
        <v>1000001419</v>
      </c>
      <c r="E1689" s="55" t="s">
        <v>3430</v>
      </c>
      <c r="F1689" s="57">
        <v>44739</v>
      </c>
      <c r="G1689" s="22" t="str">
        <f t="shared" si="364"/>
        <v>Targeted Dealer</v>
      </c>
      <c r="H1689" s="58"/>
      <c r="I1689" s="23">
        <v>100</v>
      </c>
      <c r="J1689" s="23">
        <f t="shared" si="365"/>
        <v>100</v>
      </c>
      <c r="K1689" s="24">
        <v>21</v>
      </c>
      <c r="L1689" s="24">
        <f t="shared" si="366"/>
        <v>79</v>
      </c>
      <c r="M1689" s="24">
        <f t="shared" si="367"/>
        <v>21</v>
      </c>
      <c r="N1689" s="25">
        <v>18</v>
      </c>
      <c r="O1689" s="26" t="str">
        <f t="shared" si="368"/>
        <v>June</v>
      </c>
      <c r="P1689" s="25">
        <f t="shared" si="369"/>
        <v>18</v>
      </c>
      <c r="Q1689" s="27">
        <f t="shared" si="370"/>
        <v>3</v>
      </c>
      <c r="R1689" s="26" t="b">
        <f t="shared" si="371"/>
        <v>0</v>
      </c>
      <c r="S1689" s="28" t="str">
        <f t="shared" si="372"/>
        <v>GROWTH</v>
      </c>
      <c r="T1689" s="24">
        <v>93.5</v>
      </c>
      <c r="U1689" s="29" t="str">
        <f t="shared" si="373"/>
        <v>May</v>
      </c>
      <c r="V1689" s="24">
        <f t="shared" si="374"/>
        <v>93.5</v>
      </c>
      <c r="W1689" s="30">
        <f t="shared" si="375"/>
        <v>-72.5</v>
      </c>
      <c r="X1689" s="31" t="b">
        <f t="shared" si="376"/>
        <v>0</v>
      </c>
      <c r="Y1689" s="32" t="str">
        <f t="shared" si="377"/>
        <v>GROWTH</v>
      </c>
      <c r="Z1689" s="41"/>
      <c r="AA1689" s="36"/>
      <c r="AB1689" s="36"/>
      <c r="AC1689" s="54"/>
      <c r="AD1689" s="34"/>
      <c r="AE1689" s="35">
        <f>IFERROR(INDEX([1]Last6M_AvgSales_Ref!$B$2:$B$12659,MATCH(D1689,[1]Last6M_AvgSales_Ref!$A$2:$A$12659,0)),"")</f>
        <v>0</v>
      </c>
    </row>
    <row r="1690" spans="1:31" ht="14.25" customHeight="1" x14ac:dyDescent="0.3">
      <c r="A1690" s="54" t="str">
        <f t="shared" si="378"/>
        <v>NE 1</v>
      </c>
      <c r="B1690" s="55" t="s">
        <v>449</v>
      </c>
      <c r="C1690" s="56" t="s">
        <v>3431</v>
      </c>
      <c r="D1690" s="36">
        <v>1000003548</v>
      </c>
      <c r="E1690" s="55" t="s">
        <v>3432</v>
      </c>
      <c r="F1690" s="57">
        <v>45070</v>
      </c>
      <c r="G1690" s="22" t="str">
        <f t="shared" si="364"/>
        <v>-</v>
      </c>
      <c r="H1690" s="58"/>
      <c r="I1690" s="23">
        <v>0</v>
      </c>
      <c r="J1690" s="23">
        <f t="shared" si="365"/>
        <v>0</v>
      </c>
      <c r="K1690" s="24">
        <v>1.5</v>
      </c>
      <c r="L1690" s="24">
        <f t="shared" si="366"/>
        <v>-1.5</v>
      </c>
      <c r="M1690" s="24" t="str">
        <f t="shared" si="367"/>
        <v>-</v>
      </c>
      <c r="N1690" s="25">
        <v>0</v>
      </c>
      <c r="O1690" s="26" t="str">
        <f t="shared" si="368"/>
        <v>June</v>
      </c>
      <c r="P1690" s="25">
        <f t="shared" si="369"/>
        <v>0</v>
      </c>
      <c r="Q1690" s="27">
        <f t="shared" si="370"/>
        <v>1.5</v>
      </c>
      <c r="R1690" s="26" t="b">
        <f t="shared" si="371"/>
        <v>0</v>
      </c>
      <c r="S1690" s="28" t="b">
        <f t="shared" si="372"/>
        <v>0</v>
      </c>
      <c r="T1690" s="24">
        <v>0</v>
      </c>
      <c r="U1690" s="29" t="str">
        <f t="shared" si="373"/>
        <v>May</v>
      </c>
      <c r="V1690" s="24">
        <f t="shared" si="374"/>
        <v>0</v>
      </c>
      <c r="W1690" s="30">
        <f t="shared" si="375"/>
        <v>1.5</v>
      </c>
      <c r="X1690" s="31" t="b">
        <f t="shared" si="376"/>
        <v>0</v>
      </c>
      <c r="Y1690" s="32" t="b">
        <f t="shared" si="377"/>
        <v>0</v>
      </c>
      <c r="Z1690" s="41"/>
      <c r="AA1690" s="36"/>
      <c r="AB1690" s="36"/>
      <c r="AC1690" s="54"/>
      <c r="AD1690" s="34"/>
      <c r="AE1690" s="35">
        <f>IFERROR(INDEX([1]Last6M_AvgSales_Ref!$B$2:$B$12659,MATCH(D1690,[1]Last6M_AvgSales_Ref!$A$2:$A$12659,0)),"")</f>
        <v>0</v>
      </c>
    </row>
    <row r="1691" spans="1:31" ht="14.25" customHeight="1" x14ac:dyDescent="0.3">
      <c r="A1691" s="54" t="str">
        <f t="shared" si="378"/>
        <v>NE 1</v>
      </c>
      <c r="B1691" s="55" t="s">
        <v>449</v>
      </c>
      <c r="C1691" s="56" t="s">
        <v>3433</v>
      </c>
      <c r="D1691" s="36">
        <v>1000002902</v>
      </c>
      <c r="E1691" s="55" t="s">
        <v>3434</v>
      </c>
      <c r="F1691" s="57">
        <v>44799</v>
      </c>
      <c r="G1691" s="22" t="str">
        <f t="shared" si="364"/>
        <v>Targeted Dealer</v>
      </c>
      <c r="H1691" s="58"/>
      <c r="I1691" s="23">
        <v>40</v>
      </c>
      <c r="J1691" s="23">
        <f t="shared" si="365"/>
        <v>40</v>
      </c>
      <c r="K1691" s="24">
        <v>60</v>
      </c>
      <c r="L1691" s="24">
        <f t="shared" si="366"/>
        <v>-20</v>
      </c>
      <c r="M1691" s="24">
        <f t="shared" si="367"/>
        <v>150</v>
      </c>
      <c r="N1691" s="25">
        <v>84.25</v>
      </c>
      <c r="O1691" s="26" t="str">
        <f t="shared" si="368"/>
        <v>June</v>
      </c>
      <c r="P1691" s="25">
        <f t="shared" si="369"/>
        <v>84.25</v>
      </c>
      <c r="Q1691" s="27">
        <f t="shared" si="370"/>
        <v>-24.25</v>
      </c>
      <c r="R1691" s="26" t="b">
        <f t="shared" si="371"/>
        <v>0</v>
      </c>
      <c r="S1691" s="28" t="str">
        <f t="shared" si="372"/>
        <v>GROWTH</v>
      </c>
      <c r="T1691" s="24">
        <v>0</v>
      </c>
      <c r="U1691" s="29" t="str">
        <f t="shared" si="373"/>
        <v>May</v>
      </c>
      <c r="V1691" s="24">
        <f t="shared" si="374"/>
        <v>0</v>
      </c>
      <c r="W1691" s="30">
        <f t="shared" si="375"/>
        <v>60</v>
      </c>
      <c r="X1691" s="31" t="b">
        <f t="shared" si="376"/>
        <v>0</v>
      </c>
      <c r="Y1691" s="32" t="b">
        <f t="shared" si="377"/>
        <v>0</v>
      </c>
      <c r="Z1691" s="41"/>
      <c r="AA1691" s="36"/>
      <c r="AB1691" s="36"/>
      <c r="AC1691" s="54"/>
      <c r="AD1691" s="34"/>
      <c r="AE1691" s="35">
        <f>IFERROR(INDEX([1]Last6M_AvgSales_Ref!$B$2:$B$12659,MATCH(D1691,[1]Last6M_AvgSales_Ref!$A$2:$A$12659,0)),"")</f>
        <v>0</v>
      </c>
    </row>
    <row r="1692" spans="1:31" ht="14.25" customHeight="1" x14ac:dyDescent="0.3">
      <c r="A1692" s="54" t="str">
        <f t="shared" si="378"/>
        <v>NE 2</v>
      </c>
      <c r="B1692" s="55" t="s">
        <v>1666</v>
      </c>
      <c r="C1692" s="56" t="s">
        <v>3435</v>
      </c>
      <c r="D1692" s="36">
        <v>1000004719</v>
      </c>
      <c r="E1692" s="55" t="s">
        <v>3436</v>
      </c>
      <c r="F1692" s="57">
        <v>46167</v>
      </c>
      <c r="G1692" s="22" t="str">
        <f t="shared" si="364"/>
        <v>Targeted Dealer</v>
      </c>
      <c r="H1692" s="58"/>
      <c r="I1692" s="23">
        <v>60</v>
      </c>
      <c r="J1692" s="23">
        <f t="shared" si="365"/>
        <v>60</v>
      </c>
      <c r="K1692" s="24">
        <v>3.25</v>
      </c>
      <c r="L1692" s="24">
        <f t="shared" si="366"/>
        <v>56.75</v>
      </c>
      <c r="M1692" s="24">
        <f t="shared" si="367"/>
        <v>5.416666666666667</v>
      </c>
      <c r="N1692" s="25">
        <v>6</v>
      </c>
      <c r="O1692" s="26" t="str">
        <f t="shared" si="368"/>
        <v>June</v>
      </c>
      <c r="P1692" s="25">
        <f t="shared" si="369"/>
        <v>6</v>
      </c>
      <c r="Q1692" s="27">
        <f t="shared" si="370"/>
        <v>-2.75</v>
      </c>
      <c r="R1692" s="26" t="b">
        <f t="shared" si="371"/>
        <v>0</v>
      </c>
      <c r="S1692" s="28" t="str">
        <f t="shared" si="372"/>
        <v>GROWTH</v>
      </c>
      <c r="T1692" s="24">
        <v>0</v>
      </c>
      <c r="U1692" s="29" t="str">
        <f t="shared" si="373"/>
        <v>May</v>
      </c>
      <c r="V1692" s="24">
        <f t="shared" si="374"/>
        <v>0</v>
      </c>
      <c r="W1692" s="30">
        <f t="shared" si="375"/>
        <v>3.25</v>
      </c>
      <c r="X1692" s="31" t="b">
        <f t="shared" si="376"/>
        <v>0</v>
      </c>
      <c r="Y1692" s="32" t="b">
        <f t="shared" si="377"/>
        <v>0</v>
      </c>
      <c r="Z1692" s="41"/>
      <c r="AA1692" s="36"/>
      <c r="AB1692" s="36"/>
      <c r="AC1692" s="54"/>
      <c r="AD1692" s="34"/>
      <c r="AE1692" s="35">
        <f>IFERROR(INDEX([1]Last6M_AvgSales_Ref!$B$2:$B$12659,MATCH(D1692,[1]Last6M_AvgSales_Ref!$A$2:$A$12659,0)),"")</f>
        <v>0</v>
      </c>
    </row>
    <row r="1693" spans="1:31" ht="14.25" customHeight="1" x14ac:dyDescent="0.3">
      <c r="A1693" s="54" t="str">
        <f t="shared" si="378"/>
        <v>BH</v>
      </c>
      <c r="B1693" s="55" t="s">
        <v>2388</v>
      </c>
      <c r="C1693" s="56" t="s">
        <v>3437</v>
      </c>
      <c r="D1693" s="36">
        <v>1000004725</v>
      </c>
      <c r="E1693" s="55" t="s">
        <v>3438</v>
      </c>
      <c r="F1693" s="57">
        <v>46147</v>
      </c>
      <c r="G1693" s="22" t="str">
        <f t="shared" si="364"/>
        <v>Targeted Dealer</v>
      </c>
      <c r="H1693" s="58"/>
      <c r="I1693" s="23">
        <v>150</v>
      </c>
      <c r="J1693" s="23">
        <f t="shared" si="365"/>
        <v>150</v>
      </c>
      <c r="K1693" s="24">
        <v>130</v>
      </c>
      <c r="L1693" s="24">
        <f t="shared" si="366"/>
        <v>20</v>
      </c>
      <c r="M1693" s="24">
        <f t="shared" si="367"/>
        <v>86.666666666666671</v>
      </c>
      <c r="N1693" s="25">
        <v>90</v>
      </c>
      <c r="O1693" s="26" t="str">
        <f t="shared" si="368"/>
        <v>June</v>
      </c>
      <c r="P1693" s="25">
        <f t="shared" si="369"/>
        <v>90</v>
      </c>
      <c r="Q1693" s="27">
        <f t="shared" si="370"/>
        <v>40</v>
      </c>
      <c r="R1693" s="26" t="b">
        <f t="shared" si="371"/>
        <v>0</v>
      </c>
      <c r="S1693" s="28" t="str">
        <f t="shared" si="372"/>
        <v>GROWTH</v>
      </c>
      <c r="T1693" s="24">
        <v>0</v>
      </c>
      <c r="U1693" s="29" t="str">
        <f t="shared" si="373"/>
        <v>May</v>
      </c>
      <c r="V1693" s="24">
        <f t="shared" si="374"/>
        <v>0</v>
      </c>
      <c r="W1693" s="30">
        <f t="shared" si="375"/>
        <v>130</v>
      </c>
      <c r="X1693" s="31" t="b">
        <f t="shared" si="376"/>
        <v>0</v>
      </c>
      <c r="Y1693" s="32" t="b">
        <f t="shared" si="377"/>
        <v>0</v>
      </c>
      <c r="Z1693" s="41"/>
      <c r="AA1693" s="36"/>
      <c r="AB1693" s="36"/>
      <c r="AC1693" s="54"/>
      <c r="AD1693" s="34"/>
      <c r="AE1693" s="35">
        <f>IFERROR(INDEX([1]Last6M_AvgSales_Ref!$B$2:$B$12659,MATCH(D1693,[1]Last6M_AvgSales_Ref!$A$2:$A$12659,0)),"")</f>
        <v>0</v>
      </c>
    </row>
    <row r="1694" spans="1:31" ht="14.25" customHeight="1" x14ac:dyDescent="0.3">
      <c r="A1694" s="54" t="str">
        <f t="shared" si="378"/>
        <v>BH</v>
      </c>
      <c r="B1694" s="55" t="s">
        <v>2186</v>
      </c>
      <c r="C1694" s="56" t="s">
        <v>3439</v>
      </c>
      <c r="D1694" s="36">
        <v>1000004711</v>
      </c>
      <c r="E1694" s="55" t="s">
        <v>3440</v>
      </c>
      <c r="F1694" s="57">
        <v>46141</v>
      </c>
      <c r="G1694" s="22" t="str">
        <f t="shared" si="364"/>
        <v>Targeted Dealer</v>
      </c>
      <c r="H1694" s="58"/>
      <c r="I1694" s="23">
        <v>50</v>
      </c>
      <c r="J1694" s="23">
        <f t="shared" si="365"/>
        <v>50</v>
      </c>
      <c r="K1694" s="24">
        <v>24</v>
      </c>
      <c r="L1694" s="24">
        <f t="shared" si="366"/>
        <v>26</v>
      </c>
      <c r="M1694" s="24">
        <f t="shared" si="367"/>
        <v>48</v>
      </c>
      <c r="N1694" s="25">
        <v>60</v>
      </c>
      <c r="O1694" s="26" t="str">
        <f t="shared" si="368"/>
        <v>June</v>
      </c>
      <c r="P1694" s="25">
        <f t="shared" si="369"/>
        <v>60</v>
      </c>
      <c r="Q1694" s="27">
        <f t="shared" si="370"/>
        <v>-36</v>
      </c>
      <c r="R1694" s="26" t="b">
        <f t="shared" si="371"/>
        <v>0</v>
      </c>
      <c r="S1694" s="28" t="str">
        <f t="shared" si="372"/>
        <v>GROWTH</v>
      </c>
      <c r="T1694" s="24">
        <v>0</v>
      </c>
      <c r="U1694" s="29" t="str">
        <f t="shared" si="373"/>
        <v>May</v>
      </c>
      <c r="V1694" s="24">
        <f t="shared" si="374"/>
        <v>0</v>
      </c>
      <c r="W1694" s="30">
        <f t="shared" si="375"/>
        <v>24</v>
      </c>
      <c r="X1694" s="31" t="b">
        <f t="shared" si="376"/>
        <v>0</v>
      </c>
      <c r="Y1694" s="32" t="b">
        <f t="shared" si="377"/>
        <v>0</v>
      </c>
      <c r="Z1694" s="41"/>
      <c r="AA1694" s="36"/>
      <c r="AB1694" s="36"/>
      <c r="AC1694" s="54"/>
      <c r="AD1694" s="34"/>
      <c r="AE1694" s="35">
        <f>IFERROR(INDEX([1]Last6M_AvgSales_Ref!$B$2:$B$12659,MATCH(D1694,[1]Last6M_AvgSales_Ref!$A$2:$A$12659,0)),"")</f>
        <v>0</v>
      </c>
    </row>
    <row r="1695" spans="1:31" ht="14.25" customHeight="1" x14ac:dyDescent="0.3">
      <c r="A1695" s="54" t="str">
        <f t="shared" si="378"/>
        <v>NE 2</v>
      </c>
      <c r="B1695" s="55" t="s">
        <v>1257</v>
      </c>
      <c r="C1695" s="56" t="s">
        <v>3441</v>
      </c>
      <c r="D1695" s="36">
        <v>1000004726</v>
      </c>
      <c r="E1695" s="55" t="s">
        <v>3442</v>
      </c>
      <c r="F1695" s="57">
        <v>46148</v>
      </c>
      <c r="G1695" s="22" t="str">
        <f t="shared" si="364"/>
        <v>Targeted Dealer</v>
      </c>
      <c r="H1695" s="58"/>
      <c r="I1695" s="23">
        <v>40</v>
      </c>
      <c r="J1695" s="23">
        <f t="shared" si="365"/>
        <v>40</v>
      </c>
      <c r="K1695" s="24">
        <v>26</v>
      </c>
      <c r="L1695" s="24">
        <f t="shared" si="366"/>
        <v>14</v>
      </c>
      <c r="M1695" s="24">
        <f t="shared" si="367"/>
        <v>65</v>
      </c>
      <c r="N1695" s="25">
        <v>52</v>
      </c>
      <c r="O1695" s="26" t="str">
        <f t="shared" si="368"/>
        <v>June</v>
      </c>
      <c r="P1695" s="25">
        <f t="shared" si="369"/>
        <v>52</v>
      </c>
      <c r="Q1695" s="27">
        <f t="shared" si="370"/>
        <v>-26</v>
      </c>
      <c r="R1695" s="26" t="b">
        <f t="shared" si="371"/>
        <v>0</v>
      </c>
      <c r="S1695" s="28" t="str">
        <f t="shared" si="372"/>
        <v>GROWTH</v>
      </c>
      <c r="T1695" s="24">
        <v>0</v>
      </c>
      <c r="U1695" s="29" t="str">
        <f t="shared" si="373"/>
        <v>May</v>
      </c>
      <c r="V1695" s="24">
        <f t="shared" si="374"/>
        <v>0</v>
      </c>
      <c r="W1695" s="30">
        <f t="shared" si="375"/>
        <v>26</v>
      </c>
      <c r="X1695" s="31" t="b">
        <f t="shared" si="376"/>
        <v>0</v>
      </c>
      <c r="Y1695" s="32" t="b">
        <f t="shared" si="377"/>
        <v>0</v>
      </c>
      <c r="Z1695" s="41"/>
      <c r="AA1695" s="36"/>
      <c r="AB1695" s="36"/>
      <c r="AC1695" s="54"/>
      <c r="AD1695" s="34"/>
      <c r="AE1695" s="35">
        <f>IFERROR(INDEX([1]Last6M_AvgSales_Ref!$B$2:$B$12659,MATCH(D1695,[1]Last6M_AvgSales_Ref!$A$2:$A$12659,0)),"")</f>
        <v>0</v>
      </c>
    </row>
    <row r="1696" spans="1:31" ht="14.25" customHeight="1" x14ac:dyDescent="0.3">
      <c r="A1696" s="54" t="str">
        <f t="shared" si="378"/>
        <v>NE 2</v>
      </c>
      <c r="B1696" s="55" t="s">
        <v>1257</v>
      </c>
      <c r="C1696" s="56" t="s">
        <v>3443</v>
      </c>
      <c r="D1696" s="36">
        <v>1000004728</v>
      </c>
      <c r="E1696" s="55" t="s">
        <v>3444</v>
      </c>
      <c r="F1696" s="57">
        <v>46158</v>
      </c>
      <c r="G1696" s="22" t="str">
        <f t="shared" si="364"/>
        <v>Targeted Dealer</v>
      </c>
      <c r="H1696" s="58"/>
      <c r="I1696" s="23">
        <v>48</v>
      </c>
      <c r="J1696" s="23">
        <f t="shared" si="365"/>
        <v>48</v>
      </c>
      <c r="K1696" s="24">
        <v>13</v>
      </c>
      <c r="L1696" s="24">
        <f t="shared" si="366"/>
        <v>35</v>
      </c>
      <c r="M1696" s="24">
        <f t="shared" si="367"/>
        <v>27.083333333333336</v>
      </c>
      <c r="N1696" s="25">
        <v>26</v>
      </c>
      <c r="O1696" s="26" t="str">
        <f t="shared" si="368"/>
        <v>June</v>
      </c>
      <c r="P1696" s="25">
        <f t="shared" si="369"/>
        <v>26</v>
      </c>
      <c r="Q1696" s="27">
        <f t="shared" si="370"/>
        <v>-13</v>
      </c>
      <c r="R1696" s="26" t="b">
        <f t="shared" si="371"/>
        <v>0</v>
      </c>
      <c r="S1696" s="28" t="str">
        <f t="shared" si="372"/>
        <v>GROWTH</v>
      </c>
      <c r="T1696" s="24">
        <v>0</v>
      </c>
      <c r="U1696" s="29" t="str">
        <f t="shared" si="373"/>
        <v>May</v>
      </c>
      <c r="V1696" s="24">
        <f t="shared" si="374"/>
        <v>0</v>
      </c>
      <c r="W1696" s="30">
        <f t="shared" si="375"/>
        <v>13</v>
      </c>
      <c r="X1696" s="31" t="b">
        <f t="shared" si="376"/>
        <v>0</v>
      </c>
      <c r="Y1696" s="32" t="b">
        <f t="shared" si="377"/>
        <v>0</v>
      </c>
      <c r="Z1696" s="41"/>
      <c r="AA1696" s="36"/>
      <c r="AB1696" s="36"/>
      <c r="AC1696" s="54"/>
      <c r="AD1696" s="34"/>
      <c r="AE1696" s="35">
        <f>IFERROR(INDEX([1]Last6M_AvgSales_Ref!$B$2:$B$12659,MATCH(D1696,[1]Last6M_AvgSales_Ref!$A$2:$A$12659,0)),"")</f>
        <v>0</v>
      </c>
    </row>
    <row r="1697" spans="1:31" ht="14.25" customHeight="1" x14ac:dyDescent="0.3">
      <c r="A1697" s="54" t="str">
        <f t="shared" si="378"/>
        <v>NB 2</v>
      </c>
      <c r="B1697" s="55" t="s">
        <v>2118</v>
      </c>
      <c r="C1697" s="56" t="s">
        <v>3445</v>
      </c>
      <c r="D1697" s="36">
        <v>1000004727</v>
      </c>
      <c r="E1697" s="55" t="s">
        <v>3446</v>
      </c>
      <c r="F1697" s="57">
        <v>46150</v>
      </c>
      <c r="G1697" s="22" t="str">
        <f t="shared" si="364"/>
        <v>Targeted Dealer</v>
      </c>
      <c r="H1697" s="58"/>
      <c r="I1697" s="23">
        <v>100</v>
      </c>
      <c r="J1697" s="23">
        <f t="shared" si="365"/>
        <v>100</v>
      </c>
      <c r="K1697" s="24">
        <v>75</v>
      </c>
      <c r="L1697" s="24">
        <f t="shared" si="366"/>
        <v>25</v>
      </c>
      <c r="M1697" s="24">
        <f t="shared" si="367"/>
        <v>75</v>
      </c>
      <c r="N1697" s="25">
        <v>105</v>
      </c>
      <c r="O1697" s="26" t="str">
        <f t="shared" si="368"/>
        <v>June</v>
      </c>
      <c r="P1697" s="25">
        <f t="shared" si="369"/>
        <v>105</v>
      </c>
      <c r="Q1697" s="27">
        <f t="shared" si="370"/>
        <v>-30</v>
      </c>
      <c r="R1697" s="26" t="b">
        <f t="shared" si="371"/>
        <v>0</v>
      </c>
      <c r="S1697" s="28" t="str">
        <f t="shared" si="372"/>
        <v>GROWTH</v>
      </c>
      <c r="T1697" s="24">
        <v>0</v>
      </c>
      <c r="U1697" s="29" t="str">
        <f t="shared" si="373"/>
        <v>May</v>
      </c>
      <c r="V1697" s="24">
        <f t="shared" si="374"/>
        <v>0</v>
      </c>
      <c r="W1697" s="30">
        <f t="shared" si="375"/>
        <v>75</v>
      </c>
      <c r="X1697" s="31" t="b">
        <f t="shared" si="376"/>
        <v>0</v>
      </c>
      <c r="Y1697" s="32" t="b">
        <f t="shared" si="377"/>
        <v>0</v>
      </c>
      <c r="Z1697" s="41"/>
      <c r="AA1697" s="36"/>
      <c r="AB1697" s="36"/>
      <c r="AC1697" s="54"/>
      <c r="AD1697" s="34"/>
      <c r="AE1697" s="35">
        <f>IFERROR(INDEX([1]Last6M_AvgSales_Ref!$B$2:$B$12659,MATCH(D1697,[1]Last6M_AvgSales_Ref!$A$2:$A$12659,0)),"")</f>
        <v>0</v>
      </c>
    </row>
    <row r="1698" spans="1:31" ht="14.25" customHeight="1" x14ac:dyDescent="0.3">
      <c r="A1698" s="54" t="str">
        <f t="shared" si="378"/>
        <v>NE 2</v>
      </c>
      <c r="B1698" s="55" t="s">
        <v>1702</v>
      </c>
      <c r="C1698" s="56" t="s">
        <v>3447</v>
      </c>
      <c r="D1698" s="36">
        <v>1000004716</v>
      </c>
      <c r="E1698" s="55" t="s">
        <v>3448</v>
      </c>
      <c r="F1698" s="57">
        <v>46163</v>
      </c>
      <c r="G1698" s="22" t="str">
        <f t="shared" si="364"/>
        <v>Targeted Dealer</v>
      </c>
      <c r="H1698" s="58"/>
      <c r="I1698" s="23">
        <v>40</v>
      </c>
      <c r="J1698" s="23">
        <f t="shared" si="365"/>
        <v>40</v>
      </c>
      <c r="K1698" s="24">
        <v>12.5</v>
      </c>
      <c r="L1698" s="24">
        <f t="shared" si="366"/>
        <v>27.5</v>
      </c>
      <c r="M1698" s="24">
        <f t="shared" si="367"/>
        <v>31.25</v>
      </c>
      <c r="N1698" s="25">
        <v>25</v>
      </c>
      <c r="O1698" s="26" t="str">
        <f t="shared" si="368"/>
        <v>June</v>
      </c>
      <c r="P1698" s="25">
        <f t="shared" si="369"/>
        <v>25</v>
      </c>
      <c r="Q1698" s="27">
        <f t="shared" si="370"/>
        <v>-12.5</v>
      </c>
      <c r="R1698" s="26" t="b">
        <f t="shared" si="371"/>
        <v>0</v>
      </c>
      <c r="S1698" s="28" t="str">
        <f t="shared" si="372"/>
        <v>GROWTH</v>
      </c>
      <c r="T1698" s="24">
        <v>0</v>
      </c>
      <c r="U1698" s="29" t="str">
        <f t="shared" si="373"/>
        <v>May</v>
      </c>
      <c r="V1698" s="24">
        <f t="shared" si="374"/>
        <v>0</v>
      </c>
      <c r="W1698" s="30">
        <f t="shared" si="375"/>
        <v>12.5</v>
      </c>
      <c r="X1698" s="31" t="b">
        <f t="shared" si="376"/>
        <v>0</v>
      </c>
      <c r="Y1698" s="32" t="b">
        <f t="shared" si="377"/>
        <v>0</v>
      </c>
      <c r="Z1698" s="41"/>
      <c r="AA1698" s="36"/>
      <c r="AB1698" s="36"/>
      <c r="AC1698" s="54"/>
      <c r="AD1698" s="34"/>
      <c r="AE1698" s="35">
        <f>IFERROR(INDEX([1]Last6M_AvgSales_Ref!$B$2:$B$12659,MATCH(D1698,[1]Last6M_AvgSales_Ref!$A$2:$A$12659,0)),"")</f>
        <v>0</v>
      </c>
    </row>
    <row r="1699" spans="1:31" ht="14.25" customHeight="1" x14ac:dyDescent="0.3">
      <c r="A1699" s="54" t="str">
        <f t="shared" si="378"/>
        <v>NE 1</v>
      </c>
      <c r="B1699" s="55" t="s">
        <v>801</v>
      </c>
      <c r="C1699" s="56" t="s">
        <v>3449</v>
      </c>
      <c r="D1699" s="36">
        <v>1000004724</v>
      </c>
      <c r="E1699" s="55" t="s">
        <v>3450</v>
      </c>
      <c r="F1699" s="57">
        <v>46143</v>
      </c>
      <c r="G1699" s="22" t="str">
        <f t="shared" si="364"/>
        <v>Targeted Dealer</v>
      </c>
      <c r="H1699" s="58"/>
      <c r="I1699" s="23">
        <v>105</v>
      </c>
      <c r="J1699" s="23">
        <f t="shared" si="365"/>
        <v>105</v>
      </c>
      <c r="K1699" s="24">
        <v>110</v>
      </c>
      <c r="L1699" s="24">
        <f t="shared" si="366"/>
        <v>-5</v>
      </c>
      <c r="M1699" s="24">
        <f t="shared" si="367"/>
        <v>104.76190476190476</v>
      </c>
      <c r="N1699" s="25">
        <v>175</v>
      </c>
      <c r="O1699" s="26" t="str">
        <f t="shared" si="368"/>
        <v>June</v>
      </c>
      <c r="P1699" s="25">
        <f t="shared" si="369"/>
        <v>175</v>
      </c>
      <c r="Q1699" s="27">
        <f t="shared" si="370"/>
        <v>-65</v>
      </c>
      <c r="R1699" s="26" t="b">
        <f t="shared" si="371"/>
        <v>0</v>
      </c>
      <c r="S1699" s="28" t="str">
        <f t="shared" si="372"/>
        <v>GROWTH</v>
      </c>
      <c r="T1699" s="24">
        <v>0</v>
      </c>
      <c r="U1699" s="29" t="str">
        <f t="shared" si="373"/>
        <v>May</v>
      </c>
      <c r="V1699" s="24">
        <f t="shared" si="374"/>
        <v>0</v>
      </c>
      <c r="W1699" s="30">
        <f t="shared" si="375"/>
        <v>110</v>
      </c>
      <c r="X1699" s="31" t="b">
        <f t="shared" si="376"/>
        <v>0</v>
      </c>
      <c r="Y1699" s="32" t="b">
        <f t="shared" si="377"/>
        <v>0</v>
      </c>
      <c r="Z1699" s="41"/>
      <c r="AA1699" s="36"/>
      <c r="AB1699" s="36"/>
      <c r="AC1699" s="54"/>
      <c r="AD1699" s="34"/>
      <c r="AE1699" s="35">
        <f>IFERROR(INDEX([1]Last6M_AvgSales_Ref!$B$2:$B$12659,MATCH(D1699,[1]Last6M_AvgSales_Ref!$A$2:$A$12659,0)),"")</f>
        <v>0</v>
      </c>
    </row>
    <row r="1700" spans="1:31" ht="14.25" customHeight="1" x14ac:dyDescent="0.3">
      <c r="A1700" s="54" t="str">
        <f t="shared" si="378"/>
        <v>NE 1</v>
      </c>
      <c r="B1700" s="55" t="s">
        <v>801</v>
      </c>
      <c r="C1700" s="56" t="s">
        <v>3451</v>
      </c>
      <c r="D1700" s="36">
        <v>1000004745</v>
      </c>
      <c r="E1700" s="55" t="s">
        <v>3452</v>
      </c>
      <c r="F1700" s="57">
        <v>46169</v>
      </c>
      <c r="G1700" s="22" t="str">
        <f t="shared" si="364"/>
        <v>Targeted Dealer</v>
      </c>
      <c r="H1700" s="58"/>
      <c r="I1700" s="23">
        <v>120</v>
      </c>
      <c r="J1700" s="23">
        <f t="shared" si="365"/>
        <v>120</v>
      </c>
      <c r="K1700" s="24">
        <v>40</v>
      </c>
      <c r="L1700" s="24">
        <f t="shared" si="366"/>
        <v>80</v>
      </c>
      <c r="M1700" s="24">
        <f t="shared" si="367"/>
        <v>33.333333333333336</v>
      </c>
      <c r="N1700" s="25">
        <v>200</v>
      </c>
      <c r="O1700" s="26" t="str">
        <f t="shared" si="368"/>
        <v>June</v>
      </c>
      <c r="P1700" s="25">
        <f t="shared" si="369"/>
        <v>200</v>
      </c>
      <c r="Q1700" s="27">
        <f t="shared" si="370"/>
        <v>-160</v>
      </c>
      <c r="R1700" s="26" t="b">
        <f t="shared" si="371"/>
        <v>0</v>
      </c>
      <c r="S1700" s="28" t="str">
        <f t="shared" si="372"/>
        <v>GROWTH</v>
      </c>
      <c r="T1700" s="24">
        <v>0</v>
      </c>
      <c r="U1700" s="29" t="str">
        <f t="shared" si="373"/>
        <v>May</v>
      </c>
      <c r="V1700" s="24">
        <f t="shared" si="374"/>
        <v>0</v>
      </c>
      <c r="W1700" s="30">
        <f t="shared" si="375"/>
        <v>40</v>
      </c>
      <c r="X1700" s="31" t="b">
        <f t="shared" si="376"/>
        <v>0</v>
      </c>
      <c r="Y1700" s="32" t="b">
        <f t="shared" si="377"/>
        <v>0</v>
      </c>
      <c r="Z1700" s="41"/>
      <c r="AA1700" s="36"/>
      <c r="AB1700" s="36"/>
      <c r="AC1700" s="54"/>
      <c r="AD1700" s="34"/>
      <c r="AE1700" s="35">
        <f>IFERROR(INDEX([1]Last6M_AvgSales_Ref!$B$2:$B$12659,MATCH(D1700,[1]Last6M_AvgSales_Ref!$A$2:$A$12659,0)),"")</f>
        <v>0</v>
      </c>
    </row>
    <row r="1701" spans="1:31" ht="14.25" customHeight="1" x14ac:dyDescent="0.3">
      <c r="A1701" s="54" t="str">
        <f t="shared" si="378"/>
        <v>NE 1</v>
      </c>
      <c r="B1701" s="55" t="s">
        <v>801</v>
      </c>
      <c r="C1701" s="56" t="s">
        <v>3453</v>
      </c>
      <c r="D1701" s="36">
        <v>1000004408</v>
      </c>
      <c r="E1701" s="55" t="s">
        <v>3454</v>
      </c>
      <c r="F1701" s="57">
        <v>45840</v>
      </c>
      <c r="G1701" s="22" t="str">
        <f t="shared" si="364"/>
        <v>Targeted Dealer</v>
      </c>
      <c r="H1701" s="58"/>
      <c r="I1701" s="23">
        <v>1500</v>
      </c>
      <c r="J1701" s="23">
        <f t="shared" si="365"/>
        <v>1500</v>
      </c>
      <c r="K1701" s="24">
        <v>100</v>
      </c>
      <c r="L1701" s="24">
        <f t="shared" si="366"/>
        <v>1400</v>
      </c>
      <c r="M1701" s="24">
        <f t="shared" si="367"/>
        <v>6.666666666666667</v>
      </c>
      <c r="N1701" s="25">
        <v>235</v>
      </c>
      <c r="O1701" s="26" t="str">
        <f t="shared" si="368"/>
        <v>June</v>
      </c>
      <c r="P1701" s="25">
        <f t="shared" si="369"/>
        <v>235</v>
      </c>
      <c r="Q1701" s="27">
        <f t="shared" si="370"/>
        <v>-135</v>
      </c>
      <c r="R1701" s="26" t="b">
        <f t="shared" si="371"/>
        <v>0</v>
      </c>
      <c r="S1701" s="28" t="str">
        <f t="shared" si="372"/>
        <v>GROWTH</v>
      </c>
      <c r="T1701" s="24">
        <v>0</v>
      </c>
      <c r="U1701" s="29" t="str">
        <f t="shared" si="373"/>
        <v>May</v>
      </c>
      <c r="V1701" s="24">
        <f t="shared" si="374"/>
        <v>0</v>
      </c>
      <c r="W1701" s="30">
        <f t="shared" si="375"/>
        <v>100</v>
      </c>
      <c r="X1701" s="31" t="b">
        <f t="shared" si="376"/>
        <v>0</v>
      </c>
      <c r="Y1701" s="32" t="b">
        <f t="shared" si="377"/>
        <v>0</v>
      </c>
      <c r="Z1701" s="41"/>
      <c r="AA1701" s="36"/>
      <c r="AB1701" s="36"/>
      <c r="AC1701" s="54"/>
      <c r="AD1701" s="34"/>
      <c r="AE1701" s="35">
        <f>IFERROR(INDEX([1]Last6M_AvgSales_Ref!$B$2:$B$12659,MATCH(D1701,[1]Last6M_AvgSales_Ref!$A$2:$A$12659,0)),"")</f>
        <v>0</v>
      </c>
    </row>
    <row r="1702" spans="1:31" ht="14.25" customHeight="1" x14ac:dyDescent="0.3">
      <c r="A1702" s="54" t="str">
        <f t="shared" si="378"/>
        <v>NE 1</v>
      </c>
      <c r="B1702" s="55" t="s">
        <v>25</v>
      </c>
      <c r="C1702" s="56" t="s">
        <v>3455</v>
      </c>
      <c r="D1702" s="36">
        <v>1000004708</v>
      </c>
      <c r="E1702" s="55" t="s">
        <v>3456</v>
      </c>
      <c r="F1702" s="57">
        <v>46140</v>
      </c>
      <c r="G1702" s="22" t="str">
        <f t="shared" si="364"/>
        <v>Targeted Dealer</v>
      </c>
      <c r="H1702" s="58"/>
      <c r="I1702" s="23">
        <v>36</v>
      </c>
      <c r="J1702" s="23">
        <f t="shared" si="365"/>
        <v>36</v>
      </c>
      <c r="K1702" s="24">
        <v>20</v>
      </c>
      <c r="L1702" s="24">
        <f t="shared" si="366"/>
        <v>16</v>
      </c>
      <c r="M1702" s="24">
        <f t="shared" si="367"/>
        <v>55.555555555555557</v>
      </c>
      <c r="N1702" s="25">
        <v>0</v>
      </c>
      <c r="O1702" s="26" t="str">
        <f t="shared" si="368"/>
        <v>June</v>
      </c>
      <c r="P1702" s="25">
        <f t="shared" si="369"/>
        <v>0</v>
      </c>
      <c r="Q1702" s="27">
        <f t="shared" si="370"/>
        <v>20</v>
      </c>
      <c r="R1702" s="26" t="b">
        <f t="shared" si="371"/>
        <v>0</v>
      </c>
      <c r="S1702" s="28" t="b">
        <f t="shared" si="372"/>
        <v>0</v>
      </c>
      <c r="T1702" s="24">
        <v>0</v>
      </c>
      <c r="U1702" s="29" t="str">
        <f t="shared" si="373"/>
        <v>May</v>
      </c>
      <c r="V1702" s="24">
        <f t="shared" si="374"/>
        <v>0</v>
      </c>
      <c r="W1702" s="30">
        <f t="shared" si="375"/>
        <v>20</v>
      </c>
      <c r="X1702" s="31" t="b">
        <f t="shared" si="376"/>
        <v>0</v>
      </c>
      <c r="Y1702" s="32" t="b">
        <f t="shared" si="377"/>
        <v>0</v>
      </c>
      <c r="Z1702" s="41"/>
      <c r="AA1702" s="36"/>
      <c r="AB1702" s="36"/>
      <c r="AC1702" s="54"/>
      <c r="AD1702" s="34"/>
      <c r="AE1702" s="35">
        <f>IFERROR(INDEX([1]Last6M_AvgSales_Ref!$B$2:$B$12659,MATCH(D1702,[1]Last6M_AvgSales_Ref!$A$2:$A$12659,0)),"")</f>
        <v>0</v>
      </c>
    </row>
    <row r="1703" spans="1:31" ht="14.25" customHeight="1" x14ac:dyDescent="0.3">
      <c r="A1703" s="54" t="str">
        <f t="shared" si="378"/>
        <v>BH</v>
      </c>
      <c r="B1703" s="55" t="s">
        <v>2425</v>
      </c>
      <c r="C1703" s="56" t="s">
        <v>3457</v>
      </c>
      <c r="D1703" s="36">
        <v>1000002785</v>
      </c>
      <c r="E1703" s="55" t="s">
        <v>3458</v>
      </c>
      <c r="F1703" s="57">
        <v>44741</v>
      </c>
      <c r="G1703" s="22" t="str">
        <f t="shared" si="364"/>
        <v>Targeted Dealer</v>
      </c>
      <c r="H1703" s="58"/>
      <c r="I1703" s="23">
        <v>60</v>
      </c>
      <c r="J1703" s="23">
        <f t="shared" si="365"/>
        <v>60</v>
      </c>
      <c r="K1703" s="24">
        <v>66</v>
      </c>
      <c r="L1703" s="24">
        <f t="shared" si="366"/>
        <v>-6</v>
      </c>
      <c r="M1703" s="24">
        <f t="shared" si="367"/>
        <v>110</v>
      </c>
      <c r="N1703" s="25">
        <v>7.5</v>
      </c>
      <c r="O1703" s="26" t="str">
        <f t="shared" si="368"/>
        <v>June</v>
      </c>
      <c r="P1703" s="25">
        <f t="shared" si="369"/>
        <v>7.5</v>
      </c>
      <c r="Q1703" s="27">
        <f t="shared" si="370"/>
        <v>58.5</v>
      </c>
      <c r="R1703" s="26" t="b">
        <f t="shared" si="371"/>
        <v>0</v>
      </c>
      <c r="S1703" s="28" t="str">
        <f t="shared" si="372"/>
        <v>GROWTH</v>
      </c>
      <c r="T1703" s="24">
        <v>0</v>
      </c>
      <c r="U1703" s="29" t="str">
        <f t="shared" si="373"/>
        <v>May</v>
      </c>
      <c r="V1703" s="24">
        <f t="shared" si="374"/>
        <v>0</v>
      </c>
      <c r="W1703" s="30">
        <f t="shared" si="375"/>
        <v>66</v>
      </c>
      <c r="X1703" s="31" t="b">
        <f t="shared" si="376"/>
        <v>0</v>
      </c>
      <c r="Y1703" s="32" t="b">
        <f t="shared" si="377"/>
        <v>0</v>
      </c>
      <c r="Z1703" s="41"/>
      <c r="AA1703" s="36"/>
      <c r="AB1703" s="36"/>
      <c r="AC1703" s="54"/>
      <c r="AD1703" s="34"/>
      <c r="AE1703" s="35">
        <f>IFERROR(INDEX([1]Last6M_AvgSales_Ref!$B$2:$B$12659,MATCH(D1703,[1]Last6M_AvgSales_Ref!$A$2:$A$12659,0)),"")</f>
        <v>0</v>
      </c>
    </row>
    <row r="1704" spans="1:31" ht="14.25" customHeight="1" x14ac:dyDescent="0.3">
      <c r="A1704" s="54" t="str">
        <f t="shared" si="378"/>
        <v>BH</v>
      </c>
      <c r="B1704" s="55" t="s">
        <v>2857</v>
      </c>
      <c r="C1704" s="56" t="s">
        <v>3459</v>
      </c>
      <c r="D1704" s="36">
        <v>1000004743</v>
      </c>
      <c r="E1704" s="55" t="s">
        <v>3460</v>
      </c>
      <c r="F1704" s="57">
        <v>46168</v>
      </c>
      <c r="G1704" s="22" t="str">
        <f t="shared" si="364"/>
        <v>Targeted Dealer</v>
      </c>
      <c r="H1704" s="58"/>
      <c r="I1704" s="23">
        <v>25</v>
      </c>
      <c r="J1704" s="23">
        <f t="shared" si="365"/>
        <v>25</v>
      </c>
      <c r="K1704" s="24">
        <v>25</v>
      </c>
      <c r="L1704" s="24">
        <f t="shared" si="366"/>
        <v>0</v>
      </c>
      <c r="M1704" s="24">
        <f t="shared" si="367"/>
        <v>100</v>
      </c>
      <c r="N1704" s="25">
        <v>25</v>
      </c>
      <c r="O1704" s="26" t="str">
        <f t="shared" si="368"/>
        <v>June</v>
      </c>
      <c r="P1704" s="25">
        <f t="shared" si="369"/>
        <v>25</v>
      </c>
      <c r="Q1704" s="27">
        <f t="shared" si="370"/>
        <v>0</v>
      </c>
      <c r="R1704" s="26" t="b">
        <f t="shared" si="371"/>
        <v>0</v>
      </c>
      <c r="S1704" s="28" t="str">
        <f t="shared" si="372"/>
        <v>GROWTH</v>
      </c>
      <c r="T1704" s="24">
        <v>0</v>
      </c>
      <c r="U1704" s="29" t="str">
        <f t="shared" si="373"/>
        <v>May</v>
      </c>
      <c r="V1704" s="24">
        <f t="shared" si="374"/>
        <v>0</v>
      </c>
      <c r="W1704" s="30">
        <f t="shared" si="375"/>
        <v>25</v>
      </c>
      <c r="X1704" s="31" t="b">
        <f t="shared" si="376"/>
        <v>0</v>
      </c>
      <c r="Y1704" s="32" t="b">
        <f t="shared" si="377"/>
        <v>0</v>
      </c>
      <c r="Z1704" s="41"/>
      <c r="AA1704" s="36"/>
      <c r="AB1704" s="36"/>
      <c r="AC1704" s="54"/>
      <c r="AD1704" s="34"/>
      <c r="AE1704" s="35">
        <f>IFERROR(INDEX([1]Last6M_AvgSales_Ref!$B$2:$B$12659,MATCH(D1704,[1]Last6M_AvgSales_Ref!$A$2:$A$12659,0)),"")</f>
        <v>0</v>
      </c>
    </row>
    <row r="1705" spans="1:31" ht="14.25" customHeight="1" x14ac:dyDescent="0.3">
      <c r="A1705" s="54" t="str">
        <f t="shared" si="378"/>
        <v>NE 1</v>
      </c>
      <c r="B1705" s="55" t="s">
        <v>698</v>
      </c>
      <c r="C1705" s="56" t="s">
        <v>3461</v>
      </c>
      <c r="D1705" s="36">
        <v>1000004714</v>
      </c>
      <c r="E1705" s="55" t="s">
        <v>176</v>
      </c>
      <c r="F1705" s="57">
        <v>46142</v>
      </c>
      <c r="G1705" s="22" t="str">
        <f t="shared" si="364"/>
        <v>Targeted Dealer</v>
      </c>
      <c r="H1705" s="58"/>
      <c r="I1705" s="23">
        <v>23</v>
      </c>
      <c r="J1705" s="23">
        <f t="shared" si="365"/>
        <v>23</v>
      </c>
      <c r="K1705" s="24">
        <v>24</v>
      </c>
      <c r="L1705" s="24">
        <f t="shared" si="366"/>
        <v>-1</v>
      </c>
      <c r="M1705" s="24">
        <f t="shared" si="367"/>
        <v>104.34782608695652</v>
      </c>
      <c r="N1705" s="25">
        <v>10</v>
      </c>
      <c r="O1705" s="26" t="str">
        <f t="shared" si="368"/>
        <v>June</v>
      </c>
      <c r="P1705" s="25">
        <f t="shared" si="369"/>
        <v>10</v>
      </c>
      <c r="Q1705" s="27">
        <f t="shared" si="370"/>
        <v>14</v>
      </c>
      <c r="R1705" s="26" t="b">
        <f t="shared" si="371"/>
        <v>0</v>
      </c>
      <c r="S1705" s="28" t="str">
        <f t="shared" si="372"/>
        <v>GROWTH</v>
      </c>
      <c r="T1705" s="24">
        <v>0</v>
      </c>
      <c r="U1705" s="29" t="str">
        <f t="shared" si="373"/>
        <v>May</v>
      </c>
      <c r="V1705" s="24">
        <f t="shared" si="374"/>
        <v>0</v>
      </c>
      <c r="W1705" s="30">
        <f t="shared" si="375"/>
        <v>24</v>
      </c>
      <c r="X1705" s="31" t="b">
        <f t="shared" si="376"/>
        <v>0</v>
      </c>
      <c r="Y1705" s="32" t="b">
        <f t="shared" si="377"/>
        <v>0</v>
      </c>
      <c r="Z1705" s="41"/>
      <c r="AA1705" s="36"/>
      <c r="AB1705" s="36"/>
      <c r="AC1705" s="54"/>
      <c r="AD1705" s="34"/>
      <c r="AE1705" s="35">
        <f>IFERROR(INDEX([1]Last6M_AvgSales_Ref!$B$2:$B$12659,MATCH(D1705,[1]Last6M_AvgSales_Ref!$A$2:$A$12659,0)),"")</f>
        <v>0</v>
      </c>
    </row>
    <row r="1706" spans="1:31" ht="14.25" customHeight="1" x14ac:dyDescent="0.3">
      <c r="A1706" s="54" t="str">
        <f t="shared" si="378"/>
        <v>NB 1</v>
      </c>
      <c r="B1706" s="55" t="s">
        <v>2004</v>
      </c>
      <c r="C1706" s="56" t="s">
        <v>3462</v>
      </c>
      <c r="D1706" s="36">
        <v>1000004731</v>
      </c>
      <c r="E1706" s="55" t="s">
        <v>3463</v>
      </c>
      <c r="F1706" s="57">
        <v>46163</v>
      </c>
      <c r="G1706" s="22" t="str">
        <f t="shared" si="364"/>
        <v>Targeted Dealer</v>
      </c>
      <c r="H1706" s="58"/>
      <c r="I1706" s="23">
        <v>155</v>
      </c>
      <c r="J1706" s="23">
        <f t="shared" si="365"/>
        <v>155</v>
      </c>
      <c r="K1706" s="24">
        <v>39.5</v>
      </c>
      <c r="L1706" s="24">
        <f t="shared" si="366"/>
        <v>115.5</v>
      </c>
      <c r="M1706" s="24">
        <f t="shared" si="367"/>
        <v>25.483870967741936</v>
      </c>
      <c r="N1706" s="25">
        <v>257.25</v>
      </c>
      <c r="O1706" s="26" t="str">
        <f t="shared" si="368"/>
        <v>June</v>
      </c>
      <c r="P1706" s="25">
        <f t="shared" si="369"/>
        <v>257.25</v>
      </c>
      <c r="Q1706" s="27">
        <f t="shared" si="370"/>
        <v>-217.75</v>
      </c>
      <c r="R1706" s="26" t="b">
        <f t="shared" si="371"/>
        <v>0</v>
      </c>
      <c r="S1706" s="28" t="str">
        <f t="shared" si="372"/>
        <v>GROWTH</v>
      </c>
      <c r="T1706" s="24">
        <v>0</v>
      </c>
      <c r="U1706" s="29" t="str">
        <f t="shared" si="373"/>
        <v>May</v>
      </c>
      <c r="V1706" s="24">
        <f t="shared" si="374"/>
        <v>0</v>
      </c>
      <c r="W1706" s="30">
        <f t="shared" si="375"/>
        <v>39.5</v>
      </c>
      <c r="X1706" s="31" t="b">
        <f t="shared" si="376"/>
        <v>0</v>
      </c>
      <c r="Y1706" s="32" t="b">
        <f t="shared" si="377"/>
        <v>0</v>
      </c>
      <c r="Z1706" s="41"/>
      <c r="AA1706" s="36"/>
      <c r="AB1706" s="36"/>
      <c r="AC1706" s="54"/>
      <c r="AD1706" s="34"/>
      <c r="AE1706" s="35">
        <f>IFERROR(INDEX([1]Last6M_AvgSales_Ref!$B$2:$B$12659,MATCH(D1706,[1]Last6M_AvgSales_Ref!$A$2:$A$12659,0)),"")</f>
        <v>0</v>
      </c>
    </row>
    <row r="1707" spans="1:31" ht="14.25" customHeight="1" x14ac:dyDescent="0.3">
      <c r="A1707" s="54" t="str">
        <f t="shared" si="378"/>
        <v>NB 1</v>
      </c>
      <c r="B1707" s="55" t="s">
        <v>2004</v>
      </c>
      <c r="C1707" s="56" t="s">
        <v>3464</v>
      </c>
      <c r="D1707" s="36">
        <v>1000004734</v>
      </c>
      <c r="E1707" s="55" t="s">
        <v>3465</v>
      </c>
      <c r="F1707" s="57">
        <v>46164</v>
      </c>
      <c r="G1707" s="22" t="str">
        <f t="shared" si="364"/>
        <v>Targeted Dealer</v>
      </c>
      <c r="H1707" s="58"/>
      <c r="I1707" s="23">
        <v>50</v>
      </c>
      <c r="J1707" s="23">
        <f t="shared" si="365"/>
        <v>50</v>
      </c>
      <c r="K1707" s="24">
        <v>12.5</v>
      </c>
      <c r="L1707" s="24">
        <f t="shared" si="366"/>
        <v>37.5</v>
      </c>
      <c r="M1707" s="24">
        <f t="shared" si="367"/>
        <v>25</v>
      </c>
      <c r="N1707" s="25">
        <v>39.75</v>
      </c>
      <c r="O1707" s="26" t="str">
        <f t="shared" si="368"/>
        <v>June</v>
      </c>
      <c r="P1707" s="25">
        <f t="shared" si="369"/>
        <v>39.75</v>
      </c>
      <c r="Q1707" s="27">
        <f t="shared" si="370"/>
        <v>-27.25</v>
      </c>
      <c r="R1707" s="26" t="b">
        <f t="shared" si="371"/>
        <v>0</v>
      </c>
      <c r="S1707" s="28" t="str">
        <f t="shared" si="372"/>
        <v>GROWTH</v>
      </c>
      <c r="T1707" s="24">
        <v>0</v>
      </c>
      <c r="U1707" s="29" t="str">
        <f t="shared" si="373"/>
        <v>May</v>
      </c>
      <c r="V1707" s="24">
        <f t="shared" si="374"/>
        <v>0</v>
      </c>
      <c r="W1707" s="30">
        <f t="shared" si="375"/>
        <v>12.5</v>
      </c>
      <c r="X1707" s="31" t="b">
        <f t="shared" si="376"/>
        <v>0</v>
      </c>
      <c r="Y1707" s="32" t="b">
        <f t="shared" si="377"/>
        <v>0</v>
      </c>
      <c r="Z1707" s="41"/>
      <c r="AA1707" s="36"/>
      <c r="AB1707" s="36"/>
      <c r="AC1707" s="54"/>
      <c r="AD1707" s="34"/>
      <c r="AE1707" s="35">
        <f>IFERROR(INDEX([1]Last6M_AvgSales_Ref!$B$2:$B$12659,MATCH(D1707,[1]Last6M_AvgSales_Ref!$A$2:$A$12659,0)),"")</f>
        <v>0</v>
      </c>
    </row>
    <row r="1708" spans="1:31" ht="14.25" customHeight="1" x14ac:dyDescent="0.3">
      <c r="A1708" s="54" t="str">
        <f t="shared" si="378"/>
        <v>NE 1</v>
      </c>
      <c r="B1708" s="55" t="s">
        <v>174</v>
      </c>
      <c r="C1708" s="56" t="s">
        <v>3466</v>
      </c>
      <c r="D1708" s="36">
        <v>1000004671</v>
      </c>
      <c r="E1708" s="55" t="s">
        <v>3467</v>
      </c>
      <c r="F1708" s="57">
        <v>46092</v>
      </c>
      <c r="G1708" s="22" t="str">
        <f t="shared" si="364"/>
        <v>Targeted Dealer</v>
      </c>
      <c r="H1708" s="58"/>
      <c r="I1708" s="23">
        <v>30</v>
      </c>
      <c r="J1708" s="23">
        <f t="shared" si="365"/>
        <v>30</v>
      </c>
      <c r="K1708" s="24">
        <v>30</v>
      </c>
      <c r="L1708" s="24">
        <f t="shared" si="366"/>
        <v>0</v>
      </c>
      <c r="M1708" s="24">
        <f t="shared" si="367"/>
        <v>100</v>
      </c>
      <c r="N1708" s="25">
        <v>44</v>
      </c>
      <c r="O1708" s="26" t="str">
        <f t="shared" si="368"/>
        <v>June</v>
      </c>
      <c r="P1708" s="25">
        <f t="shared" si="369"/>
        <v>44</v>
      </c>
      <c r="Q1708" s="27">
        <f t="shared" si="370"/>
        <v>-14</v>
      </c>
      <c r="R1708" s="26" t="b">
        <f t="shared" si="371"/>
        <v>0</v>
      </c>
      <c r="S1708" s="28" t="str">
        <f t="shared" si="372"/>
        <v>GROWTH</v>
      </c>
      <c r="T1708" s="24">
        <v>0</v>
      </c>
      <c r="U1708" s="29" t="str">
        <f t="shared" si="373"/>
        <v>May</v>
      </c>
      <c r="V1708" s="24">
        <f t="shared" si="374"/>
        <v>0</v>
      </c>
      <c r="W1708" s="30">
        <f t="shared" si="375"/>
        <v>30</v>
      </c>
      <c r="X1708" s="31" t="b">
        <f t="shared" si="376"/>
        <v>0</v>
      </c>
      <c r="Y1708" s="32" t="b">
        <f t="shared" si="377"/>
        <v>0</v>
      </c>
      <c r="Z1708" s="41"/>
      <c r="AA1708" s="36"/>
      <c r="AB1708" s="36"/>
      <c r="AC1708" s="54"/>
      <c r="AD1708" s="34"/>
      <c r="AE1708" s="35">
        <f>IFERROR(INDEX([1]Last6M_AvgSales_Ref!$B$2:$B$12659,MATCH(D1708,[1]Last6M_AvgSales_Ref!$A$2:$A$12659,0)),"")</f>
        <v>0</v>
      </c>
    </row>
    <row r="1709" spans="1:31" ht="14.25" customHeight="1" x14ac:dyDescent="0.3">
      <c r="A1709" s="54" t="str">
        <f t="shared" si="378"/>
        <v>NE 2</v>
      </c>
      <c r="B1709" s="55" t="s">
        <v>1420</v>
      </c>
      <c r="C1709" s="56" t="s">
        <v>3468</v>
      </c>
      <c r="D1709" s="36">
        <v>1000004723</v>
      </c>
      <c r="E1709" s="55" t="s">
        <v>3469</v>
      </c>
      <c r="F1709" s="57">
        <v>46143</v>
      </c>
      <c r="G1709" s="22" t="str">
        <f t="shared" si="364"/>
        <v>Targeted Dealer</v>
      </c>
      <c r="H1709" s="58"/>
      <c r="I1709" s="23">
        <v>150</v>
      </c>
      <c r="J1709" s="23">
        <f t="shared" si="365"/>
        <v>150</v>
      </c>
      <c r="K1709" s="24">
        <v>134.4</v>
      </c>
      <c r="L1709" s="24">
        <f t="shared" si="366"/>
        <v>15.599999999999994</v>
      </c>
      <c r="M1709" s="24">
        <f t="shared" si="367"/>
        <v>89.600000000000009</v>
      </c>
      <c r="N1709" s="25">
        <v>75</v>
      </c>
      <c r="O1709" s="26" t="str">
        <f t="shared" si="368"/>
        <v>June</v>
      </c>
      <c r="P1709" s="25">
        <f t="shared" si="369"/>
        <v>75</v>
      </c>
      <c r="Q1709" s="27">
        <f t="shared" si="370"/>
        <v>59.400000000000006</v>
      </c>
      <c r="R1709" s="26" t="b">
        <f t="shared" si="371"/>
        <v>0</v>
      </c>
      <c r="S1709" s="28" t="str">
        <f t="shared" si="372"/>
        <v>GROWTH</v>
      </c>
      <c r="T1709" s="24">
        <v>0</v>
      </c>
      <c r="U1709" s="29" t="str">
        <f t="shared" si="373"/>
        <v>May</v>
      </c>
      <c r="V1709" s="24">
        <f t="shared" si="374"/>
        <v>0</v>
      </c>
      <c r="W1709" s="30">
        <f t="shared" si="375"/>
        <v>134.4</v>
      </c>
      <c r="X1709" s="31" t="b">
        <f t="shared" si="376"/>
        <v>0</v>
      </c>
      <c r="Y1709" s="32" t="b">
        <f t="shared" si="377"/>
        <v>0</v>
      </c>
      <c r="Z1709" s="41"/>
      <c r="AA1709" s="36"/>
      <c r="AB1709" s="36"/>
      <c r="AC1709" s="54"/>
      <c r="AD1709" s="34"/>
      <c r="AE1709" s="35">
        <f>IFERROR(INDEX([1]Last6M_AvgSales_Ref!$B$2:$B$12659,MATCH(D1709,[1]Last6M_AvgSales_Ref!$A$2:$A$12659,0)),"")</f>
        <v>0</v>
      </c>
    </row>
    <row r="1710" spans="1:31" ht="14.25" customHeight="1" x14ac:dyDescent="0.3">
      <c r="A1710" s="54" t="str">
        <f t="shared" si="378"/>
        <v>NE 2</v>
      </c>
      <c r="B1710" s="55" t="s">
        <v>1420</v>
      </c>
      <c r="C1710" s="56" t="s">
        <v>3470</v>
      </c>
      <c r="D1710" s="36">
        <v>1000003207</v>
      </c>
      <c r="E1710" s="55" t="s">
        <v>3471</v>
      </c>
      <c r="F1710" s="57">
        <v>44926</v>
      </c>
      <c r="G1710" s="22" t="str">
        <f t="shared" si="364"/>
        <v>Targeted Dealer</v>
      </c>
      <c r="H1710" s="58"/>
      <c r="I1710" s="23">
        <v>50</v>
      </c>
      <c r="J1710" s="23">
        <f t="shared" si="365"/>
        <v>50</v>
      </c>
      <c r="K1710" s="24">
        <v>6</v>
      </c>
      <c r="L1710" s="24">
        <f t="shared" si="366"/>
        <v>44</v>
      </c>
      <c r="M1710" s="24">
        <f t="shared" si="367"/>
        <v>12</v>
      </c>
      <c r="N1710" s="25">
        <v>6</v>
      </c>
      <c r="O1710" s="26" t="str">
        <f t="shared" si="368"/>
        <v>June</v>
      </c>
      <c r="P1710" s="25">
        <f t="shared" si="369"/>
        <v>6</v>
      </c>
      <c r="Q1710" s="27">
        <f t="shared" si="370"/>
        <v>0</v>
      </c>
      <c r="R1710" s="26" t="b">
        <f t="shared" si="371"/>
        <v>0</v>
      </c>
      <c r="S1710" s="28" t="str">
        <f t="shared" si="372"/>
        <v>GROWTH</v>
      </c>
      <c r="T1710" s="24">
        <v>0</v>
      </c>
      <c r="U1710" s="29" t="str">
        <f t="shared" si="373"/>
        <v>May</v>
      </c>
      <c r="V1710" s="24">
        <f t="shared" si="374"/>
        <v>0</v>
      </c>
      <c r="W1710" s="30">
        <f t="shared" si="375"/>
        <v>6</v>
      </c>
      <c r="X1710" s="31" t="b">
        <f t="shared" si="376"/>
        <v>0</v>
      </c>
      <c r="Y1710" s="32" t="b">
        <f t="shared" si="377"/>
        <v>0</v>
      </c>
      <c r="Z1710" s="41"/>
      <c r="AA1710" s="36"/>
      <c r="AB1710" s="36"/>
      <c r="AC1710" s="54"/>
      <c r="AD1710" s="34"/>
      <c r="AE1710" s="35">
        <f>IFERROR(INDEX([1]Last6M_AvgSales_Ref!$B$2:$B$12659,MATCH(D1710,[1]Last6M_AvgSales_Ref!$A$2:$A$12659,0)),"")</f>
        <v>0</v>
      </c>
    </row>
    <row r="1711" spans="1:31" ht="14.25" customHeight="1" x14ac:dyDescent="0.3">
      <c r="A1711" s="54" t="str">
        <f t="shared" si="378"/>
        <v>NB 2</v>
      </c>
      <c r="B1711" s="55" t="s">
        <v>2028</v>
      </c>
      <c r="C1711" s="56" t="s">
        <v>3472</v>
      </c>
      <c r="D1711" s="36">
        <v>1000004421</v>
      </c>
      <c r="E1711" s="55" t="s">
        <v>3473</v>
      </c>
      <c r="F1711" s="57">
        <v>45856</v>
      </c>
      <c r="G1711" s="22" t="str">
        <f t="shared" si="364"/>
        <v>Targeted Dealer</v>
      </c>
      <c r="H1711" s="58"/>
      <c r="I1711" s="23">
        <v>50</v>
      </c>
      <c r="J1711" s="23">
        <f t="shared" si="365"/>
        <v>50</v>
      </c>
      <c r="K1711" s="24">
        <v>50</v>
      </c>
      <c r="L1711" s="24">
        <f t="shared" si="366"/>
        <v>0</v>
      </c>
      <c r="M1711" s="24">
        <f t="shared" si="367"/>
        <v>100</v>
      </c>
      <c r="N1711" s="25">
        <v>30</v>
      </c>
      <c r="O1711" s="26" t="str">
        <f t="shared" si="368"/>
        <v>June</v>
      </c>
      <c r="P1711" s="25">
        <f t="shared" si="369"/>
        <v>30</v>
      </c>
      <c r="Q1711" s="27">
        <f t="shared" si="370"/>
        <v>20</v>
      </c>
      <c r="R1711" s="26" t="b">
        <f t="shared" si="371"/>
        <v>0</v>
      </c>
      <c r="S1711" s="28" t="str">
        <f t="shared" si="372"/>
        <v>GROWTH</v>
      </c>
      <c r="T1711" s="24">
        <v>0</v>
      </c>
      <c r="U1711" s="29" t="str">
        <f t="shared" si="373"/>
        <v>May</v>
      </c>
      <c r="V1711" s="24">
        <f t="shared" si="374"/>
        <v>0</v>
      </c>
      <c r="W1711" s="30">
        <f t="shared" si="375"/>
        <v>50</v>
      </c>
      <c r="X1711" s="31" t="b">
        <f t="shared" si="376"/>
        <v>0</v>
      </c>
      <c r="Y1711" s="32" t="b">
        <f t="shared" si="377"/>
        <v>0</v>
      </c>
      <c r="Z1711" s="41"/>
      <c r="AA1711" s="36"/>
      <c r="AB1711" s="36"/>
      <c r="AC1711" s="54"/>
      <c r="AD1711" s="34"/>
      <c r="AE1711" s="35">
        <f>IFERROR(INDEX([1]Last6M_AvgSales_Ref!$B$2:$B$12659,MATCH(D1711,[1]Last6M_AvgSales_Ref!$A$2:$A$12659,0)),"")</f>
        <v>0</v>
      </c>
    </row>
    <row r="1712" spans="1:31" ht="14.25" customHeight="1" x14ac:dyDescent="0.3">
      <c r="A1712" s="54" t="str">
        <f t="shared" si="378"/>
        <v>NB 2</v>
      </c>
      <c r="B1712" s="55" t="s">
        <v>2028</v>
      </c>
      <c r="C1712" s="56" t="s">
        <v>3474</v>
      </c>
      <c r="D1712" s="36">
        <v>1000004710</v>
      </c>
      <c r="E1712" s="55" t="s">
        <v>3475</v>
      </c>
      <c r="F1712" s="57">
        <v>46141</v>
      </c>
      <c r="G1712" s="22" t="str">
        <f t="shared" si="364"/>
        <v>Targeted Dealer</v>
      </c>
      <c r="H1712" s="58"/>
      <c r="I1712" s="23">
        <v>25</v>
      </c>
      <c r="J1712" s="23">
        <f t="shared" si="365"/>
        <v>25</v>
      </c>
      <c r="K1712" s="24">
        <v>25</v>
      </c>
      <c r="L1712" s="24">
        <f t="shared" si="366"/>
        <v>0</v>
      </c>
      <c r="M1712" s="24">
        <f t="shared" si="367"/>
        <v>100</v>
      </c>
      <c r="N1712" s="25">
        <v>25</v>
      </c>
      <c r="O1712" s="26" t="str">
        <f t="shared" si="368"/>
        <v>June</v>
      </c>
      <c r="P1712" s="25">
        <f t="shared" si="369"/>
        <v>25</v>
      </c>
      <c r="Q1712" s="27">
        <f t="shared" si="370"/>
        <v>0</v>
      </c>
      <c r="R1712" s="26" t="b">
        <f t="shared" si="371"/>
        <v>0</v>
      </c>
      <c r="S1712" s="28" t="str">
        <f t="shared" si="372"/>
        <v>GROWTH</v>
      </c>
      <c r="T1712" s="24">
        <v>0</v>
      </c>
      <c r="U1712" s="29" t="str">
        <f t="shared" si="373"/>
        <v>May</v>
      </c>
      <c r="V1712" s="24">
        <f t="shared" si="374"/>
        <v>0</v>
      </c>
      <c r="W1712" s="30">
        <f t="shared" si="375"/>
        <v>25</v>
      </c>
      <c r="X1712" s="31" t="b">
        <f t="shared" si="376"/>
        <v>0</v>
      </c>
      <c r="Y1712" s="32" t="b">
        <f t="shared" si="377"/>
        <v>0</v>
      </c>
      <c r="Z1712" s="41"/>
      <c r="AA1712" s="36"/>
      <c r="AB1712" s="36"/>
      <c r="AC1712" s="54"/>
      <c r="AD1712" s="34"/>
      <c r="AE1712" s="35">
        <f>IFERROR(INDEX([1]Last6M_AvgSales_Ref!$B$2:$B$12659,MATCH(D1712,[1]Last6M_AvgSales_Ref!$A$2:$A$12659,0)),"")</f>
        <v>0</v>
      </c>
    </row>
    <row r="1713" spans="1:31" ht="14.25" customHeight="1" x14ac:dyDescent="0.3">
      <c r="A1713" s="54" t="s">
        <v>24</v>
      </c>
      <c r="B1713" s="55" t="s">
        <v>358</v>
      </c>
      <c r="C1713" s="56" t="s">
        <v>3476</v>
      </c>
      <c r="D1713" s="36">
        <v>1000000072</v>
      </c>
      <c r="E1713" s="55" t="s">
        <v>3477</v>
      </c>
      <c r="F1713" s="57">
        <v>44738</v>
      </c>
      <c r="G1713" s="22"/>
      <c r="H1713" s="58"/>
      <c r="I1713" s="23">
        <v>0</v>
      </c>
      <c r="J1713" s="23">
        <f t="shared" si="365"/>
        <v>0</v>
      </c>
      <c r="K1713" s="24">
        <v>25</v>
      </c>
      <c r="L1713" s="24">
        <f t="shared" si="366"/>
        <v>-25</v>
      </c>
      <c r="M1713" s="24" t="str">
        <f t="shared" si="367"/>
        <v>-</v>
      </c>
      <c r="N1713" s="25">
        <v>40</v>
      </c>
      <c r="O1713" s="26" t="str">
        <f t="shared" si="368"/>
        <v>June</v>
      </c>
      <c r="P1713" s="25">
        <f t="shared" si="369"/>
        <v>40</v>
      </c>
      <c r="Q1713" s="27">
        <f t="shared" si="370"/>
        <v>-15</v>
      </c>
      <c r="R1713" s="26" t="b">
        <f t="shared" si="371"/>
        <v>0</v>
      </c>
      <c r="S1713" s="28" t="str">
        <f t="shared" si="372"/>
        <v>GROWTH</v>
      </c>
      <c r="T1713" s="24">
        <v>300</v>
      </c>
      <c r="U1713" s="29" t="str">
        <f t="shared" si="373"/>
        <v>May</v>
      </c>
      <c r="V1713" s="24">
        <f t="shared" si="374"/>
        <v>300</v>
      </c>
      <c r="W1713" s="30">
        <f t="shared" si="375"/>
        <v>-275</v>
      </c>
      <c r="X1713" s="31" t="b">
        <f t="shared" si="376"/>
        <v>0</v>
      </c>
      <c r="Y1713" s="32" t="str">
        <f t="shared" si="377"/>
        <v>GROWTH</v>
      </c>
      <c r="Z1713" s="41"/>
      <c r="AA1713" s="36"/>
      <c r="AB1713" s="36"/>
      <c r="AC1713" s="54"/>
      <c r="AD1713" s="34"/>
      <c r="AE1713" s="35" t="str">
        <f>IFERROR(INDEX([1]Last6M_AvgSales_Ref!$B$2:$B$12659,MATCH(D1713,[1]Last6M_AvgSales_Ref!$A$2:$A$12659,0)),"")</f>
        <v/>
      </c>
    </row>
    <row r="1714" spans="1:31" ht="14.25" customHeight="1" x14ac:dyDescent="0.3">
      <c r="A1714" s="54" t="s">
        <v>24</v>
      </c>
      <c r="B1714" s="55" t="s">
        <v>3478</v>
      </c>
      <c r="C1714" s="56" t="s">
        <v>3479</v>
      </c>
      <c r="D1714" s="36">
        <v>1000000276</v>
      </c>
      <c r="E1714" s="55" t="s">
        <v>3480</v>
      </c>
      <c r="F1714" s="57">
        <v>44738</v>
      </c>
      <c r="G1714" s="22"/>
      <c r="H1714" s="58"/>
      <c r="I1714" s="23">
        <v>20</v>
      </c>
      <c r="J1714" s="23">
        <f t="shared" si="365"/>
        <v>20</v>
      </c>
      <c r="K1714" s="24">
        <v>25</v>
      </c>
      <c r="L1714" s="24">
        <f t="shared" si="366"/>
        <v>-5</v>
      </c>
      <c r="M1714" s="24">
        <f t="shared" si="367"/>
        <v>125</v>
      </c>
      <c r="N1714" s="25">
        <v>10</v>
      </c>
      <c r="O1714" s="26" t="str">
        <f t="shared" si="368"/>
        <v>June</v>
      </c>
      <c r="P1714" s="25">
        <f t="shared" si="369"/>
        <v>10</v>
      </c>
      <c r="Q1714" s="27">
        <f t="shared" si="370"/>
        <v>15</v>
      </c>
      <c r="R1714" s="26" t="b">
        <f t="shared" si="371"/>
        <v>0</v>
      </c>
      <c r="S1714" s="28" t="str">
        <f t="shared" si="372"/>
        <v>GROWTH</v>
      </c>
      <c r="T1714" s="24">
        <v>0</v>
      </c>
      <c r="U1714" s="29" t="str">
        <f t="shared" si="373"/>
        <v>May</v>
      </c>
      <c r="V1714" s="24">
        <f t="shared" si="374"/>
        <v>0</v>
      </c>
      <c r="W1714" s="30">
        <f t="shared" si="375"/>
        <v>25</v>
      </c>
      <c r="X1714" s="31" t="b">
        <f t="shared" si="376"/>
        <v>0</v>
      </c>
      <c r="Y1714" s="32" t="b">
        <f t="shared" si="377"/>
        <v>0</v>
      </c>
      <c r="Z1714" s="41"/>
      <c r="AA1714" s="36"/>
      <c r="AB1714" s="36"/>
      <c r="AC1714" s="54"/>
      <c r="AD1714" s="34"/>
      <c r="AE1714" s="35" t="str">
        <f>IFERROR(INDEX([1]Last6M_AvgSales_Ref!$B$2:$B$12659,MATCH(D1714,[1]Last6M_AvgSales_Ref!$A$2:$A$12659,0)),"")</f>
        <v/>
      </c>
    </row>
    <row r="1715" spans="1:31" ht="14.25" customHeight="1" x14ac:dyDescent="0.3">
      <c r="A1715" s="54" t="s">
        <v>2185</v>
      </c>
      <c r="B1715" s="55" t="s">
        <v>2425</v>
      </c>
      <c r="C1715" s="56" t="s">
        <v>3481</v>
      </c>
      <c r="D1715" s="36">
        <v>1000001715</v>
      </c>
      <c r="E1715" s="55" t="s">
        <v>3482</v>
      </c>
      <c r="F1715" s="57">
        <v>44739</v>
      </c>
      <c r="G1715" s="22"/>
      <c r="H1715" s="58"/>
      <c r="I1715" s="23">
        <v>0</v>
      </c>
      <c r="J1715" s="23">
        <f t="shared" si="365"/>
        <v>0</v>
      </c>
      <c r="K1715" s="24">
        <v>25</v>
      </c>
      <c r="L1715" s="24">
        <f t="shared" si="366"/>
        <v>-25</v>
      </c>
      <c r="M1715" s="24" t="str">
        <f t="shared" si="367"/>
        <v>-</v>
      </c>
      <c r="N1715" s="25">
        <v>7.5</v>
      </c>
      <c r="O1715" s="26" t="str">
        <f t="shared" si="368"/>
        <v>June</v>
      </c>
      <c r="P1715" s="25">
        <f t="shared" si="369"/>
        <v>7.5</v>
      </c>
      <c r="Q1715" s="27">
        <f t="shared" si="370"/>
        <v>17.5</v>
      </c>
      <c r="R1715" s="26" t="b">
        <f t="shared" si="371"/>
        <v>0</v>
      </c>
      <c r="S1715" s="28" t="str">
        <f t="shared" si="372"/>
        <v>GROWTH</v>
      </c>
      <c r="T1715" s="24">
        <v>0</v>
      </c>
      <c r="U1715" s="29" t="str">
        <f t="shared" si="373"/>
        <v>May</v>
      </c>
      <c r="V1715" s="24">
        <f t="shared" si="374"/>
        <v>0</v>
      </c>
      <c r="W1715" s="30">
        <f t="shared" si="375"/>
        <v>25</v>
      </c>
      <c r="X1715" s="31" t="b">
        <f t="shared" si="376"/>
        <v>0</v>
      </c>
      <c r="Y1715" s="32" t="b">
        <f t="shared" si="377"/>
        <v>0</v>
      </c>
      <c r="Z1715" s="41"/>
      <c r="AA1715" s="36"/>
      <c r="AB1715" s="36"/>
      <c r="AC1715" s="54"/>
      <c r="AD1715" s="34"/>
      <c r="AE1715" s="35" t="str">
        <f>IFERROR(INDEX([1]Last6M_AvgSales_Ref!$B$2:$B$12659,MATCH(D1715,[1]Last6M_AvgSales_Ref!$A$2:$A$12659,0)),"")</f>
        <v/>
      </c>
    </row>
    <row r="1716" spans="1:31" ht="14.25" customHeight="1" x14ac:dyDescent="0.3">
      <c r="A1716" s="54" t="s">
        <v>2185</v>
      </c>
      <c r="B1716" s="55" t="s">
        <v>2425</v>
      </c>
      <c r="C1716" s="56" t="s">
        <v>3483</v>
      </c>
      <c r="D1716" s="36">
        <v>1000001720</v>
      </c>
      <c r="E1716" s="55" t="s">
        <v>3484</v>
      </c>
      <c r="F1716" s="57">
        <v>44739</v>
      </c>
      <c r="G1716" s="22"/>
      <c r="H1716" s="58"/>
      <c r="I1716" s="23">
        <v>0</v>
      </c>
      <c r="J1716" s="23">
        <f t="shared" si="365"/>
        <v>0</v>
      </c>
      <c r="K1716" s="24">
        <v>25</v>
      </c>
      <c r="L1716" s="24">
        <f t="shared" si="366"/>
        <v>-25</v>
      </c>
      <c r="M1716" s="24" t="str">
        <f t="shared" si="367"/>
        <v>-</v>
      </c>
      <c r="N1716" s="25">
        <v>49.5</v>
      </c>
      <c r="O1716" s="26" t="str">
        <f t="shared" si="368"/>
        <v>June</v>
      </c>
      <c r="P1716" s="25">
        <f t="shared" si="369"/>
        <v>49.5</v>
      </c>
      <c r="Q1716" s="27">
        <f t="shared" si="370"/>
        <v>-24.5</v>
      </c>
      <c r="R1716" s="26" t="b">
        <f t="shared" si="371"/>
        <v>0</v>
      </c>
      <c r="S1716" s="28" t="str">
        <f t="shared" si="372"/>
        <v>GROWTH</v>
      </c>
      <c r="T1716" s="24">
        <v>0</v>
      </c>
      <c r="U1716" s="29" t="str">
        <f t="shared" si="373"/>
        <v>May</v>
      </c>
      <c r="V1716" s="24">
        <f t="shared" si="374"/>
        <v>0</v>
      </c>
      <c r="W1716" s="30">
        <f t="shared" si="375"/>
        <v>25</v>
      </c>
      <c r="X1716" s="31" t="b">
        <f t="shared" si="376"/>
        <v>0</v>
      </c>
      <c r="Y1716" s="32" t="b">
        <f t="shared" si="377"/>
        <v>0</v>
      </c>
      <c r="Z1716" s="41"/>
      <c r="AA1716" s="36"/>
      <c r="AB1716" s="36"/>
      <c r="AC1716" s="54"/>
      <c r="AD1716" s="34"/>
      <c r="AE1716" s="35" t="str">
        <f>IFERROR(INDEX([1]Last6M_AvgSales_Ref!$B$2:$B$12659,MATCH(D1716,[1]Last6M_AvgSales_Ref!$A$2:$A$12659,0)),"")</f>
        <v/>
      </c>
    </row>
    <row r="1717" spans="1:31" ht="14.25" customHeight="1" x14ac:dyDescent="0.3">
      <c r="A1717" s="54" t="s">
        <v>848</v>
      </c>
      <c r="B1717" s="55" t="s">
        <v>1487</v>
      </c>
      <c r="C1717" s="56" t="s">
        <v>3485</v>
      </c>
      <c r="D1717" s="36">
        <v>1000002400</v>
      </c>
      <c r="E1717" s="55" t="s">
        <v>3486</v>
      </c>
      <c r="F1717" s="57">
        <v>44738</v>
      </c>
      <c r="G1717" s="22"/>
      <c r="H1717" s="58"/>
      <c r="I1717" s="23">
        <v>0</v>
      </c>
      <c r="J1717" s="23">
        <f t="shared" si="365"/>
        <v>0</v>
      </c>
      <c r="K1717" s="24">
        <v>25</v>
      </c>
      <c r="L1717" s="24">
        <f t="shared" si="366"/>
        <v>-25</v>
      </c>
      <c r="M1717" s="24" t="str">
        <f t="shared" si="367"/>
        <v>-</v>
      </c>
      <c r="N1717" s="25">
        <v>5</v>
      </c>
      <c r="O1717" s="26" t="str">
        <f t="shared" si="368"/>
        <v>June</v>
      </c>
      <c r="P1717" s="25">
        <f t="shared" si="369"/>
        <v>5</v>
      </c>
      <c r="Q1717" s="27">
        <f t="shared" si="370"/>
        <v>20</v>
      </c>
      <c r="R1717" s="26" t="b">
        <f t="shared" si="371"/>
        <v>0</v>
      </c>
      <c r="S1717" s="28" t="str">
        <f t="shared" si="372"/>
        <v>GROWTH</v>
      </c>
      <c r="T1717" s="24">
        <v>20</v>
      </c>
      <c r="U1717" s="29" t="str">
        <f t="shared" si="373"/>
        <v>May</v>
      </c>
      <c r="V1717" s="24">
        <f t="shared" si="374"/>
        <v>20</v>
      </c>
      <c r="W1717" s="30">
        <f t="shared" si="375"/>
        <v>5</v>
      </c>
      <c r="X1717" s="31" t="b">
        <f t="shared" si="376"/>
        <v>0</v>
      </c>
      <c r="Y1717" s="32" t="str">
        <f t="shared" si="377"/>
        <v>GROWTH</v>
      </c>
      <c r="Z1717" s="41"/>
      <c r="AA1717" s="36"/>
      <c r="AB1717" s="36"/>
      <c r="AC1717" s="54"/>
      <c r="AD1717" s="34"/>
      <c r="AE1717" s="35" t="str">
        <f>IFERROR(INDEX([1]Last6M_AvgSales_Ref!$B$2:$B$12659,MATCH(D1717,[1]Last6M_AvgSales_Ref!$A$2:$A$12659,0)),"")</f>
        <v/>
      </c>
    </row>
    <row r="1718" spans="1:31" ht="14.25" customHeight="1" x14ac:dyDescent="0.3">
      <c r="A1718" s="54" t="s">
        <v>848</v>
      </c>
      <c r="B1718" s="55" t="s">
        <v>996</v>
      </c>
      <c r="C1718" s="56" t="s">
        <v>3487</v>
      </c>
      <c r="D1718" s="36">
        <v>1000003062</v>
      </c>
      <c r="E1718" s="55" t="s">
        <v>3488</v>
      </c>
      <c r="F1718" s="57">
        <v>44865</v>
      </c>
      <c r="G1718" s="22"/>
      <c r="H1718" s="58"/>
      <c r="I1718" s="23">
        <v>0</v>
      </c>
      <c r="J1718" s="23">
        <f t="shared" si="365"/>
        <v>0</v>
      </c>
      <c r="K1718" s="24">
        <v>25</v>
      </c>
      <c r="L1718" s="24">
        <f t="shared" si="366"/>
        <v>-25</v>
      </c>
      <c r="M1718" s="24" t="str">
        <f t="shared" si="367"/>
        <v>-</v>
      </c>
      <c r="N1718" s="25">
        <v>13</v>
      </c>
      <c r="O1718" s="26" t="str">
        <f t="shared" si="368"/>
        <v>June</v>
      </c>
      <c r="P1718" s="25">
        <f t="shared" si="369"/>
        <v>13</v>
      </c>
      <c r="Q1718" s="27">
        <f t="shared" si="370"/>
        <v>12</v>
      </c>
      <c r="R1718" s="26" t="b">
        <f t="shared" si="371"/>
        <v>0</v>
      </c>
      <c r="S1718" s="28" t="str">
        <f t="shared" si="372"/>
        <v>GROWTH</v>
      </c>
      <c r="T1718" s="24">
        <v>0</v>
      </c>
      <c r="U1718" s="29" t="str">
        <f t="shared" si="373"/>
        <v>May</v>
      </c>
      <c r="V1718" s="24">
        <f t="shared" si="374"/>
        <v>0</v>
      </c>
      <c r="W1718" s="30">
        <f t="shared" si="375"/>
        <v>25</v>
      </c>
      <c r="X1718" s="31" t="b">
        <f t="shared" si="376"/>
        <v>0</v>
      </c>
      <c r="Y1718" s="32" t="b">
        <f t="shared" si="377"/>
        <v>0</v>
      </c>
      <c r="Z1718" s="41"/>
      <c r="AA1718" s="36"/>
      <c r="AB1718" s="36"/>
      <c r="AC1718" s="54"/>
      <c r="AD1718" s="34"/>
      <c r="AE1718" s="35" t="str">
        <f>IFERROR(INDEX([1]Last6M_AvgSales_Ref!$B$2:$B$12659,MATCH(D1718,[1]Last6M_AvgSales_Ref!$A$2:$A$12659,0)),"")</f>
        <v/>
      </c>
    </row>
    <row r="1719" spans="1:31" ht="14.25" customHeight="1" x14ac:dyDescent="0.3">
      <c r="A1719" s="54" t="s">
        <v>848</v>
      </c>
      <c r="B1719" s="55" t="s">
        <v>1065</v>
      </c>
      <c r="C1719" s="56" t="s">
        <v>3489</v>
      </c>
      <c r="D1719" s="36">
        <v>1000003514</v>
      </c>
      <c r="E1719" s="55" t="s">
        <v>3490</v>
      </c>
      <c r="F1719" s="57">
        <v>45054</v>
      </c>
      <c r="G1719" s="22"/>
      <c r="H1719" s="58"/>
      <c r="I1719" s="23">
        <v>0</v>
      </c>
      <c r="J1719" s="23">
        <f t="shared" si="365"/>
        <v>0</v>
      </c>
      <c r="K1719" s="24">
        <v>25</v>
      </c>
      <c r="L1719" s="24">
        <f t="shared" si="366"/>
        <v>-25</v>
      </c>
      <c r="M1719" s="24" t="str">
        <f t="shared" si="367"/>
        <v>-</v>
      </c>
      <c r="N1719" s="25">
        <v>20</v>
      </c>
      <c r="O1719" s="26" t="str">
        <f t="shared" si="368"/>
        <v>June</v>
      </c>
      <c r="P1719" s="25">
        <f t="shared" si="369"/>
        <v>20</v>
      </c>
      <c r="Q1719" s="27">
        <f t="shared" si="370"/>
        <v>5</v>
      </c>
      <c r="R1719" s="26" t="b">
        <f t="shared" si="371"/>
        <v>0</v>
      </c>
      <c r="S1719" s="28" t="str">
        <f t="shared" si="372"/>
        <v>GROWTH</v>
      </c>
      <c r="T1719" s="24">
        <v>0</v>
      </c>
      <c r="U1719" s="29" t="str">
        <f t="shared" si="373"/>
        <v>May</v>
      </c>
      <c r="V1719" s="24">
        <f t="shared" si="374"/>
        <v>0</v>
      </c>
      <c r="W1719" s="30">
        <f t="shared" si="375"/>
        <v>25</v>
      </c>
      <c r="X1719" s="31" t="b">
        <f t="shared" si="376"/>
        <v>0</v>
      </c>
      <c r="Y1719" s="32" t="b">
        <f t="shared" si="377"/>
        <v>0</v>
      </c>
      <c r="Z1719" s="41"/>
      <c r="AA1719" s="36"/>
      <c r="AB1719" s="36"/>
      <c r="AC1719" s="54"/>
      <c r="AD1719" s="34"/>
      <c r="AE1719" s="35" t="str">
        <f>IFERROR(INDEX([1]Last6M_AvgSales_Ref!$B$2:$B$12659,MATCH(D1719,[1]Last6M_AvgSales_Ref!$A$2:$A$12659,0)),"")</f>
        <v/>
      </c>
    </row>
    <row r="1720" spans="1:31" ht="14.25" customHeight="1" x14ac:dyDescent="0.3">
      <c r="A1720" s="54" t="s">
        <v>848</v>
      </c>
      <c r="B1720" s="55" t="s">
        <v>996</v>
      </c>
      <c r="C1720" s="56" t="s">
        <v>3491</v>
      </c>
      <c r="D1720" s="36">
        <v>1000004101</v>
      </c>
      <c r="E1720" s="55" t="s">
        <v>3492</v>
      </c>
      <c r="F1720" s="57">
        <v>45533</v>
      </c>
      <c r="G1720" s="22"/>
      <c r="H1720" s="58"/>
      <c r="I1720" s="23">
        <v>0</v>
      </c>
      <c r="J1720" s="23">
        <f t="shared" si="365"/>
        <v>0</v>
      </c>
      <c r="K1720" s="24">
        <v>25</v>
      </c>
      <c r="L1720" s="24">
        <f t="shared" si="366"/>
        <v>-25</v>
      </c>
      <c r="M1720" s="24" t="str">
        <f t="shared" si="367"/>
        <v>-</v>
      </c>
      <c r="N1720" s="25">
        <v>3.5</v>
      </c>
      <c r="O1720" s="26" t="str">
        <f t="shared" si="368"/>
        <v>June</v>
      </c>
      <c r="P1720" s="25">
        <f t="shared" si="369"/>
        <v>3.5</v>
      </c>
      <c r="Q1720" s="27">
        <f t="shared" si="370"/>
        <v>21.5</v>
      </c>
      <c r="R1720" s="26" t="b">
        <f t="shared" si="371"/>
        <v>0</v>
      </c>
      <c r="S1720" s="28" t="str">
        <f t="shared" si="372"/>
        <v>GROWTH</v>
      </c>
      <c r="T1720" s="24">
        <v>0</v>
      </c>
      <c r="U1720" s="29" t="str">
        <f t="shared" si="373"/>
        <v>May</v>
      </c>
      <c r="V1720" s="24">
        <f t="shared" si="374"/>
        <v>0</v>
      </c>
      <c r="W1720" s="30">
        <f t="shared" si="375"/>
        <v>25</v>
      </c>
      <c r="X1720" s="31" t="b">
        <f t="shared" si="376"/>
        <v>0</v>
      </c>
      <c r="Y1720" s="32" t="b">
        <f t="shared" si="377"/>
        <v>0</v>
      </c>
      <c r="Z1720" s="41"/>
      <c r="AA1720" s="36"/>
      <c r="AB1720" s="36"/>
      <c r="AC1720" s="54"/>
      <c r="AD1720" s="34"/>
      <c r="AE1720" s="35" t="str">
        <f>IFERROR(INDEX([1]Last6M_AvgSales_Ref!$B$2:$B$12659,MATCH(D1720,[1]Last6M_AvgSales_Ref!$A$2:$A$12659,0)),"")</f>
        <v/>
      </c>
    </row>
    <row r="1721" spans="1:31" ht="14.25" customHeight="1" x14ac:dyDescent="0.3">
      <c r="A1721" s="54" t="s">
        <v>2185</v>
      </c>
      <c r="B1721" s="55" t="s">
        <v>2186</v>
      </c>
      <c r="C1721" s="56" t="s">
        <v>3493</v>
      </c>
      <c r="D1721" s="36">
        <v>1000004717</v>
      </c>
      <c r="E1721" s="55" t="s">
        <v>3494</v>
      </c>
      <c r="F1721" s="57">
        <v>46163</v>
      </c>
      <c r="G1721" s="22"/>
      <c r="H1721" s="58"/>
      <c r="I1721" s="23">
        <v>150</v>
      </c>
      <c r="J1721" s="23">
        <f t="shared" si="365"/>
        <v>150</v>
      </c>
      <c r="K1721" s="24">
        <v>25</v>
      </c>
      <c r="L1721" s="24">
        <f t="shared" si="366"/>
        <v>125</v>
      </c>
      <c r="M1721" s="24">
        <f t="shared" si="367"/>
        <v>16.666666666666668</v>
      </c>
      <c r="N1721" s="25">
        <v>150</v>
      </c>
      <c r="O1721" s="26" t="str">
        <f t="shared" si="368"/>
        <v>June</v>
      </c>
      <c r="P1721" s="25">
        <f t="shared" si="369"/>
        <v>150</v>
      </c>
      <c r="Q1721" s="27">
        <f t="shared" si="370"/>
        <v>-125</v>
      </c>
      <c r="R1721" s="26" t="b">
        <f t="shared" si="371"/>
        <v>0</v>
      </c>
      <c r="S1721" s="28" t="str">
        <f t="shared" si="372"/>
        <v>GROWTH</v>
      </c>
      <c r="T1721" s="24">
        <v>0</v>
      </c>
      <c r="U1721" s="29" t="str">
        <f t="shared" si="373"/>
        <v>May</v>
      </c>
      <c r="V1721" s="24">
        <f t="shared" si="374"/>
        <v>0</v>
      </c>
      <c r="W1721" s="30">
        <f t="shared" si="375"/>
        <v>25</v>
      </c>
      <c r="X1721" s="31" t="b">
        <f t="shared" si="376"/>
        <v>0</v>
      </c>
      <c r="Y1721" s="32" t="b">
        <f t="shared" si="377"/>
        <v>0</v>
      </c>
      <c r="Z1721" s="41"/>
      <c r="AA1721" s="36"/>
      <c r="AB1721" s="36"/>
      <c r="AC1721" s="54"/>
      <c r="AD1721" s="34"/>
      <c r="AE1721" s="35" t="str">
        <f>IFERROR(INDEX([1]Last6M_AvgSales_Ref!$B$2:$B$12659,MATCH(D1721,[1]Last6M_AvgSales_Ref!$A$2:$A$12659,0)),"")</f>
        <v/>
      </c>
    </row>
    <row r="1722" spans="1:31" ht="14.25" customHeight="1" x14ac:dyDescent="0.3">
      <c r="A1722" s="54" t="s">
        <v>848</v>
      </c>
      <c r="B1722" s="55" t="s">
        <v>1257</v>
      </c>
      <c r="C1722" s="56" t="s">
        <v>3495</v>
      </c>
      <c r="D1722" s="36">
        <v>1000004735</v>
      </c>
      <c r="E1722" s="55" t="s">
        <v>3496</v>
      </c>
      <c r="F1722" s="57">
        <v>46169</v>
      </c>
      <c r="G1722" s="22"/>
      <c r="H1722" s="58"/>
      <c r="I1722" s="23">
        <v>26</v>
      </c>
      <c r="J1722" s="23">
        <f t="shared" si="365"/>
        <v>26</v>
      </c>
      <c r="K1722" s="24">
        <v>25</v>
      </c>
      <c r="L1722" s="24">
        <f t="shared" si="366"/>
        <v>1</v>
      </c>
      <c r="M1722" s="24">
        <f t="shared" si="367"/>
        <v>96.153846153846146</v>
      </c>
      <c r="N1722" s="25">
        <v>25.5</v>
      </c>
      <c r="O1722" s="26" t="str">
        <f t="shared" si="368"/>
        <v>June</v>
      </c>
      <c r="P1722" s="25">
        <f t="shared" si="369"/>
        <v>25.5</v>
      </c>
      <c r="Q1722" s="27">
        <f t="shared" si="370"/>
        <v>-0.5</v>
      </c>
      <c r="R1722" s="26" t="b">
        <f t="shared" si="371"/>
        <v>0</v>
      </c>
      <c r="S1722" s="28" t="str">
        <f t="shared" si="372"/>
        <v>GROWTH</v>
      </c>
      <c r="T1722" s="24">
        <v>0</v>
      </c>
      <c r="U1722" s="29" t="str">
        <f t="shared" si="373"/>
        <v>May</v>
      </c>
      <c r="V1722" s="24">
        <f t="shared" si="374"/>
        <v>0</v>
      </c>
      <c r="W1722" s="30">
        <f t="shared" si="375"/>
        <v>25</v>
      </c>
      <c r="X1722" s="31" t="b">
        <f t="shared" si="376"/>
        <v>0</v>
      </c>
      <c r="Y1722" s="32" t="b">
        <f t="shared" si="377"/>
        <v>0</v>
      </c>
      <c r="Z1722" s="41"/>
      <c r="AA1722" s="36"/>
      <c r="AB1722" s="36"/>
      <c r="AC1722" s="54"/>
      <c r="AD1722" s="34"/>
      <c r="AE1722" s="35" t="str">
        <f>IFERROR(INDEX([1]Last6M_AvgSales_Ref!$B$2:$B$12659,MATCH(D1722,[1]Last6M_AvgSales_Ref!$A$2:$A$12659,0)),"")</f>
        <v/>
      </c>
    </row>
    <row r="1723" spans="1:31" ht="14.25" customHeight="1" x14ac:dyDescent="0.3">
      <c r="A1723" s="54" t="s">
        <v>848</v>
      </c>
      <c r="B1723" s="55" t="s">
        <v>1101</v>
      </c>
      <c r="C1723" s="56" t="s">
        <v>3497</v>
      </c>
      <c r="D1723" s="36">
        <v>1000004747</v>
      </c>
      <c r="E1723" s="55" t="s">
        <v>3498</v>
      </c>
      <c r="F1723" s="57">
        <v>46175</v>
      </c>
      <c r="G1723" s="22"/>
      <c r="H1723" s="58"/>
      <c r="I1723" s="23">
        <v>0</v>
      </c>
      <c r="J1723" s="23">
        <f t="shared" si="365"/>
        <v>0</v>
      </c>
      <c r="K1723" s="24">
        <v>25</v>
      </c>
      <c r="L1723" s="24">
        <f t="shared" si="366"/>
        <v>-25</v>
      </c>
      <c r="M1723" s="24" t="str">
        <f t="shared" si="367"/>
        <v>-</v>
      </c>
      <c r="N1723" s="25">
        <v>396</v>
      </c>
      <c r="O1723" s="26" t="str">
        <f t="shared" si="368"/>
        <v>June</v>
      </c>
      <c r="P1723" s="25">
        <f t="shared" si="369"/>
        <v>396</v>
      </c>
      <c r="Q1723" s="27">
        <f t="shared" si="370"/>
        <v>-371</v>
      </c>
      <c r="R1723" s="26" t="b">
        <f t="shared" si="371"/>
        <v>0</v>
      </c>
      <c r="S1723" s="28" t="str">
        <f t="shared" si="372"/>
        <v>GROWTH</v>
      </c>
      <c r="T1723" s="24">
        <v>0</v>
      </c>
      <c r="U1723" s="29" t="str">
        <f t="shared" si="373"/>
        <v>May</v>
      </c>
      <c r="V1723" s="24">
        <f t="shared" si="374"/>
        <v>0</v>
      </c>
      <c r="W1723" s="30">
        <f t="shared" si="375"/>
        <v>25</v>
      </c>
      <c r="X1723" s="31" t="b">
        <f t="shared" si="376"/>
        <v>0</v>
      </c>
      <c r="Y1723" s="32" t="b">
        <f t="shared" si="377"/>
        <v>0</v>
      </c>
      <c r="Z1723" s="41"/>
      <c r="AA1723" s="36"/>
      <c r="AB1723" s="36"/>
      <c r="AC1723" s="54"/>
      <c r="AD1723" s="34"/>
      <c r="AE1723" s="35" t="str">
        <f>IFERROR(INDEX([1]Last6M_AvgSales_Ref!$B$2:$B$12659,MATCH(D1723,[1]Last6M_AvgSales_Ref!$A$2:$A$12659,0)),"")</f>
        <v/>
      </c>
    </row>
    <row r="1724" spans="1:31" ht="14.25" customHeight="1" x14ac:dyDescent="0.3">
      <c r="A1724" s="54" t="s">
        <v>1836</v>
      </c>
      <c r="B1724" s="55" t="s">
        <v>2166</v>
      </c>
      <c r="C1724" s="56" t="s">
        <v>3499</v>
      </c>
      <c r="D1724" s="36">
        <v>1000004744</v>
      </c>
      <c r="E1724" s="55" t="s">
        <v>3500</v>
      </c>
      <c r="F1724" s="57">
        <v>46168</v>
      </c>
      <c r="G1724" s="22"/>
      <c r="H1724" s="58"/>
      <c r="I1724" s="23">
        <v>100</v>
      </c>
      <c r="J1724" s="23">
        <f t="shared" si="365"/>
        <v>100</v>
      </c>
      <c r="K1724" s="24">
        <v>25</v>
      </c>
      <c r="L1724" s="24">
        <f t="shared" si="366"/>
        <v>75</v>
      </c>
      <c r="M1724" s="24">
        <f t="shared" si="367"/>
        <v>25</v>
      </c>
      <c r="N1724" s="25">
        <v>133.25</v>
      </c>
      <c r="O1724" s="26" t="str">
        <f t="shared" si="368"/>
        <v>June</v>
      </c>
      <c r="P1724" s="25">
        <f t="shared" si="369"/>
        <v>133.25</v>
      </c>
      <c r="Q1724" s="27">
        <f t="shared" si="370"/>
        <v>-108.25</v>
      </c>
      <c r="R1724" s="26" t="b">
        <f t="shared" si="371"/>
        <v>0</v>
      </c>
      <c r="S1724" s="28" t="str">
        <f t="shared" si="372"/>
        <v>GROWTH</v>
      </c>
      <c r="T1724" s="24">
        <v>0</v>
      </c>
      <c r="U1724" s="29" t="str">
        <f t="shared" si="373"/>
        <v>May</v>
      </c>
      <c r="V1724" s="24">
        <f t="shared" si="374"/>
        <v>0</v>
      </c>
      <c r="W1724" s="30">
        <f t="shared" si="375"/>
        <v>25</v>
      </c>
      <c r="X1724" s="31" t="b">
        <f t="shared" si="376"/>
        <v>0</v>
      </c>
      <c r="Y1724" s="32" t="b">
        <f t="shared" si="377"/>
        <v>0</v>
      </c>
      <c r="Z1724" s="41"/>
      <c r="AA1724" s="36"/>
      <c r="AB1724" s="36"/>
      <c r="AC1724" s="54"/>
      <c r="AD1724" s="34"/>
      <c r="AE1724" s="35" t="str">
        <f>IFERROR(INDEX([1]Last6M_AvgSales_Ref!$B$2:$B$12659,MATCH(D1724,[1]Last6M_AvgSales_Ref!$A$2:$A$12659,0)),"")</f>
        <v/>
      </c>
    </row>
    <row r="1725" spans="1:31" ht="14.25" customHeight="1" x14ac:dyDescent="0.3">
      <c r="A1725" s="54" t="s">
        <v>848</v>
      </c>
      <c r="B1725" s="55" t="s">
        <v>1702</v>
      </c>
      <c r="C1725" s="56" t="s">
        <v>3501</v>
      </c>
      <c r="D1725" s="36">
        <v>1000004746</v>
      </c>
      <c r="E1725" s="55" t="s">
        <v>3502</v>
      </c>
      <c r="F1725" s="57">
        <v>46171</v>
      </c>
      <c r="G1725" s="22"/>
      <c r="H1725" s="58"/>
      <c r="I1725" s="23">
        <v>100</v>
      </c>
      <c r="J1725" s="23">
        <f t="shared" si="365"/>
        <v>100</v>
      </c>
      <c r="K1725" s="24">
        <v>25</v>
      </c>
      <c r="L1725" s="24">
        <f t="shared" si="366"/>
        <v>75</v>
      </c>
      <c r="M1725" s="24">
        <f t="shared" si="367"/>
        <v>25</v>
      </c>
      <c r="N1725" s="25">
        <v>72.5</v>
      </c>
      <c r="O1725" s="26" t="str">
        <f t="shared" si="368"/>
        <v>June</v>
      </c>
      <c r="P1725" s="25">
        <f t="shared" si="369"/>
        <v>72.5</v>
      </c>
      <c r="Q1725" s="27">
        <f t="shared" si="370"/>
        <v>-47.5</v>
      </c>
      <c r="R1725" s="26" t="b">
        <f t="shared" si="371"/>
        <v>0</v>
      </c>
      <c r="S1725" s="28" t="str">
        <f t="shared" si="372"/>
        <v>GROWTH</v>
      </c>
      <c r="T1725" s="24">
        <v>0</v>
      </c>
      <c r="U1725" s="29" t="str">
        <f t="shared" si="373"/>
        <v>May</v>
      </c>
      <c r="V1725" s="24">
        <f t="shared" si="374"/>
        <v>0</v>
      </c>
      <c r="W1725" s="30">
        <f t="shared" si="375"/>
        <v>25</v>
      </c>
      <c r="X1725" s="31" t="b">
        <f t="shared" si="376"/>
        <v>0</v>
      </c>
      <c r="Y1725" s="32" t="b">
        <f t="shared" si="377"/>
        <v>0</v>
      </c>
      <c r="Z1725" s="41"/>
      <c r="AA1725" s="36"/>
      <c r="AB1725" s="36"/>
      <c r="AC1725" s="54"/>
      <c r="AD1725" s="34"/>
      <c r="AE1725" s="35" t="str">
        <f>IFERROR(INDEX([1]Last6M_AvgSales_Ref!$B$2:$B$12659,MATCH(D1725,[1]Last6M_AvgSales_Ref!$A$2:$A$12659,0)),"")</f>
        <v/>
      </c>
    </row>
    <row r="1726" spans="1:31" ht="14.25" customHeight="1" x14ac:dyDescent="0.3">
      <c r="A1726" s="54" t="s">
        <v>2185</v>
      </c>
      <c r="B1726" s="55" t="s">
        <v>2353</v>
      </c>
      <c r="C1726" s="56" t="s">
        <v>3503</v>
      </c>
      <c r="D1726" s="36">
        <v>1000004732</v>
      </c>
      <c r="E1726" s="55" t="s">
        <v>3504</v>
      </c>
      <c r="F1726" s="57">
        <v>46163</v>
      </c>
      <c r="G1726" s="22"/>
      <c r="H1726" s="58"/>
      <c r="I1726" s="23">
        <v>55</v>
      </c>
      <c r="J1726" s="23">
        <f t="shared" si="365"/>
        <v>55</v>
      </c>
      <c r="K1726" s="24">
        <v>25</v>
      </c>
      <c r="L1726" s="24">
        <f t="shared" si="366"/>
        <v>30</v>
      </c>
      <c r="M1726" s="24">
        <f t="shared" si="367"/>
        <v>45.454545454545453</v>
      </c>
      <c r="N1726" s="25">
        <v>110</v>
      </c>
      <c r="O1726" s="26" t="str">
        <f t="shared" si="368"/>
        <v>June</v>
      </c>
      <c r="P1726" s="25">
        <f t="shared" si="369"/>
        <v>110</v>
      </c>
      <c r="Q1726" s="27">
        <f t="shared" si="370"/>
        <v>-85</v>
      </c>
      <c r="R1726" s="26" t="b">
        <f t="shared" si="371"/>
        <v>0</v>
      </c>
      <c r="S1726" s="28" t="str">
        <f t="shared" si="372"/>
        <v>GROWTH</v>
      </c>
      <c r="T1726" s="24">
        <v>0</v>
      </c>
      <c r="U1726" s="29" t="str">
        <f t="shared" si="373"/>
        <v>May</v>
      </c>
      <c r="V1726" s="24">
        <f t="shared" si="374"/>
        <v>0</v>
      </c>
      <c r="W1726" s="30">
        <f t="shared" si="375"/>
        <v>25</v>
      </c>
      <c r="X1726" s="31" t="b">
        <f t="shared" si="376"/>
        <v>0</v>
      </c>
      <c r="Y1726" s="32" t="b">
        <f t="shared" si="377"/>
        <v>0</v>
      </c>
      <c r="Z1726" s="41"/>
      <c r="AA1726" s="36"/>
      <c r="AB1726" s="36"/>
      <c r="AC1726" s="54"/>
      <c r="AD1726" s="34"/>
      <c r="AE1726" s="35" t="str">
        <f>IFERROR(INDEX([1]Last6M_AvgSales_Ref!$B$2:$B$12659,MATCH(D1726,[1]Last6M_AvgSales_Ref!$A$2:$A$12659,0)),"")</f>
        <v/>
      </c>
    </row>
    <row r="1727" spans="1:31" ht="14.25" customHeight="1" x14ac:dyDescent="0.3">
      <c r="A1727" s="54" t="s">
        <v>2185</v>
      </c>
      <c r="B1727" s="55" t="s">
        <v>2353</v>
      </c>
      <c r="C1727" s="56" t="s">
        <v>3505</v>
      </c>
      <c r="D1727" s="36">
        <v>1000004742</v>
      </c>
      <c r="E1727" s="55" t="s">
        <v>3506</v>
      </c>
      <c r="F1727" s="57">
        <v>46168</v>
      </c>
      <c r="G1727" s="22"/>
      <c r="H1727" s="58"/>
      <c r="I1727" s="23">
        <v>50</v>
      </c>
      <c r="J1727" s="23">
        <f t="shared" si="365"/>
        <v>50</v>
      </c>
      <c r="K1727" s="24">
        <v>25</v>
      </c>
      <c r="L1727" s="24">
        <f t="shared" si="366"/>
        <v>25</v>
      </c>
      <c r="M1727" s="24">
        <f t="shared" si="367"/>
        <v>50</v>
      </c>
      <c r="N1727" s="25">
        <v>69</v>
      </c>
      <c r="O1727" s="26" t="str">
        <f t="shared" si="368"/>
        <v>June</v>
      </c>
      <c r="P1727" s="25">
        <f t="shared" si="369"/>
        <v>69</v>
      </c>
      <c r="Q1727" s="27">
        <f t="shared" si="370"/>
        <v>-44</v>
      </c>
      <c r="R1727" s="26" t="b">
        <f t="shared" si="371"/>
        <v>0</v>
      </c>
      <c r="S1727" s="28" t="str">
        <f t="shared" si="372"/>
        <v>GROWTH</v>
      </c>
      <c r="T1727" s="24">
        <v>0</v>
      </c>
      <c r="U1727" s="29" t="str">
        <f t="shared" si="373"/>
        <v>May</v>
      </c>
      <c r="V1727" s="24">
        <f t="shared" si="374"/>
        <v>0</v>
      </c>
      <c r="W1727" s="30">
        <f t="shared" si="375"/>
        <v>25</v>
      </c>
      <c r="X1727" s="31" t="b">
        <f t="shared" si="376"/>
        <v>0</v>
      </c>
      <c r="Y1727" s="32" t="b">
        <f t="shared" si="377"/>
        <v>0</v>
      </c>
      <c r="Z1727" s="41"/>
      <c r="AA1727" s="36"/>
      <c r="AB1727" s="36"/>
      <c r="AC1727" s="54"/>
      <c r="AD1727" s="34"/>
      <c r="AE1727" s="35" t="str">
        <f>IFERROR(INDEX([1]Last6M_AvgSales_Ref!$B$2:$B$12659,MATCH(D1727,[1]Last6M_AvgSales_Ref!$A$2:$A$12659,0)),"")</f>
        <v/>
      </c>
    </row>
    <row r="1728" spans="1:31" ht="14.25" customHeight="1" x14ac:dyDescent="0.3">
      <c r="A1728" s="54" t="s">
        <v>24</v>
      </c>
      <c r="B1728" s="55" t="s">
        <v>570</v>
      </c>
      <c r="C1728" s="56" t="s">
        <v>3507</v>
      </c>
      <c r="D1728" s="36">
        <v>1000004713</v>
      </c>
      <c r="E1728" s="55" t="s">
        <v>3508</v>
      </c>
      <c r="F1728" s="57">
        <v>46142</v>
      </c>
      <c r="G1728" s="22"/>
      <c r="H1728" s="58"/>
      <c r="I1728" s="23">
        <v>40</v>
      </c>
      <c r="J1728" s="23">
        <f t="shared" si="365"/>
        <v>40</v>
      </c>
      <c r="K1728" s="24">
        <v>25</v>
      </c>
      <c r="L1728" s="24">
        <f t="shared" si="366"/>
        <v>15</v>
      </c>
      <c r="M1728" s="24">
        <f t="shared" si="367"/>
        <v>62.5</v>
      </c>
      <c r="N1728" s="25">
        <v>40</v>
      </c>
      <c r="O1728" s="26" t="str">
        <f t="shared" si="368"/>
        <v>June</v>
      </c>
      <c r="P1728" s="25">
        <f t="shared" si="369"/>
        <v>40</v>
      </c>
      <c r="Q1728" s="27">
        <f t="shared" si="370"/>
        <v>-15</v>
      </c>
      <c r="R1728" s="26" t="b">
        <f t="shared" si="371"/>
        <v>0</v>
      </c>
      <c r="S1728" s="28" t="str">
        <f t="shared" si="372"/>
        <v>GROWTH</v>
      </c>
      <c r="T1728" s="24">
        <v>0</v>
      </c>
      <c r="U1728" s="29" t="str">
        <f t="shared" si="373"/>
        <v>May</v>
      </c>
      <c r="V1728" s="24">
        <f t="shared" si="374"/>
        <v>0</v>
      </c>
      <c r="W1728" s="30">
        <f t="shared" si="375"/>
        <v>25</v>
      </c>
      <c r="X1728" s="31" t="b">
        <f t="shared" si="376"/>
        <v>0</v>
      </c>
      <c r="Y1728" s="32" t="b">
        <f t="shared" si="377"/>
        <v>0</v>
      </c>
      <c r="Z1728" s="41"/>
      <c r="AA1728" s="36"/>
      <c r="AB1728" s="36"/>
      <c r="AC1728" s="54"/>
      <c r="AD1728" s="34"/>
      <c r="AE1728" s="35" t="str">
        <f>IFERROR(INDEX([1]Last6M_AvgSales_Ref!$B$2:$B$12659,MATCH(D1728,[1]Last6M_AvgSales_Ref!$A$2:$A$12659,0)),"")</f>
        <v/>
      </c>
    </row>
    <row r="1729" spans="1:31" ht="14.25" customHeight="1" x14ac:dyDescent="0.3">
      <c r="A1729" s="54" t="s">
        <v>24</v>
      </c>
      <c r="B1729" s="55" t="s">
        <v>801</v>
      </c>
      <c r="C1729" s="56" t="s">
        <v>3509</v>
      </c>
      <c r="D1729" s="36">
        <v>1000004752</v>
      </c>
      <c r="E1729" s="55" t="s">
        <v>3510</v>
      </c>
      <c r="F1729" s="57">
        <v>46180</v>
      </c>
      <c r="G1729" s="22"/>
      <c r="H1729" s="58"/>
      <c r="I1729" s="23">
        <v>0</v>
      </c>
      <c r="J1729" s="23">
        <f t="shared" si="365"/>
        <v>0</v>
      </c>
      <c r="K1729" s="24">
        <v>25</v>
      </c>
      <c r="L1729" s="24">
        <f t="shared" si="366"/>
        <v>-25</v>
      </c>
      <c r="M1729" s="24" t="str">
        <f t="shared" si="367"/>
        <v>-</v>
      </c>
      <c r="N1729" s="25">
        <v>104.5</v>
      </c>
      <c r="O1729" s="26" t="str">
        <f t="shared" si="368"/>
        <v>June</v>
      </c>
      <c r="P1729" s="25">
        <f t="shared" si="369"/>
        <v>104.5</v>
      </c>
      <c r="Q1729" s="27">
        <f t="shared" si="370"/>
        <v>-79.5</v>
      </c>
      <c r="R1729" s="26" t="b">
        <f t="shared" si="371"/>
        <v>0</v>
      </c>
      <c r="S1729" s="28" t="str">
        <f t="shared" si="372"/>
        <v>GROWTH</v>
      </c>
      <c r="T1729" s="24">
        <v>0</v>
      </c>
      <c r="U1729" s="29" t="str">
        <f t="shared" si="373"/>
        <v>May</v>
      </c>
      <c r="V1729" s="24">
        <f t="shared" si="374"/>
        <v>0</v>
      </c>
      <c r="W1729" s="30">
        <f t="shared" si="375"/>
        <v>25</v>
      </c>
      <c r="X1729" s="31" t="b">
        <f t="shared" si="376"/>
        <v>0</v>
      </c>
      <c r="Y1729" s="32" t="b">
        <f t="shared" si="377"/>
        <v>0</v>
      </c>
      <c r="Z1729" s="41"/>
      <c r="AA1729" s="36"/>
      <c r="AB1729" s="36"/>
      <c r="AC1729" s="54"/>
      <c r="AD1729" s="34"/>
      <c r="AE1729" s="35" t="str">
        <f>IFERROR(INDEX([1]Last6M_AvgSales_Ref!$B$2:$B$12659,MATCH(D1729,[1]Last6M_AvgSales_Ref!$A$2:$A$12659,0)),"")</f>
        <v/>
      </c>
    </row>
    <row r="1730" spans="1:31" ht="14.25" customHeight="1" x14ac:dyDescent="0.3">
      <c r="A1730" s="54" t="s">
        <v>2185</v>
      </c>
      <c r="B1730" s="55" t="s">
        <v>2287</v>
      </c>
      <c r="C1730" s="56" t="s">
        <v>3511</v>
      </c>
      <c r="D1730" s="36">
        <v>1000004284</v>
      </c>
      <c r="E1730" s="55" t="s">
        <v>3512</v>
      </c>
      <c r="F1730" s="57">
        <v>45735</v>
      </c>
      <c r="G1730" s="22"/>
      <c r="H1730" s="58"/>
      <c r="I1730" s="23">
        <v>0</v>
      </c>
      <c r="J1730" s="23">
        <f t="shared" si="365"/>
        <v>0</v>
      </c>
      <c r="K1730" s="24">
        <v>25</v>
      </c>
      <c r="L1730" s="24">
        <f t="shared" si="366"/>
        <v>-25</v>
      </c>
      <c r="M1730" s="24" t="str">
        <f t="shared" si="367"/>
        <v>-</v>
      </c>
      <c r="N1730" s="25">
        <v>35</v>
      </c>
      <c r="O1730" s="26" t="str">
        <f t="shared" si="368"/>
        <v>June</v>
      </c>
      <c r="P1730" s="25">
        <f t="shared" si="369"/>
        <v>35</v>
      </c>
      <c r="Q1730" s="27">
        <f t="shared" si="370"/>
        <v>-10</v>
      </c>
      <c r="R1730" s="26" t="b">
        <f t="shared" si="371"/>
        <v>0</v>
      </c>
      <c r="S1730" s="28" t="str">
        <f t="shared" si="372"/>
        <v>GROWTH</v>
      </c>
      <c r="T1730" s="24">
        <v>0</v>
      </c>
      <c r="U1730" s="29" t="str">
        <f t="shared" si="373"/>
        <v>May</v>
      </c>
      <c r="V1730" s="24">
        <f t="shared" si="374"/>
        <v>0</v>
      </c>
      <c r="W1730" s="30">
        <f t="shared" si="375"/>
        <v>25</v>
      </c>
      <c r="X1730" s="31" t="b">
        <f t="shared" si="376"/>
        <v>0</v>
      </c>
      <c r="Y1730" s="32" t="b">
        <f t="shared" si="377"/>
        <v>0</v>
      </c>
      <c r="Z1730" s="41"/>
      <c r="AA1730" s="36"/>
      <c r="AB1730" s="36"/>
      <c r="AC1730" s="54"/>
      <c r="AD1730" s="34"/>
      <c r="AE1730" s="35" t="str">
        <f>IFERROR(INDEX([1]Last6M_AvgSales_Ref!$B$2:$B$12659,MATCH(D1730,[1]Last6M_AvgSales_Ref!$A$2:$A$12659,0)),"")</f>
        <v/>
      </c>
    </row>
    <row r="1731" spans="1:31" ht="14.25" customHeight="1" x14ac:dyDescent="0.3">
      <c r="A1731" s="54" t="s">
        <v>848</v>
      </c>
      <c r="B1731" s="55" t="s">
        <v>1487</v>
      </c>
      <c r="C1731" s="56" t="s">
        <v>3513</v>
      </c>
      <c r="D1731" s="36">
        <v>1000004754</v>
      </c>
      <c r="E1731" s="55" t="s">
        <v>3514</v>
      </c>
      <c r="F1731" s="57">
        <v>46183</v>
      </c>
      <c r="G1731" s="22"/>
      <c r="H1731" s="58"/>
      <c r="I1731" s="23">
        <v>0</v>
      </c>
      <c r="J1731" s="23">
        <f t="shared" ref="J1731:J1766" si="379">I1731/$J$1*($J$1-$E$1)</f>
        <v>0</v>
      </c>
      <c r="K1731" s="24">
        <v>25</v>
      </c>
      <c r="L1731" s="24">
        <f t="shared" ref="L1731:L1766" si="380">I1731-K1731</f>
        <v>-25</v>
      </c>
      <c r="M1731" s="24" t="str">
        <f t="shared" ref="M1731:M1766" si="381">IFERROR((K1731/J1731%),"-")</f>
        <v>-</v>
      </c>
      <c r="N1731" s="25">
        <v>35</v>
      </c>
      <c r="O1731" s="26" t="str">
        <f t="shared" ref="O1731:O1766" si="382">IF(F1731&lt;=$P$2,"June","")</f>
        <v>June</v>
      </c>
      <c r="P1731" s="25">
        <f t="shared" ref="P1731:P1766" si="383">N1731</f>
        <v>35</v>
      </c>
      <c r="Q1731" s="27">
        <f t="shared" ref="Q1731:Q1766" si="384">K1731-P1731</f>
        <v>-10</v>
      </c>
      <c r="R1731" s="26" t="b">
        <f t="shared" ref="R1731:R1766" si="385">IFERROR(IF(O1731="May",(K1731/P1731-1))," ")</f>
        <v>0</v>
      </c>
      <c r="S1731" s="28" t="str">
        <f t="shared" ref="S1731:S1766" si="386">IF(N1731&gt;0,IF(O1731="","-",IF(R1731&lt;0%,"DEGROWTH","GROWTH")))</f>
        <v>GROWTH</v>
      </c>
      <c r="T1731" s="24">
        <v>0</v>
      </c>
      <c r="U1731" s="29" t="str">
        <f t="shared" ref="U1731:U1766" si="387">IF(F1731&lt;=$V$2,"May","")</f>
        <v>May</v>
      </c>
      <c r="V1731" s="24">
        <f t="shared" ref="V1731:V1766" si="388">T1731</f>
        <v>0</v>
      </c>
      <c r="W1731" s="30">
        <f t="shared" ref="W1731:W1766" si="389">K1731-V1731</f>
        <v>25</v>
      </c>
      <c r="X1731" s="31" t="b">
        <f t="shared" ref="X1731:X1766" si="390">IFERROR(IF(U1731="June",(K1731/V1731-1)),0)</f>
        <v>0</v>
      </c>
      <c r="Y1731" s="32" t="b">
        <f t="shared" ref="Y1731:Y1766" si="391">IF(T1731&gt;0,IF(U1731="","-",IF(X1731&lt;0%,"DEGROWTH","GROWTH")))</f>
        <v>0</v>
      </c>
      <c r="Z1731" s="41"/>
      <c r="AA1731" s="36"/>
      <c r="AB1731" s="36"/>
      <c r="AC1731" s="54"/>
      <c r="AD1731" s="34"/>
      <c r="AE1731" s="35" t="str">
        <f>IFERROR(INDEX([1]Last6M_AvgSales_Ref!$B$2:$B$12659,MATCH(D1731,[1]Last6M_AvgSales_Ref!$A$2:$A$12659,0)),"")</f>
        <v/>
      </c>
    </row>
    <row r="1732" spans="1:31" ht="14.25" customHeight="1" x14ac:dyDescent="0.3">
      <c r="A1732" s="54" t="s">
        <v>3515</v>
      </c>
      <c r="B1732" s="55" t="s">
        <v>3515</v>
      </c>
      <c r="C1732" s="56" t="s">
        <v>3516</v>
      </c>
      <c r="D1732" s="36">
        <v>1000004720</v>
      </c>
      <c r="E1732" s="55" t="s">
        <v>3517</v>
      </c>
      <c r="F1732" s="57">
        <v>46168</v>
      </c>
      <c r="G1732" s="22"/>
      <c r="H1732" s="58"/>
      <c r="I1732" s="23">
        <v>0</v>
      </c>
      <c r="J1732" s="23">
        <f t="shared" si="379"/>
        <v>0</v>
      </c>
      <c r="K1732" s="24">
        <v>25</v>
      </c>
      <c r="L1732" s="24">
        <f t="shared" si="380"/>
        <v>-25</v>
      </c>
      <c r="M1732" s="24" t="str">
        <f t="shared" si="381"/>
        <v>-</v>
      </c>
      <c r="N1732" s="25">
        <v>14.5</v>
      </c>
      <c r="O1732" s="26" t="str">
        <f t="shared" si="382"/>
        <v>June</v>
      </c>
      <c r="P1732" s="25">
        <f t="shared" si="383"/>
        <v>14.5</v>
      </c>
      <c r="Q1732" s="27">
        <f t="shared" si="384"/>
        <v>10.5</v>
      </c>
      <c r="R1732" s="26" t="b">
        <f t="shared" si="385"/>
        <v>0</v>
      </c>
      <c r="S1732" s="28" t="str">
        <f t="shared" si="386"/>
        <v>GROWTH</v>
      </c>
      <c r="T1732" s="24">
        <v>0</v>
      </c>
      <c r="U1732" s="29" t="str">
        <f t="shared" si="387"/>
        <v>May</v>
      </c>
      <c r="V1732" s="24">
        <f t="shared" si="388"/>
        <v>0</v>
      </c>
      <c r="W1732" s="30">
        <f t="shared" si="389"/>
        <v>25</v>
      </c>
      <c r="X1732" s="31" t="b">
        <f t="shared" si="390"/>
        <v>0</v>
      </c>
      <c r="Y1732" s="32" t="b">
        <f t="shared" si="391"/>
        <v>0</v>
      </c>
      <c r="Z1732" s="41"/>
      <c r="AA1732" s="36"/>
      <c r="AB1732" s="36"/>
      <c r="AC1732" s="54"/>
      <c r="AD1732" s="34"/>
      <c r="AE1732" s="35" t="str">
        <f>IFERROR(INDEX([1]Last6M_AvgSales_Ref!$B$2:$B$12659,MATCH(D1732,[1]Last6M_AvgSales_Ref!$A$2:$A$12659,0)),"")</f>
        <v/>
      </c>
    </row>
    <row r="1733" spans="1:31" ht="14.25" customHeight="1" x14ac:dyDescent="0.3">
      <c r="A1733" s="54" t="s">
        <v>3515</v>
      </c>
      <c r="B1733" s="55" t="s">
        <v>3515</v>
      </c>
      <c r="C1733" s="56" t="s">
        <v>3518</v>
      </c>
      <c r="D1733" s="36">
        <v>1000004721</v>
      </c>
      <c r="E1733" s="55" t="s">
        <v>3519</v>
      </c>
      <c r="F1733" s="57">
        <v>46168</v>
      </c>
      <c r="G1733" s="22"/>
      <c r="H1733" s="58"/>
      <c r="I1733" s="23">
        <v>0</v>
      </c>
      <c r="J1733" s="23">
        <f t="shared" si="379"/>
        <v>0</v>
      </c>
      <c r="K1733" s="24">
        <v>25</v>
      </c>
      <c r="L1733" s="24">
        <f t="shared" si="380"/>
        <v>-25</v>
      </c>
      <c r="M1733" s="24" t="str">
        <f t="shared" si="381"/>
        <v>-</v>
      </c>
      <c r="N1733" s="25">
        <v>58.5</v>
      </c>
      <c r="O1733" s="26" t="str">
        <f t="shared" si="382"/>
        <v>June</v>
      </c>
      <c r="P1733" s="25">
        <f t="shared" si="383"/>
        <v>58.5</v>
      </c>
      <c r="Q1733" s="27">
        <f t="shared" si="384"/>
        <v>-33.5</v>
      </c>
      <c r="R1733" s="26" t="b">
        <f t="shared" si="385"/>
        <v>0</v>
      </c>
      <c r="S1733" s="28" t="str">
        <f t="shared" si="386"/>
        <v>GROWTH</v>
      </c>
      <c r="T1733" s="24">
        <v>0</v>
      </c>
      <c r="U1733" s="29" t="str">
        <f t="shared" si="387"/>
        <v>May</v>
      </c>
      <c r="V1733" s="24">
        <f t="shared" si="388"/>
        <v>0</v>
      </c>
      <c r="W1733" s="30">
        <f t="shared" si="389"/>
        <v>25</v>
      </c>
      <c r="X1733" s="31" t="b">
        <f t="shared" si="390"/>
        <v>0</v>
      </c>
      <c r="Y1733" s="32" t="b">
        <f t="shared" si="391"/>
        <v>0</v>
      </c>
      <c r="Z1733" s="41"/>
      <c r="AA1733" s="36"/>
      <c r="AB1733" s="36"/>
      <c r="AC1733" s="54"/>
      <c r="AD1733" s="34"/>
      <c r="AE1733" s="35" t="str">
        <f>IFERROR(INDEX([1]Last6M_AvgSales_Ref!$B$2:$B$12659,MATCH(D1733,[1]Last6M_AvgSales_Ref!$A$2:$A$12659,0)),"")</f>
        <v/>
      </c>
    </row>
    <row r="1734" spans="1:31" ht="14.25" customHeight="1" x14ac:dyDescent="0.3">
      <c r="A1734" s="54" t="s">
        <v>2185</v>
      </c>
      <c r="B1734" s="55" t="s">
        <v>2425</v>
      </c>
      <c r="C1734" s="56" t="s">
        <v>3520</v>
      </c>
      <c r="D1734" s="36">
        <v>1000001996</v>
      </c>
      <c r="E1734" s="55" t="s">
        <v>3521</v>
      </c>
      <c r="F1734" s="57">
        <v>44739</v>
      </c>
      <c r="G1734" s="22"/>
      <c r="H1734" s="58"/>
      <c r="I1734" s="23">
        <v>30</v>
      </c>
      <c r="J1734" s="23">
        <f t="shared" si="379"/>
        <v>30</v>
      </c>
      <c r="K1734" s="24">
        <v>25</v>
      </c>
      <c r="L1734" s="24">
        <f t="shared" si="380"/>
        <v>5</v>
      </c>
      <c r="M1734" s="24">
        <f t="shared" si="381"/>
        <v>83.333333333333343</v>
      </c>
      <c r="N1734" s="25">
        <v>30</v>
      </c>
      <c r="O1734" s="26" t="str">
        <f t="shared" si="382"/>
        <v>June</v>
      </c>
      <c r="P1734" s="25">
        <f t="shared" si="383"/>
        <v>30</v>
      </c>
      <c r="Q1734" s="27">
        <f t="shared" si="384"/>
        <v>-5</v>
      </c>
      <c r="R1734" s="26" t="b">
        <f t="shared" si="385"/>
        <v>0</v>
      </c>
      <c r="S1734" s="28" t="str">
        <f t="shared" si="386"/>
        <v>GROWTH</v>
      </c>
      <c r="T1734" s="24">
        <v>0</v>
      </c>
      <c r="U1734" s="29" t="str">
        <f t="shared" si="387"/>
        <v>May</v>
      </c>
      <c r="V1734" s="24">
        <f t="shared" si="388"/>
        <v>0</v>
      </c>
      <c r="W1734" s="30">
        <f t="shared" si="389"/>
        <v>25</v>
      </c>
      <c r="X1734" s="31" t="b">
        <f t="shared" si="390"/>
        <v>0</v>
      </c>
      <c r="Y1734" s="32" t="b">
        <f t="shared" si="391"/>
        <v>0</v>
      </c>
      <c r="Z1734" s="41"/>
      <c r="AA1734" s="36"/>
      <c r="AB1734" s="36"/>
      <c r="AC1734" s="54"/>
      <c r="AD1734" s="34"/>
      <c r="AE1734" s="35" t="str">
        <f>IFERROR(INDEX([1]Last6M_AvgSales_Ref!$B$2:$B$12659,MATCH(D1734,[1]Last6M_AvgSales_Ref!$A$2:$A$12659,0)),"")</f>
        <v/>
      </c>
    </row>
    <row r="1735" spans="1:31" ht="14.25" customHeight="1" x14ac:dyDescent="0.3">
      <c r="A1735" s="54" t="s">
        <v>24</v>
      </c>
      <c r="B1735" s="55" t="s">
        <v>28</v>
      </c>
      <c r="C1735" s="56" t="s">
        <v>3522</v>
      </c>
      <c r="D1735" s="36">
        <v>1000004755</v>
      </c>
      <c r="E1735" s="55" t="s">
        <v>3523</v>
      </c>
      <c r="F1735" s="57">
        <v>46183</v>
      </c>
      <c r="G1735" s="22"/>
      <c r="H1735" s="58"/>
      <c r="I1735" s="23">
        <v>0</v>
      </c>
      <c r="J1735" s="23">
        <f t="shared" si="379"/>
        <v>0</v>
      </c>
      <c r="K1735" s="24">
        <v>25</v>
      </c>
      <c r="L1735" s="24">
        <f t="shared" si="380"/>
        <v>-25</v>
      </c>
      <c r="M1735" s="24" t="str">
        <f t="shared" si="381"/>
        <v>-</v>
      </c>
      <c r="N1735" s="25">
        <v>40</v>
      </c>
      <c r="O1735" s="26" t="str">
        <f t="shared" si="382"/>
        <v>June</v>
      </c>
      <c r="P1735" s="25">
        <f t="shared" si="383"/>
        <v>40</v>
      </c>
      <c r="Q1735" s="27">
        <f t="shared" si="384"/>
        <v>-15</v>
      </c>
      <c r="R1735" s="26" t="b">
        <f t="shared" si="385"/>
        <v>0</v>
      </c>
      <c r="S1735" s="28" t="str">
        <f t="shared" si="386"/>
        <v>GROWTH</v>
      </c>
      <c r="T1735" s="24">
        <v>0</v>
      </c>
      <c r="U1735" s="29" t="str">
        <f t="shared" si="387"/>
        <v>May</v>
      </c>
      <c r="V1735" s="24">
        <f t="shared" si="388"/>
        <v>0</v>
      </c>
      <c r="W1735" s="30">
        <f t="shared" si="389"/>
        <v>25</v>
      </c>
      <c r="X1735" s="31" t="b">
        <f t="shared" si="390"/>
        <v>0</v>
      </c>
      <c r="Y1735" s="32" t="b">
        <f t="shared" si="391"/>
        <v>0</v>
      </c>
      <c r="Z1735" s="41"/>
      <c r="AA1735" s="36"/>
      <c r="AB1735" s="36"/>
      <c r="AC1735" s="54"/>
      <c r="AD1735" s="34"/>
      <c r="AE1735" s="35" t="str">
        <f>IFERROR(INDEX([1]Last6M_AvgSales_Ref!$B$2:$B$12659,MATCH(D1735,[1]Last6M_AvgSales_Ref!$A$2:$A$12659,0)),"")</f>
        <v/>
      </c>
    </row>
    <row r="1736" spans="1:31" ht="14.25" customHeight="1" x14ac:dyDescent="0.3">
      <c r="A1736" s="54" t="s">
        <v>2027</v>
      </c>
      <c r="B1736" s="55" t="s">
        <v>2095</v>
      </c>
      <c r="C1736" s="56" t="s">
        <v>3524</v>
      </c>
      <c r="D1736" s="36">
        <v>1000004739</v>
      </c>
      <c r="E1736" s="55" t="s">
        <v>3525</v>
      </c>
      <c r="F1736" s="57">
        <v>46172</v>
      </c>
      <c r="G1736" s="22"/>
      <c r="H1736" s="58"/>
      <c r="I1736" s="23">
        <v>0</v>
      </c>
      <c r="J1736" s="23">
        <f t="shared" si="379"/>
        <v>0</v>
      </c>
      <c r="K1736" s="24">
        <v>25</v>
      </c>
      <c r="L1736" s="24">
        <f t="shared" si="380"/>
        <v>-25</v>
      </c>
      <c r="M1736" s="24" t="str">
        <f t="shared" si="381"/>
        <v>-</v>
      </c>
      <c r="N1736" s="25">
        <v>40</v>
      </c>
      <c r="O1736" s="26" t="str">
        <f t="shared" si="382"/>
        <v>June</v>
      </c>
      <c r="P1736" s="25">
        <f t="shared" si="383"/>
        <v>40</v>
      </c>
      <c r="Q1736" s="27">
        <f t="shared" si="384"/>
        <v>-15</v>
      </c>
      <c r="R1736" s="26" t="b">
        <f t="shared" si="385"/>
        <v>0</v>
      </c>
      <c r="S1736" s="28" t="str">
        <f t="shared" si="386"/>
        <v>GROWTH</v>
      </c>
      <c r="T1736" s="24">
        <v>0</v>
      </c>
      <c r="U1736" s="29" t="str">
        <f t="shared" si="387"/>
        <v>May</v>
      </c>
      <c r="V1736" s="24">
        <f t="shared" si="388"/>
        <v>0</v>
      </c>
      <c r="W1736" s="30">
        <f t="shared" si="389"/>
        <v>25</v>
      </c>
      <c r="X1736" s="31" t="b">
        <f t="shared" si="390"/>
        <v>0</v>
      </c>
      <c r="Y1736" s="32" t="b">
        <f t="shared" si="391"/>
        <v>0</v>
      </c>
      <c r="Z1736" s="41"/>
      <c r="AA1736" s="36"/>
      <c r="AB1736" s="36"/>
      <c r="AC1736" s="54"/>
      <c r="AD1736" s="34"/>
      <c r="AE1736" s="35" t="str">
        <f>IFERROR(INDEX([1]Last6M_AvgSales_Ref!$B$2:$B$12659,MATCH(D1736,[1]Last6M_AvgSales_Ref!$A$2:$A$12659,0)),"")</f>
        <v/>
      </c>
    </row>
    <row r="1737" spans="1:31" ht="14.25" customHeight="1" x14ac:dyDescent="0.3">
      <c r="A1737" s="54" t="s">
        <v>24</v>
      </c>
      <c r="B1737" s="55" t="s">
        <v>264</v>
      </c>
      <c r="C1737" s="56" t="s">
        <v>3526</v>
      </c>
      <c r="D1737" s="36">
        <v>1000004751</v>
      </c>
      <c r="E1737" s="55" t="s">
        <v>3527</v>
      </c>
      <c r="F1737" s="57">
        <v>46184</v>
      </c>
      <c r="G1737" s="22"/>
      <c r="H1737" s="58"/>
      <c r="I1737" s="23">
        <v>0</v>
      </c>
      <c r="J1737" s="23">
        <f t="shared" si="379"/>
        <v>0</v>
      </c>
      <c r="K1737" s="24">
        <v>25</v>
      </c>
      <c r="L1737" s="24">
        <f t="shared" si="380"/>
        <v>-25</v>
      </c>
      <c r="M1737" s="24" t="str">
        <f t="shared" si="381"/>
        <v>-</v>
      </c>
      <c r="N1737" s="25">
        <v>74</v>
      </c>
      <c r="O1737" s="26" t="str">
        <f t="shared" si="382"/>
        <v>June</v>
      </c>
      <c r="P1737" s="25">
        <f t="shared" si="383"/>
        <v>74</v>
      </c>
      <c r="Q1737" s="27">
        <f t="shared" si="384"/>
        <v>-49</v>
      </c>
      <c r="R1737" s="26" t="b">
        <f t="shared" si="385"/>
        <v>0</v>
      </c>
      <c r="S1737" s="28" t="str">
        <f t="shared" si="386"/>
        <v>GROWTH</v>
      </c>
      <c r="T1737" s="24">
        <v>0</v>
      </c>
      <c r="U1737" s="29" t="str">
        <f t="shared" si="387"/>
        <v>May</v>
      </c>
      <c r="V1737" s="24">
        <f t="shared" si="388"/>
        <v>0</v>
      </c>
      <c r="W1737" s="30">
        <f t="shared" si="389"/>
        <v>25</v>
      </c>
      <c r="X1737" s="31" t="b">
        <f t="shared" si="390"/>
        <v>0</v>
      </c>
      <c r="Y1737" s="32" t="b">
        <f t="shared" si="391"/>
        <v>0</v>
      </c>
      <c r="Z1737" s="41"/>
      <c r="AA1737" s="36"/>
      <c r="AB1737" s="36"/>
      <c r="AC1737" s="54"/>
      <c r="AD1737" s="34"/>
      <c r="AE1737" s="35" t="str">
        <f>IFERROR(INDEX([1]Last6M_AvgSales_Ref!$B$2:$B$12659,MATCH(D1737,[1]Last6M_AvgSales_Ref!$A$2:$A$12659,0)),"")</f>
        <v/>
      </c>
    </row>
    <row r="1738" spans="1:31" ht="14.25" customHeight="1" x14ac:dyDescent="0.3">
      <c r="A1738" s="54" t="s">
        <v>848</v>
      </c>
      <c r="B1738" s="55" t="s">
        <v>1101</v>
      </c>
      <c r="C1738" s="56" t="s">
        <v>3528</v>
      </c>
      <c r="D1738" s="36">
        <v>1000004757</v>
      </c>
      <c r="E1738" s="55" t="s">
        <v>1871</v>
      </c>
      <c r="F1738" s="57">
        <v>46184</v>
      </c>
      <c r="G1738" s="22"/>
      <c r="H1738" s="58"/>
      <c r="I1738" s="23">
        <v>0</v>
      </c>
      <c r="J1738" s="23">
        <f t="shared" si="379"/>
        <v>0</v>
      </c>
      <c r="K1738" s="24">
        <v>25</v>
      </c>
      <c r="L1738" s="24">
        <f t="shared" si="380"/>
        <v>-25</v>
      </c>
      <c r="M1738" s="24" t="str">
        <f t="shared" si="381"/>
        <v>-</v>
      </c>
      <c r="N1738" s="25">
        <v>37.5</v>
      </c>
      <c r="O1738" s="26" t="str">
        <f t="shared" si="382"/>
        <v>June</v>
      </c>
      <c r="P1738" s="25">
        <f t="shared" si="383"/>
        <v>37.5</v>
      </c>
      <c r="Q1738" s="27">
        <f t="shared" si="384"/>
        <v>-12.5</v>
      </c>
      <c r="R1738" s="26" t="b">
        <f t="shared" si="385"/>
        <v>0</v>
      </c>
      <c r="S1738" s="28" t="str">
        <f t="shared" si="386"/>
        <v>GROWTH</v>
      </c>
      <c r="T1738" s="24">
        <v>0</v>
      </c>
      <c r="U1738" s="29" t="str">
        <f t="shared" si="387"/>
        <v>May</v>
      </c>
      <c r="V1738" s="24">
        <f t="shared" si="388"/>
        <v>0</v>
      </c>
      <c r="W1738" s="30">
        <f t="shared" si="389"/>
        <v>25</v>
      </c>
      <c r="X1738" s="31" t="b">
        <f t="shared" si="390"/>
        <v>0</v>
      </c>
      <c r="Y1738" s="32" t="b">
        <f t="shared" si="391"/>
        <v>0</v>
      </c>
      <c r="Z1738" s="41"/>
      <c r="AA1738" s="36"/>
      <c r="AB1738" s="36"/>
      <c r="AC1738" s="54"/>
      <c r="AD1738" s="34"/>
      <c r="AE1738" s="35" t="str">
        <f>IFERROR(INDEX([1]Last6M_AvgSales_Ref!$B$2:$B$12659,MATCH(D1738,[1]Last6M_AvgSales_Ref!$A$2:$A$12659,0)),"")</f>
        <v/>
      </c>
    </row>
    <row r="1739" spans="1:31" ht="14.25" customHeight="1" x14ac:dyDescent="0.3">
      <c r="A1739" s="54" t="s">
        <v>3529</v>
      </c>
      <c r="B1739" s="55" t="s">
        <v>3529</v>
      </c>
      <c r="C1739" s="56" t="s">
        <v>3530</v>
      </c>
      <c r="D1739" s="36">
        <v>1000001398</v>
      </c>
      <c r="E1739" s="55" t="s">
        <v>3531</v>
      </c>
      <c r="F1739" s="57">
        <v>44739</v>
      </c>
      <c r="G1739" s="22"/>
      <c r="H1739" s="58"/>
      <c r="I1739" s="23">
        <v>0</v>
      </c>
      <c r="J1739" s="23">
        <f t="shared" si="379"/>
        <v>0</v>
      </c>
      <c r="K1739" s="24">
        <v>25</v>
      </c>
      <c r="L1739" s="24">
        <f t="shared" si="380"/>
        <v>-25</v>
      </c>
      <c r="M1739" s="24" t="str">
        <f t="shared" si="381"/>
        <v>-</v>
      </c>
      <c r="N1739" s="25">
        <v>30</v>
      </c>
      <c r="O1739" s="26" t="str">
        <f t="shared" si="382"/>
        <v>June</v>
      </c>
      <c r="P1739" s="25">
        <f t="shared" si="383"/>
        <v>30</v>
      </c>
      <c r="Q1739" s="27">
        <f t="shared" si="384"/>
        <v>-5</v>
      </c>
      <c r="R1739" s="26" t="b">
        <f t="shared" si="385"/>
        <v>0</v>
      </c>
      <c r="S1739" s="28" t="str">
        <f t="shared" si="386"/>
        <v>GROWTH</v>
      </c>
      <c r="T1739" s="24">
        <v>0</v>
      </c>
      <c r="U1739" s="29" t="str">
        <f t="shared" si="387"/>
        <v>May</v>
      </c>
      <c r="V1739" s="24">
        <f t="shared" si="388"/>
        <v>0</v>
      </c>
      <c r="W1739" s="30">
        <f t="shared" si="389"/>
        <v>25</v>
      </c>
      <c r="X1739" s="31" t="b">
        <f t="shared" si="390"/>
        <v>0</v>
      </c>
      <c r="Y1739" s="32" t="b">
        <f t="shared" si="391"/>
        <v>0</v>
      </c>
      <c r="Z1739" s="41"/>
      <c r="AA1739" s="36"/>
      <c r="AB1739" s="36"/>
      <c r="AC1739" s="54"/>
      <c r="AD1739" s="34"/>
      <c r="AE1739" s="35" t="str">
        <f>IFERROR(INDEX([1]Last6M_AvgSales_Ref!$B$2:$B$12659,MATCH(D1739,[1]Last6M_AvgSales_Ref!$A$2:$A$12659,0)),"")</f>
        <v/>
      </c>
    </row>
    <row r="1740" spans="1:31" ht="14.25" customHeight="1" x14ac:dyDescent="0.3">
      <c r="A1740" s="54" t="s">
        <v>3529</v>
      </c>
      <c r="B1740" s="55" t="s">
        <v>3529</v>
      </c>
      <c r="C1740" s="56" t="s">
        <v>3532</v>
      </c>
      <c r="D1740" s="36">
        <v>1000004764</v>
      </c>
      <c r="E1740" s="55" t="s">
        <v>3533</v>
      </c>
      <c r="F1740" s="57">
        <v>46185</v>
      </c>
      <c r="G1740" s="22"/>
      <c r="H1740" s="58"/>
      <c r="I1740" s="23">
        <v>0</v>
      </c>
      <c r="J1740" s="23">
        <f t="shared" si="379"/>
        <v>0</v>
      </c>
      <c r="K1740" s="24">
        <v>25</v>
      </c>
      <c r="L1740" s="24">
        <f t="shared" si="380"/>
        <v>-25</v>
      </c>
      <c r="M1740" s="24" t="str">
        <f t="shared" si="381"/>
        <v>-</v>
      </c>
      <c r="N1740" s="25">
        <v>25</v>
      </c>
      <c r="O1740" s="26" t="str">
        <f t="shared" si="382"/>
        <v>June</v>
      </c>
      <c r="P1740" s="25">
        <f t="shared" si="383"/>
        <v>25</v>
      </c>
      <c r="Q1740" s="27">
        <f t="shared" si="384"/>
        <v>0</v>
      </c>
      <c r="R1740" s="26" t="b">
        <f t="shared" si="385"/>
        <v>0</v>
      </c>
      <c r="S1740" s="28" t="str">
        <f t="shared" si="386"/>
        <v>GROWTH</v>
      </c>
      <c r="T1740" s="24">
        <v>0</v>
      </c>
      <c r="U1740" s="29" t="str">
        <f t="shared" si="387"/>
        <v>May</v>
      </c>
      <c r="V1740" s="24">
        <f t="shared" si="388"/>
        <v>0</v>
      </c>
      <c r="W1740" s="30">
        <f t="shared" si="389"/>
        <v>25</v>
      </c>
      <c r="X1740" s="31" t="b">
        <f t="shared" si="390"/>
        <v>0</v>
      </c>
      <c r="Y1740" s="32" t="b">
        <f t="shared" si="391"/>
        <v>0</v>
      </c>
      <c r="Z1740" s="41"/>
      <c r="AA1740" s="36"/>
      <c r="AB1740" s="36"/>
      <c r="AC1740" s="54"/>
      <c r="AD1740" s="34"/>
      <c r="AE1740" s="35" t="str">
        <f>IFERROR(INDEX([1]Last6M_AvgSales_Ref!$B$2:$B$12659,MATCH(D1740,[1]Last6M_AvgSales_Ref!$A$2:$A$12659,0)),"")</f>
        <v/>
      </c>
    </row>
    <row r="1741" spans="1:31" ht="14.25" customHeight="1" x14ac:dyDescent="0.3">
      <c r="A1741" s="54" t="s">
        <v>1836</v>
      </c>
      <c r="B1741" s="55" t="s">
        <v>2145</v>
      </c>
      <c r="C1741" s="56" t="s">
        <v>3534</v>
      </c>
      <c r="D1741" s="36">
        <v>1000004762</v>
      </c>
      <c r="E1741" s="55" t="s">
        <v>3535</v>
      </c>
      <c r="F1741" s="57">
        <v>46184</v>
      </c>
      <c r="G1741" s="22"/>
      <c r="H1741" s="58"/>
      <c r="I1741" s="23">
        <v>0</v>
      </c>
      <c r="J1741" s="23">
        <f t="shared" si="379"/>
        <v>0</v>
      </c>
      <c r="K1741" s="24">
        <v>25</v>
      </c>
      <c r="L1741" s="24">
        <f t="shared" si="380"/>
        <v>-25</v>
      </c>
      <c r="M1741" s="24" t="str">
        <f t="shared" si="381"/>
        <v>-</v>
      </c>
      <c r="N1741" s="25">
        <v>197.25</v>
      </c>
      <c r="O1741" s="26" t="str">
        <f t="shared" si="382"/>
        <v>June</v>
      </c>
      <c r="P1741" s="25">
        <f t="shared" si="383"/>
        <v>197.25</v>
      </c>
      <c r="Q1741" s="27">
        <f t="shared" si="384"/>
        <v>-172.25</v>
      </c>
      <c r="R1741" s="26" t="b">
        <f t="shared" si="385"/>
        <v>0</v>
      </c>
      <c r="S1741" s="28" t="str">
        <f t="shared" si="386"/>
        <v>GROWTH</v>
      </c>
      <c r="T1741" s="24">
        <v>0</v>
      </c>
      <c r="U1741" s="29" t="str">
        <f t="shared" si="387"/>
        <v>May</v>
      </c>
      <c r="V1741" s="24">
        <f t="shared" si="388"/>
        <v>0</v>
      </c>
      <c r="W1741" s="30">
        <f t="shared" si="389"/>
        <v>25</v>
      </c>
      <c r="X1741" s="31" t="b">
        <f t="shared" si="390"/>
        <v>0</v>
      </c>
      <c r="Y1741" s="32" t="b">
        <f t="shared" si="391"/>
        <v>0</v>
      </c>
      <c r="Z1741" s="41"/>
      <c r="AA1741" s="36"/>
      <c r="AB1741" s="36"/>
      <c r="AC1741" s="54"/>
      <c r="AD1741" s="34"/>
      <c r="AE1741" s="35" t="str">
        <f>IFERROR(INDEX([1]Last6M_AvgSales_Ref!$B$2:$B$12659,MATCH(D1741,[1]Last6M_AvgSales_Ref!$A$2:$A$12659,0)),"")</f>
        <v/>
      </c>
    </row>
    <row r="1742" spans="1:31" ht="14.25" customHeight="1" x14ac:dyDescent="0.3">
      <c r="A1742" s="54" t="s">
        <v>24</v>
      </c>
      <c r="B1742" s="55" t="s">
        <v>3478</v>
      </c>
      <c r="C1742" s="56" t="s">
        <v>3536</v>
      </c>
      <c r="D1742" s="36">
        <v>1000004722</v>
      </c>
      <c r="E1742" s="55" t="s">
        <v>3537</v>
      </c>
      <c r="F1742" s="57">
        <v>46141</v>
      </c>
      <c r="G1742" s="22"/>
      <c r="H1742" s="58"/>
      <c r="I1742" s="23">
        <v>20</v>
      </c>
      <c r="J1742" s="23">
        <f t="shared" si="379"/>
        <v>20</v>
      </c>
      <c r="K1742" s="24">
        <v>25</v>
      </c>
      <c r="L1742" s="24">
        <f t="shared" si="380"/>
        <v>-5</v>
      </c>
      <c r="M1742" s="24">
        <f t="shared" si="381"/>
        <v>125</v>
      </c>
      <c r="N1742" s="25">
        <v>15</v>
      </c>
      <c r="O1742" s="26" t="str">
        <f t="shared" si="382"/>
        <v>June</v>
      </c>
      <c r="P1742" s="25">
        <f t="shared" si="383"/>
        <v>15</v>
      </c>
      <c r="Q1742" s="27">
        <f t="shared" si="384"/>
        <v>10</v>
      </c>
      <c r="R1742" s="26" t="b">
        <f t="shared" si="385"/>
        <v>0</v>
      </c>
      <c r="S1742" s="28" t="str">
        <f t="shared" si="386"/>
        <v>GROWTH</v>
      </c>
      <c r="T1742" s="24">
        <v>0</v>
      </c>
      <c r="U1742" s="29" t="str">
        <f t="shared" si="387"/>
        <v>May</v>
      </c>
      <c r="V1742" s="24">
        <f t="shared" si="388"/>
        <v>0</v>
      </c>
      <c r="W1742" s="30">
        <f t="shared" si="389"/>
        <v>25</v>
      </c>
      <c r="X1742" s="31" t="b">
        <f t="shared" si="390"/>
        <v>0</v>
      </c>
      <c r="Y1742" s="32" t="b">
        <f t="shared" si="391"/>
        <v>0</v>
      </c>
      <c r="Z1742" s="41"/>
      <c r="AA1742" s="36"/>
      <c r="AB1742" s="36"/>
      <c r="AC1742" s="54"/>
      <c r="AD1742" s="34"/>
      <c r="AE1742" s="35" t="str">
        <f>IFERROR(INDEX([1]Last6M_AvgSales_Ref!$B$2:$B$12659,MATCH(D1742,[1]Last6M_AvgSales_Ref!$A$2:$A$12659,0)),"")</f>
        <v/>
      </c>
    </row>
    <row r="1743" spans="1:31" ht="14.25" customHeight="1" x14ac:dyDescent="0.3">
      <c r="A1743" s="54" t="s">
        <v>1836</v>
      </c>
      <c r="B1743" s="55" t="s">
        <v>1901</v>
      </c>
      <c r="C1743" s="56" t="s">
        <v>3538</v>
      </c>
      <c r="D1743" s="36">
        <v>1000004772</v>
      </c>
      <c r="E1743" s="55" t="s">
        <v>3539</v>
      </c>
      <c r="F1743" s="57">
        <v>46188</v>
      </c>
      <c r="G1743" s="22"/>
      <c r="H1743" s="58"/>
      <c r="I1743" s="23">
        <v>0</v>
      </c>
      <c r="J1743" s="23">
        <f t="shared" si="379"/>
        <v>0</v>
      </c>
      <c r="K1743" s="24">
        <v>25</v>
      </c>
      <c r="L1743" s="24">
        <f t="shared" si="380"/>
        <v>-25</v>
      </c>
      <c r="M1743" s="24" t="str">
        <f t="shared" si="381"/>
        <v>-</v>
      </c>
      <c r="N1743" s="25">
        <v>18</v>
      </c>
      <c r="O1743" s="26" t="str">
        <f t="shared" si="382"/>
        <v>June</v>
      </c>
      <c r="P1743" s="25">
        <f t="shared" si="383"/>
        <v>18</v>
      </c>
      <c r="Q1743" s="27">
        <f t="shared" si="384"/>
        <v>7</v>
      </c>
      <c r="R1743" s="26" t="b">
        <f t="shared" si="385"/>
        <v>0</v>
      </c>
      <c r="S1743" s="28" t="str">
        <f t="shared" si="386"/>
        <v>GROWTH</v>
      </c>
      <c r="T1743" s="24">
        <v>0</v>
      </c>
      <c r="U1743" s="29" t="str">
        <f t="shared" si="387"/>
        <v>May</v>
      </c>
      <c r="V1743" s="24">
        <f t="shared" si="388"/>
        <v>0</v>
      </c>
      <c r="W1743" s="30">
        <f t="shared" si="389"/>
        <v>25</v>
      </c>
      <c r="X1743" s="31" t="b">
        <f t="shared" si="390"/>
        <v>0</v>
      </c>
      <c r="Y1743" s="32" t="b">
        <f t="shared" si="391"/>
        <v>0</v>
      </c>
      <c r="Z1743" s="41"/>
      <c r="AA1743" s="36"/>
      <c r="AB1743" s="36"/>
      <c r="AC1743" s="54"/>
      <c r="AD1743" s="34"/>
      <c r="AE1743" s="35" t="str">
        <f>IFERROR(INDEX([1]Last6M_AvgSales_Ref!$B$2:$B$12659,MATCH(D1743,[1]Last6M_AvgSales_Ref!$A$2:$A$12659,0)),"")</f>
        <v/>
      </c>
    </row>
    <row r="1744" spans="1:31" ht="14.25" customHeight="1" x14ac:dyDescent="0.3">
      <c r="A1744" s="54" t="e">
        <f>#N/A</f>
        <v>#N/A</v>
      </c>
      <c r="B1744" s="55" t="s">
        <v>3515</v>
      </c>
      <c r="C1744" s="56" t="s">
        <v>3540</v>
      </c>
      <c r="D1744" s="36">
        <v>1000004740</v>
      </c>
      <c r="E1744" s="55" t="s">
        <v>3541</v>
      </c>
      <c r="F1744" s="57">
        <v>46173</v>
      </c>
      <c r="G1744" s="22"/>
      <c r="H1744" s="58"/>
      <c r="I1744" s="23">
        <v>0</v>
      </c>
      <c r="J1744" s="23">
        <f t="shared" si="379"/>
        <v>0</v>
      </c>
      <c r="K1744" s="24">
        <v>25</v>
      </c>
      <c r="L1744" s="24">
        <f t="shared" si="380"/>
        <v>-25</v>
      </c>
      <c r="M1744" s="24" t="str">
        <f t="shared" si="381"/>
        <v>-</v>
      </c>
      <c r="N1744" s="25">
        <v>50</v>
      </c>
      <c r="O1744" s="26" t="str">
        <f t="shared" si="382"/>
        <v>June</v>
      </c>
      <c r="P1744" s="25">
        <f t="shared" si="383"/>
        <v>50</v>
      </c>
      <c r="Q1744" s="27">
        <f t="shared" si="384"/>
        <v>-25</v>
      </c>
      <c r="R1744" s="26" t="b">
        <f t="shared" si="385"/>
        <v>0</v>
      </c>
      <c r="S1744" s="28" t="str">
        <f t="shared" si="386"/>
        <v>GROWTH</v>
      </c>
      <c r="T1744" s="24">
        <v>0</v>
      </c>
      <c r="U1744" s="29" t="str">
        <f t="shared" si="387"/>
        <v>May</v>
      </c>
      <c r="V1744" s="24">
        <f t="shared" si="388"/>
        <v>0</v>
      </c>
      <c r="W1744" s="30">
        <f t="shared" si="389"/>
        <v>25</v>
      </c>
      <c r="X1744" s="31" t="b">
        <f t="shared" si="390"/>
        <v>0</v>
      </c>
      <c r="Y1744" s="32" t="b">
        <f t="shared" si="391"/>
        <v>0</v>
      </c>
      <c r="Z1744" s="41"/>
      <c r="AA1744" s="36"/>
      <c r="AB1744" s="36"/>
      <c r="AC1744" s="54"/>
      <c r="AD1744" s="34"/>
      <c r="AE1744" s="35" t="str">
        <f>IFERROR(INDEX([1]Last6M_AvgSales_Ref!$B$2:$B$12659,MATCH(D1744,[1]Last6M_AvgSales_Ref!$A$2:$A$12659,0)),"")</f>
        <v/>
      </c>
    </row>
    <row r="1745" spans="1:31" ht="14.25" customHeight="1" x14ac:dyDescent="0.3">
      <c r="A1745" s="54" t="s">
        <v>2027</v>
      </c>
      <c r="B1745" s="55" t="s">
        <v>2118</v>
      </c>
      <c r="C1745" s="56" t="s">
        <v>3542</v>
      </c>
      <c r="D1745" s="36">
        <v>1000004749</v>
      </c>
      <c r="E1745" s="55" t="s">
        <v>3543</v>
      </c>
      <c r="F1745" s="57">
        <v>46182</v>
      </c>
      <c r="G1745" s="22"/>
      <c r="H1745" s="58"/>
      <c r="I1745" s="23">
        <v>0</v>
      </c>
      <c r="J1745" s="23">
        <f t="shared" si="379"/>
        <v>0</v>
      </c>
      <c r="K1745" s="24">
        <v>25</v>
      </c>
      <c r="L1745" s="24">
        <f t="shared" si="380"/>
        <v>-25</v>
      </c>
      <c r="M1745" s="24" t="str">
        <f t="shared" si="381"/>
        <v>-</v>
      </c>
      <c r="N1745" s="25">
        <v>10</v>
      </c>
      <c r="O1745" s="26" t="str">
        <f t="shared" si="382"/>
        <v>June</v>
      </c>
      <c r="P1745" s="25">
        <f t="shared" si="383"/>
        <v>10</v>
      </c>
      <c r="Q1745" s="27">
        <f t="shared" si="384"/>
        <v>15</v>
      </c>
      <c r="R1745" s="26" t="b">
        <f t="shared" si="385"/>
        <v>0</v>
      </c>
      <c r="S1745" s="28" t="str">
        <f t="shared" si="386"/>
        <v>GROWTH</v>
      </c>
      <c r="T1745" s="24">
        <v>0</v>
      </c>
      <c r="U1745" s="29" t="str">
        <f t="shared" si="387"/>
        <v>May</v>
      </c>
      <c r="V1745" s="24">
        <f t="shared" si="388"/>
        <v>0</v>
      </c>
      <c r="W1745" s="30">
        <f t="shared" si="389"/>
        <v>25</v>
      </c>
      <c r="X1745" s="31" t="b">
        <f t="shared" si="390"/>
        <v>0</v>
      </c>
      <c r="Y1745" s="32" t="b">
        <f t="shared" si="391"/>
        <v>0</v>
      </c>
      <c r="Z1745" s="41"/>
      <c r="AA1745" s="36"/>
      <c r="AB1745" s="36"/>
      <c r="AC1745" s="54"/>
      <c r="AD1745" s="34"/>
      <c r="AE1745" s="35" t="str">
        <f>IFERROR(INDEX([1]Last6M_AvgSales_Ref!$B$2:$B$12659,MATCH(D1745,[1]Last6M_AvgSales_Ref!$A$2:$A$12659,0)),"")</f>
        <v/>
      </c>
    </row>
    <row r="1746" spans="1:31" ht="14.25" customHeight="1" x14ac:dyDescent="0.3">
      <c r="A1746" s="54" t="s">
        <v>848</v>
      </c>
      <c r="B1746" s="55" t="s">
        <v>1098</v>
      </c>
      <c r="C1746" s="56" t="s">
        <v>3544</v>
      </c>
      <c r="D1746" s="36">
        <v>1000004782</v>
      </c>
      <c r="E1746" s="55" t="s">
        <v>3545</v>
      </c>
      <c r="F1746" s="57">
        <v>46191</v>
      </c>
      <c r="G1746" s="22"/>
      <c r="H1746" s="58"/>
      <c r="I1746" s="23">
        <v>0</v>
      </c>
      <c r="J1746" s="23">
        <f t="shared" si="379"/>
        <v>0</v>
      </c>
      <c r="K1746" s="24">
        <v>25</v>
      </c>
      <c r="L1746" s="24">
        <f t="shared" si="380"/>
        <v>-25</v>
      </c>
      <c r="M1746" s="24" t="str">
        <f t="shared" si="381"/>
        <v>-</v>
      </c>
      <c r="N1746" s="25">
        <v>120</v>
      </c>
      <c r="O1746" s="26" t="str">
        <f t="shared" si="382"/>
        <v>June</v>
      </c>
      <c r="P1746" s="25">
        <f t="shared" si="383"/>
        <v>120</v>
      </c>
      <c r="Q1746" s="27">
        <f t="shared" si="384"/>
        <v>-95</v>
      </c>
      <c r="R1746" s="26" t="b">
        <f t="shared" si="385"/>
        <v>0</v>
      </c>
      <c r="S1746" s="28" t="str">
        <f t="shared" si="386"/>
        <v>GROWTH</v>
      </c>
      <c r="T1746" s="24">
        <v>0</v>
      </c>
      <c r="U1746" s="29" t="str">
        <f t="shared" si="387"/>
        <v>May</v>
      </c>
      <c r="V1746" s="24">
        <f t="shared" si="388"/>
        <v>0</v>
      </c>
      <c r="W1746" s="30">
        <f t="shared" si="389"/>
        <v>25</v>
      </c>
      <c r="X1746" s="31" t="b">
        <f t="shared" si="390"/>
        <v>0</v>
      </c>
      <c r="Y1746" s="32" t="b">
        <f t="shared" si="391"/>
        <v>0</v>
      </c>
      <c r="Z1746" s="41"/>
      <c r="AA1746" s="36"/>
      <c r="AB1746" s="36"/>
      <c r="AC1746" s="54"/>
      <c r="AD1746" s="34"/>
      <c r="AE1746" s="35" t="str">
        <f>IFERROR(INDEX([1]Last6M_AvgSales_Ref!$B$2:$B$12659,MATCH(D1746,[1]Last6M_AvgSales_Ref!$A$2:$A$12659,0)),"")</f>
        <v/>
      </c>
    </row>
    <row r="1747" spans="1:31" ht="14.25" customHeight="1" x14ac:dyDescent="0.3">
      <c r="A1747" s="54" t="s">
        <v>848</v>
      </c>
      <c r="B1747" s="55" t="s">
        <v>1098</v>
      </c>
      <c r="C1747" s="56" t="s">
        <v>3546</v>
      </c>
      <c r="D1747" s="36">
        <v>1000004783</v>
      </c>
      <c r="E1747" s="55" t="s">
        <v>3547</v>
      </c>
      <c r="F1747" s="57">
        <v>46191</v>
      </c>
      <c r="G1747" s="22"/>
      <c r="H1747" s="58"/>
      <c r="I1747" s="23">
        <v>0</v>
      </c>
      <c r="J1747" s="23">
        <f t="shared" si="379"/>
        <v>0</v>
      </c>
      <c r="K1747" s="24">
        <v>25</v>
      </c>
      <c r="L1747" s="24">
        <f t="shared" si="380"/>
        <v>-25</v>
      </c>
      <c r="M1747" s="24" t="str">
        <f t="shared" si="381"/>
        <v>-</v>
      </c>
      <c r="N1747" s="25">
        <v>50</v>
      </c>
      <c r="O1747" s="26" t="str">
        <f t="shared" si="382"/>
        <v>June</v>
      </c>
      <c r="P1747" s="25">
        <f t="shared" si="383"/>
        <v>50</v>
      </c>
      <c r="Q1747" s="27">
        <f t="shared" si="384"/>
        <v>-25</v>
      </c>
      <c r="R1747" s="26" t="b">
        <f t="shared" si="385"/>
        <v>0</v>
      </c>
      <c r="S1747" s="28" t="str">
        <f t="shared" si="386"/>
        <v>GROWTH</v>
      </c>
      <c r="T1747" s="24">
        <v>0</v>
      </c>
      <c r="U1747" s="29" t="str">
        <f t="shared" si="387"/>
        <v>May</v>
      </c>
      <c r="V1747" s="24">
        <f t="shared" si="388"/>
        <v>0</v>
      </c>
      <c r="W1747" s="30">
        <f t="shared" si="389"/>
        <v>25</v>
      </c>
      <c r="X1747" s="31" t="b">
        <f t="shared" si="390"/>
        <v>0</v>
      </c>
      <c r="Y1747" s="32" t="b">
        <f t="shared" si="391"/>
        <v>0</v>
      </c>
      <c r="Z1747" s="41"/>
      <c r="AA1747" s="36"/>
      <c r="AB1747" s="36"/>
      <c r="AC1747" s="54"/>
      <c r="AD1747" s="34"/>
      <c r="AE1747" s="35" t="str">
        <f>IFERROR(INDEX([1]Last6M_AvgSales_Ref!$B$2:$B$12659,MATCH(D1747,[1]Last6M_AvgSales_Ref!$A$2:$A$12659,0)),"")</f>
        <v/>
      </c>
    </row>
    <row r="1748" spans="1:31" ht="14.25" customHeight="1" x14ac:dyDescent="0.3">
      <c r="A1748" s="54" t="s">
        <v>3529</v>
      </c>
      <c r="B1748" s="55" t="s">
        <v>3529</v>
      </c>
      <c r="C1748" s="56" t="s">
        <v>3548</v>
      </c>
      <c r="D1748" s="36">
        <v>1000004774</v>
      </c>
      <c r="E1748" s="55" t="s">
        <v>3549</v>
      </c>
      <c r="F1748" s="57">
        <v>46189</v>
      </c>
      <c r="G1748" s="22"/>
      <c r="H1748" s="58"/>
      <c r="I1748" s="23">
        <v>0</v>
      </c>
      <c r="J1748" s="23">
        <f t="shared" si="379"/>
        <v>0</v>
      </c>
      <c r="K1748" s="24">
        <v>25</v>
      </c>
      <c r="L1748" s="24">
        <f t="shared" si="380"/>
        <v>-25</v>
      </c>
      <c r="M1748" s="24" t="str">
        <f t="shared" si="381"/>
        <v>-</v>
      </c>
      <c r="N1748" s="25">
        <v>30</v>
      </c>
      <c r="O1748" s="26" t="str">
        <f t="shared" si="382"/>
        <v>June</v>
      </c>
      <c r="P1748" s="25">
        <f t="shared" si="383"/>
        <v>30</v>
      </c>
      <c r="Q1748" s="27">
        <f t="shared" si="384"/>
        <v>-5</v>
      </c>
      <c r="R1748" s="26" t="b">
        <f t="shared" si="385"/>
        <v>0</v>
      </c>
      <c r="S1748" s="28" t="str">
        <f t="shared" si="386"/>
        <v>GROWTH</v>
      </c>
      <c r="T1748" s="24">
        <v>0</v>
      </c>
      <c r="U1748" s="29" t="str">
        <f t="shared" si="387"/>
        <v>May</v>
      </c>
      <c r="V1748" s="24">
        <f t="shared" si="388"/>
        <v>0</v>
      </c>
      <c r="W1748" s="30">
        <f t="shared" si="389"/>
        <v>25</v>
      </c>
      <c r="X1748" s="31" t="b">
        <f t="shared" si="390"/>
        <v>0</v>
      </c>
      <c r="Y1748" s="32" t="b">
        <f t="shared" si="391"/>
        <v>0</v>
      </c>
      <c r="Z1748" s="41"/>
      <c r="AA1748" s="36"/>
      <c r="AB1748" s="36"/>
      <c r="AC1748" s="54"/>
      <c r="AD1748" s="34"/>
      <c r="AE1748" s="35" t="str">
        <f>IFERROR(INDEX([1]Last6M_AvgSales_Ref!$B$2:$B$12659,MATCH(D1748,[1]Last6M_AvgSales_Ref!$A$2:$A$12659,0)),"")</f>
        <v/>
      </c>
    </row>
    <row r="1749" spans="1:31" ht="14.25" customHeight="1" x14ac:dyDescent="0.3">
      <c r="A1749" s="54" t="s">
        <v>3529</v>
      </c>
      <c r="B1749" s="55" t="s">
        <v>3529</v>
      </c>
      <c r="C1749" s="56" t="s">
        <v>3550</v>
      </c>
      <c r="D1749" s="36">
        <v>1000004760</v>
      </c>
      <c r="E1749" s="55" t="s">
        <v>3551</v>
      </c>
      <c r="F1749" s="57">
        <v>46188</v>
      </c>
      <c r="G1749" s="22"/>
      <c r="H1749" s="58"/>
      <c r="I1749" s="23">
        <v>0</v>
      </c>
      <c r="J1749" s="23">
        <f t="shared" si="379"/>
        <v>0</v>
      </c>
      <c r="K1749" s="24">
        <v>25</v>
      </c>
      <c r="L1749" s="24">
        <f t="shared" si="380"/>
        <v>-25</v>
      </c>
      <c r="M1749" s="24" t="str">
        <f t="shared" si="381"/>
        <v>-</v>
      </c>
      <c r="N1749" s="25">
        <v>50</v>
      </c>
      <c r="O1749" s="26" t="str">
        <f t="shared" si="382"/>
        <v>June</v>
      </c>
      <c r="P1749" s="25">
        <f t="shared" si="383"/>
        <v>50</v>
      </c>
      <c r="Q1749" s="27">
        <f t="shared" si="384"/>
        <v>-25</v>
      </c>
      <c r="R1749" s="26" t="b">
        <f t="shared" si="385"/>
        <v>0</v>
      </c>
      <c r="S1749" s="28" t="str">
        <f t="shared" si="386"/>
        <v>GROWTH</v>
      </c>
      <c r="T1749" s="24">
        <v>0</v>
      </c>
      <c r="U1749" s="29" t="str">
        <f t="shared" si="387"/>
        <v>May</v>
      </c>
      <c r="V1749" s="24">
        <f t="shared" si="388"/>
        <v>0</v>
      </c>
      <c r="W1749" s="30">
        <f t="shared" si="389"/>
        <v>25</v>
      </c>
      <c r="X1749" s="31" t="b">
        <f t="shared" si="390"/>
        <v>0</v>
      </c>
      <c r="Y1749" s="32" t="b">
        <f t="shared" si="391"/>
        <v>0</v>
      </c>
      <c r="Z1749" s="41"/>
      <c r="AA1749" s="36"/>
      <c r="AB1749" s="36"/>
      <c r="AC1749" s="54"/>
      <c r="AD1749" s="34"/>
      <c r="AE1749" s="35" t="str">
        <f>IFERROR(INDEX([1]Last6M_AvgSales_Ref!$B$2:$B$12659,MATCH(D1749,[1]Last6M_AvgSales_Ref!$A$2:$A$12659,0)),"")</f>
        <v/>
      </c>
    </row>
    <row r="1750" spans="1:31" ht="14.25" customHeight="1" x14ac:dyDescent="0.3">
      <c r="A1750" s="54" t="s">
        <v>2027</v>
      </c>
      <c r="B1750" s="55" t="s">
        <v>2028</v>
      </c>
      <c r="C1750" s="56" t="s">
        <v>3552</v>
      </c>
      <c r="D1750" s="36">
        <v>1000004786</v>
      </c>
      <c r="E1750" s="55" t="s">
        <v>3553</v>
      </c>
      <c r="F1750" s="57">
        <v>46193</v>
      </c>
      <c r="G1750" s="22"/>
      <c r="H1750" s="58"/>
      <c r="I1750" s="23">
        <v>0</v>
      </c>
      <c r="J1750" s="23">
        <f t="shared" si="379"/>
        <v>0</v>
      </c>
      <c r="K1750" s="24">
        <v>25</v>
      </c>
      <c r="L1750" s="24">
        <f t="shared" si="380"/>
        <v>-25</v>
      </c>
      <c r="M1750" s="24" t="str">
        <f t="shared" si="381"/>
        <v>-</v>
      </c>
      <c r="N1750" s="25">
        <v>25</v>
      </c>
      <c r="O1750" s="26" t="str">
        <f t="shared" si="382"/>
        <v>June</v>
      </c>
      <c r="P1750" s="25">
        <f t="shared" si="383"/>
        <v>25</v>
      </c>
      <c r="Q1750" s="27">
        <f t="shared" si="384"/>
        <v>0</v>
      </c>
      <c r="R1750" s="26" t="b">
        <f t="shared" si="385"/>
        <v>0</v>
      </c>
      <c r="S1750" s="28" t="str">
        <f t="shared" si="386"/>
        <v>GROWTH</v>
      </c>
      <c r="T1750" s="24">
        <v>0</v>
      </c>
      <c r="U1750" s="29" t="str">
        <f t="shared" si="387"/>
        <v>May</v>
      </c>
      <c r="V1750" s="24">
        <f t="shared" si="388"/>
        <v>0</v>
      </c>
      <c r="W1750" s="30">
        <f t="shared" si="389"/>
        <v>25</v>
      </c>
      <c r="X1750" s="31" t="b">
        <f t="shared" si="390"/>
        <v>0</v>
      </c>
      <c r="Y1750" s="32" t="b">
        <f t="shared" si="391"/>
        <v>0</v>
      </c>
      <c r="Z1750" s="41"/>
      <c r="AA1750" s="36"/>
      <c r="AB1750" s="36"/>
      <c r="AC1750" s="54"/>
      <c r="AD1750" s="34"/>
      <c r="AE1750" s="35" t="str">
        <f>IFERROR(INDEX([1]Last6M_AvgSales_Ref!$B$2:$B$12659,MATCH(D1750,[1]Last6M_AvgSales_Ref!$A$2:$A$12659,0)),"")</f>
        <v/>
      </c>
    </row>
    <row r="1751" spans="1:31" ht="14.25" customHeight="1" x14ac:dyDescent="0.3">
      <c r="A1751" s="54" t="s">
        <v>2027</v>
      </c>
      <c r="B1751" s="55" t="s">
        <v>3396</v>
      </c>
      <c r="C1751" s="56" t="s">
        <v>3554</v>
      </c>
      <c r="D1751" s="36">
        <v>1000004765</v>
      </c>
      <c r="E1751" s="55" t="s">
        <v>3555</v>
      </c>
      <c r="F1751" s="57">
        <v>46185</v>
      </c>
      <c r="G1751" s="22"/>
      <c r="H1751" s="58"/>
      <c r="I1751" s="23">
        <v>0</v>
      </c>
      <c r="J1751" s="23">
        <f t="shared" si="379"/>
        <v>0</v>
      </c>
      <c r="K1751" s="24">
        <v>25</v>
      </c>
      <c r="L1751" s="24">
        <f t="shared" si="380"/>
        <v>-25</v>
      </c>
      <c r="M1751" s="24" t="str">
        <f t="shared" si="381"/>
        <v>-</v>
      </c>
      <c r="N1751" s="25">
        <v>25</v>
      </c>
      <c r="O1751" s="26" t="str">
        <f t="shared" si="382"/>
        <v>June</v>
      </c>
      <c r="P1751" s="25">
        <f t="shared" si="383"/>
        <v>25</v>
      </c>
      <c r="Q1751" s="27">
        <f t="shared" si="384"/>
        <v>0</v>
      </c>
      <c r="R1751" s="26" t="b">
        <f t="shared" si="385"/>
        <v>0</v>
      </c>
      <c r="S1751" s="28" t="str">
        <f t="shared" si="386"/>
        <v>GROWTH</v>
      </c>
      <c r="T1751" s="24">
        <v>0</v>
      </c>
      <c r="U1751" s="29" t="str">
        <f t="shared" si="387"/>
        <v>May</v>
      </c>
      <c r="V1751" s="24">
        <f t="shared" si="388"/>
        <v>0</v>
      </c>
      <c r="W1751" s="30">
        <f t="shared" si="389"/>
        <v>25</v>
      </c>
      <c r="X1751" s="31" t="b">
        <f t="shared" si="390"/>
        <v>0</v>
      </c>
      <c r="Y1751" s="32" t="b">
        <f t="shared" si="391"/>
        <v>0</v>
      </c>
      <c r="Z1751" s="41"/>
      <c r="AA1751" s="36"/>
      <c r="AB1751" s="36"/>
      <c r="AC1751" s="54"/>
      <c r="AD1751" s="34"/>
      <c r="AE1751" s="35" t="str">
        <f>IFERROR(INDEX([1]Last6M_AvgSales_Ref!$B$2:$B$12659,MATCH(D1751,[1]Last6M_AvgSales_Ref!$A$2:$A$12659,0)),"")</f>
        <v/>
      </c>
    </row>
    <row r="1752" spans="1:31" ht="14.25" customHeight="1" x14ac:dyDescent="0.3">
      <c r="A1752" s="54" t="s">
        <v>3529</v>
      </c>
      <c r="B1752" s="55" t="s">
        <v>3529</v>
      </c>
      <c r="C1752" s="56" t="s">
        <v>3556</v>
      </c>
      <c r="D1752" s="36">
        <v>1000004763</v>
      </c>
      <c r="E1752" s="55" t="s">
        <v>3557</v>
      </c>
      <c r="F1752" s="57">
        <v>46184</v>
      </c>
      <c r="G1752" s="22"/>
      <c r="H1752" s="58"/>
      <c r="I1752" s="23">
        <v>0</v>
      </c>
      <c r="J1752" s="23">
        <f t="shared" si="379"/>
        <v>0</v>
      </c>
      <c r="K1752" s="24">
        <v>25</v>
      </c>
      <c r="L1752" s="24">
        <f t="shared" si="380"/>
        <v>-25</v>
      </c>
      <c r="M1752" s="24" t="str">
        <f t="shared" si="381"/>
        <v>-</v>
      </c>
      <c r="N1752" s="25">
        <v>40</v>
      </c>
      <c r="O1752" s="26" t="str">
        <f t="shared" si="382"/>
        <v>June</v>
      </c>
      <c r="P1752" s="25">
        <f t="shared" si="383"/>
        <v>40</v>
      </c>
      <c r="Q1752" s="27">
        <f t="shared" si="384"/>
        <v>-15</v>
      </c>
      <c r="R1752" s="26" t="b">
        <f t="shared" si="385"/>
        <v>0</v>
      </c>
      <c r="S1752" s="28" t="str">
        <f t="shared" si="386"/>
        <v>GROWTH</v>
      </c>
      <c r="T1752" s="24">
        <v>0</v>
      </c>
      <c r="U1752" s="29" t="str">
        <f t="shared" si="387"/>
        <v>May</v>
      </c>
      <c r="V1752" s="24">
        <f t="shared" si="388"/>
        <v>0</v>
      </c>
      <c r="W1752" s="30">
        <f t="shared" si="389"/>
        <v>25</v>
      </c>
      <c r="X1752" s="31" t="b">
        <f t="shared" si="390"/>
        <v>0</v>
      </c>
      <c r="Y1752" s="32" t="b">
        <f t="shared" si="391"/>
        <v>0</v>
      </c>
      <c r="Z1752" s="41"/>
      <c r="AA1752" s="36"/>
      <c r="AB1752" s="36"/>
      <c r="AC1752" s="54"/>
      <c r="AD1752" s="34"/>
      <c r="AE1752" s="35" t="str">
        <f>IFERROR(INDEX([1]Last6M_AvgSales_Ref!$B$2:$B$12659,MATCH(D1752,[1]Last6M_AvgSales_Ref!$A$2:$A$12659,0)),"")</f>
        <v/>
      </c>
    </row>
    <row r="1753" spans="1:31" ht="14.25" customHeight="1" x14ac:dyDescent="0.3">
      <c r="A1753" s="54" t="s">
        <v>3529</v>
      </c>
      <c r="B1753" s="55" t="s">
        <v>3529</v>
      </c>
      <c r="C1753" s="56" t="s">
        <v>3558</v>
      </c>
      <c r="D1753" s="36">
        <v>1000004759</v>
      </c>
      <c r="E1753" s="55" t="s">
        <v>3559</v>
      </c>
      <c r="F1753" s="57">
        <v>46186</v>
      </c>
      <c r="G1753" s="22"/>
      <c r="H1753" s="58"/>
      <c r="I1753" s="23">
        <v>0</v>
      </c>
      <c r="J1753" s="23">
        <f t="shared" si="379"/>
        <v>0</v>
      </c>
      <c r="K1753" s="24">
        <v>25</v>
      </c>
      <c r="L1753" s="24">
        <f t="shared" si="380"/>
        <v>-25</v>
      </c>
      <c r="M1753" s="24" t="str">
        <f t="shared" si="381"/>
        <v>-</v>
      </c>
      <c r="N1753" s="25">
        <v>30</v>
      </c>
      <c r="O1753" s="26" t="str">
        <f t="shared" si="382"/>
        <v>June</v>
      </c>
      <c r="P1753" s="25">
        <f t="shared" si="383"/>
        <v>30</v>
      </c>
      <c r="Q1753" s="27">
        <f t="shared" si="384"/>
        <v>-5</v>
      </c>
      <c r="R1753" s="26" t="b">
        <f t="shared" si="385"/>
        <v>0</v>
      </c>
      <c r="S1753" s="28" t="str">
        <f t="shared" si="386"/>
        <v>GROWTH</v>
      </c>
      <c r="T1753" s="24">
        <v>0</v>
      </c>
      <c r="U1753" s="29" t="str">
        <f t="shared" si="387"/>
        <v>May</v>
      </c>
      <c r="V1753" s="24">
        <f t="shared" si="388"/>
        <v>0</v>
      </c>
      <c r="W1753" s="30">
        <f t="shared" si="389"/>
        <v>25</v>
      </c>
      <c r="X1753" s="31" t="b">
        <f t="shared" si="390"/>
        <v>0</v>
      </c>
      <c r="Y1753" s="32" t="b">
        <f t="shared" si="391"/>
        <v>0</v>
      </c>
      <c r="Z1753" s="41"/>
      <c r="AA1753" s="36"/>
      <c r="AB1753" s="36"/>
      <c r="AC1753" s="54"/>
      <c r="AD1753" s="34"/>
      <c r="AE1753" s="35" t="str">
        <f>IFERROR(INDEX([1]Last6M_AvgSales_Ref!$B$2:$B$12659,MATCH(D1753,[1]Last6M_AvgSales_Ref!$A$2:$A$12659,0)),"")</f>
        <v/>
      </c>
    </row>
    <row r="1754" spans="1:31" ht="14.25" customHeight="1" x14ac:dyDescent="0.3">
      <c r="A1754" s="54" t="s">
        <v>2027</v>
      </c>
      <c r="B1754" s="55" t="s">
        <v>2095</v>
      </c>
      <c r="C1754" s="56" t="s">
        <v>3560</v>
      </c>
      <c r="D1754" s="36">
        <v>1000004787</v>
      </c>
      <c r="E1754" s="55" t="s">
        <v>3561</v>
      </c>
      <c r="F1754" s="57">
        <v>46193</v>
      </c>
      <c r="G1754" s="22"/>
      <c r="H1754" s="58"/>
      <c r="I1754" s="23">
        <v>0</v>
      </c>
      <c r="J1754" s="23">
        <f t="shared" si="379"/>
        <v>0</v>
      </c>
      <c r="K1754" s="24">
        <v>25</v>
      </c>
      <c r="L1754" s="24">
        <f t="shared" si="380"/>
        <v>-25</v>
      </c>
      <c r="M1754" s="24" t="str">
        <f t="shared" si="381"/>
        <v>-</v>
      </c>
      <c r="N1754" s="25">
        <v>50</v>
      </c>
      <c r="O1754" s="26" t="str">
        <f t="shared" si="382"/>
        <v>June</v>
      </c>
      <c r="P1754" s="25">
        <f t="shared" si="383"/>
        <v>50</v>
      </c>
      <c r="Q1754" s="27">
        <f t="shared" si="384"/>
        <v>-25</v>
      </c>
      <c r="R1754" s="26" t="b">
        <f t="shared" si="385"/>
        <v>0</v>
      </c>
      <c r="S1754" s="28" t="str">
        <f t="shared" si="386"/>
        <v>GROWTH</v>
      </c>
      <c r="T1754" s="24">
        <v>0</v>
      </c>
      <c r="U1754" s="29" t="str">
        <f t="shared" si="387"/>
        <v>May</v>
      </c>
      <c r="V1754" s="24">
        <f t="shared" si="388"/>
        <v>0</v>
      </c>
      <c r="W1754" s="30">
        <f t="shared" si="389"/>
        <v>25</v>
      </c>
      <c r="X1754" s="31" t="b">
        <f t="shared" si="390"/>
        <v>0</v>
      </c>
      <c r="Y1754" s="32" t="b">
        <f t="shared" si="391"/>
        <v>0</v>
      </c>
      <c r="Z1754" s="41"/>
      <c r="AA1754" s="36"/>
      <c r="AB1754" s="36"/>
      <c r="AC1754" s="54"/>
      <c r="AD1754" s="34"/>
      <c r="AE1754" s="35" t="str">
        <f>IFERROR(INDEX([1]Last6M_AvgSales_Ref!$B$2:$B$12659,MATCH(D1754,[1]Last6M_AvgSales_Ref!$A$2:$A$12659,0)),"")</f>
        <v/>
      </c>
    </row>
    <row r="1755" spans="1:31" ht="14.25" customHeight="1" x14ac:dyDescent="0.3">
      <c r="A1755" s="54" t="s">
        <v>3529</v>
      </c>
      <c r="B1755" s="55" t="s">
        <v>3529</v>
      </c>
      <c r="C1755" s="56" t="s">
        <v>3562</v>
      </c>
      <c r="D1755" s="36">
        <v>1000001967</v>
      </c>
      <c r="E1755" s="55" t="s">
        <v>3563</v>
      </c>
      <c r="F1755" s="57">
        <v>44739</v>
      </c>
      <c r="G1755" s="22"/>
      <c r="H1755" s="58"/>
      <c r="I1755" s="23">
        <v>0</v>
      </c>
      <c r="J1755" s="23">
        <f t="shared" si="379"/>
        <v>0</v>
      </c>
      <c r="K1755" s="24">
        <v>25</v>
      </c>
      <c r="L1755" s="24">
        <f t="shared" si="380"/>
        <v>-25</v>
      </c>
      <c r="M1755" s="24" t="str">
        <f t="shared" si="381"/>
        <v>-</v>
      </c>
      <c r="N1755" s="25">
        <v>25</v>
      </c>
      <c r="O1755" s="26" t="str">
        <f t="shared" si="382"/>
        <v>June</v>
      </c>
      <c r="P1755" s="25">
        <f t="shared" si="383"/>
        <v>25</v>
      </c>
      <c r="Q1755" s="27">
        <f t="shared" si="384"/>
        <v>0</v>
      </c>
      <c r="R1755" s="26" t="b">
        <f t="shared" si="385"/>
        <v>0</v>
      </c>
      <c r="S1755" s="28" t="str">
        <f t="shared" si="386"/>
        <v>GROWTH</v>
      </c>
      <c r="T1755" s="24">
        <v>0</v>
      </c>
      <c r="U1755" s="29" t="str">
        <f t="shared" si="387"/>
        <v>May</v>
      </c>
      <c r="V1755" s="24">
        <f t="shared" si="388"/>
        <v>0</v>
      </c>
      <c r="W1755" s="30">
        <f t="shared" si="389"/>
        <v>25</v>
      </c>
      <c r="X1755" s="31" t="b">
        <f t="shared" si="390"/>
        <v>0</v>
      </c>
      <c r="Y1755" s="32" t="b">
        <f t="shared" si="391"/>
        <v>0</v>
      </c>
      <c r="Z1755" s="41"/>
      <c r="AA1755" s="36"/>
      <c r="AB1755" s="36"/>
      <c r="AC1755" s="54"/>
      <c r="AD1755" s="34"/>
      <c r="AE1755" s="35" t="str">
        <f>IFERROR(INDEX([1]Last6M_AvgSales_Ref!$B$2:$B$12659,MATCH(D1755,[1]Last6M_AvgSales_Ref!$A$2:$A$12659,0)),"")</f>
        <v/>
      </c>
    </row>
    <row r="1756" spans="1:31" ht="14.25" customHeight="1" x14ac:dyDescent="0.3">
      <c r="A1756" s="54" t="s">
        <v>3529</v>
      </c>
      <c r="B1756" s="55" t="s">
        <v>3529</v>
      </c>
      <c r="C1756" s="56" t="s">
        <v>3564</v>
      </c>
      <c r="D1756" s="36">
        <v>1000004761</v>
      </c>
      <c r="E1756" s="55" t="s">
        <v>3565</v>
      </c>
      <c r="F1756" s="57">
        <v>46188</v>
      </c>
      <c r="G1756" s="22"/>
      <c r="H1756" s="58"/>
      <c r="I1756" s="23">
        <v>0</v>
      </c>
      <c r="J1756" s="23">
        <f t="shared" si="379"/>
        <v>0</v>
      </c>
      <c r="K1756" s="24">
        <v>25</v>
      </c>
      <c r="L1756" s="24">
        <f t="shared" si="380"/>
        <v>-25</v>
      </c>
      <c r="M1756" s="24" t="str">
        <f t="shared" si="381"/>
        <v>-</v>
      </c>
      <c r="N1756" s="25">
        <v>25</v>
      </c>
      <c r="O1756" s="26" t="str">
        <f t="shared" si="382"/>
        <v>June</v>
      </c>
      <c r="P1756" s="25">
        <f t="shared" si="383"/>
        <v>25</v>
      </c>
      <c r="Q1756" s="27">
        <f t="shared" si="384"/>
        <v>0</v>
      </c>
      <c r="R1756" s="26" t="b">
        <f t="shared" si="385"/>
        <v>0</v>
      </c>
      <c r="S1756" s="28" t="str">
        <f t="shared" si="386"/>
        <v>GROWTH</v>
      </c>
      <c r="T1756" s="24">
        <v>0</v>
      </c>
      <c r="U1756" s="29" t="str">
        <f t="shared" si="387"/>
        <v>May</v>
      </c>
      <c r="V1756" s="24">
        <f t="shared" si="388"/>
        <v>0</v>
      </c>
      <c r="W1756" s="30">
        <f t="shared" si="389"/>
        <v>25</v>
      </c>
      <c r="X1756" s="31" t="b">
        <f t="shared" si="390"/>
        <v>0</v>
      </c>
      <c r="Y1756" s="32" t="b">
        <f t="shared" si="391"/>
        <v>0</v>
      </c>
      <c r="Z1756" s="41"/>
      <c r="AA1756" s="36"/>
      <c r="AB1756" s="36"/>
      <c r="AC1756" s="54"/>
      <c r="AD1756" s="34"/>
      <c r="AE1756" s="35" t="str">
        <f>IFERROR(INDEX([1]Last6M_AvgSales_Ref!$B$2:$B$12659,MATCH(D1756,[1]Last6M_AvgSales_Ref!$A$2:$A$12659,0)),"")</f>
        <v/>
      </c>
    </row>
    <row r="1757" spans="1:31" ht="14.25" customHeight="1" x14ac:dyDescent="0.3">
      <c r="A1757" s="54" t="s">
        <v>2185</v>
      </c>
      <c r="B1757" s="55" t="s">
        <v>2353</v>
      </c>
      <c r="C1757" s="56" t="s">
        <v>3566</v>
      </c>
      <c r="D1757" s="36">
        <v>1000002526</v>
      </c>
      <c r="E1757" s="55" t="s">
        <v>3567</v>
      </c>
      <c r="F1757" s="57">
        <v>44739</v>
      </c>
      <c r="G1757" s="22"/>
      <c r="H1757" s="58"/>
      <c r="I1757" s="23">
        <v>0</v>
      </c>
      <c r="J1757" s="23">
        <f t="shared" si="379"/>
        <v>0</v>
      </c>
      <c r="K1757" s="24">
        <v>25</v>
      </c>
      <c r="L1757" s="24">
        <f t="shared" si="380"/>
        <v>-25</v>
      </c>
      <c r="M1757" s="24" t="str">
        <f t="shared" si="381"/>
        <v>-</v>
      </c>
      <c r="N1757" s="25">
        <v>9.5</v>
      </c>
      <c r="O1757" s="26" t="str">
        <f t="shared" si="382"/>
        <v>June</v>
      </c>
      <c r="P1757" s="25">
        <f t="shared" si="383"/>
        <v>9.5</v>
      </c>
      <c r="Q1757" s="27">
        <f t="shared" si="384"/>
        <v>15.5</v>
      </c>
      <c r="R1757" s="26" t="b">
        <f t="shared" si="385"/>
        <v>0</v>
      </c>
      <c r="S1757" s="28" t="str">
        <f t="shared" si="386"/>
        <v>GROWTH</v>
      </c>
      <c r="T1757" s="24">
        <v>0</v>
      </c>
      <c r="U1757" s="29" t="str">
        <f t="shared" si="387"/>
        <v>May</v>
      </c>
      <c r="V1757" s="24">
        <f t="shared" si="388"/>
        <v>0</v>
      </c>
      <c r="W1757" s="30">
        <f t="shared" si="389"/>
        <v>25</v>
      </c>
      <c r="X1757" s="31" t="b">
        <f t="shared" si="390"/>
        <v>0</v>
      </c>
      <c r="Y1757" s="32" t="b">
        <f t="shared" si="391"/>
        <v>0</v>
      </c>
      <c r="Z1757" s="41"/>
      <c r="AA1757" s="36"/>
      <c r="AB1757" s="36"/>
      <c r="AC1757" s="54"/>
      <c r="AD1757" s="34"/>
      <c r="AE1757" s="35" t="str">
        <f>IFERROR(INDEX([1]Last6M_AvgSales_Ref!$B$2:$B$12659,MATCH(D1757,[1]Last6M_AvgSales_Ref!$A$2:$A$12659,0)),"")</f>
        <v/>
      </c>
    </row>
    <row r="1758" spans="1:31" ht="14.25" customHeight="1" x14ac:dyDescent="0.3">
      <c r="A1758" s="54" t="s">
        <v>24</v>
      </c>
      <c r="B1758" s="55" t="s">
        <v>25</v>
      </c>
      <c r="C1758" s="56" t="s">
        <v>3568</v>
      </c>
      <c r="D1758" s="36">
        <v>1000004785</v>
      </c>
      <c r="E1758" s="55" t="s">
        <v>3569</v>
      </c>
      <c r="F1758" s="57">
        <v>46191</v>
      </c>
      <c r="G1758" s="22"/>
      <c r="H1758" s="58"/>
      <c r="I1758" s="23">
        <v>0</v>
      </c>
      <c r="J1758" s="23">
        <f t="shared" si="379"/>
        <v>0</v>
      </c>
      <c r="K1758" s="24">
        <v>25</v>
      </c>
      <c r="L1758" s="24">
        <f t="shared" si="380"/>
        <v>-25</v>
      </c>
      <c r="M1758" s="24" t="str">
        <f t="shared" si="381"/>
        <v>-</v>
      </c>
      <c r="N1758" s="25">
        <v>13</v>
      </c>
      <c r="O1758" s="26" t="str">
        <f t="shared" si="382"/>
        <v>June</v>
      </c>
      <c r="P1758" s="25">
        <f t="shared" si="383"/>
        <v>13</v>
      </c>
      <c r="Q1758" s="27">
        <f t="shared" si="384"/>
        <v>12</v>
      </c>
      <c r="R1758" s="26" t="b">
        <f t="shared" si="385"/>
        <v>0</v>
      </c>
      <c r="S1758" s="28" t="str">
        <f t="shared" si="386"/>
        <v>GROWTH</v>
      </c>
      <c r="T1758" s="24">
        <v>0</v>
      </c>
      <c r="U1758" s="29" t="str">
        <f t="shared" si="387"/>
        <v>May</v>
      </c>
      <c r="V1758" s="24">
        <f t="shared" si="388"/>
        <v>0</v>
      </c>
      <c r="W1758" s="30">
        <f t="shared" si="389"/>
        <v>25</v>
      </c>
      <c r="X1758" s="31" t="b">
        <f t="shared" si="390"/>
        <v>0</v>
      </c>
      <c r="Y1758" s="32" t="b">
        <f t="shared" si="391"/>
        <v>0</v>
      </c>
      <c r="Z1758" s="41"/>
      <c r="AA1758" s="36"/>
      <c r="AB1758" s="36"/>
      <c r="AC1758" s="54"/>
      <c r="AD1758" s="34"/>
      <c r="AE1758" s="35" t="str">
        <f>IFERROR(INDEX([1]Last6M_AvgSales_Ref!$B$2:$B$12659,MATCH(D1758,[1]Last6M_AvgSales_Ref!$A$2:$A$12659,0)),"")</f>
        <v/>
      </c>
    </row>
    <row r="1759" spans="1:31" ht="14.25" customHeight="1" x14ac:dyDescent="0.3">
      <c r="A1759" s="54" t="s">
        <v>2185</v>
      </c>
      <c r="B1759" s="55" t="s">
        <v>2425</v>
      </c>
      <c r="C1759" s="56" t="s">
        <v>3570</v>
      </c>
      <c r="D1759" s="36">
        <v>1000004784</v>
      </c>
      <c r="E1759" s="55" t="s">
        <v>3571</v>
      </c>
      <c r="F1759" s="57">
        <v>46191</v>
      </c>
      <c r="G1759" s="22"/>
      <c r="H1759" s="58"/>
      <c r="I1759" s="23">
        <v>0</v>
      </c>
      <c r="J1759" s="23">
        <f t="shared" si="379"/>
        <v>0</v>
      </c>
      <c r="K1759" s="24">
        <v>25</v>
      </c>
      <c r="L1759" s="24">
        <f t="shared" si="380"/>
        <v>-25</v>
      </c>
      <c r="M1759" s="24" t="str">
        <f t="shared" si="381"/>
        <v>-</v>
      </c>
      <c r="N1759" s="25">
        <v>30</v>
      </c>
      <c r="O1759" s="26" t="str">
        <f t="shared" si="382"/>
        <v>June</v>
      </c>
      <c r="P1759" s="25">
        <f t="shared" si="383"/>
        <v>30</v>
      </c>
      <c r="Q1759" s="27">
        <f t="shared" si="384"/>
        <v>-5</v>
      </c>
      <c r="R1759" s="26" t="b">
        <f t="shared" si="385"/>
        <v>0</v>
      </c>
      <c r="S1759" s="28" t="str">
        <f t="shared" si="386"/>
        <v>GROWTH</v>
      </c>
      <c r="T1759" s="24">
        <v>0</v>
      </c>
      <c r="U1759" s="29" t="str">
        <f t="shared" si="387"/>
        <v>May</v>
      </c>
      <c r="V1759" s="24">
        <f t="shared" si="388"/>
        <v>0</v>
      </c>
      <c r="W1759" s="30">
        <f t="shared" si="389"/>
        <v>25</v>
      </c>
      <c r="X1759" s="31" t="b">
        <f t="shared" si="390"/>
        <v>0</v>
      </c>
      <c r="Y1759" s="32" t="b">
        <f t="shared" si="391"/>
        <v>0</v>
      </c>
      <c r="Z1759" s="41"/>
      <c r="AA1759" s="36"/>
      <c r="AB1759" s="36"/>
      <c r="AC1759" s="54"/>
      <c r="AD1759" s="34"/>
      <c r="AE1759" s="35" t="str">
        <f>IFERROR(INDEX([1]Last6M_AvgSales_Ref!$B$2:$B$12659,MATCH(D1759,[1]Last6M_AvgSales_Ref!$A$2:$A$12659,0)),"")</f>
        <v/>
      </c>
    </row>
    <row r="1760" spans="1:31" ht="14.25" customHeight="1" x14ac:dyDescent="0.3">
      <c r="A1760" s="54" t="s">
        <v>3529</v>
      </c>
      <c r="B1760" s="55" t="s">
        <v>3529</v>
      </c>
      <c r="C1760" s="56" t="s">
        <v>3572</v>
      </c>
      <c r="D1760" s="36">
        <v>1000004767</v>
      </c>
      <c r="E1760" s="55" t="s">
        <v>3573</v>
      </c>
      <c r="F1760" s="57">
        <v>46192</v>
      </c>
      <c r="G1760" s="22"/>
      <c r="H1760" s="58"/>
      <c r="I1760" s="23">
        <v>0</v>
      </c>
      <c r="J1760" s="23">
        <f t="shared" si="379"/>
        <v>0</v>
      </c>
      <c r="K1760" s="24">
        <v>25</v>
      </c>
      <c r="L1760" s="24">
        <f t="shared" si="380"/>
        <v>-25</v>
      </c>
      <c r="M1760" s="24" t="str">
        <f t="shared" si="381"/>
        <v>-</v>
      </c>
      <c r="N1760" s="25">
        <v>30</v>
      </c>
      <c r="O1760" s="26" t="str">
        <f t="shared" si="382"/>
        <v>June</v>
      </c>
      <c r="P1760" s="25">
        <f t="shared" si="383"/>
        <v>30</v>
      </c>
      <c r="Q1760" s="27">
        <f t="shared" si="384"/>
        <v>-5</v>
      </c>
      <c r="R1760" s="26" t="b">
        <f t="shared" si="385"/>
        <v>0</v>
      </c>
      <c r="S1760" s="28" t="str">
        <f t="shared" si="386"/>
        <v>GROWTH</v>
      </c>
      <c r="T1760" s="24">
        <v>0</v>
      </c>
      <c r="U1760" s="29" t="str">
        <f t="shared" si="387"/>
        <v>May</v>
      </c>
      <c r="V1760" s="24">
        <f t="shared" si="388"/>
        <v>0</v>
      </c>
      <c r="W1760" s="30">
        <f t="shared" si="389"/>
        <v>25</v>
      </c>
      <c r="X1760" s="31" t="b">
        <f t="shared" si="390"/>
        <v>0</v>
      </c>
      <c r="Y1760" s="32" t="b">
        <f t="shared" si="391"/>
        <v>0</v>
      </c>
      <c r="Z1760" s="41"/>
      <c r="AA1760" s="36"/>
      <c r="AB1760" s="36"/>
      <c r="AC1760" s="54"/>
      <c r="AD1760" s="34"/>
      <c r="AE1760" s="35" t="str">
        <f>IFERROR(INDEX([1]Last6M_AvgSales_Ref!$B$2:$B$12659,MATCH(D1760,[1]Last6M_AvgSales_Ref!$A$2:$A$12659,0)),"")</f>
        <v/>
      </c>
    </row>
    <row r="1761" spans="1:31" ht="14.25" customHeight="1" x14ac:dyDescent="0.3">
      <c r="A1761" s="54" t="s">
        <v>24</v>
      </c>
      <c r="B1761" s="55" t="s">
        <v>645</v>
      </c>
      <c r="C1761" s="56" t="s">
        <v>3574</v>
      </c>
      <c r="D1761" s="36">
        <v>1000004792</v>
      </c>
      <c r="E1761" s="55" t="s">
        <v>3575</v>
      </c>
      <c r="F1761" s="57">
        <v>46196</v>
      </c>
      <c r="G1761" s="22"/>
      <c r="H1761" s="58"/>
      <c r="I1761" s="23">
        <v>0</v>
      </c>
      <c r="J1761" s="23">
        <f t="shared" si="379"/>
        <v>0</v>
      </c>
      <c r="K1761" s="24">
        <v>25</v>
      </c>
      <c r="L1761" s="24">
        <f t="shared" si="380"/>
        <v>-25</v>
      </c>
      <c r="M1761" s="24" t="str">
        <f t="shared" si="381"/>
        <v>-</v>
      </c>
      <c r="N1761" s="25">
        <v>50</v>
      </c>
      <c r="O1761" s="26" t="str">
        <f t="shared" si="382"/>
        <v>June</v>
      </c>
      <c r="P1761" s="25">
        <f t="shared" si="383"/>
        <v>50</v>
      </c>
      <c r="Q1761" s="27">
        <f t="shared" si="384"/>
        <v>-25</v>
      </c>
      <c r="R1761" s="26" t="b">
        <f t="shared" si="385"/>
        <v>0</v>
      </c>
      <c r="S1761" s="28" t="str">
        <f t="shared" si="386"/>
        <v>GROWTH</v>
      </c>
      <c r="T1761" s="24">
        <v>0</v>
      </c>
      <c r="U1761" s="29" t="str">
        <f t="shared" si="387"/>
        <v>May</v>
      </c>
      <c r="V1761" s="24">
        <f t="shared" si="388"/>
        <v>0</v>
      </c>
      <c r="W1761" s="30">
        <f t="shared" si="389"/>
        <v>25</v>
      </c>
      <c r="X1761" s="31" t="b">
        <f t="shared" si="390"/>
        <v>0</v>
      </c>
      <c r="Y1761" s="32" t="b">
        <f t="shared" si="391"/>
        <v>0</v>
      </c>
      <c r="Z1761" s="41"/>
      <c r="AA1761" s="36"/>
      <c r="AB1761" s="36"/>
      <c r="AC1761" s="54"/>
      <c r="AD1761" s="34"/>
      <c r="AE1761" s="35" t="str">
        <f>IFERROR(INDEX([1]Last6M_AvgSales_Ref!$B$2:$B$12659,MATCH(D1761,[1]Last6M_AvgSales_Ref!$A$2:$A$12659,0)),"")</f>
        <v/>
      </c>
    </row>
    <row r="1762" spans="1:31" ht="14.25" customHeight="1" x14ac:dyDescent="0.3">
      <c r="A1762" s="54" t="s">
        <v>24</v>
      </c>
      <c r="B1762" s="55" t="s">
        <v>645</v>
      </c>
      <c r="C1762" s="56" t="s">
        <v>3576</v>
      </c>
      <c r="D1762" s="36">
        <v>1000004808</v>
      </c>
      <c r="E1762" s="55" t="s">
        <v>3577</v>
      </c>
      <c r="F1762" s="57">
        <v>46202</v>
      </c>
      <c r="G1762" s="22"/>
      <c r="H1762" s="58"/>
      <c r="I1762" s="23">
        <v>0</v>
      </c>
      <c r="J1762" s="23">
        <f t="shared" si="379"/>
        <v>0</v>
      </c>
      <c r="K1762" s="24">
        <v>25</v>
      </c>
      <c r="L1762" s="24">
        <f t="shared" si="380"/>
        <v>-25</v>
      </c>
      <c r="M1762" s="24" t="str">
        <f t="shared" si="381"/>
        <v>-</v>
      </c>
      <c r="N1762" s="25">
        <v>27.5</v>
      </c>
      <c r="O1762" s="26" t="str">
        <f t="shared" si="382"/>
        <v>June</v>
      </c>
      <c r="P1762" s="25">
        <f t="shared" si="383"/>
        <v>27.5</v>
      </c>
      <c r="Q1762" s="27">
        <f t="shared" si="384"/>
        <v>-2.5</v>
      </c>
      <c r="R1762" s="26" t="b">
        <f t="shared" si="385"/>
        <v>0</v>
      </c>
      <c r="S1762" s="28" t="str">
        <f t="shared" si="386"/>
        <v>GROWTH</v>
      </c>
      <c r="T1762" s="24">
        <v>0</v>
      </c>
      <c r="U1762" s="29" t="str">
        <f t="shared" si="387"/>
        <v>May</v>
      </c>
      <c r="V1762" s="24">
        <f t="shared" si="388"/>
        <v>0</v>
      </c>
      <c r="W1762" s="30">
        <f t="shared" si="389"/>
        <v>25</v>
      </c>
      <c r="X1762" s="31" t="b">
        <f t="shared" si="390"/>
        <v>0</v>
      </c>
      <c r="Y1762" s="32" t="b">
        <f t="shared" si="391"/>
        <v>0</v>
      </c>
      <c r="Z1762" s="41"/>
      <c r="AA1762" s="36"/>
      <c r="AB1762" s="36"/>
      <c r="AC1762" s="54"/>
      <c r="AD1762" s="34"/>
      <c r="AE1762" s="35" t="str">
        <f>IFERROR(INDEX([1]Last6M_AvgSales_Ref!$B$2:$B$12659,MATCH(D1762,[1]Last6M_AvgSales_Ref!$A$2:$A$12659,0)),"")</f>
        <v/>
      </c>
    </row>
    <row r="1763" spans="1:31" ht="14.25" customHeight="1" x14ac:dyDescent="0.3">
      <c r="A1763" s="54" t="s">
        <v>848</v>
      </c>
      <c r="B1763" s="55" t="s">
        <v>1101</v>
      </c>
      <c r="C1763" s="56" t="s">
        <v>3578</v>
      </c>
      <c r="D1763" s="36">
        <v>1000004803</v>
      </c>
      <c r="E1763" s="55" t="s">
        <v>3579</v>
      </c>
      <c r="F1763" s="57">
        <v>46202</v>
      </c>
      <c r="G1763" s="22"/>
      <c r="H1763" s="58"/>
      <c r="I1763" s="23">
        <v>0</v>
      </c>
      <c r="J1763" s="23">
        <f t="shared" si="379"/>
        <v>0</v>
      </c>
      <c r="K1763" s="24">
        <v>25</v>
      </c>
      <c r="L1763" s="24">
        <f t="shared" si="380"/>
        <v>-25</v>
      </c>
      <c r="M1763" s="24" t="str">
        <f t="shared" si="381"/>
        <v>-</v>
      </c>
      <c r="N1763" s="25">
        <v>25</v>
      </c>
      <c r="O1763" s="26" t="str">
        <f t="shared" si="382"/>
        <v>June</v>
      </c>
      <c r="P1763" s="25">
        <f t="shared" si="383"/>
        <v>25</v>
      </c>
      <c r="Q1763" s="27">
        <f t="shared" si="384"/>
        <v>0</v>
      </c>
      <c r="R1763" s="26" t="b">
        <f t="shared" si="385"/>
        <v>0</v>
      </c>
      <c r="S1763" s="28" t="str">
        <f t="shared" si="386"/>
        <v>GROWTH</v>
      </c>
      <c r="T1763" s="24">
        <v>0</v>
      </c>
      <c r="U1763" s="29" t="str">
        <f t="shared" si="387"/>
        <v>May</v>
      </c>
      <c r="V1763" s="24">
        <f t="shared" si="388"/>
        <v>0</v>
      </c>
      <c r="W1763" s="30">
        <f t="shared" si="389"/>
        <v>25</v>
      </c>
      <c r="X1763" s="31" t="b">
        <f t="shared" si="390"/>
        <v>0</v>
      </c>
      <c r="Y1763" s="32" t="b">
        <f t="shared" si="391"/>
        <v>0</v>
      </c>
      <c r="Z1763" s="41"/>
      <c r="AA1763" s="36"/>
      <c r="AB1763" s="36"/>
      <c r="AC1763" s="54"/>
      <c r="AD1763" s="34"/>
      <c r="AE1763" s="35" t="str">
        <f>IFERROR(INDEX([1]Last6M_AvgSales_Ref!$B$2:$B$12659,MATCH(D1763,[1]Last6M_AvgSales_Ref!$A$2:$A$12659,0)),"")</f>
        <v/>
      </c>
    </row>
    <row r="1764" spans="1:31" ht="14.25" customHeight="1" x14ac:dyDescent="0.3">
      <c r="A1764" s="54" t="s">
        <v>24</v>
      </c>
      <c r="B1764" s="55" t="s">
        <v>570</v>
      </c>
      <c r="C1764" s="56" t="s">
        <v>3580</v>
      </c>
      <c r="D1764" s="36">
        <v>1000004806</v>
      </c>
      <c r="E1764" s="55" t="s">
        <v>3581</v>
      </c>
      <c r="F1764" s="57">
        <v>46202</v>
      </c>
      <c r="G1764" s="22"/>
      <c r="H1764" s="58"/>
      <c r="I1764" s="23">
        <v>0</v>
      </c>
      <c r="J1764" s="23">
        <f t="shared" si="379"/>
        <v>0</v>
      </c>
      <c r="K1764" s="24">
        <v>25</v>
      </c>
      <c r="L1764" s="24">
        <f t="shared" si="380"/>
        <v>-25</v>
      </c>
      <c r="M1764" s="24" t="str">
        <f t="shared" si="381"/>
        <v>-</v>
      </c>
      <c r="N1764" s="25">
        <v>50</v>
      </c>
      <c r="O1764" s="26" t="str">
        <f t="shared" si="382"/>
        <v>June</v>
      </c>
      <c r="P1764" s="25">
        <f t="shared" si="383"/>
        <v>50</v>
      </c>
      <c r="Q1764" s="27">
        <f t="shared" si="384"/>
        <v>-25</v>
      </c>
      <c r="R1764" s="26" t="b">
        <f t="shared" si="385"/>
        <v>0</v>
      </c>
      <c r="S1764" s="28" t="str">
        <f t="shared" si="386"/>
        <v>GROWTH</v>
      </c>
      <c r="T1764" s="24">
        <v>0</v>
      </c>
      <c r="U1764" s="29" t="str">
        <f t="shared" si="387"/>
        <v>May</v>
      </c>
      <c r="V1764" s="24">
        <f t="shared" si="388"/>
        <v>0</v>
      </c>
      <c r="W1764" s="30">
        <f t="shared" si="389"/>
        <v>25</v>
      </c>
      <c r="X1764" s="31" t="b">
        <f t="shared" si="390"/>
        <v>0</v>
      </c>
      <c r="Y1764" s="32" t="b">
        <f t="shared" si="391"/>
        <v>0</v>
      </c>
      <c r="Z1764" s="41"/>
      <c r="AA1764" s="36"/>
      <c r="AB1764" s="36"/>
      <c r="AC1764" s="54"/>
      <c r="AD1764" s="34"/>
      <c r="AE1764" s="35" t="str">
        <f>IFERROR(INDEX([1]Last6M_AvgSales_Ref!$B$2:$B$12659,MATCH(D1764,[1]Last6M_AvgSales_Ref!$A$2:$A$12659,0)),"")</f>
        <v/>
      </c>
    </row>
    <row r="1765" spans="1:31" ht="14.25" customHeight="1" x14ac:dyDescent="0.3">
      <c r="A1765" s="54" t="s">
        <v>24</v>
      </c>
      <c r="B1765" s="55" t="s">
        <v>174</v>
      </c>
      <c r="C1765" s="56" t="s">
        <v>3582</v>
      </c>
      <c r="D1765" s="36">
        <v>1000004804</v>
      </c>
      <c r="E1765" s="55" t="s">
        <v>3583</v>
      </c>
      <c r="F1765" s="57">
        <v>46202</v>
      </c>
      <c r="G1765" s="22"/>
      <c r="H1765" s="58"/>
      <c r="I1765" s="23">
        <v>0</v>
      </c>
      <c r="J1765" s="23">
        <f t="shared" si="379"/>
        <v>0</v>
      </c>
      <c r="K1765" s="24">
        <v>25</v>
      </c>
      <c r="L1765" s="24">
        <f t="shared" si="380"/>
        <v>-25</v>
      </c>
      <c r="M1765" s="24" t="str">
        <f t="shared" si="381"/>
        <v>-</v>
      </c>
      <c r="N1765" s="25">
        <v>14</v>
      </c>
      <c r="O1765" s="26" t="str">
        <f t="shared" si="382"/>
        <v>June</v>
      </c>
      <c r="P1765" s="25">
        <f t="shared" si="383"/>
        <v>14</v>
      </c>
      <c r="Q1765" s="27">
        <f t="shared" si="384"/>
        <v>11</v>
      </c>
      <c r="R1765" s="26" t="b">
        <f t="shared" si="385"/>
        <v>0</v>
      </c>
      <c r="S1765" s="28" t="str">
        <f t="shared" si="386"/>
        <v>GROWTH</v>
      </c>
      <c r="T1765" s="24">
        <v>0</v>
      </c>
      <c r="U1765" s="29" t="str">
        <f t="shared" si="387"/>
        <v>May</v>
      </c>
      <c r="V1765" s="24">
        <f t="shared" si="388"/>
        <v>0</v>
      </c>
      <c r="W1765" s="30">
        <f t="shared" si="389"/>
        <v>25</v>
      </c>
      <c r="X1765" s="31" t="b">
        <f t="shared" si="390"/>
        <v>0</v>
      </c>
      <c r="Y1765" s="32" t="b">
        <f t="shared" si="391"/>
        <v>0</v>
      </c>
      <c r="Z1765" s="41"/>
      <c r="AA1765" s="36"/>
      <c r="AB1765" s="36"/>
      <c r="AC1765" s="54"/>
      <c r="AD1765" s="34"/>
      <c r="AE1765" s="35" t="str">
        <f>IFERROR(INDEX([1]Last6M_AvgSales_Ref!$B$2:$B$12659,MATCH(D1765,[1]Last6M_AvgSales_Ref!$A$2:$A$12659,0)),"")</f>
        <v/>
      </c>
    </row>
    <row r="1766" spans="1:31" ht="14.25" customHeight="1" x14ac:dyDescent="0.3">
      <c r="A1766" s="54" t="s">
        <v>24</v>
      </c>
      <c r="B1766" s="55" t="s">
        <v>449</v>
      </c>
      <c r="C1766" s="56" t="s">
        <v>3584</v>
      </c>
      <c r="D1766" s="36">
        <v>1000004802</v>
      </c>
      <c r="E1766" s="55" t="s">
        <v>3585</v>
      </c>
      <c r="F1766" s="57">
        <v>46201</v>
      </c>
      <c r="G1766" s="22"/>
      <c r="H1766" s="58"/>
      <c r="I1766" s="23">
        <v>0</v>
      </c>
      <c r="J1766" s="23">
        <f t="shared" si="379"/>
        <v>0</v>
      </c>
      <c r="K1766" s="24">
        <v>25</v>
      </c>
      <c r="L1766" s="24">
        <f t="shared" si="380"/>
        <v>-25</v>
      </c>
      <c r="M1766" s="24" t="str">
        <f t="shared" si="381"/>
        <v>-</v>
      </c>
      <c r="N1766" s="25">
        <v>15</v>
      </c>
      <c r="O1766" s="26" t="str">
        <f t="shared" si="382"/>
        <v>June</v>
      </c>
      <c r="P1766" s="25">
        <f t="shared" si="383"/>
        <v>15</v>
      </c>
      <c r="Q1766" s="27">
        <f t="shared" si="384"/>
        <v>10</v>
      </c>
      <c r="R1766" s="26" t="b">
        <f t="shared" si="385"/>
        <v>0</v>
      </c>
      <c r="S1766" s="28" t="str">
        <f t="shared" si="386"/>
        <v>GROWTH</v>
      </c>
      <c r="T1766" s="24">
        <v>0</v>
      </c>
      <c r="U1766" s="29" t="str">
        <f t="shared" si="387"/>
        <v>May</v>
      </c>
      <c r="V1766" s="24">
        <f t="shared" si="388"/>
        <v>0</v>
      </c>
      <c r="W1766" s="30">
        <f t="shared" si="389"/>
        <v>25</v>
      </c>
      <c r="X1766" s="31" t="b">
        <f t="shared" si="390"/>
        <v>0</v>
      </c>
      <c r="Y1766" s="32" t="b">
        <f t="shared" si="391"/>
        <v>0</v>
      </c>
      <c r="Z1766" s="41"/>
      <c r="AA1766" s="36"/>
      <c r="AB1766" s="36"/>
      <c r="AC1766" s="54"/>
      <c r="AD1766" s="34"/>
      <c r="AE1766" s="35" t="str">
        <f>IFERROR(INDEX([1]Last6M_AvgSales_Ref!$B$2:$B$12659,MATCH(D1766,[1]Last6M_AvgSales_Ref!$A$2:$A$12659,0)),"")</f>
        <v/>
      </c>
    </row>
  </sheetData>
  <autoFilter ref="A2:AF1766" xr:uid="{00000000-0009-0000-0000-000008000000}"/>
  <conditionalFormatting sqref="L1:L1766">
    <cfRule type="cellIs" dxfId="0" priority="1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DLRWISE (3)</vt:lpstr>
      <vt:lpstr>_xlcn.WorksheetConnection_DLRWISE3A2E17301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Sabarnik Lahiri</dc:creator>
  <cp:lastModifiedBy>Sabarnik Lahiri</cp:lastModifiedBy>
  <dcterms:created xsi:type="dcterms:W3CDTF">2026-09-09T09:20:33Z</dcterms:created>
  <dcterms:modified xsi:type="dcterms:W3CDTF">2026-09-09T09:20:58Z</dcterms:modified>
</cp:coreProperties>
</file>